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threadedComments/threadedComment1.xml" ContentType="application/vnd.ms-excel.threaded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threadedComments/threadedComment2.xml" ContentType="application/vnd.ms-excel.threaded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drawings/drawing1.xml" ContentType="application/vnd.openxmlformats-officedocument.drawing+xml"/>
  <Override PartName="/xl/comments3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3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updateLinks="never" defaultThemeVersion="166925"/>
  <xr:revisionPtr revIDLastSave="1414" documentId="8_{5F09FB04-373A-41A5-ABD6-C94692E28687}" xr6:coauthVersionLast="47" xr6:coauthVersionMax="47" xr10:uidLastSave="{09C0CDEE-23F7-4FE4-880F-5771C025B72B}"/>
  <bookViews>
    <workbookView xWindow="12630" yWindow="-18195" windowWidth="29040" windowHeight="17520" tabRatio="802" xr2:uid="{D2C6BC2D-614D-413D-9F69-76B027C32711}"/>
  </bookViews>
  <sheets>
    <sheet name="Portfolio Listing" sheetId="1" r:id="rId1"/>
    <sheet name="Portfolio Summary" sheetId="68" r:id="rId2"/>
    <sheet name="FUNDS &gt;&gt;" sheetId="133" r:id="rId3"/>
    <sheet name="Ascendent CP I" sheetId="109" r:id="rId4"/>
    <sheet name="Ascendant CP I CF" sheetId="49" r:id="rId5"/>
    <sheet name="BOYU Capital Fund I" sheetId="129" r:id="rId6"/>
    <sheet name="BOYU Capital Fund I CF" sheetId="7" r:id="rId7"/>
    <sheet name="BOYU Offshore CF" sheetId="10" r:id="rId8"/>
    <sheet name="Boyu Real Estate" sheetId="119" r:id="rId9"/>
    <sheet name="Boyu Real Estate CF" sheetId="42" r:id="rId10"/>
    <sheet name="C Ventures II" sheetId="132" r:id="rId11"/>
    <sheet name="C Ventures II CF " sheetId="14" r:id="rId12"/>
    <sheet name="Cottonwood" sheetId="130" r:id="rId13"/>
    <sheet name="Cottonwood (CF)" sheetId="82" r:id="rId14"/>
    <sheet name="DCP I" sheetId="113" r:id="rId15"/>
    <sheet name="DCP I (CF)" sheetId="16" r:id="rId16"/>
    <sheet name="DCP II" sheetId="114" r:id="rId17"/>
    <sheet name="DCP II (CF) " sheetId="63" r:id="rId18"/>
    <sheet name="E15 Fund I" sheetId="28" r:id="rId19"/>
    <sheet name="E15 Fund I (CF) " sheetId="31" r:id="rId20"/>
    <sheet name="E15 Fund 1.5 (liquidating)" sheetId="29" r:id="rId21"/>
    <sheet name="E15 Fund 1.5(CF) " sheetId="32" r:id="rId22"/>
    <sheet name="E15 Fund II" sheetId="135" r:id="rId23"/>
    <sheet name="E15 Fund II CF" sheetId="33" r:id="rId24"/>
    <sheet name="Genedant Ventures" sheetId="131" r:id="rId25"/>
    <sheet name="Genedent Ventures (CF)" sheetId="85" r:id="rId26"/>
    <sheet name="GTCR" sheetId="111" r:id="rId27"/>
    <sheet name="GTCR (CF)" sheetId="112" r:id="rId28"/>
    <sheet name="HSG Growth VI" sheetId="117" r:id="rId29"/>
    <sheet name="HSG Growth VI (CF) " sheetId="24" r:id="rId30"/>
    <sheet name="HSG Growth VIII" sheetId="118" r:id="rId31"/>
    <sheet name="HSG Growth VIII (CF)" sheetId="22" r:id="rId32"/>
    <sheet name="Lionet Fund" sheetId="116" r:id="rId33"/>
    <sheet name="Lionet Fund CF" sheetId="40" r:id="rId34"/>
    <sheet name="Skycus China Fund" sheetId="115" r:id="rId35"/>
    <sheet name="Skycus China CF" sheetId="18" r:id="rId36"/>
    <sheet name="West Street VII" sheetId="120" r:id="rId37"/>
    <sheet name="West Street VII (CF)" sheetId="46" r:id="rId38"/>
    <sheet name="West Street VIII" sheetId="121" r:id="rId39"/>
    <sheet name="West Street VIII (CF)" sheetId="48" r:id="rId40"/>
    <sheet name="FMV Projection" sheetId="87" state="hidden" r:id="rId41"/>
    <sheet name="Calcs" sheetId="88" state="hidden" r:id="rId42"/>
  </sheets>
  <externalReferences>
    <externalReference r:id="rId43"/>
    <externalReference r:id="rId44"/>
    <externalReference r:id="rId45"/>
    <externalReference r:id="rId46"/>
    <externalReference r:id="rId47"/>
  </externalReferences>
  <definedNames>
    <definedName name="\ab"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G">#REF!</definedName>
    <definedName name="\P">#REF!</definedName>
    <definedName name="\Q">#REF!</definedName>
    <definedName name="\S">#REF!</definedName>
    <definedName name="___CAR3">#REF!</definedName>
    <definedName name="___CLS10">#REF!</definedName>
    <definedName name="___CLS7">#REF!</definedName>
    <definedName name="___CLS8">#REF!</definedName>
    <definedName name="___CLS9">#REF!</definedName>
    <definedName name="___NCL3">#REF!</definedName>
    <definedName name="___PA7">#REF!</definedName>
    <definedName name="___PA8">#REF!</definedName>
    <definedName name="___PAL1">#REF!</definedName>
    <definedName name="___PAL2">#REF!</definedName>
    <definedName name="___PAL3">#REF!</definedName>
    <definedName name="___PAL4">#REF!</definedName>
    <definedName name="___PAL5">#REF!</definedName>
    <definedName name="___PAL6">#REF!</definedName>
    <definedName name="___PAL7">#REF!</definedName>
    <definedName name="___PAL8">#REF!</definedName>
    <definedName name="___PAL9">#REF!</definedName>
    <definedName name="___PD1">#REF!</definedName>
    <definedName name="___PE12">#REF!</definedName>
    <definedName name="___PE13">#REF!</definedName>
    <definedName name="___PE6">#REF!</definedName>
    <definedName name="___PE7">#REF!</definedName>
    <definedName name="___PE8">#REF!</definedName>
    <definedName name="___PE9">#REF!</definedName>
    <definedName name="___PH1">#REF!</definedName>
    <definedName name="___PI1">#REF!</definedName>
    <definedName name="___PK1">#REF!</definedName>
    <definedName name="___PK3">#REF!</definedName>
    <definedName name="___SBU2"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SBU2"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SBU2"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SBU2"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SBU2"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SBU2"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SBU2"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SBU2"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SBU2"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SBU2"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SBU2"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SBU2"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SBU2"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SBU2"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SBU2"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SBU2"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SBU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1__123Graph_ACHART_1" hidden="1">#REF!</definedName>
    <definedName name="__123Graph_A" hidden="1">#REF!</definedName>
    <definedName name="__123Graph_ADCF" hidden="1">#REF!</definedName>
    <definedName name="__123Graph_AEPS" hidden="1">#REF!</definedName>
    <definedName name="__123Graph_AIRR" hidden="1">#REF!</definedName>
    <definedName name="__123Graph_ANETINC" hidden="1">#REF!</definedName>
    <definedName name="__123Graph_B" localSheetId="40" hidden="1">#REF!</definedName>
    <definedName name="__123Graph_B" hidden="1">#REF!</definedName>
    <definedName name="__123Graph_BEPS" hidden="1">#REF!</definedName>
    <definedName name="__123Graph_BNETINC" hidden="1">#REF!</definedName>
    <definedName name="__123Graph_C" localSheetId="40" hidden="1">#REF!</definedName>
    <definedName name="__123Graph_C" hidden="1">#REF!</definedName>
    <definedName name="__123Graph_CEPS" hidden="1">#REF!</definedName>
    <definedName name="__123Graph_CNETINC" hidden="1">#REF!</definedName>
    <definedName name="__123Graph_D" localSheetId="40" hidden="1">#REF!</definedName>
    <definedName name="__123Graph_D" hidden="1">#REF!</definedName>
    <definedName name="__123Graph_DEPS" hidden="1">#REF!</definedName>
    <definedName name="__123Graph_DNETINC" hidden="1">#REF!</definedName>
    <definedName name="__123Graph_E" hidden="1">#REF!</definedName>
    <definedName name="__123Graph_F" hidden="1">#REF!</definedName>
    <definedName name="__123Graph_X" hidden="1">#REF!</definedName>
    <definedName name="__123Graph_XDCF" hidden="1">#REF!</definedName>
    <definedName name="__123Graph_XEPS" hidden="1">#REF!</definedName>
    <definedName name="__123Graph_XIRR" hidden="1">#REF!</definedName>
    <definedName name="__123Graph_XNETINC" hidden="1">#REF!</definedName>
    <definedName name="__2__123Graph_XCHART_1" hidden="1">#REF!</definedName>
    <definedName name="__bookmark_3">#REF!</definedName>
    <definedName name="__bookmark_4">#REF!</definedName>
    <definedName name="__bookmark_5">#REF!</definedName>
    <definedName name="__bookmark_6">#REF!</definedName>
    <definedName name="__bookmark_7">#REF!</definedName>
    <definedName name="__CAR3">#REF!</definedName>
    <definedName name="__CLS10">#REF!</definedName>
    <definedName name="__CLS7">#REF!</definedName>
    <definedName name="__CLS8">#REF!</definedName>
    <definedName name="__CLS9">#REF!</definedName>
    <definedName name="__FDS_HYPERLINK_TOGGLE_STATE__" hidden="1">"ON"</definedName>
    <definedName name="__IntlFixup" hidden="1">TRUE</definedName>
    <definedName name="__IntlFixupTable" hidden="1">#REF!</definedName>
    <definedName name="__NCL3">#REF!</definedName>
    <definedName name="__nov30"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nov30"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nov30"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nov30"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nov30"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nov30"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nov30"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nov30"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nov30"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nov30"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nov30"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nov30"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nov30"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nov30"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nov30"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nov30"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nov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PA7">#REF!</definedName>
    <definedName name="__PA8">#REF!</definedName>
    <definedName name="__PAL1">#REF!</definedName>
    <definedName name="__PAL2">#REF!</definedName>
    <definedName name="__PAL3">#REF!</definedName>
    <definedName name="__PAL4">#REF!</definedName>
    <definedName name="__PAL5">#REF!</definedName>
    <definedName name="__PAL6">#REF!</definedName>
    <definedName name="__PAL7">#REF!</definedName>
    <definedName name="__PAL8">#REF!</definedName>
    <definedName name="__PAL9">#REF!</definedName>
    <definedName name="__PD1">#REF!</definedName>
    <definedName name="__PE12">#REF!</definedName>
    <definedName name="__PE13">#REF!</definedName>
    <definedName name="__PE6">#REF!</definedName>
    <definedName name="__PE7">#REF!</definedName>
    <definedName name="__PE8">#REF!</definedName>
    <definedName name="__PE9">#REF!</definedName>
    <definedName name="__PH1">#REF!</definedName>
    <definedName name="__PI1">#REF!</definedName>
    <definedName name="__PK1">#REF!</definedName>
    <definedName name="__PK3">#REF!</definedName>
    <definedName name="__re2" localSheetId="3" hidden="1">{"NOPCAPEVA",#N/A,FALSE,"Nopat";"FCFCSTAR",#N/A,FALSE,"FCFVAL";"EVAVL",#N/A,FALSE,"EVAVAL";"LEASE",#N/A,FALSE,"OpLease"}</definedName>
    <definedName name="__re2" localSheetId="5" hidden="1">{"NOPCAPEVA",#N/A,FALSE,"Nopat";"FCFCSTAR",#N/A,FALSE,"FCFVAL";"EVAVL",#N/A,FALSE,"EVAVAL";"LEASE",#N/A,FALSE,"OpLease"}</definedName>
    <definedName name="__re2" localSheetId="8" hidden="1">{"NOPCAPEVA",#N/A,FALSE,"Nopat";"FCFCSTAR",#N/A,FALSE,"FCFVAL";"EVAVL",#N/A,FALSE,"EVAVAL";"LEASE",#N/A,FALSE,"OpLease"}</definedName>
    <definedName name="__re2" localSheetId="10" hidden="1">{"NOPCAPEVA",#N/A,FALSE,"Nopat";"FCFCSTAR",#N/A,FALSE,"FCFVAL";"EVAVL",#N/A,FALSE,"EVAVAL";"LEASE",#N/A,FALSE,"OpLease"}</definedName>
    <definedName name="__re2" localSheetId="12" hidden="1">{"NOPCAPEVA",#N/A,FALSE,"Nopat";"FCFCSTAR",#N/A,FALSE,"FCFVAL";"EVAVL",#N/A,FALSE,"EVAVAL";"LEASE",#N/A,FALSE,"OpLease"}</definedName>
    <definedName name="__re2" localSheetId="14" hidden="1">{"NOPCAPEVA",#N/A,FALSE,"Nopat";"FCFCSTAR",#N/A,FALSE,"FCFVAL";"EVAVL",#N/A,FALSE,"EVAVAL";"LEASE",#N/A,FALSE,"OpLease"}</definedName>
    <definedName name="__re2" localSheetId="16" hidden="1">{"NOPCAPEVA",#N/A,FALSE,"Nopat";"FCFCSTAR",#N/A,FALSE,"FCFVAL";"EVAVL",#N/A,FALSE,"EVAVAL";"LEASE",#N/A,FALSE,"OpLease"}</definedName>
    <definedName name="__re2" localSheetId="22" hidden="1">{"NOPCAPEVA",#N/A,FALSE,"Nopat";"FCFCSTAR",#N/A,FALSE,"FCFVAL";"EVAVL",#N/A,FALSE,"EVAVAL";"LEASE",#N/A,FALSE,"OpLease"}</definedName>
    <definedName name="__re2" localSheetId="24" hidden="1">{"NOPCAPEVA",#N/A,FALSE,"Nopat";"FCFCSTAR",#N/A,FALSE,"FCFVAL";"EVAVL",#N/A,FALSE,"EVAVAL";"LEASE",#N/A,FALSE,"OpLease"}</definedName>
    <definedName name="__re2" localSheetId="26" hidden="1">{"NOPCAPEVA",#N/A,FALSE,"Nopat";"FCFCSTAR",#N/A,FALSE,"FCFVAL";"EVAVL",#N/A,FALSE,"EVAVAL";"LEASE",#N/A,FALSE,"OpLease"}</definedName>
    <definedName name="__re2" localSheetId="28" hidden="1">{"NOPCAPEVA",#N/A,FALSE,"Nopat";"FCFCSTAR",#N/A,FALSE,"FCFVAL";"EVAVL",#N/A,FALSE,"EVAVAL";"LEASE",#N/A,FALSE,"OpLease"}</definedName>
    <definedName name="__re2" localSheetId="30" hidden="1">{"NOPCAPEVA",#N/A,FALSE,"Nopat";"FCFCSTAR",#N/A,FALSE,"FCFVAL";"EVAVL",#N/A,FALSE,"EVAVAL";"LEASE",#N/A,FALSE,"OpLease"}</definedName>
    <definedName name="__re2" localSheetId="32" hidden="1">{"NOPCAPEVA",#N/A,FALSE,"Nopat";"FCFCSTAR",#N/A,FALSE,"FCFVAL";"EVAVL",#N/A,FALSE,"EVAVAL";"LEASE",#N/A,FALSE,"OpLease"}</definedName>
    <definedName name="__re2" localSheetId="34" hidden="1">{"NOPCAPEVA",#N/A,FALSE,"Nopat";"FCFCSTAR",#N/A,FALSE,"FCFVAL";"EVAVL",#N/A,FALSE,"EVAVAL";"LEASE",#N/A,FALSE,"OpLease"}</definedName>
    <definedName name="__re2" localSheetId="36" hidden="1">{"NOPCAPEVA",#N/A,FALSE,"Nopat";"FCFCSTAR",#N/A,FALSE,"FCFVAL";"EVAVL",#N/A,FALSE,"EVAVAL";"LEASE",#N/A,FALSE,"OpLease"}</definedName>
    <definedName name="__re2" localSheetId="38" hidden="1">{"NOPCAPEVA",#N/A,FALSE,"Nopat";"FCFCSTAR",#N/A,FALSE,"FCFVAL";"EVAVL",#N/A,FALSE,"EVAVAL";"LEASE",#N/A,FALSE,"OpLease"}</definedName>
    <definedName name="__re2" hidden="1">{"NOPCAPEVA",#N/A,FALSE,"Nopat";"FCFCSTAR",#N/A,FALSE,"FCFVAL";"EVAVL",#N/A,FALSE,"EVAVAL";"LEASE",#N/A,FALSE,"OpLease"}</definedName>
    <definedName name="__re3" localSheetId="3" hidden="1">{"NOPCAPEVA",#N/A,FALSE,"Nopat";"FCFCSTAR",#N/A,FALSE,"FCFVAL";"EVAVL",#N/A,FALSE,"EVAVAL";"LEASE",#N/A,FALSE,"OpLease"}</definedName>
    <definedName name="__re3" localSheetId="5" hidden="1">{"NOPCAPEVA",#N/A,FALSE,"Nopat";"FCFCSTAR",#N/A,FALSE,"FCFVAL";"EVAVL",#N/A,FALSE,"EVAVAL";"LEASE",#N/A,FALSE,"OpLease"}</definedName>
    <definedName name="__re3" localSheetId="8" hidden="1">{"NOPCAPEVA",#N/A,FALSE,"Nopat";"FCFCSTAR",#N/A,FALSE,"FCFVAL";"EVAVL",#N/A,FALSE,"EVAVAL";"LEASE",#N/A,FALSE,"OpLease"}</definedName>
    <definedName name="__re3" localSheetId="10" hidden="1">{"NOPCAPEVA",#N/A,FALSE,"Nopat";"FCFCSTAR",#N/A,FALSE,"FCFVAL";"EVAVL",#N/A,FALSE,"EVAVAL";"LEASE",#N/A,FALSE,"OpLease"}</definedName>
    <definedName name="__re3" localSheetId="12" hidden="1">{"NOPCAPEVA",#N/A,FALSE,"Nopat";"FCFCSTAR",#N/A,FALSE,"FCFVAL";"EVAVL",#N/A,FALSE,"EVAVAL";"LEASE",#N/A,FALSE,"OpLease"}</definedName>
    <definedName name="__re3" localSheetId="14" hidden="1">{"NOPCAPEVA",#N/A,FALSE,"Nopat";"FCFCSTAR",#N/A,FALSE,"FCFVAL";"EVAVL",#N/A,FALSE,"EVAVAL";"LEASE",#N/A,FALSE,"OpLease"}</definedName>
    <definedName name="__re3" localSheetId="16" hidden="1">{"NOPCAPEVA",#N/A,FALSE,"Nopat";"FCFCSTAR",#N/A,FALSE,"FCFVAL";"EVAVL",#N/A,FALSE,"EVAVAL";"LEASE",#N/A,FALSE,"OpLease"}</definedName>
    <definedName name="__re3" localSheetId="22" hidden="1">{"NOPCAPEVA",#N/A,FALSE,"Nopat";"FCFCSTAR",#N/A,FALSE,"FCFVAL";"EVAVL",#N/A,FALSE,"EVAVAL";"LEASE",#N/A,FALSE,"OpLease"}</definedName>
    <definedName name="__re3" localSheetId="24" hidden="1">{"NOPCAPEVA",#N/A,FALSE,"Nopat";"FCFCSTAR",#N/A,FALSE,"FCFVAL";"EVAVL",#N/A,FALSE,"EVAVAL";"LEASE",#N/A,FALSE,"OpLease"}</definedName>
    <definedName name="__re3" localSheetId="26" hidden="1">{"NOPCAPEVA",#N/A,FALSE,"Nopat";"FCFCSTAR",#N/A,FALSE,"FCFVAL";"EVAVL",#N/A,FALSE,"EVAVAL";"LEASE",#N/A,FALSE,"OpLease"}</definedName>
    <definedName name="__re3" localSheetId="28" hidden="1">{"NOPCAPEVA",#N/A,FALSE,"Nopat";"FCFCSTAR",#N/A,FALSE,"FCFVAL";"EVAVL",#N/A,FALSE,"EVAVAL";"LEASE",#N/A,FALSE,"OpLease"}</definedName>
    <definedName name="__re3" localSheetId="30" hidden="1">{"NOPCAPEVA",#N/A,FALSE,"Nopat";"FCFCSTAR",#N/A,FALSE,"FCFVAL";"EVAVL",#N/A,FALSE,"EVAVAL";"LEASE",#N/A,FALSE,"OpLease"}</definedName>
    <definedName name="__re3" localSheetId="32" hidden="1">{"NOPCAPEVA",#N/A,FALSE,"Nopat";"FCFCSTAR",#N/A,FALSE,"FCFVAL";"EVAVL",#N/A,FALSE,"EVAVAL";"LEASE",#N/A,FALSE,"OpLease"}</definedName>
    <definedName name="__re3" localSheetId="34" hidden="1">{"NOPCAPEVA",#N/A,FALSE,"Nopat";"FCFCSTAR",#N/A,FALSE,"FCFVAL";"EVAVL",#N/A,FALSE,"EVAVAL";"LEASE",#N/A,FALSE,"OpLease"}</definedName>
    <definedName name="__re3" localSheetId="36" hidden="1">{"NOPCAPEVA",#N/A,FALSE,"Nopat";"FCFCSTAR",#N/A,FALSE,"FCFVAL";"EVAVL",#N/A,FALSE,"EVAVAL";"LEASE",#N/A,FALSE,"OpLease"}</definedName>
    <definedName name="__re3" localSheetId="38" hidden="1">{"NOPCAPEVA",#N/A,FALSE,"Nopat";"FCFCSTAR",#N/A,FALSE,"FCFVAL";"EVAVL",#N/A,FALSE,"EVAVAL";"LEASE",#N/A,FALSE,"OpLease"}</definedName>
    <definedName name="__re3" hidden="1">{"NOPCAPEVA",#N/A,FALSE,"Nopat";"FCFCSTAR",#N/A,FALSE,"FCFVAL";"EVAVL",#N/A,FALSE,"EVAVAL";"LEASE",#N/A,FALSE,"OpLease"}</definedName>
    <definedName name="__re4" localSheetId="3" hidden="1">{"NOPCAPEVA",#N/A,FALSE,"Nopat";"FCFCSTAR",#N/A,FALSE,"FCFVAL";"EVAVL",#N/A,FALSE,"EVAVAL";"LEASE",#N/A,FALSE,"OpLease"}</definedName>
    <definedName name="__re4" localSheetId="5" hidden="1">{"NOPCAPEVA",#N/A,FALSE,"Nopat";"FCFCSTAR",#N/A,FALSE,"FCFVAL";"EVAVL",#N/A,FALSE,"EVAVAL";"LEASE",#N/A,FALSE,"OpLease"}</definedName>
    <definedName name="__re4" localSheetId="8" hidden="1">{"NOPCAPEVA",#N/A,FALSE,"Nopat";"FCFCSTAR",#N/A,FALSE,"FCFVAL";"EVAVL",#N/A,FALSE,"EVAVAL";"LEASE",#N/A,FALSE,"OpLease"}</definedName>
    <definedName name="__re4" localSheetId="10" hidden="1">{"NOPCAPEVA",#N/A,FALSE,"Nopat";"FCFCSTAR",#N/A,FALSE,"FCFVAL";"EVAVL",#N/A,FALSE,"EVAVAL";"LEASE",#N/A,FALSE,"OpLease"}</definedName>
    <definedName name="__re4" localSheetId="12" hidden="1">{"NOPCAPEVA",#N/A,FALSE,"Nopat";"FCFCSTAR",#N/A,FALSE,"FCFVAL";"EVAVL",#N/A,FALSE,"EVAVAL";"LEASE",#N/A,FALSE,"OpLease"}</definedName>
    <definedName name="__re4" localSheetId="14" hidden="1">{"NOPCAPEVA",#N/A,FALSE,"Nopat";"FCFCSTAR",#N/A,FALSE,"FCFVAL";"EVAVL",#N/A,FALSE,"EVAVAL";"LEASE",#N/A,FALSE,"OpLease"}</definedName>
    <definedName name="__re4" localSheetId="16" hidden="1">{"NOPCAPEVA",#N/A,FALSE,"Nopat";"FCFCSTAR",#N/A,FALSE,"FCFVAL";"EVAVL",#N/A,FALSE,"EVAVAL";"LEASE",#N/A,FALSE,"OpLease"}</definedName>
    <definedName name="__re4" localSheetId="22" hidden="1">{"NOPCAPEVA",#N/A,FALSE,"Nopat";"FCFCSTAR",#N/A,FALSE,"FCFVAL";"EVAVL",#N/A,FALSE,"EVAVAL";"LEASE",#N/A,FALSE,"OpLease"}</definedName>
    <definedName name="__re4" localSheetId="24" hidden="1">{"NOPCAPEVA",#N/A,FALSE,"Nopat";"FCFCSTAR",#N/A,FALSE,"FCFVAL";"EVAVL",#N/A,FALSE,"EVAVAL";"LEASE",#N/A,FALSE,"OpLease"}</definedName>
    <definedName name="__re4" localSheetId="26" hidden="1">{"NOPCAPEVA",#N/A,FALSE,"Nopat";"FCFCSTAR",#N/A,FALSE,"FCFVAL";"EVAVL",#N/A,FALSE,"EVAVAL";"LEASE",#N/A,FALSE,"OpLease"}</definedName>
    <definedName name="__re4" localSheetId="28" hidden="1">{"NOPCAPEVA",#N/A,FALSE,"Nopat";"FCFCSTAR",#N/A,FALSE,"FCFVAL";"EVAVL",#N/A,FALSE,"EVAVAL";"LEASE",#N/A,FALSE,"OpLease"}</definedName>
    <definedName name="__re4" localSheetId="30" hidden="1">{"NOPCAPEVA",#N/A,FALSE,"Nopat";"FCFCSTAR",#N/A,FALSE,"FCFVAL";"EVAVL",#N/A,FALSE,"EVAVAL";"LEASE",#N/A,FALSE,"OpLease"}</definedName>
    <definedName name="__re4" localSheetId="32" hidden="1">{"NOPCAPEVA",#N/A,FALSE,"Nopat";"FCFCSTAR",#N/A,FALSE,"FCFVAL";"EVAVL",#N/A,FALSE,"EVAVAL";"LEASE",#N/A,FALSE,"OpLease"}</definedName>
    <definedName name="__re4" localSheetId="34" hidden="1">{"NOPCAPEVA",#N/A,FALSE,"Nopat";"FCFCSTAR",#N/A,FALSE,"FCFVAL";"EVAVL",#N/A,FALSE,"EVAVAL";"LEASE",#N/A,FALSE,"OpLease"}</definedName>
    <definedName name="__re4" localSheetId="36" hidden="1">{"NOPCAPEVA",#N/A,FALSE,"Nopat";"FCFCSTAR",#N/A,FALSE,"FCFVAL";"EVAVL",#N/A,FALSE,"EVAVAL";"LEASE",#N/A,FALSE,"OpLease"}</definedName>
    <definedName name="__re4" localSheetId="38" hidden="1">{"NOPCAPEVA",#N/A,FALSE,"Nopat";"FCFCSTAR",#N/A,FALSE,"FCFVAL";"EVAVL",#N/A,FALSE,"EVAVAL";"LEASE",#N/A,FALSE,"OpLease"}</definedName>
    <definedName name="__re4" hidden="1">{"NOPCAPEVA",#N/A,FALSE,"Nopat";"FCFCSTAR",#N/A,FALSE,"FCFVAL";"EVAVL",#N/A,FALSE,"EVAVAL";"LEASE",#N/A,FALSE,"OpLease"}</definedName>
    <definedName name="__re5" localSheetId="3" hidden="1">{"NOPCAPEVA",#N/A,FALSE,"Nopat";"FCFCSTAR",#N/A,FALSE,"FCFVAL";"EVAVL",#N/A,FALSE,"EVAVAL";"LEASE",#N/A,FALSE,"OpLease"}</definedName>
    <definedName name="__re5" localSheetId="5" hidden="1">{"NOPCAPEVA",#N/A,FALSE,"Nopat";"FCFCSTAR",#N/A,FALSE,"FCFVAL";"EVAVL",#N/A,FALSE,"EVAVAL";"LEASE",#N/A,FALSE,"OpLease"}</definedName>
    <definedName name="__re5" localSheetId="8" hidden="1">{"NOPCAPEVA",#N/A,FALSE,"Nopat";"FCFCSTAR",#N/A,FALSE,"FCFVAL";"EVAVL",#N/A,FALSE,"EVAVAL";"LEASE",#N/A,FALSE,"OpLease"}</definedName>
    <definedName name="__re5" localSheetId="10" hidden="1">{"NOPCAPEVA",#N/A,FALSE,"Nopat";"FCFCSTAR",#N/A,FALSE,"FCFVAL";"EVAVL",#N/A,FALSE,"EVAVAL";"LEASE",#N/A,FALSE,"OpLease"}</definedName>
    <definedName name="__re5" localSheetId="12" hidden="1">{"NOPCAPEVA",#N/A,FALSE,"Nopat";"FCFCSTAR",#N/A,FALSE,"FCFVAL";"EVAVL",#N/A,FALSE,"EVAVAL";"LEASE",#N/A,FALSE,"OpLease"}</definedName>
    <definedName name="__re5" localSheetId="14" hidden="1">{"NOPCAPEVA",#N/A,FALSE,"Nopat";"FCFCSTAR",#N/A,FALSE,"FCFVAL";"EVAVL",#N/A,FALSE,"EVAVAL";"LEASE",#N/A,FALSE,"OpLease"}</definedName>
    <definedName name="__re5" localSheetId="16" hidden="1">{"NOPCAPEVA",#N/A,FALSE,"Nopat";"FCFCSTAR",#N/A,FALSE,"FCFVAL";"EVAVL",#N/A,FALSE,"EVAVAL";"LEASE",#N/A,FALSE,"OpLease"}</definedName>
    <definedName name="__re5" localSheetId="22" hidden="1">{"NOPCAPEVA",#N/A,FALSE,"Nopat";"FCFCSTAR",#N/A,FALSE,"FCFVAL";"EVAVL",#N/A,FALSE,"EVAVAL";"LEASE",#N/A,FALSE,"OpLease"}</definedName>
    <definedName name="__re5" localSheetId="24" hidden="1">{"NOPCAPEVA",#N/A,FALSE,"Nopat";"FCFCSTAR",#N/A,FALSE,"FCFVAL";"EVAVL",#N/A,FALSE,"EVAVAL";"LEASE",#N/A,FALSE,"OpLease"}</definedName>
    <definedName name="__re5" localSheetId="26" hidden="1">{"NOPCAPEVA",#N/A,FALSE,"Nopat";"FCFCSTAR",#N/A,FALSE,"FCFVAL";"EVAVL",#N/A,FALSE,"EVAVAL";"LEASE",#N/A,FALSE,"OpLease"}</definedName>
    <definedName name="__re5" localSheetId="28" hidden="1">{"NOPCAPEVA",#N/A,FALSE,"Nopat";"FCFCSTAR",#N/A,FALSE,"FCFVAL";"EVAVL",#N/A,FALSE,"EVAVAL";"LEASE",#N/A,FALSE,"OpLease"}</definedName>
    <definedName name="__re5" localSheetId="30" hidden="1">{"NOPCAPEVA",#N/A,FALSE,"Nopat";"FCFCSTAR",#N/A,FALSE,"FCFVAL";"EVAVL",#N/A,FALSE,"EVAVAL";"LEASE",#N/A,FALSE,"OpLease"}</definedName>
    <definedName name="__re5" localSheetId="32" hidden="1">{"NOPCAPEVA",#N/A,FALSE,"Nopat";"FCFCSTAR",#N/A,FALSE,"FCFVAL";"EVAVL",#N/A,FALSE,"EVAVAL";"LEASE",#N/A,FALSE,"OpLease"}</definedName>
    <definedName name="__re5" localSheetId="34" hidden="1">{"NOPCAPEVA",#N/A,FALSE,"Nopat";"FCFCSTAR",#N/A,FALSE,"FCFVAL";"EVAVL",#N/A,FALSE,"EVAVAL";"LEASE",#N/A,FALSE,"OpLease"}</definedName>
    <definedName name="__re5" localSheetId="36" hidden="1">{"NOPCAPEVA",#N/A,FALSE,"Nopat";"FCFCSTAR",#N/A,FALSE,"FCFVAL";"EVAVL",#N/A,FALSE,"EVAVAL";"LEASE",#N/A,FALSE,"OpLease"}</definedName>
    <definedName name="__re5" localSheetId="38" hidden="1">{"NOPCAPEVA",#N/A,FALSE,"Nopat";"FCFCSTAR",#N/A,FALSE,"FCFVAL";"EVAVL",#N/A,FALSE,"EVAVAL";"LEASE",#N/A,FALSE,"OpLease"}</definedName>
    <definedName name="__re5" hidden="1">{"NOPCAPEVA",#N/A,FALSE,"Nopat";"FCFCSTAR",#N/A,FALSE,"FCFVAL";"EVAVL",#N/A,FALSE,"EVAVAL";"LEASE",#N/A,FALSE,"OpLease"}</definedName>
    <definedName name="__re6" localSheetId="3" hidden="1">{"NOPCAPEVA",#N/A,FALSE,"Nopat";"FCFCSTAR",#N/A,FALSE,"FCFVAL";"EVAVL",#N/A,FALSE,"EVAVAL";"LEASE",#N/A,FALSE,"OpLease"}</definedName>
    <definedName name="__re6" localSheetId="5" hidden="1">{"NOPCAPEVA",#N/A,FALSE,"Nopat";"FCFCSTAR",#N/A,FALSE,"FCFVAL";"EVAVL",#N/A,FALSE,"EVAVAL";"LEASE",#N/A,FALSE,"OpLease"}</definedName>
    <definedName name="__re6" localSheetId="8" hidden="1">{"NOPCAPEVA",#N/A,FALSE,"Nopat";"FCFCSTAR",#N/A,FALSE,"FCFVAL";"EVAVL",#N/A,FALSE,"EVAVAL";"LEASE",#N/A,FALSE,"OpLease"}</definedName>
    <definedName name="__re6" localSheetId="10" hidden="1">{"NOPCAPEVA",#N/A,FALSE,"Nopat";"FCFCSTAR",#N/A,FALSE,"FCFVAL";"EVAVL",#N/A,FALSE,"EVAVAL";"LEASE",#N/A,FALSE,"OpLease"}</definedName>
    <definedName name="__re6" localSheetId="12" hidden="1">{"NOPCAPEVA",#N/A,FALSE,"Nopat";"FCFCSTAR",#N/A,FALSE,"FCFVAL";"EVAVL",#N/A,FALSE,"EVAVAL";"LEASE",#N/A,FALSE,"OpLease"}</definedName>
    <definedName name="__re6" localSheetId="14" hidden="1">{"NOPCAPEVA",#N/A,FALSE,"Nopat";"FCFCSTAR",#N/A,FALSE,"FCFVAL";"EVAVL",#N/A,FALSE,"EVAVAL";"LEASE",#N/A,FALSE,"OpLease"}</definedName>
    <definedName name="__re6" localSheetId="16" hidden="1">{"NOPCAPEVA",#N/A,FALSE,"Nopat";"FCFCSTAR",#N/A,FALSE,"FCFVAL";"EVAVL",#N/A,FALSE,"EVAVAL";"LEASE",#N/A,FALSE,"OpLease"}</definedName>
    <definedName name="__re6" localSheetId="22" hidden="1">{"NOPCAPEVA",#N/A,FALSE,"Nopat";"FCFCSTAR",#N/A,FALSE,"FCFVAL";"EVAVL",#N/A,FALSE,"EVAVAL";"LEASE",#N/A,FALSE,"OpLease"}</definedName>
    <definedName name="__re6" localSheetId="24" hidden="1">{"NOPCAPEVA",#N/A,FALSE,"Nopat";"FCFCSTAR",#N/A,FALSE,"FCFVAL";"EVAVL",#N/A,FALSE,"EVAVAL";"LEASE",#N/A,FALSE,"OpLease"}</definedName>
    <definedName name="__re6" localSheetId="26" hidden="1">{"NOPCAPEVA",#N/A,FALSE,"Nopat";"FCFCSTAR",#N/A,FALSE,"FCFVAL";"EVAVL",#N/A,FALSE,"EVAVAL";"LEASE",#N/A,FALSE,"OpLease"}</definedName>
    <definedName name="__re6" localSheetId="28" hidden="1">{"NOPCAPEVA",#N/A,FALSE,"Nopat";"FCFCSTAR",#N/A,FALSE,"FCFVAL";"EVAVL",#N/A,FALSE,"EVAVAL";"LEASE",#N/A,FALSE,"OpLease"}</definedName>
    <definedName name="__re6" localSheetId="30" hidden="1">{"NOPCAPEVA",#N/A,FALSE,"Nopat";"FCFCSTAR",#N/A,FALSE,"FCFVAL";"EVAVL",#N/A,FALSE,"EVAVAL";"LEASE",#N/A,FALSE,"OpLease"}</definedName>
    <definedName name="__re6" localSheetId="32" hidden="1">{"NOPCAPEVA",#N/A,FALSE,"Nopat";"FCFCSTAR",#N/A,FALSE,"FCFVAL";"EVAVL",#N/A,FALSE,"EVAVAL";"LEASE",#N/A,FALSE,"OpLease"}</definedName>
    <definedName name="__re6" localSheetId="34" hidden="1">{"NOPCAPEVA",#N/A,FALSE,"Nopat";"FCFCSTAR",#N/A,FALSE,"FCFVAL";"EVAVL",#N/A,FALSE,"EVAVAL";"LEASE",#N/A,FALSE,"OpLease"}</definedName>
    <definedName name="__re6" localSheetId="36" hidden="1">{"NOPCAPEVA",#N/A,FALSE,"Nopat";"FCFCSTAR",#N/A,FALSE,"FCFVAL";"EVAVL",#N/A,FALSE,"EVAVAL";"LEASE",#N/A,FALSE,"OpLease"}</definedName>
    <definedName name="__re6" localSheetId="38" hidden="1">{"NOPCAPEVA",#N/A,FALSE,"Nopat";"FCFCSTAR",#N/A,FALSE,"FCFVAL";"EVAVL",#N/A,FALSE,"EVAVAL";"LEASE",#N/A,FALSE,"OpLease"}</definedName>
    <definedName name="__re6" hidden="1">{"NOPCAPEVA",#N/A,FALSE,"Nopat";"FCFCSTAR",#N/A,FALSE,"FCFVAL";"EVAVL",#N/A,FALSE,"EVAVAL";"LEASE",#N/A,FALSE,"OpLease"}</definedName>
    <definedName name="__re7" localSheetId="3" hidden="1">{"NOPCAPEVA",#N/A,FALSE,"Nopat";"FCFCSTAR",#N/A,FALSE,"FCFVAL";"EVAVL",#N/A,FALSE,"EVAVAL";"LEASE",#N/A,FALSE,"OpLease"}</definedName>
    <definedName name="__re7" localSheetId="5" hidden="1">{"NOPCAPEVA",#N/A,FALSE,"Nopat";"FCFCSTAR",#N/A,FALSE,"FCFVAL";"EVAVL",#N/A,FALSE,"EVAVAL";"LEASE",#N/A,FALSE,"OpLease"}</definedName>
    <definedName name="__re7" localSheetId="8" hidden="1">{"NOPCAPEVA",#N/A,FALSE,"Nopat";"FCFCSTAR",#N/A,FALSE,"FCFVAL";"EVAVL",#N/A,FALSE,"EVAVAL";"LEASE",#N/A,FALSE,"OpLease"}</definedName>
    <definedName name="__re7" localSheetId="10" hidden="1">{"NOPCAPEVA",#N/A,FALSE,"Nopat";"FCFCSTAR",#N/A,FALSE,"FCFVAL";"EVAVL",#N/A,FALSE,"EVAVAL";"LEASE",#N/A,FALSE,"OpLease"}</definedName>
    <definedName name="__re7" localSheetId="12" hidden="1">{"NOPCAPEVA",#N/A,FALSE,"Nopat";"FCFCSTAR",#N/A,FALSE,"FCFVAL";"EVAVL",#N/A,FALSE,"EVAVAL";"LEASE",#N/A,FALSE,"OpLease"}</definedName>
    <definedName name="__re7" localSheetId="14" hidden="1">{"NOPCAPEVA",#N/A,FALSE,"Nopat";"FCFCSTAR",#N/A,FALSE,"FCFVAL";"EVAVL",#N/A,FALSE,"EVAVAL";"LEASE",#N/A,FALSE,"OpLease"}</definedName>
    <definedName name="__re7" localSheetId="16" hidden="1">{"NOPCAPEVA",#N/A,FALSE,"Nopat";"FCFCSTAR",#N/A,FALSE,"FCFVAL";"EVAVL",#N/A,FALSE,"EVAVAL";"LEASE",#N/A,FALSE,"OpLease"}</definedName>
    <definedName name="__re7" localSheetId="22" hidden="1">{"NOPCAPEVA",#N/A,FALSE,"Nopat";"FCFCSTAR",#N/A,FALSE,"FCFVAL";"EVAVL",#N/A,FALSE,"EVAVAL";"LEASE",#N/A,FALSE,"OpLease"}</definedName>
    <definedName name="__re7" localSheetId="24" hidden="1">{"NOPCAPEVA",#N/A,FALSE,"Nopat";"FCFCSTAR",#N/A,FALSE,"FCFVAL";"EVAVL",#N/A,FALSE,"EVAVAL";"LEASE",#N/A,FALSE,"OpLease"}</definedName>
    <definedName name="__re7" localSheetId="26" hidden="1">{"NOPCAPEVA",#N/A,FALSE,"Nopat";"FCFCSTAR",#N/A,FALSE,"FCFVAL";"EVAVL",#N/A,FALSE,"EVAVAL";"LEASE",#N/A,FALSE,"OpLease"}</definedName>
    <definedName name="__re7" localSheetId="28" hidden="1">{"NOPCAPEVA",#N/A,FALSE,"Nopat";"FCFCSTAR",#N/A,FALSE,"FCFVAL";"EVAVL",#N/A,FALSE,"EVAVAL";"LEASE",#N/A,FALSE,"OpLease"}</definedName>
    <definedName name="__re7" localSheetId="30" hidden="1">{"NOPCAPEVA",#N/A,FALSE,"Nopat";"FCFCSTAR",#N/A,FALSE,"FCFVAL";"EVAVL",#N/A,FALSE,"EVAVAL";"LEASE",#N/A,FALSE,"OpLease"}</definedName>
    <definedName name="__re7" localSheetId="32" hidden="1">{"NOPCAPEVA",#N/A,FALSE,"Nopat";"FCFCSTAR",#N/A,FALSE,"FCFVAL";"EVAVL",#N/A,FALSE,"EVAVAL";"LEASE",#N/A,FALSE,"OpLease"}</definedName>
    <definedName name="__re7" localSheetId="34" hidden="1">{"NOPCAPEVA",#N/A,FALSE,"Nopat";"FCFCSTAR",#N/A,FALSE,"FCFVAL";"EVAVL",#N/A,FALSE,"EVAVAL";"LEASE",#N/A,FALSE,"OpLease"}</definedName>
    <definedName name="__re7" localSheetId="36" hidden="1">{"NOPCAPEVA",#N/A,FALSE,"Nopat";"FCFCSTAR",#N/A,FALSE,"FCFVAL";"EVAVL",#N/A,FALSE,"EVAVAL";"LEASE",#N/A,FALSE,"OpLease"}</definedName>
    <definedName name="__re7" localSheetId="38" hidden="1">{"NOPCAPEVA",#N/A,FALSE,"Nopat";"FCFCSTAR",#N/A,FALSE,"FCFVAL";"EVAVL",#N/A,FALSE,"EVAVAL";"LEASE",#N/A,FALSE,"OpLease"}</definedName>
    <definedName name="__re7" hidden="1">{"NOPCAPEVA",#N/A,FALSE,"Nopat";"FCFCSTAR",#N/A,FALSE,"FCFVAL";"EVAVL",#N/A,FALSE,"EVAVAL";"LEASE",#N/A,FALSE,"OpLease"}</definedName>
    <definedName name="__re8" localSheetId="3" hidden="1">{"NOPCAPEVA",#N/A,FALSE,"Nopat";"FCFCSTAR",#N/A,FALSE,"FCFVAL";"EVAVL",#N/A,FALSE,"EVAVAL";"LEASE",#N/A,FALSE,"OpLease"}</definedName>
    <definedName name="__re8" localSheetId="5" hidden="1">{"NOPCAPEVA",#N/A,FALSE,"Nopat";"FCFCSTAR",#N/A,FALSE,"FCFVAL";"EVAVL",#N/A,FALSE,"EVAVAL";"LEASE",#N/A,FALSE,"OpLease"}</definedName>
    <definedName name="__re8" localSheetId="8" hidden="1">{"NOPCAPEVA",#N/A,FALSE,"Nopat";"FCFCSTAR",#N/A,FALSE,"FCFVAL";"EVAVL",#N/A,FALSE,"EVAVAL";"LEASE",#N/A,FALSE,"OpLease"}</definedName>
    <definedName name="__re8" localSheetId="10" hidden="1">{"NOPCAPEVA",#N/A,FALSE,"Nopat";"FCFCSTAR",#N/A,FALSE,"FCFVAL";"EVAVL",#N/A,FALSE,"EVAVAL";"LEASE",#N/A,FALSE,"OpLease"}</definedName>
    <definedName name="__re8" localSheetId="12" hidden="1">{"NOPCAPEVA",#N/A,FALSE,"Nopat";"FCFCSTAR",#N/A,FALSE,"FCFVAL";"EVAVL",#N/A,FALSE,"EVAVAL";"LEASE",#N/A,FALSE,"OpLease"}</definedName>
    <definedName name="__re8" localSheetId="14" hidden="1">{"NOPCAPEVA",#N/A,FALSE,"Nopat";"FCFCSTAR",#N/A,FALSE,"FCFVAL";"EVAVL",#N/A,FALSE,"EVAVAL";"LEASE",#N/A,FALSE,"OpLease"}</definedName>
    <definedName name="__re8" localSheetId="16" hidden="1">{"NOPCAPEVA",#N/A,FALSE,"Nopat";"FCFCSTAR",#N/A,FALSE,"FCFVAL";"EVAVL",#N/A,FALSE,"EVAVAL";"LEASE",#N/A,FALSE,"OpLease"}</definedName>
    <definedName name="__re8" localSheetId="22" hidden="1">{"NOPCAPEVA",#N/A,FALSE,"Nopat";"FCFCSTAR",#N/A,FALSE,"FCFVAL";"EVAVL",#N/A,FALSE,"EVAVAL";"LEASE",#N/A,FALSE,"OpLease"}</definedName>
    <definedName name="__re8" localSheetId="24" hidden="1">{"NOPCAPEVA",#N/A,FALSE,"Nopat";"FCFCSTAR",#N/A,FALSE,"FCFVAL";"EVAVL",#N/A,FALSE,"EVAVAL";"LEASE",#N/A,FALSE,"OpLease"}</definedName>
    <definedName name="__re8" localSheetId="26" hidden="1">{"NOPCAPEVA",#N/A,FALSE,"Nopat";"FCFCSTAR",#N/A,FALSE,"FCFVAL";"EVAVL",#N/A,FALSE,"EVAVAL";"LEASE",#N/A,FALSE,"OpLease"}</definedName>
    <definedName name="__re8" localSheetId="28" hidden="1">{"NOPCAPEVA",#N/A,FALSE,"Nopat";"FCFCSTAR",#N/A,FALSE,"FCFVAL";"EVAVL",#N/A,FALSE,"EVAVAL";"LEASE",#N/A,FALSE,"OpLease"}</definedName>
    <definedName name="__re8" localSheetId="30" hidden="1">{"NOPCAPEVA",#N/A,FALSE,"Nopat";"FCFCSTAR",#N/A,FALSE,"FCFVAL";"EVAVL",#N/A,FALSE,"EVAVAL";"LEASE",#N/A,FALSE,"OpLease"}</definedName>
    <definedName name="__re8" localSheetId="32" hidden="1">{"NOPCAPEVA",#N/A,FALSE,"Nopat";"FCFCSTAR",#N/A,FALSE,"FCFVAL";"EVAVL",#N/A,FALSE,"EVAVAL";"LEASE",#N/A,FALSE,"OpLease"}</definedName>
    <definedName name="__re8" localSheetId="34" hidden="1">{"NOPCAPEVA",#N/A,FALSE,"Nopat";"FCFCSTAR",#N/A,FALSE,"FCFVAL";"EVAVL",#N/A,FALSE,"EVAVAL";"LEASE",#N/A,FALSE,"OpLease"}</definedName>
    <definedName name="__re8" localSheetId="36" hidden="1">{"NOPCAPEVA",#N/A,FALSE,"Nopat";"FCFCSTAR",#N/A,FALSE,"FCFVAL";"EVAVL",#N/A,FALSE,"EVAVAL";"LEASE",#N/A,FALSE,"OpLease"}</definedName>
    <definedName name="__re8" localSheetId="38" hidden="1">{"NOPCAPEVA",#N/A,FALSE,"Nopat";"FCFCSTAR",#N/A,FALSE,"FCFVAL";"EVAVL",#N/A,FALSE,"EVAVAL";"LEASE",#N/A,FALSE,"OpLease"}</definedName>
    <definedName name="__re8" hidden="1">{"NOPCAPEVA",#N/A,FALSE,"Nopat";"FCFCSTAR",#N/A,FALSE,"FCFVAL";"EVAVL",#N/A,FALSE,"EVAVAL";"LEASE",#N/A,FALSE,"OpLease"}</definedName>
    <definedName name="_001">#REF!</definedName>
    <definedName name="_1___123Graph_ACHART_1" hidden="1">#REF!</definedName>
    <definedName name="_1__123Graph_ACHART_1" hidden="1">#REF!</definedName>
    <definedName name="_121">#REF!</definedName>
    <definedName name="_123" hidden="1">#REF!</definedName>
    <definedName name="_123GraphA" hidden="1">#REF!</definedName>
    <definedName name="_123GraphB" hidden="1">#REF!</definedName>
    <definedName name="_1996">#REF!</definedName>
    <definedName name="_1996_1">#REF!</definedName>
    <definedName name="_1996_2">#REF!</definedName>
    <definedName name="_1997">#REF!</definedName>
    <definedName name="_1998">#REF!</definedName>
    <definedName name="_2_?" localSheetId="3" hidden="1">{#N/A,#N/A,FALSE,"MAIN";#N/A,#N/A,FALSE,"MK_ASS_B";#N/A,#N/A,FALSE,"MK_ASS_R";#N/A,#N/A,FALSE,"TR_ASS_B";#N/A,#N/A,FALSE,"TR_ASS_R";#N/A,#N/A,FALSE,"ROAMING";#N/A,#N/A,FALSE,"PR_ASS_B";#N/A,#N/A,FALSE,"PR_ASS_R";#N/A,#N/A,FALSE,"PR_ASS_S"}</definedName>
    <definedName name="_2_?" localSheetId="5" hidden="1">{#N/A,#N/A,FALSE,"MAIN";#N/A,#N/A,FALSE,"MK_ASS_B";#N/A,#N/A,FALSE,"MK_ASS_R";#N/A,#N/A,FALSE,"TR_ASS_B";#N/A,#N/A,FALSE,"TR_ASS_R";#N/A,#N/A,FALSE,"ROAMING";#N/A,#N/A,FALSE,"PR_ASS_B";#N/A,#N/A,FALSE,"PR_ASS_R";#N/A,#N/A,FALSE,"PR_ASS_S"}</definedName>
    <definedName name="_2_?" localSheetId="8" hidden="1">{#N/A,#N/A,FALSE,"MAIN";#N/A,#N/A,FALSE,"MK_ASS_B";#N/A,#N/A,FALSE,"MK_ASS_R";#N/A,#N/A,FALSE,"TR_ASS_B";#N/A,#N/A,FALSE,"TR_ASS_R";#N/A,#N/A,FALSE,"ROAMING";#N/A,#N/A,FALSE,"PR_ASS_B";#N/A,#N/A,FALSE,"PR_ASS_R";#N/A,#N/A,FALSE,"PR_ASS_S"}</definedName>
    <definedName name="_2_?" localSheetId="10" hidden="1">{#N/A,#N/A,FALSE,"MAIN";#N/A,#N/A,FALSE,"MK_ASS_B";#N/A,#N/A,FALSE,"MK_ASS_R";#N/A,#N/A,FALSE,"TR_ASS_B";#N/A,#N/A,FALSE,"TR_ASS_R";#N/A,#N/A,FALSE,"ROAMING";#N/A,#N/A,FALSE,"PR_ASS_B";#N/A,#N/A,FALSE,"PR_ASS_R";#N/A,#N/A,FALSE,"PR_ASS_S"}</definedName>
    <definedName name="_2_?" localSheetId="12" hidden="1">{#N/A,#N/A,FALSE,"MAIN";#N/A,#N/A,FALSE,"MK_ASS_B";#N/A,#N/A,FALSE,"MK_ASS_R";#N/A,#N/A,FALSE,"TR_ASS_B";#N/A,#N/A,FALSE,"TR_ASS_R";#N/A,#N/A,FALSE,"ROAMING";#N/A,#N/A,FALSE,"PR_ASS_B";#N/A,#N/A,FALSE,"PR_ASS_R";#N/A,#N/A,FALSE,"PR_ASS_S"}</definedName>
    <definedName name="_2_?" localSheetId="14" hidden="1">{#N/A,#N/A,FALSE,"MAIN";#N/A,#N/A,FALSE,"MK_ASS_B";#N/A,#N/A,FALSE,"MK_ASS_R";#N/A,#N/A,FALSE,"TR_ASS_B";#N/A,#N/A,FALSE,"TR_ASS_R";#N/A,#N/A,FALSE,"ROAMING";#N/A,#N/A,FALSE,"PR_ASS_B";#N/A,#N/A,FALSE,"PR_ASS_R";#N/A,#N/A,FALSE,"PR_ASS_S"}</definedName>
    <definedName name="_2_?" localSheetId="16" hidden="1">{#N/A,#N/A,FALSE,"MAIN";#N/A,#N/A,FALSE,"MK_ASS_B";#N/A,#N/A,FALSE,"MK_ASS_R";#N/A,#N/A,FALSE,"TR_ASS_B";#N/A,#N/A,FALSE,"TR_ASS_R";#N/A,#N/A,FALSE,"ROAMING";#N/A,#N/A,FALSE,"PR_ASS_B";#N/A,#N/A,FALSE,"PR_ASS_R";#N/A,#N/A,FALSE,"PR_ASS_S"}</definedName>
    <definedName name="_2_?" localSheetId="22" hidden="1">{#N/A,#N/A,FALSE,"MAIN";#N/A,#N/A,FALSE,"MK_ASS_B";#N/A,#N/A,FALSE,"MK_ASS_R";#N/A,#N/A,FALSE,"TR_ASS_B";#N/A,#N/A,FALSE,"TR_ASS_R";#N/A,#N/A,FALSE,"ROAMING";#N/A,#N/A,FALSE,"PR_ASS_B";#N/A,#N/A,FALSE,"PR_ASS_R";#N/A,#N/A,FALSE,"PR_ASS_S"}</definedName>
    <definedName name="_2_?" localSheetId="24" hidden="1">{#N/A,#N/A,FALSE,"MAIN";#N/A,#N/A,FALSE,"MK_ASS_B";#N/A,#N/A,FALSE,"MK_ASS_R";#N/A,#N/A,FALSE,"TR_ASS_B";#N/A,#N/A,FALSE,"TR_ASS_R";#N/A,#N/A,FALSE,"ROAMING";#N/A,#N/A,FALSE,"PR_ASS_B";#N/A,#N/A,FALSE,"PR_ASS_R";#N/A,#N/A,FALSE,"PR_ASS_S"}</definedName>
    <definedName name="_2_?" localSheetId="26" hidden="1">{#N/A,#N/A,FALSE,"MAIN";#N/A,#N/A,FALSE,"MK_ASS_B";#N/A,#N/A,FALSE,"MK_ASS_R";#N/A,#N/A,FALSE,"TR_ASS_B";#N/A,#N/A,FALSE,"TR_ASS_R";#N/A,#N/A,FALSE,"ROAMING";#N/A,#N/A,FALSE,"PR_ASS_B";#N/A,#N/A,FALSE,"PR_ASS_R";#N/A,#N/A,FALSE,"PR_ASS_S"}</definedName>
    <definedName name="_2_?" localSheetId="28" hidden="1">{#N/A,#N/A,FALSE,"MAIN";#N/A,#N/A,FALSE,"MK_ASS_B";#N/A,#N/A,FALSE,"MK_ASS_R";#N/A,#N/A,FALSE,"TR_ASS_B";#N/A,#N/A,FALSE,"TR_ASS_R";#N/A,#N/A,FALSE,"ROAMING";#N/A,#N/A,FALSE,"PR_ASS_B";#N/A,#N/A,FALSE,"PR_ASS_R";#N/A,#N/A,FALSE,"PR_ASS_S"}</definedName>
    <definedName name="_2_?" localSheetId="30" hidden="1">{#N/A,#N/A,FALSE,"MAIN";#N/A,#N/A,FALSE,"MK_ASS_B";#N/A,#N/A,FALSE,"MK_ASS_R";#N/A,#N/A,FALSE,"TR_ASS_B";#N/A,#N/A,FALSE,"TR_ASS_R";#N/A,#N/A,FALSE,"ROAMING";#N/A,#N/A,FALSE,"PR_ASS_B";#N/A,#N/A,FALSE,"PR_ASS_R";#N/A,#N/A,FALSE,"PR_ASS_S"}</definedName>
    <definedName name="_2_?" localSheetId="32" hidden="1">{#N/A,#N/A,FALSE,"MAIN";#N/A,#N/A,FALSE,"MK_ASS_B";#N/A,#N/A,FALSE,"MK_ASS_R";#N/A,#N/A,FALSE,"TR_ASS_B";#N/A,#N/A,FALSE,"TR_ASS_R";#N/A,#N/A,FALSE,"ROAMING";#N/A,#N/A,FALSE,"PR_ASS_B";#N/A,#N/A,FALSE,"PR_ASS_R";#N/A,#N/A,FALSE,"PR_ASS_S"}</definedName>
    <definedName name="_2_?" localSheetId="34" hidden="1">{#N/A,#N/A,FALSE,"MAIN";#N/A,#N/A,FALSE,"MK_ASS_B";#N/A,#N/A,FALSE,"MK_ASS_R";#N/A,#N/A,FALSE,"TR_ASS_B";#N/A,#N/A,FALSE,"TR_ASS_R";#N/A,#N/A,FALSE,"ROAMING";#N/A,#N/A,FALSE,"PR_ASS_B";#N/A,#N/A,FALSE,"PR_ASS_R";#N/A,#N/A,FALSE,"PR_ASS_S"}</definedName>
    <definedName name="_2_?" localSheetId="36" hidden="1">{#N/A,#N/A,FALSE,"MAIN";#N/A,#N/A,FALSE,"MK_ASS_B";#N/A,#N/A,FALSE,"MK_ASS_R";#N/A,#N/A,FALSE,"TR_ASS_B";#N/A,#N/A,FALSE,"TR_ASS_R";#N/A,#N/A,FALSE,"ROAMING";#N/A,#N/A,FALSE,"PR_ASS_B";#N/A,#N/A,FALSE,"PR_ASS_R";#N/A,#N/A,FALSE,"PR_ASS_S"}</definedName>
    <definedName name="_2_?" localSheetId="38" hidden="1">{#N/A,#N/A,FALSE,"MAIN";#N/A,#N/A,FALSE,"MK_ASS_B";#N/A,#N/A,FALSE,"MK_ASS_R";#N/A,#N/A,FALSE,"TR_ASS_B";#N/A,#N/A,FALSE,"TR_ASS_R";#N/A,#N/A,FALSE,"ROAMING";#N/A,#N/A,FALSE,"PR_ASS_B";#N/A,#N/A,FALSE,"PR_ASS_R";#N/A,#N/A,FALSE,"PR_ASS_S"}</definedName>
    <definedName name="_2_?" hidden="1">{#N/A,#N/A,FALSE,"MAIN";#N/A,#N/A,FALSE,"MK_ASS_B";#N/A,#N/A,FALSE,"MK_ASS_R";#N/A,#N/A,FALSE,"TR_ASS_B";#N/A,#N/A,FALSE,"TR_ASS_R";#N/A,#N/A,FALSE,"ROAMING";#N/A,#N/A,FALSE,"PR_ASS_B";#N/A,#N/A,FALSE,"PR_ASS_R";#N/A,#N/A,FALSE,"PR_ASS_S"}</definedName>
    <definedName name="_2___123Graph_ACHART_2" hidden="1">#REF!</definedName>
    <definedName name="_2___123Graph_XCHART_1" hidden="1">#REF!</definedName>
    <definedName name="_2__123Graph_XCHART_1" hidden="1">#REF!</definedName>
    <definedName name="_2000">#REF!</definedName>
    <definedName name="_2113">#REF!</definedName>
    <definedName name="_2252">#REF!</definedName>
    <definedName name="_2320">#REF!</definedName>
    <definedName name="_2330">#REF!</definedName>
    <definedName name="_2331">#REF!</definedName>
    <definedName name="_2431">#REF!</definedName>
    <definedName name="_3000">#REF!</definedName>
    <definedName name="_31.09.01">#REF!</definedName>
    <definedName name="_3201">#REF!</definedName>
    <definedName name="_3302">#REF!</definedName>
    <definedName name="_4_?????" localSheetId="3" hidden="1">{#N/A,#N/A,FALSE,"MAIN";#N/A,#N/A,FALSE,"MK_ASS_B";#N/A,#N/A,FALSE,"MK_ASS_R";#N/A,#N/A,FALSE,"TR_ASS_B";#N/A,#N/A,FALSE,"TR_ASS_R";#N/A,#N/A,FALSE,"ROAMING";#N/A,#N/A,FALSE,"PR_ASS_B";#N/A,#N/A,FALSE,"PR_ASS_R";#N/A,#N/A,FALSE,"PR_ASS_S"}</definedName>
    <definedName name="_4_?????" localSheetId="5" hidden="1">{#N/A,#N/A,FALSE,"MAIN";#N/A,#N/A,FALSE,"MK_ASS_B";#N/A,#N/A,FALSE,"MK_ASS_R";#N/A,#N/A,FALSE,"TR_ASS_B";#N/A,#N/A,FALSE,"TR_ASS_R";#N/A,#N/A,FALSE,"ROAMING";#N/A,#N/A,FALSE,"PR_ASS_B";#N/A,#N/A,FALSE,"PR_ASS_R";#N/A,#N/A,FALSE,"PR_ASS_S"}</definedName>
    <definedName name="_4_?????" localSheetId="8" hidden="1">{#N/A,#N/A,FALSE,"MAIN";#N/A,#N/A,FALSE,"MK_ASS_B";#N/A,#N/A,FALSE,"MK_ASS_R";#N/A,#N/A,FALSE,"TR_ASS_B";#N/A,#N/A,FALSE,"TR_ASS_R";#N/A,#N/A,FALSE,"ROAMING";#N/A,#N/A,FALSE,"PR_ASS_B";#N/A,#N/A,FALSE,"PR_ASS_R";#N/A,#N/A,FALSE,"PR_ASS_S"}</definedName>
    <definedName name="_4_?????" localSheetId="10" hidden="1">{#N/A,#N/A,FALSE,"MAIN";#N/A,#N/A,FALSE,"MK_ASS_B";#N/A,#N/A,FALSE,"MK_ASS_R";#N/A,#N/A,FALSE,"TR_ASS_B";#N/A,#N/A,FALSE,"TR_ASS_R";#N/A,#N/A,FALSE,"ROAMING";#N/A,#N/A,FALSE,"PR_ASS_B";#N/A,#N/A,FALSE,"PR_ASS_R";#N/A,#N/A,FALSE,"PR_ASS_S"}</definedName>
    <definedName name="_4_?????" localSheetId="12" hidden="1">{#N/A,#N/A,FALSE,"MAIN";#N/A,#N/A,FALSE,"MK_ASS_B";#N/A,#N/A,FALSE,"MK_ASS_R";#N/A,#N/A,FALSE,"TR_ASS_B";#N/A,#N/A,FALSE,"TR_ASS_R";#N/A,#N/A,FALSE,"ROAMING";#N/A,#N/A,FALSE,"PR_ASS_B";#N/A,#N/A,FALSE,"PR_ASS_R";#N/A,#N/A,FALSE,"PR_ASS_S"}</definedName>
    <definedName name="_4_?????" localSheetId="14" hidden="1">{#N/A,#N/A,FALSE,"MAIN";#N/A,#N/A,FALSE,"MK_ASS_B";#N/A,#N/A,FALSE,"MK_ASS_R";#N/A,#N/A,FALSE,"TR_ASS_B";#N/A,#N/A,FALSE,"TR_ASS_R";#N/A,#N/A,FALSE,"ROAMING";#N/A,#N/A,FALSE,"PR_ASS_B";#N/A,#N/A,FALSE,"PR_ASS_R";#N/A,#N/A,FALSE,"PR_ASS_S"}</definedName>
    <definedName name="_4_?????" localSheetId="16" hidden="1">{#N/A,#N/A,FALSE,"MAIN";#N/A,#N/A,FALSE,"MK_ASS_B";#N/A,#N/A,FALSE,"MK_ASS_R";#N/A,#N/A,FALSE,"TR_ASS_B";#N/A,#N/A,FALSE,"TR_ASS_R";#N/A,#N/A,FALSE,"ROAMING";#N/A,#N/A,FALSE,"PR_ASS_B";#N/A,#N/A,FALSE,"PR_ASS_R";#N/A,#N/A,FALSE,"PR_ASS_S"}</definedName>
    <definedName name="_4_?????" localSheetId="22" hidden="1">{#N/A,#N/A,FALSE,"MAIN";#N/A,#N/A,FALSE,"MK_ASS_B";#N/A,#N/A,FALSE,"MK_ASS_R";#N/A,#N/A,FALSE,"TR_ASS_B";#N/A,#N/A,FALSE,"TR_ASS_R";#N/A,#N/A,FALSE,"ROAMING";#N/A,#N/A,FALSE,"PR_ASS_B";#N/A,#N/A,FALSE,"PR_ASS_R";#N/A,#N/A,FALSE,"PR_ASS_S"}</definedName>
    <definedName name="_4_?????" localSheetId="24" hidden="1">{#N/A,#N/A,FALSE,"MAIN";#N/A,#N/A,FALSE,"MK_ASS_B";#N/A,#N/A,FALSE,"MK_ASS_R";#N/A,#N/A,FALSE,"TR_ASS_B";#N/A,#N/A,FALSE,"TR_ASS_R";#N/A,#N/A,FALSE,"ROAMING";#N/A,#N/A,FALSE,"PR_ASS_B";#N/A,#N/A,FALSE,"PR_ASS_R";#N/A,#N/A,FALSE,"PR_ASS_S"}</definedName>
    <definedName name="_4_?????" localSheetId="26" hidden="1">{#N/A,#N/A,FALSE,"MAIN";#N/A,#N/A,FALSE,"MK_ASS_B";#N/A,#N/A,FALSE,"MK_ASS_R";#N/A,#N/A,FALSE,"TR_ASS_B";#N/A,#N/A,FALSE,"TR_ASS_R";#N/A,#N/A,FALSE,"ROAMING";#N/A,#N/A,FALSE,"PR_ASS_B";#N/A,#N/A,FALSE,"PR_ASS_R";#N/A,#N/A,FALSE,"PR_ASS_S"}</definedName>
    <definedName name="_4_?????" localSheetId="28" hidden="1">{#N/A,#N/A,FALSE,"MAIN";#N/A,#N/A,FALSE,"MK_ASS_B";#N/A,#N/A,FALSE,"MK_ASS_R";#N/A,#N/A,FALSE,"TR_ASS_B";#N/A,#N/A,FALSE,"TR_ASS_R";#N/A,#N/A,FALSE,"ROAMING";#N/A,#N/A,FALSE,"PR_ASS_B";#N/A,#N/A,FALSE,"PR_ASS_R";#N/A,#N/A,FALSE,"PR_ASS_S"}</definedName>
    <definedName name="_4_?????" localSheetId="30" hidden="1">{#N/A,#N/A,FALSE,"MAIN";#N/A,#N/A,FALSE,"MK_ASS_B";#N/A,#N/A,FALSE,"MK_ASS_R";#N/A,#N/A,FALSE,"TR_ASS_B";#N/A,#N/A,FALSE,"TR_ASS_R";#N/A,#N/A,FALSE,"ROAMING";#N/A,#N/A,FALSE,"PR_ASS_B";#N/A,#N/A,FALSE,"PR_ASS_R";#N/A,#N/A,FALSE,"PR_ASS_S"}</definedName>
    <definedName name="_4_?????" localSheetId="32" hidden="1">{#N/A,#N/A,FALSE,"MAIN";#N/A,#N/A,FALSE,"MK_ASS_B";#N/A,#N/A,FALSE,"MK_ASS_R";#N/A,#N/A,FALSE,"TR_ASS_B";#N/A,#N/A,FALSE,"TR_ASS_R";#N/A,#N/A,FALSE,"ROAMING";#N/A,#N/A,FALSE,"PR_ASS_B";#N/A,#N/A,FALSE,"PR_ASS_R";#N/A,#N/A,FALSE,"PR_ASS_S"}</definedName>
    <definedName name="_4_?????" localSheetId="34" hidden="1">{#N/A,#N/A,FALSE,"MAIN";#N/A,#N/A,FALSE,"MK_ASS_B";#N/A,#N/A,FALSE,"MK_ASS_R";#N/A,#N/A,FALSE,"TR_ASS_B";#N/A,#N/A,FALSE,"TR_ASS_R";#N/A,#N/A,FALSE,"ROAMING";#N/A,#N/A,FALSE,"PR_ASS_B";#N/A,#N/A,FALSE,"PR_ASS_R";#N/A,#N/A,FALSE,"PR_ASS_S"}</definedName>
    <definedName name="_4_?????" localSheetId="36" hidden="1">{#N/A,#N/A,FALSE,"MAIN";#N/A,#N/A,FALSE,"MK_ASS_B";#N/A,#N/A,FALSE,"MK_ASS_R";#N/A,#N/A,FALSE,"TR_ASS_B";#N/A,#N/A,FALSE,"TR_ASS_R";#N/A,#N/A,FALSE,"ROAMING";#N/A,#N/A,FALSE,"PR_ASS_B";#N/A,#N/A,FALSE,"PR_ASS_R";#N/A,#N/A,FALSE,"PR_ASS_S"}</definedName>
    <definedName name="_4_?????" localSheetId="38" hidden="1">{#N/A,#N/A,FALSE,"MAIN";#N/A,#N/A,FALSE,"MK_ASS_B";#N/A,#N/A,FALSE,"MK_ASS_R";#N/A,#N/A,FALSE,"TR_ASS_B";#N/A,#N/A,FALSE,"TR_ASS_R";#N/A,#N/A,FALSE,"ROAMING";#N/A,#N/A,FALSE,"PR_ASS_B";#N/A,#N/A,FALSE,"PR_ASS_R";#N/A,#N/A,FALSE,"PR_ASS_S"}</definedName>
    <definedName name="_4_?????" hidden="1">{#N/A,#N/A,FALSE,"MAIN";#N/A,#N/A,FALSE,"MK_ASS_B";#N/A,#N/A,FALSE,"MK_ASS_R";#N/A,#N/A,FALSE,"TR_ASS_B";#N/A,#N/A,FALSE,"TR_ASS_R";#N/A,#N/A,FALSE,"ROAMING";#N/A,#N/A,FALSE,"PR_ASS_B";#N/A,#N/A,FALSE,"PR_ASS_R";#N/A,#N/A,FALSE,"PR_ASS_S"}</definedName>
    <definedName name="_4100">#REF!</definedName>
    <definedName name="_4300">#REF!</definedName>
    <definedName name="_4500">#REF!</definedName>
    <definedName name="_4700">#REF!</definedName>
    <definedName name="_5001">#REF!</definedName>
    <definedName name="_bdm.385D84D5F4864AAF9E7AFB8224B10C71.edm" hidden="1">#REF!</definedName>
    <definedName name="_bdm.6D6B664307A34CA5B90833A537F83AE7.edm" hidden="1">#REF!</definedName>
    <definedName name="_bdm.84D87C2383A04C829026C19F07C2EA4A.edm" hidden="1">#REF!</definedName>
    <definedName name="_bdm.8C8C033E5D3145FEBFF299B6240D3F56.edm" hidden="1">#REF!</definedName>
    <definedName name="_bdm.B0CE2CEC5D1344DB860D472DA09A91A0.edm" hidden="1">#REF!</definedName>
    <definedName name="_bdm.D53AE69ED9E841EFBC1CE6DD976C8FC6.edm" hidden="1">#REF!</definedName>
    <definedName name="_BQ4.1" hidden="1">#REF!</definedName>
    <definedName name="_CAR3">#REF!</definedName>
    <definedName name="_CLS10">#REF!</definedName>
    <definedName name="_CLS7">#REF!</definedName>
    <definedName name="_CLS8">#REF!</definedName>
    <definedName name="_CLS9">#REF!</definedName>
    <definedName name="_Fill" hidden="1">#REF!</definedName>
    <definedName name="_Fill2" hidden="1">#REF!</definedName>
    <definedName name="_xlnm._FilterDatabase" localSheetId="4" hidden="1">'Ascendant CP I CF'!$B$10:$T$65</definedName>
    <definedName name="_xlnm._FilterDatabase" localSheetId="6" hidden="1">'BOYU Capital Fund I CF'!$B$9:$P$100</definedName>
    <definedName name="_xlnm._FilterDatabase" localSheetId="9" hidden="1">'Boyu Real Estate CF'!$A$9:$P$36</definedName>
    <definedName name="_xlnm._FilterDatabase" localSheetId="11" hidden="1">'C Ventures II CF '!$B$10:$R$39</definedName>
    <definedName name="_xlnm._FilterDatabase" localSheetId="15" hidden="1">'DCP I (CF)'!$B$27:$S$74</definedName>
    <definedName name="_xlnm._FilterDatabase" localSheetId="17" hidden="1">'DCP II (CF) '!$B$9:$S$10</definedName>
    <definedName name="_xlnm._FilterDatabase" localSheetId="23" hidden="1">'E15 Fund II CF'!$A$9:$S$24</definedName>
    <definedName name="_xlnm._FilterDatabase" localSheetId="33" hidden="1">'Lionet Fund CF'!$B$10:$S$29</definedName>
    <definedName name="_xlnm._FilterDatabase" localSheetId="0" hidden="1">'Portfolio Listing'!$B$6:$AF$28</definedName>
    <definedName name="_xlnm._FilterDatabase" localSheetId="37" hidden="1">'West Street VII (CF)'!$A$10:$R$28</definedName>
    <definedName name="_xlnm._FilterDatabase" localSheetId="39" hidden="1">'West Street VIII (CF)'!$A$10:$R$24</definedName>
    <definedName name="_Key1" hidden="1">#REF!</definedName>
    <definedName name="_Key2" hidden="1">#REF!</definedName>
    <definedName name="_may12">#REF!</definedName>
    <definedName name="_may19">#REF!</definedName>
    <definedName name="_may5">#REF!</definedName>
    <definedName name="_NCL3">#REF!</definedName>
    <definedName name="_Order1">255</definedName>
    <definedName name="_Order2">255</definedName>
    <definedName name="_PA7">#REF!</definedName>
    <definedName name="_PA8">#REF!</definedName>
    <definedName name="_PAL1">#REF!</definedName>
    <definedName name="_PAL2">#REF!</definedName>
    <definedName name="_PAL3">#REF!</definedName>
    <definedName name="_PAL4">#REF!</definedName>
    <definedName name="_PAL5">#REF!</definedName>
    <definedName name="_PAL6">#REF!</definedName>
    <definedName name="_PAL7">#REF!</definedName>
    <definedName name="_PAL8">#REF!</definedName>
    <definedName name="_PAL9">#REF!</definedName>
    <definedName name="_PD1">#REF!</definedName>
    <definedName name="_PE12">#REF!</definedName>
    <definedName name="_PE13">#REF!</definedName>
    <definedName name="_PE6">#REF!</definedName>
    <definedName name="_PE7">#REF!</definedName>
    <definedName name="_PE8">#REF!</definedName>
    <definedName name="_PE9">#REF!</definedName>
    <definedName name="_PH1">#REF!</definedName>
    <definedName name="_PI1">#REF!</definedName>
    <definedName name="_pippo" hidden="1">#REF!</definedName>
    <definedName name="_PK1">#REF!</definedName>
    <definedName name="_PK3">#REF!</definedName>
    <definedName name="_R" localSheetId="3" hidden="1">{#N/A,#N/A,FALSE,"MAIN";#N/A,#N/A,FALSE,"MK_ASS_B";#N/A,#N/A,FALSE,"MK_ASS_R";#N/A,#N/A,FALSE,"TR_ASS_B";#N/A,#N/A,FALSE,"TR_ASS_R";#N/A,#N/A,FALSE,"ROAMING";#N/A,#N/A,FALSE,"PR_ASS_B";#N/A,#N/A,FALSE,"PR_ASS_R";#N/A,#N/A,FALSE,"PR_ASS_S"}</definedName>
    <definedName name="_R" localSheetId="5" hidden="1">{#N/A,#N/A,FALSE,"MAIN";#N/A,#N/A,FALSE,"MK_ASS_B";#N/A,#N/A,FALSE,"MK_ASS_R";#N/A,#N/A,FALSE,"TR_ASS_B";#N/A,#N/A,FALSE,"TR_ASS_R";#N/A,#N/A,FALSE,"ROAMING";#N/A,#N/A,FALSE,"PR_ASS_B";#N/A,#N/A,FALSE,"PR_ASS_R";#N/A,#N/A,FALSE,"PR_ASS_S"}</definedName>
    <definedName name="_R" localSheetId="8" hidden="1">{#N/A,#N/A,FALSE,"MAIN";#N/A,#N/A,FALSE,"MK_ASS_B";#N/A,#N/A,FALSE,"MK_ASS_R";#N/A,#N/A,FALSE,"TR_ASS_B";#N/A,#N/A,FALSE,"TR_ASS_R";#N/A,#N/A,FALSE,"ROAMING";#N/A,#N/A,FALSE,"PR_ASS_B";#N/A,#N/A,FALSE,"PR_ASS_R";#N/A,#N/A,FALSE,"PR_ASS_S"}</definedName>
    <definedName name="_R" localSheetId="10" hidden="1">{#N/A,#N/A,FALSE,"MAIN";#N/A,#N/A,FALSE,"MK_ASS_B";#N/A,#N/A,FALSE,"MK_ASS_R";#N/A,#N/A,FALSE,"TR_ASS_B";#N/A,#N/A,FALSE,"TR_ASS_R";#N/A,#N/A,FALSE,"ROAMING";#N/A,#N/A,FALSE,"PR_ASS_B";#N/A,#N/A,FALSE,"PR_ASS_R";#N/A,#N/A,FALSE,"PR_ASS_S"}</definedName>
    <definedName name="_R" localSheetId="12" hidden="1">{#N/A,#N/A,FALSE,"MAIN";#N/A,#N/A,FALSE,"MK_ASS_B";#N/A,#N/A,FALSE,"MK_ASS_R";#N/A,#N/A,FALSE,"TR_ASS_B";#N/A,#N/A,FALSE,"TR_ASS_R";#N/A,#N/A,FALSE,"ROAMING";#N/A,#N/A,FALSE,"PR_ASS_B";#N/A,#N/A,FALSE,"PR_ASS_R";#N/A,#N/A,FALSE,"PR_ASS_S"}</definedName>
    <definedName name="_R" localSheetId="14" hidden="1">{#N/A,#N/A,FALSE,"MAIN";#N/A,#N/A,FALSE,"MK_ASS_B";#N/A,#N/A,FALSE,"MK_ASS_R";#N/A,#N/A,FALSE,"TR_ASS_B";#N/A,#N/A,FALSE,"TR_ASS_R";#N/A,#N/A,FALSE,"ROAMING";#N/A,#N/A,FALSE,"PR_ASS_B";#N/A,#N/A,FALSE,"PR_ASS_R";#N/A,#N/A,FALSE,"PR_ASS_S"}</definedName>
    <definedName name="_R" localSheetId="16" hidden="1">{#N/A,#N/A,FALSE,"MAIN";#N/A,#N/A,FALSE,"MK_ASS_B";#N/A,#N/A,FALSE,"MK_ASS_R";#N/A,#N/A,FALSE,"TR_ASS_B";#N/A,#N/A,FALSE,"TR_ASS_R";#N/A,#N/A,FALSE,"ROAMING";#N/A,#N/A,FALSE,"PR_ASS_B";#N/A,#N/A,FALSE,"PR_ASS_R";#N/A,#N/A,FALSE,"PR_ASS_S"}</definedName>
    <definedName name="_R" localSheetId="22" hidden="1">{#N/A,#N/A,FALSE,"MAIN";#N/A,#N/A,FALSE,"MK_ASS_B";#N/A,#N/A,FALSE,"MK_ASS_R";#N/A,#N/A,FALSE,"TR_ASS_B";#N/A,#N/A,FALSE,"TR_ASS_R";#N/A,#N/A,FALSE,"ROAMING";#N/A,#N/A,FALSE,"PR_ASS_B";#N/A,#N/A,FALSE,"PR_ASS_R";#N/A,#N/A,FALSE,"PR_ASS_S"}</definedName>
    <definedName name="_R" localSheetId="24" hidden="1">{#N/A,#N/A,FALSE,"MAIN";#N/A,#N/A,FALSE,"MK_ASS_B";#N/A,#N/A,FALSE,"MK_ASS_R";#N/A,#N/A,FALSE,"TR_ASS_B";#N/A,#N/A,FALSE,"TR_ASS_R";#N/A,#N/A,FALSE,"ROAMING";#N/A,#N/A,FALSE,"PR_ASS_B";#N/A,#N/A,FALSE,"PR_ASS_R";#N/A,#N/A,FALSE,"PR_ASS_S"}</definedName>
    <definedName name="_R" localSheetId="26" hidden="1">{#N/A,#N/A,FALSE,"MAIN";#N/A,#N/A,FALSE,"MK_ASS_B";#N/A,#N/A,FALSE,"MK_ASS_R";#N/A,#N/A,FALSE,"TR_ASS_B";#N/A,#N/A,FALSE,"TR_ASS_R";#N/A,#N/A,FALSE,"ROAMING";#N/A,#N/A,FALSE,"PR_ASS_B";#N/A,#N/A,FALSE,"PR_ASS_R";#N/A,#N/A,FALSE,"PR_ASS_S"}</definedName>
    <definedName name="_R" localSheetId="28" hidden="1">{#N/A,#N/A,FALSE,"MAIN";#N/A,#N/A,FALSE,"MK_ASS_B";#N/A,#N/A,FALSE,"MK_ASS_R";#N/A,#N/A,FALSE,"TR_ASS_B";#N/A,#N/A,FALSE,"TR_ASS_R";#N/A,#N/A,FALSE,"ROAMING";#N/A,#N/A,FALSE,"PR_ASS_B";#N/A,#N/A,FALSE,"PR_ASS_R";#N/A,#N/A,FALSE,"PR_ASS_S"}</definedName>
    <definedName name="_R" localSheetId="30" hidden="1">{#N/A,#N/A,FALSE,"MAIN";#N/A,#N/A,FALSE,"MK_ASS_B";#N/A,#N/A,FALSE,"MK_ASS_R";#N/A,#N/A,FALSE,"TR_ASS_B";#N/A,#N/A,FALSE,"TR_ASS_R";#N/A,#N/A,FALSE,"ROAMING";#N/A,#N/A,FALSE,"PR_ASS_B";#N/A,#N/A,FALSE,"PR_ASS_R";#N/A,#N/A,FALSE,"PR_ASS_S"}</definedName>
    <definedName name="_R" localSheetId="32" hidden="1">{#N/A,#N/A,FALSE,"MAIN";#N/A,#N/A,FALSE,"MK_ASS_B";#N/A,#N/A,FALSE,"MK_ASS_R";#N/A,#N/A,FALSE,"TR_ASS_B";#N/A,#N/A,FALSE,"TR_ASS_R";#N/A,#N/A,FALSE,"ROAMING";#N/A,#N/A,FALSE,"PR_ASS_B";#N/A,#N/A,FALSE,"PR_ASS_R";#N/A,#N/A,FALSE,"PR_ASS_S"}</definedName>
    <definedName name="_R" localSheetId="34" hidden="1">{#N/A,#N/A,FALSE,"MAIN";#N/A,#N/A,FALSE,"MK_ASS_B";#N/A,#N/A,FALSE,"MK_ASS_R";#N/A,#N/A,FALSE,"TR_ASS_B";#N/A,#N/A,FALSE,"TR_ASS_R";#N/A,#N/A,FALSE,"ROAMING";#N/A,#N/A,FALSE,"PR_ASS_B";#N/A,#N/A,FALSE,"PR_ASS_R";#N/A,#N/A,FALSE,"PR_ASS_S"}</definedName>
    <definedName name="_R" localSheetId="36" hidden="1">{#N/A,#N/A,FALSE,"MAIN";#N/A,#N/A,FALSE,"MK_ASS_B";#N/A,#N/A,FALSE,"MK_ASS_R";#N/A,#N/A,FALSE,"TR_ASS_B";#N/A,#N/A,FALSE,"TR_ASS_R";#N/A,#N/A,FALSE,"ROAMING";#N/A,#N/A,FALSE,"PR_ASS_B";#N/A,#N/A,FALSE,"PR_ASS_R";#N/A,#N/A,FALSE,"PR_ASS_S"}</definedName>
    <definedName name="_R" localSheetId="38" hidden="1">{#N/A,#N/A,FALSE,"MAIN";#N/A,#N/A,FALSE,"MK_ASS_B";#N/A,#N/A,FALSE,"MK_ASS_R";#N/A,#N/A,FALSE,"TR_ASS_B";#N/A,#N/A,FALSE,"TR_ASS_R";#N/A,#N/A,FALSE,"ROAMING";#N/A,#N/A,FALSE,"PR_ASS_B";#N/A,#N/A,FALSE,"PR_ASS_R";#N/A,#N/A,FALSE,"PR_ASS_S"}</definedName>
    <definedName name="_R" hidden="1">{#N/A,#N/A,FALSE,"MAIN";#N/A,#N/A,FALSE,"MK_ASS_B";#N/A,#N/A,FALSE,"MK_ASS_R";#N/A,#N/A,FALSE,"TR_ASS_B";#N/A,#N/A,FALSE,"TR_ASS_R";#N/A,#N/A,FALSE,"ROAMING";#N/A,#N/A,FALSE,"PR_ASS_B";#N/A,#N/A,FALSE,"PR_ASS_R";#N/A,#N/A,FALSE,"PR_ASS_S"}</definedName>
    <definedName name="_re2" localSheetId="3" hidden="1">{"NOPCAPEVA",#N/A,FALSE,"Nopat";"FCFCSTAR",#N/A,FALSE,"FCFVAL";"EVAVL",#N/A,FALSE,"EVAVAL";"LEASE",#N/A,FALSE,"OpLease"}</definedName>
    <definedName name="_re2" localSheetId="5" hidden="1">{"NOPCAPEVA",#N/A,FALSE,"Nopat";"FCFCSTAR",#N/A,FALSE,"FCFVAL";"EVAVL",#N/A,FALSE,"EVAVAL";"LEASE",#N/A,FALSE,"OpLease"}</definedName>
    <definedName name="_re2" localSheetId="8" hidden="1">{"NOPCAPEVA",#N/A,FALSE,"Nopat";"FCFCSTAR",#N/A,FALSE,"FCFVAL";"EVAVL",#N/A,FALSE,"EVAVAL";"LEASE",#N/A,FALSE,"OpLease"}</definedName>
    <definedName name="_re2" localSheetId="10" hidden="1">{"NOPCAPEVA",#N/A,FALSE,"Nopat";"FCFCSTAR",#N/A,FALSE,"FCFVAL";"EVAVL",#N/A,FALSE,"EVAVAL";"LEASE",#N/A,FALSE,"OpLease"}</definedName>
    <definedName name="_re2" localSheetId="12" hidden="1">{"NOPCAPEVA",#N/A,FALSE,"Nopat";"FCFCSTAR",#N/A,FALSE,"FCFVAL";"EVAVL",#N/A,FALSE,"EVAVAL";"LEASE",#N/A,FALSE,"OpLease"}</definedName>
    <definedName name="_re2" localSheetId="14" hidden="1">{"NOPCAPEVA",#N/A,FALSE,"Nopat";"FCFCSTAR",#N/A,FALSE,"FCFVAL";"EVAVL",#N/A,FALSE,"EVAVAL";"LEASE",#N/A,FALSE,"OpLease"}</definedName>
    <definedName name="_re2" localSheetId="16" hidden="1">{"NOPCAPEVA",#N/A,FALSE,"Nopat";"FCFCSTAR",#N/A,FALSE,"FCFVAL";"EVAVL",#N/A,FALSE,"EVAVAL";"LEASE",#N/A,FALSE,"OpLease"}</definedName>
    <definedName name="_re2" localSheetId="22" hidden="1">{"NOPCAPEVA",#N/A,FALSE,"Nopat";"FCFCSTAR",#N/A,FALSE,"FCFVAL";"EVAVL",#N/A,FALSE,"EVAVAL";"LEASE",#N/A,FALSE,"OpLease"}</definedName>
    <definedName name="_re2" localSheetId="24" hidden="1">{"NOPCAPEVA",#N/A,FALSE,"Nopat";"FCFCSTAR",#N/A,FALSE,"FCFVAL";"EVAVL",#N/A,FALSE,"EVAVAL";"LEASE",#N/A,FALSE,"OpLease"}</definedName>
    <definedName name="_re2" localSheetId="26" hidden="1">{"NOPCAPEVA",#N/A,FALSE,"Nopat";"FCFCSTAR",#N/A,FALSE,"FCFVAL";"EVAVL",#N/A,FALSE,"EVAVAL";"LEASE",#N/A,FALSE,"OpLease"}</definedName>
    <definedName name="_re2" localSheetId="28" hidden="1">{"NOPCAPEVA",#N/A,FALSE,"Nopat";"FCFCSTAR",#N/A,FALSE,"FCFVAL";"EVAVL",#N/A,FALSE,"EVAVAL";"LEASE",#N/A,FALSE,"OpLease"}</definedName>
    <definedName name="_re2" localSheetId="30" hidden="1">{"NOPCAPEVA",#N/A,FALSE,"Nopat";"FCFCSTAR",#N/A,FALSE,"FCFVAL";"EVAVL",#N/A,FALSE,"EVAVAL";"LEASE",#N/A,FALSE,"OpLease"}</definedName>
    <definedName name="_re2" localSheetId="32" hidden="1">{"NOPCAPEVA",#N/A,FALSE,"Nopat";"FCFCSTAR",#N/A,FALSE,"FCFVAL";"EVAVL",#N/A,FALSE,"EVAVAL";"LEASE",#N/A,FALSE,"OpLease"}</definedName>
    <definedName name="_re2" localSheetId="34" hidden="1">{"NOPCAPEVA",#N/A,FALSE,"Nopat";"FCFCSTAR",#N/A,FALSE,"FCFVAL";"EVAVL",#N/A,FALSE,"EVAVAL";"LEASE",#N/A,FALSE,"OpLease"}</definedName>
    <definedName name="_re2" localSheetId="36" hidden="1">{"NOPCAPEVA",#N/A,FALSE,"Nopat";"FCFCSTAR",#N/A,FALSE,"FCFVAL";"EVAVL",#N/A,FALSE,"EVAVAL";"LEASE",#N/A,FALSE,"OpLease"}</definedName>
    <definedName name="_re2" localSheetId="38" hidden="1">{"NOPCAPEVA",#N/A,FALSE,"Nopat";"FCFCSTAR",#N/A,FALSE,"FCFVAL";"EVAVL",#N/A,FALSE,"EVAVAL";"LEASE",#N/A,FALSE,"OpLease"}</definedName>
    <definedName name="_re2" hidden="1">{"NOPCAPEVA",#N/A,FALSE,"Nopat";"FCFCSTAR",#N/A,FALSE,"FCFVAL";"EVAVL",#N/A,FALSE,"EVAVAL";"LEASE",#N/A,FALSE,"OpLease"}</definedName>
    <definedName name="_re3" localSheetId="3" hidden="1">{"NOPCAPEVA",#N/A,FALSE,"Nopat";"FCFCSTAR",#N/A,FALSE,"FCFVAL";"EVAVL",#N/A,FALSE,"EVAVAL";"LEASE",#N/A,FALSE,"OpLease"}</definedName>
    <definedName name="_re3" localSheetId="5" hidden="1">{"NOPCAPEVA",#N/A,FALSE,"Nopat";"FCFCSTAR",#N/A,FALSE,"FCFVAL";"EVAVL",#N/A,FALSE,"EVAVAL";"LEASE",#N/A,FALSE,"OpLease"}</definedName>
    <definedName name="_re3" localSheetId="8" hidden="1">{"NOPCAPEVA",#N/A,FALSE,"Nopat";"FCFCSTAR",#N/A,FALSE,"FCFVAL";"EVAVL",#N/A,FALSE,"EVAVAL";"LEASE",#N/A,FALSE,"OpLease"}</definedName>
    <definedName name="_re3" localSheetId="10" hidden="1">{"NOPCAPEVA",#N/A,FALSE,"Nopat";"FCFCSTAR",#N/A,FALSE,"FCFVAL";"EVAVL",#N/A,FALSE,"EVAVAL";"LEASE",#N/A,FALSE,"OpLease"}</definedName>
    <definedName name="_re3" localSheetId="12" hidden="1">{"NOPCAPEVA",#N/A,FALSE,"Nopat";"FCFCSTAR",#N/A,FALSE,"FCFVAL";"EVAVL",#N/A,FALSE,"EVAVAL";"LEASE",#N/A,FALSE,"OpLease"}</definedName>
    <definedName name="_re3" localSheetId="14" hidden="1">{"NOPCAPEVA",#N/A,FALSE,"Nopat";"FCFCSTAR",#N/A,FALSE,"FCFVAL";"EVAVL",#N/A,FALSE,"EVAVAL";"LEASE",#N/A,FALSE,"OpLease"}</definedName>
    <definedName name="_re3" localSheetId="16" hidden="1">{"NOPCAPEVA",#N/A,FALSE,"Nopat";"FCFCSTAR",#N/A,FALSE,"FCFVAL";"EVAVL",#N/A,FALSE,"EVAVAL";"LEASE",#N/A,FALSE,"OpLease"}</definedName>
    <definedName name="_re3" localSheetId="22" hidden="1">{"NOPCAPEVA",#N/A,FALSE,"Nopat";"FCFCSTAR",#N/A,FALSE,"FCFVAL";"EVAVL",#N/A,FALSE,"EVAVAL";"LEASE",#N/A,FALSE,"OpLease"}</definedName>
    <definedName name="_re3" localSheetId="24" hidden="1">{"NOPCAPEVA",#N/A,FALSE,"Nopat";"FCFCSTAR",#N/A,FALSE,"FCFVAL";"EVAVL",#N/A,FALSE,"EVAVAL";"LEASE",#N/A,FALSE,"OpLease"}</definedName>
    <definedName name="_re3" localSheetId="26" hidden="1">{"NOPCAPEVA",#N/A,FALSE,"Nopat";"FCFCSTAR",#N/A,FALSE,"FCFVAL";"EVAVL",#N/A,FALSE,"EVAVAL";"LEASE",#N/A,FALSE,"OpLease"}</definedName>
    <definedName name="_re3" localSheetId="28" hidden="1">{"NOPCAPEVA",#N/A,FALSE,"Nopat";"FCFCSTAR",#N/A,FALSE,"FCFVAL";"EVAVL",#N/A,FALSE,"EVAVAL";"LEASE",#N/A,FALSE,"OpLease"}</definedName>
    <definedName name="_re3" localSheetId="30" hidden="1">{"NOPCAPEVA",#N/A,FALSE,"Nopat";"FCFCSTAR",#N/A,FALSE,"FCFVAL";"EVAVL",#N/A,FALSE,"EVAVAL";"LEASE",#N/A,FALSE,"OpLease"}</definedName>
    <definedName name="_re3" localSheetId="32" hidden="1">{"NOPCAPEVA",#N/A,FALSE,"Nopat";"FCFCSTAR",#N/A,FALSE,"FCFVAL";"EVAVL",#N/A,FALSE,"EVAVAL";"LEASE",#N/A,FALSE,"OpLease"}</definedName>
    <definedName name="_re3" localSheetId="34" hidden="1">{"NOPCAPEVA",#N/A,FALSE,"Nopat";"FCFCSTAR",#N/A,FALSE,"FCFVAL";"EVAVL",#N/A,FALSE,"EVAVAL";"LEASE",#N/A,FALSE,"OpLease"}</definedName>
    <definedName name="_re3" localSheetId="36" hidden="1">{"NOPCAPEVA",#N/A,FALSE,"Nopat";"FCFCSTAR",#N/A,FALSE,"FCFVAL";"EVAVL",#N/A,FALSE,"EVAVAL";"LEASE",#N/A,FALSE,"OpLease"}</definedName>
    <definedName name="_re3" localSheetId="38" hidden="1">{"NOPCAPEVA",#N/A,FALSE,"Nopat";"FCFCSTAR",#N/A,FALSE,"FCFVAL";"EVAVL",#N/A,FALSE,"EVAVAL";"LEASE",#N/A,FALSE,"OpLease"}</definedName>
    <definedName name="_re3" hidden="1">{"NOPCAPEVA",#N/A,FALSE,"Nopat";"FCFCSTAR",#N/A,FALSE,"FCFVAL";"EVAVL",#N/A,FALSE,"EVAVAL";"LEASE",#N/A,FALSE,"OpLease"}</definedName>
    <definedName name="_re4" localSheetId="3" hidden="1">{"NOPCAPEVA",#N/A,FALSE,"Nopat";"FCFCSTAR",#N/A,FALSE,"FCFVAL";"EVAVL",#N/A,FALSE,"EVAVAL";"LEASE",#N/A,FALSE,"OpLease"}</definedName>
    <definedName name="_re4" localSheetId="5" hidden="1">{"NOPCAPEVA",#N/A,FALSE,"Nopat";"FCFCSTAR",#N/A,FALSE,"FCFVAL";"EVAVL",#N/A,FALSE,"EVAVAL";"LEASE",#N/A,FALSE,"OpLease"}</definedName>
    <definedName name="_re4" localSheetId="8" hidden="1">{"NOPCAPEVA",#N/A,FALSE,"Nopat";"FCFCSTAR",#N/A,FALSE,"FCFVAL";"EVAVL",#N/A,FALSE,"EVAVAL";"LEASE",#N/A,FALSE,"OpLease"}</definedName>
    <definedName name="_re4" localSheetId="10" hidden="1">{"NOPCAPEVA",#N/A,FALSE,"Nopat";"FCFCSTAR",#N/A,FALSE,"FCFVAL";"EVAVL",#N/A,FALSE,"EVAVAL";"LEASE",#N/A,FALSE,"OpLease"}</definedName>
    <definedName name="_re4" localSheetId="12" hidden="1">{"NOPCAPEVA",#N/A,FALSE,"Nopat";"FCFCSTAR",#N/A,FALSE,"FCFVAL";"EVAVL",#N/A,FALSE,"EVAVAL";"LEASE",#N/A,FALSE,"OpLease"}</definedName>
    <definedName name="_re4" localSheetId="14" hidden="1">{"NOPCAPEVA",#N/A,FALSE,"Nopat";"FCFCSTAR",#N/A,FALSE,"FCFVAL";"EVAVL",#N/A,FALSE,"EVAVAL";"LEASE",#N/A,FALSE,"OpLease"}</definedName>
    <definedName name="_re4" localSheetId="16" hidden="1">{"NOPCAPEVA",#N/A,FALSE,"Nopat";"FCFCSTAR",#N/A,FALSE,"FCFVAL";"EVAVL",#N/A,FALSE,"EVAVAL";"LEASE",#N/A,FALSE,"OpLease"}</definedName>
    <definedName name="_re4" localSheetId="22" hidden="1">{"NOPCAPEVA",#N/A,FALSE,"Nopat";"FCFCSTAR",#N/A,FALSE,"FCFVAL";"EVAVL",#N/A,FALSE,"EVAVAL";"LEASE",#N/A,FALSE,"OpLease"}</definedName>
    <definedName name="_re4" localSheetId="24" hidden="1">{"NOPCAPEVA",#N/A,FALSE,"Nopat";"FCFCSTAR",#N/A,FALSE,"FCFVAL";"EVAVL",#N/A,FALSE,"EVAVAL";"LEASE",#N/A,FALSE,"OpLease"}</definedName>
    <definedName name="_re4" localSheetId="26" hidden="1">{"NOPCAPEVA",#N/A,FALSE,"Nopat";"FCFCSTAR",#N/A,FALSE,"FCFVAL";"EVAVL",#N/A,FALSE,"EVAVAL";"LEASE",#N/A,FALSE,"OpLease"}</definedName>
    <definedName name="_re4" localSheetId="28" hidden="1">{"NOPCAPEVA",#N/A,FALSE,"Nopat";"FCFCSTAR",#N/A,FALSE,"FCFVAL";"EVAVL",#N/A,FALSE,"EVAVAL";"LEASE",#N/A,FALSE,"OpLease"}</definedName>
    <definedName name="_re4" localSheetId="30" hidden="1">{"NOPCAPEVA",#N/A,FALSE,"Nopat";"FCFCSTAR",#N/A,FALSE,"FCFVAL";"EVAVL",#N/A,FALSE,"EVAVAL";"LEASE",#N/A,FALSE,"OpLease"}</definedName>
    <definedName name="_re4" localSheetId="32" hidden="1">{"NOPCAPEVA",#N/A,FALSE,"Nopat";"FCFCSTAR",#N/A,FALSE,"FCFVAL";"EVAVL",#N/A,FALSE,"EVAVAL";"LEASE",#N/A,FALSE,"OpLease"}</definedName>
    <definedName name="_re4" localSheetId="34" hidden="1">{"NOPCAPEVA",#N/A,FALSE,"Nopat";"FCFCSTAR",#N/A,FALSE,"FCFVAL";"EVAVL",#N/A,FALSE,"EVAVAL";"LEASE",#N/A,FALSE,"OpLease"}</definedName>
    <definedName name="_re4" localSheetId="36" hidden="1">{"NOPCAPEVA",#N/A,FALSE,"Nopat";"FCFCSTAR",#N/A,FALSE,"FCFVAL";"EVAVL",#N/A,FALSE,"EVAVAL";"LEASE",#N/A,FALSE,"OpLease"}</definedName>
    <definedName name="_re4" localSheetId="38" hidden="1">{"NOPCAPEVA",#N/A,FALSE,"Nopat";"FCFCSTAR",#N/A,FALSE,"FCFVAL";"EVAVL",#N/A,FALSE,"EVAVAL";"LEASE",#N/A,FALSE,"OpLease"}</definedName>
    <definedName name="_re4" hidden="1">{"NOPCAPEVA",#N/A,FALSE,"Nopat";"FCFCSTAR",#N/A,FALSE,"FCFVAL";"EVAVL",#N/A,FALSE,"EVAVAL";"LEASE",#N/A,FALSE,"OpLease"}</definedName>
    <definedName name="_re5" localSheetId="3" hidden="1">{"NOPCAPEVA",#N/A,FALSE,"Nopat";"FCFCSTAR",#N/A,FALSE,"FCFVAL";"EVAVL",#N/A,FALSE,"EVAVAL";"LEASE",#N/A,FALSE,"OpLease"}</definedName>
    <definedName name="_re5" localSheetId="5" hidden="1">{"NOPCAPEVA",#N/A,FALSE,"Nopat";"FCFCSTAR",#N/A,FALSE,"FCFVAL";"EVAVL",#N/A,FALSE,"EVAVAL";"LEASE",#N/A,FALSE,"OpLease"}</definedName>
    <definedName name="_re5" localSheetId="8" hidden="1">{"NOPCAPEVA",#N/A,FALSE,"Nopat";"FCFCSTAR",#N/A,FALSE,"FCFVAL";"EVAVL",#N/A,FALSE,"EVAVAL";"LEASE",#N/A,FALSE,"OpLease"}</definedName>
    <definedName name="_re5" localSheetId="10" hidden="1">{"NOPCAPEVA",#N/A,FALSE,"Nopat";"FCFCSTAR",#N/A,FALSE,"FCFVAL";"EVAVL",#N/A,FALSE,"EVAVAL";"LEASE",#N/A,FALSE,"OpLease"}</definedName>
    <definedName name="_re5" localSheetId="12" hidden="1">{"NOPCAPEVA",#N/A,FALSE,"Nopat";"FCFCSTAR",#N/A,FALSE,"FCFVAL";"EVAVL",#N/A,FALSE,"EVAVAL";"LEASE",#N/A,FALSE,"OpLease"}</definedName>
    <definedName name="_re5" localSheetId="14" hidden="1">{"NOPCAPEVA",#N/A,FALSE,"Nopat";"FCFCSTAR",#N/A,FALSE,"FCFVAL";"EVAVL",#N/A,FALSE,"EVAVAL";"LEASE",#N/A,FALSE,"OpLease"}</definedName>
    <definedName name="_re5" localSheetId="16" hidden="1">{"NOPCAPEVA",#N/A,FALSE,"Nopat";"FCFCSTAR",#N/A,FALSE,"FCFVAL";"EVAVL",#N/A,FALSE,"EVAVAL";"LEASE",#N/A,FALSE,"OpLease"}</definedName>
    <definedName name="_re5" localSheetId="22" hidden="1">{"NOPCAPEVA",#N/A,FALSE,"Nopat";"FCFCSTAR",#N/A,FALSE,"FCFVAL";"EVAVL",#N/A,FALSE,"EVAVAL";"LEASE",#N/A,FALSE,"OpLease"}</definedName>
    <definedName name="_re5" localSheetId="24" hidden="1">{"NOPCAPEVA",#N/A,FALSE,"Nopat";"FCFCSTAR",#N/A,FALSE,"FCFVAL";"EVAVL",#N/A,FALSE,"EVAVAL";"LEASE",#N/A,FALSE,"OpLease"}</definedName>
    <definedName name="_re5" localSheetId="26" hidden="1">{"NOPCAPEVA",#N/A,FALSE,"Nopat";"FCFCSTAR",#N/A,FALSE,"FCFVAL";"EVAVL",#N/A,FALSE,"EVAVAL";"LEASE",#N/A,FALSE,"OpLease"}</definedName>
    <definedName name="_re5" localSheetId="28" hidden="1">{"NOPCAPEVA",#N/A,FALSE,"Nopat";"FCFCSTAR",#N/A,FALSE,"FCFVAL";"EVAVL",#N/A,FALSE,"EVAVAL";"LEASE",#N/A,FALSE,"OpLease"}</definedName>
    <definedName name="_re5" localSheetId="30" hidden="1">{"NOPCAPEVA",#N/A,FALSE,"Nopat";"FCFCSTAR",#N/A,FALSE,"FCFVAL";"EVAVL",#N/A,FALSE,"EVAVAL";"LEASE",#N/A,FALSE,"OpLease"}</definedName>
    <definedName name="_re5" localSheetId="32" hidden="1">{"NOPCAPEVA",#N/A,FALSE,"Nopat";"FCFCSTAR",#N/A,FALSE,"FCFVAL";"EVAVL",#N/A,FALSE,"EVAVAL";"LEASE",#N/A,FALSE,"OpLease"}</definedName>
    <definedName name="_re5" localSheetId="34" hidden="1">{"NOPCAPEVA",#N/A,FALSE,"Nopat";"FCFCSTAR",#N/A,FALSE,"FCFVAL";"EVAVL",#N/A,FALSE,"EVAVAL";"LEASE",#N/A,FALSE,"OpLease"}</definedName>
    <definedName name="_re5" localSheetId="36" hidden="1">{"NOPCAPEVA",#N/A,FALSE,"Nopat";"FCFCSTAR",#N/A,FALSE,"FCFVAL";"EVAVL",#N/A,FALSE,"EVAVAL";"LEASE",#N/A,FALSE,"OpLease"}</definedName>
    <definedName name="_re5" localSheetId="38" hidden="1">{"NOPCAPEVA",#N/A,FALSE,"Nopat";"FCFCSTAR",#N/A,FALSE,"FCFVAL";"EVAVL",#N/A,FALSE,"EVAVAL";"LEASE",#N/A,FALSE,"OpLease"}</definedName>
    <definedName name="_re5" hidden="1">{"NOPCAPEVA",#N/A,FALSE,"Nopat";"FCFCSTAR",#N/A,FALSE,"FCFVAL";"EVAVL",#N/A,FALSE,"EVAVAL";"LEASE",#N/A,FALSE,"OpLease"}</definedName>
    <definedName name="_re6" localSheetId="3" hidden="1">{"NOPCAPEVA",#N/A,FALSE,"Nopat";"FCFCSTAR",#N/A,FALSE,"FCFVAL";"EVAVL",#N/A,FALSE,"EVAVAL";"LEASE",#N/A,FALSE,"OpLease"}</definedName>
    <definedName name="_re6" localSheetId="5" hidden="1">{"NOPCAPEVA",#N/A,FALSE,"Nopat";"FCFCSTAR",#N/A,FALSE,"FCFVAL";"EVAVL",#N/A,FALSE,"EVAVAL";"LEASE",#N/A,FALSE,"OpLease"}</definedName>
    <definedName name="_re6" localSheetId="8" hidden="1">{"NOPCAPEVA",#N/A,FALSE,"Nopat";"FCFCSTAR",#N/A,FALSE,"FCFVAL";"EVAVL",#N/A,FALSE,"EVAVAL";"LEASE",#N/A,FALSE,"OpLease"}</definedName>
    <definedName name="_re6" localSheetId="10" hidden="1">{"NOPCAPEVA",#N/A,FALSE,"Nopat";"FCFCSTAR",#N/A,FALSE,"FCFVAL";"EVAVL",#N/A,FALSE,"EVAVAL";"LEASE",#N/A,FALSE,"OpLease"}</definedName>
    <definedName name="_re6" localSheetId="12" hidden="1">{"NOPCAPEVA",#N/A,FALSE,"Nopat";"FCFCSTAR",#N/A,FALSE,"FCFVAL";"EVAVL",#N/A,FALSE,"EVAVAL";"LEASE",#N/A,FALSE,"OpLease"}</definedName>
    <definedName name="_re6" localSheetId="14" hidden="1">{"NOPCAPEVA",#N/A,FALSE,"Nopat";"FCFCSTAR",#N/A,FALSE,"FCFVAL";"EVAVL",#N/A,FALSE,"EVAVAL";"LEASE",#N/A,FALSE,"OpLease"}</definedName>
    <definedName name="_re6" localSheetId="16" hidden="1">{"NOPCAPEVA",#N/A,FALSE,"Nopat";"FCFCSTAR",#N/A,FALSE,"FCFVAL";"EVAVL",#N/A,FALSE,"EVAVAL";"LEASE",#N/A,FALSE,"OpLease"}</definedName>
    <definedName name="_re6" localSheetId="22" hidden="1">{"NOPCAPEVA",#N/A,FALSE,"Nopat";"FCFCSTAR",#N/A,FALSE,"FCFVAL";"EVAVL",#N/A,FALSE,"EVAVAL";"LEASE",#N/A,FALSE,"OpLease"}</definedName>
    <definedName name="_re6" localSheetId="24" hidden="1">{"NOPCAPEVA",#N/A,FALSE,"Nopat";"FCFCSTAR",#N/A,FALSE,"FCFVAL";"EVAVL",#N/A,FALSE,"EVAVAL";"LEASE",#N/A,FALSE,"OpLease"}</definedName>
    <definedName name="_re6" localSheetId="26" hidden="1">{"NOPCAPEVA",#N/A,FALSE,"Nopat";"FCFCSTAR",#N/A,FALSE,"FCFVAL";"EVAVL",#N/A,FALSE,"EVAVAL";"LEASE",#N/A,FALSE,"OpLease"}</definedName>
    <definedName name="_re6" localSheetId="28" hidden="1">{"NOPCAPEVA",#N/A,FALSE,"Nopat";"FCFCSTAR",#N/A,FALSE,"FCFVAL";"EVAVL",#N/A,FALSE,"EVAVAL";"LEASE",#N/A,FALSE,"OpLease"}</definedName>
    <definedName name="_re6" localSheetId="30" hidden="1">{"NOPCAPEVA",#N/A,FALSE,"Nopat";"FCFCSTAR",#N/A,FALSE,"FCFVAL";"EVAVL",#N/A,FALSE,"EVAVAL";"LEASE",#N/A,FALSE,"OpLease"}</definedName>
    <definedName name="_re6" localSheetId="32" hidden="1">{"NOPCAPEVA",#N/A,FALSE,"Nopat";"FCFCSTAR",#N/A,FALSE,"FCFVAL";"EVAVL",#N/A,FALSE,"EVAVAL";"LEASE",#N/A,FALSE,"OpLease"}</definedName>
    <definedName name="_re6" localSheetId="34" hidden="1">{"NOPCAPEVA",#N/A,FALSE,"Nopat";"FCFCSTAR",#N/A,FALSE,"FCFVAL";"EVAVL",#N/A,FALSE,"EVAVAL";"LEASE",#N/A,FALSE,"OpLease"}</definedName>
    <definedName name="_re6" localSheetId="36" hidden="1">{"NOPCAPEVA",#N/A,FALSE,"Nopat";"FCFCSTAR",#N/A,FALSE,"FCFVAL";"EVAVL",#N/A,FALSE,"EVAVAL";"LEASE",#N/A,FALSE,"OpLease"}</definedName>
    <definedName name="_re6" localSheetId="38" hidden="1">{"NOPCAPEVA",#N/A,FALSE,"Nopat";"FCFCSTAR",#N/A,FALSE,"FCFVAL";"EVAVL",#N/A,FALSE,"EVAVAL";"LEASE",#N/A,FALSE,"OpLease"}</definedName>
    <definedName name="_re6" hidden="1">{"NOPCAPEVA",#N/A,FALSE,"Nopat";"FCFCSTAR",#N/A,FALSE,"FCFVAL";"EVAVL",#N/A,FALSE,"EVAVAL";"LEASE",#N/A,FALSE,"OpLease"}</definedName>
    <definedName name="_re7" localSheetId="3" hidden="1">{"NOPCAPEVA",#N/A,FALSE,"Nopat";"FCFCSTAR",#N/A,FALSE,"FCFVAL";"EVAVL",#N/A,FALSE,"EVAVAL";"LEASE",#N/A,FALSE,"OpLease"}</definedName>
    <definedName name="_re7" localSheetId="5" hidden="1">{"NOPCAPEVA",#N/A,FALSE,"Nopat";"FCFCSTAR",#N/A,FALSE,"FCFVAL";"EVAVL",#N/A,FALSE,"EVAVAL";"LEASE",#N/A,FALSE,"OpLease"}</definedName>
    <definedName name="_re7" localSheetId="8" hidden="1">{"NOPCAPEVA",#N/A,FALSE,"Nopat";"FCFCSTAR",#N/A,FALSE,"FCFVAL";"EVAVL",#N/A,FALSE,"EVAVAL";"LEASE",#N/A,FALSE,"OpLease"}</definedName>
    <definedName name="_re7" localSheetId="10" hidden="1">{"NOPCAPEVA",#N/A,FALSE,"Nopat";"FCFCSTAR",#N/A,FALSE,"FCFVAL";"EVAVL",#N/A,FALSE,"EVAVAL";"LEASE",#N/A,FALSE,"OpLease"}</definedName>
    <definedName name="_re7" localSheetId="12" hidden="1">{"NOPCAPEVA",#N/A,FALSE,"Nopat";"FCFCSTAR",#N/A,FALSE,"FCFVAL";"EVAVL",#N/A,FALSE,"EVAVAL";"LEASE",#N/A,FALSE,"OpLease"}</definedName>
    <definedName name="_re7" localSheetId="14" hidden="1">{"NOPCAPEVA",#N/A,FALSE,"Nopat";"FCFCSTAR",#N/A,FALSE,"FCFVAL";"EVAVL",#N/A,FALSE,"EVAVAL";"LEASE",#N/A,FALSE,"OpLease"}</definedName>
    <definedName name="_re7" localSheetId="16" hidden="1">{"NOPCAPEVA",#N/A,FALSE,"Nopat";"FCFCSTAR",#N/A,FALSE,"FCFVAL";"EVAVL",#N/A,FALSE,"EVAVAL";"LEASE",#N/A,FALSE,"OpLease"}</definedName>
    <definedName name="_re7" localSheetId="22" hidden="1">{"NOPCAPEVA",#N/A,FALSE,"Nopat";"FCFCSTAR",#N/A,FALSE,"FCFVAL";"EVAVL",#N/A,FALSE,"EVAVAL";"LEASE",#N/A,FALSE,"OpLease"}</definedName>
    <definedName name="_re7" localSheetId="24" hidden="1">{"NOPCAPEVA",#N/A,FALSE,"Nopat";"FCFCSTAR",#N/A,FALSE,"FCFVAL";"EVAVL",#N/A,FALSE,"EVAVAL";"LEASE",#N/A,FALSE,"OpLease"}</definedName>
    <definedName name="_re7" localSheetId="26" hidden="1">{"NOPCAPEVA",#N/A,FALSE,"Nopat";"FCFCSTAR",#N/A,FALSE,"FCFVAL";"EVAVL",#N/A,FALSE,"EVAVAL";"LEASE",#N/A,FALSE,"OpLease"}</definedName>
    <definedName name="_re7" localSheetId="28" hidden="1">{"NOPCAPEVA",#N/A,FALSE,"Nopat";"FCFCSTAR",#N/A,FALSE,"FCFVAL";"EVAVL",#N/A,FALSE,"EVAVAL";"LEASE",#N/A,FALSE,"OpLease"}</definedName>
    <definedName name="_re7" localSheetId="30" hidden="1">{"NOPCAPEVA",#N/A,FALSE,"Nopat";"FCFCSTAR",#N/A,FALSE,"FCFVAL";"EVAVL",#N/A,FALSE,"EVAVAL";"LEASE",#N/A,FALSE,"OpLease"}</definedName>
    <definedName name="_re7" localSheetId="32" hidden="1">{"NOPCAPEVA",#N/A,FALSE,"Nopat";"FCFCSTAR",#N/A,FALSE,"FCFVAL";"EVAVL",#N/A,FALSE,"EVAVAL";"LEASE",#N/A,FALSE,"OpLease"}</definedName>
    <definedName name="_re7" localSheetId="34" hidden="1">{"NOPCAPEVA",#N/A,FALSE,"Nopat";"FCFCSTAR",#N/A,FALSE,"FCFVAL";"EVAVL",#N/A,FALSE,"EVAVAL";"LEASE",#N/A,FALSE,"OpLease"}</definedName>
    <definedName name="_re7" localSheetId="36" hidden="1">{"NOPCAPEVA",#N/A,FALSE,"Nopat";"FCFCSTAR",#N/A,FALSE,"FCFVAL";"EVAVL",#N/A,FALSE,"EVAVAL";"LEASE",#N/A,FALSE,"OpLease"}</definedName>
    <definedName name="_re7" localSheetId="38" hidden="1">{"NOPCAPEVA",#N/A,FALSE,"Nopat";"FCFCSTAR",#N/A,FALSE,"FCFVAL";"EVAVL",#N/A,FALSE,"EVAVAL";"LEASE",#N/A,FALSE,"OpLease"}</definedName>
    <definedName name="_re7" hidden="1">{"NOPCAPEVA",#N/A,FALSE,"Nopat";"FCFCSTAR",#N/A,FALSE,"FCFVAL";"EVAVL",#N/A,FALSE,"EVAVAL";"LEASE",#N/A,FALSE,"OpLease"}</definedName>
    <definedName name="_re8" localSheetId="3" hidden="1">{"NOPCAPEVA",#N/A,FALSE,"Nopat";"FCFCSTAR",#N/A,FALSE,"FCFVAL";"EVAVL",#N/A,FALSE,"EVAVAL";"LEASE",#N/A,FALSE,"OpLease"}</definedName>
    <definedName name="_re8" localSheetId="5" hidden="1">{"NOPCAPEVA",#N/A,FALSE,"Nopat";"FCFCSTAR",#N/A,FALSE,"FCFVAL";"EVAVL",#N/A,FALSE,"EVAVAL";"LEASE",#N/A,FALSE,"OpLease"}</definedName>
    <definedName name="_re8" localSheetId="8" hidden="1">{"NOPCAPEVA",#N/A,FALSE,"Nopat";"FCFCSTAR",#N/A,FALSE,"FCFVAL";"EVAVL",#N/A,FALSE,"EVAVAL";"LEASE",#N/A,FALSE,"OpLease"}</definedName>
    <definedName name="_re8" localSheetId="10" hidden="1">{"NOPCAPEVA",#N/A,FALSE,"Nopat";"FCFCSTAR",#N/A,FALSE,"FCFVAL";"EVAVL",#N/A,FALSE,"EVAVAL";"LEASE",#N/A,FALSE,"OpLease"}</definedName>
    <definedName name="_re8" localSheetId="12" hidden="1">{"NOPCAPEVA",#N/A,FALSE,"Nopat";"FCFCSTAR",#N/A,FALSE,"FCFVAL";"EVAVL",#N/A,FALSE,"EVAVAL";"LEASE",#N/A,FALSE,"OpLease"}</definedName>
    <definedName name="_re8" localSheetId="14" hidden="1">{"NOPCAPEVA",#N/A,FALSE,"Nopat";"FCFCSTAR",#N/A,FALSE,"FCFVAL";"EVAVL",#N/A,FALSE,"EVAVAL";"LEASE",#N/A,FALSE,"OpLease"}</definedName>
    <definedName name="_re8" localSheetId="16" hidden="1">{"NOPCAPEVA",#N/A,FALSE,"Nopat";"FCFCSTAR",#N/A,FALSE,"FCFVAL";"EVAVL",#N/A,FALSE,"EVAVAL";"LEASE",#N/A,FALSE,"OpLease"}</definedName>
    <definedName name="_re8" localSheetId="22" hidden="1">{"NOPCAPEVA",#N/A,FALSE,"Nopat";"FCFCSTAR",#N/A,FALSE,"FCFVAL";"EVAVL",#N/A,FALSE,"EVAVAL";"LEASE",#N/A,FALSE,"OpLease"}</definedName>
    <definedName name="_re8" localSheetId="24" hidden="1">{"NOPCAPEVA",#N/A,FALSE,"Nopat";"FCFCSTAR",#N/A,FALSE,"FCFVAL";"EVAVL",#N/A,FALSE,"EVAVAL";"LEASE",#N/A,FALSE,"OpLease"}</definedName>
    <definedName name="_re8" localSheetId="26" hidden="1">{"NOPCAPEVA",#N/A,FALSE,"Nopat";"FCFCSTAR",#N/A,FALSE,"FCFVAL";"EVAVL",#N/A,FALSE,"EVAVAL";"LEASE",#N/A,FALSE,"OpLease"}</definedName>
    <definedName name="_re8" localSheetId="28" hidden="1">{"NOPCAPEVA",#N/A,FALSE,"Nopat";"FCFCSTAR",#N/A,FALSE,"FCFVAL";"EVAVL",#N/A,FALSE,"EVAVAL";"LEASE",#N/A,FALSE,"OpLease"}</definedName>
    <definedName name="_re8" localSheetId="30" hidden="1">{"NOPCAPEVA",#N/A,FALSE,"Nopat";"FCFCSTAR",#N/A,FALSE,"FCFVAL";"EVAVL",#N/A,FALSE,"EVAVAL";"LEASE",#N/A,FALSE,"OpLease"}</definedName>
    <definedName name="_re8" localSheetId="32" hidden="1">{"NOPCAPEVA",#N/A,FALSE,"Nopat";"FCFCSTAR",#N/A,FALSE,"FCFVAL";"EVAVL",#N/A,FALSE,"EVAVAL";"LEASE",#N/A,FALSE,"OpLease"}</definedName>
    <definedName name="_re8" localSheetId="34" hidden="1">{"NOPCAPEVA",#N/A,FALSE,"Nopat";"FCFCSTAR",#N/A,FALSE,"FCFVAL";"EVAVL",#N/A,FALSE,"EVAVAL";"LEASE",#N/A,FALSE,"OpLease"}</definedName>
    <definedName name="_re8" localSheetId="36" hidden="1">{"NOPCAPEVA",#N/A,FALSE,"Nopat";"FCFCSTAR",#N/A,FALSE,"FCFVAL";"EVAVL",#N/A,FALSE,"EVAVAL";"LEASE",#N/A,FALSE,"OpLease"}</definedName>
    <definedName name="_re8" localSheetId="38" hidden="1">{"NOPCAPEVA",#N/A,FALSE,"Nopat";"FCFCSTAR",#N/A,FALSE,"FCFVAL";"EVAVL",#N/A,FALSE,"EVAVAL";"LEASE",#N/A,FALSE,"OpLease"}</definedName>
    <definedName name="_re8" hidden="1">{"NOPCAPEVA",#N/A,FALSE,"Nopat";"FCFCSTAR",#N/A,FALSE,"FCFVAL";"EVAVL",#N/A,FALSE,"EVAVAL";"LEASE",#N/A,FALSE,"OpLease"}</definedName>
    <definedName name="_RNG1">#REF!</definedName>
    <definedName name="_SBU2"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SBU2"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SBU2"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SBU2"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SBU2"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SBU2"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SBU2"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SBU2"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SBU2"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SBU2"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SBU2"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SBU2"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SBU2"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SBU2"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SBU2"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SBU2"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SBU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Sort" hidden="1">#REF!</definedName>
    <definedName name="_Sort1" hidden="1">#REF!</definedName>
    <definedName name="_Table1_In1" hidden="1">#REF!</definedName>
    <definedName name="_Table1_Out" hidden="1">#REF!</definedName>
    <definedName name="_Table2_Out" hidden="1">#REF!</definedName>
    <definedName name="a" localSheetId="3" hidden="1">{#N/A,#N/A,TRUE,"Capex Summ";#N/A,#N/A,TRUE,"Essential Works.tw";#N/A,#N/A,TRUE,"Desirable Works.tw";#N/A,#N/A,TRUE,"Essential Works.rt";#N/A,#N/A,TRUE,"Desirable Works.rt";#N/A,#N/A,TRUE,"Mthly";#N/A,#N/A,TRUE,"Essential Works.ht";#N/A,#N/A,TRUE,"Desirable Works.ht";#N/A,#N/A,TRUE,"Incentives"}</definedName>
    <definedName name="a" localSheetId="5" hidden="1">{#N/A,#N/A,TRUE,"Capex Summ";#N/A,#N/A,TRUE,"Essential Works.tw";#N/A,#N/A,TRUE,"Desirable Works.tw";#N/A,#N/A,TRUE,"Essential Works.rt";#N/A,#N/A,TRUE,"Desirable Works.rt";#N/A,#N/A,TRUE,"Mthly";#N/A,#N/A,TRUE,"Essential Works.ht";#N/A,#N/A,TRUE,"Desirable Works.ht";#N/A,#N/A,TRUE,"Incentives"}</definedName>
    <definedName name="a" localSheetId="8" hidden="1">{#N/A,#N/A,TRUE,"Capex Summ";#N/A,#N/A,TRUE,"Essential Works.tw";#N/A,#N/A,TRUE,"Desirable Works.tw";#N/A,#N/A,TRUE,"Essential Works.rt";#N/A,#N/A,TRUE,"Desirable Works.rt";#N/A,#N/A,TRUE,"Mthly";#N/A,#N/A,TRUE,"Essential Works.ht";#N/A,#N/A,TRUE,"Desirable Works.ht";#N/A,#N/A,TRUE,"Incentives"}</definedName>
    <definedName name="a" localSheetId="10" hidden="1">{#N/A,#N/A,TRUE,"Capex Summ";#N/A,#N/A,TRUE,"Essential Works.tw";#N/A,#N/A,TRUE,"Desirable Works.tw";#N/A,#N/A,TRUE,"Essential Works.rt";#N/A,#N/A,TRUE,"Desirable Works.rt";#N/A,#N/A,TRUE,"Mthly";#N/A,#N/A,TRUE,"Essential Works.ht";#N/A,#N/A,TRUE,"Desirable Works.ht";#N/A,#N/A,TRUE,"Incentives"}</definedName>
    <definedName name="a" localSheetId="12" hidden="1">{#N/A,#N/A,TRUE,"Capex Summ";#N/A,#N/A,TRUE,"Essential Works.tw";#N/A,#N/A,TRUE,"Desirable Works.tw";#N/A,#N/A,TRUE,"Essential Works.rt";#N/A,#N/A,TRUE,"Desirable Works.rt";#N/A,#N/A,TRUE,"Mthly";#N/A,#N/A,TRUE,"Essential Works.ht";#N/A,#N/A,TRUE,"Desirable Works.ht";#N/A,#N/A,TRUE,"Incentives"}</definedName>
    <definedName name="a" localSheetId="14" hidden="1">{#N/A,#N/A,TRUE,"Capex Summ";#N/A,#N/A,TRUE,"Essential Works.tw";#N/A,#N/A,TRUE,"Desirable Works.tw";#N/A,#N/A,TRUE,"Essential Works.rt";#N/A,#N/A,TRUE,"Desirable Works.rt";#N/A,#N/A,TRUE,"Mthly";#N/A,#N/A,TRUE,"Essential Works.ht";#N/A,#N/A,TRUE,"Desirable Works.ht";#N/A,#N/A,TRUE,"Incentives"}</definedName>
    <definedName name="a" localSheetId="16" hidden="1">{#N/A,#N/A,TRUE,"Capex Summ";#N/A,#N/A,TRUE,"Essential Works.tw";#N/A,#N/A,TRUE,"Desirable Works.tw";#N/A,#N/A,TRUE,"Essential Works.rt";#N/A,#N/A,TRUE,"Desirable Works.rt";#N/A,#N/A,TRUE,"Mthly";#N/A,#N/A,TRUE,"Essential Works.ht";#N/A,#N/A,TRUE,"Desirable Works.ht";#N/A,#N/A,TRUE,"Incentives"}</definedName>
    <definedName name="a" localSheetId="22" hidden="1">{#N/A,#N/A,TRUE,"Capex Summ";#N/A,#N/A,TRUE,"Essential Works.tw";#N/A,#N/A,TRUE,"Desirable Works.tw";#N/A,#N/A,TRUE,"Essential Works.rt";#N/A,#N/A,TRUE,"Desirable Works.rt";#N/A,#N/A,TRUE,"Mthly";#N/A,#N/A,TRUE,"Essential Works.ht";#N/A,#N/A,TRUE,"Desirable Works.ht";#N/A,#N/A,TRUE,"Incentives"}</definedName>
    <definedName name="a" localSheetId="24" hidden="1">{#N/A,#N/A,TRUE,"Capex Summ";#N/A,#N/A,TRUE,"Essential Works.tw";#N/A,#N/A,TRUE,"Desirable Works.tw";#N/A,#N/A,TRUE,"Essential Works.rt";#N/A,#N/A,TRUE,"Desirable Works.rt";#N/A,#N/A,TRUE,"Mthly";#N/A,#N/A,TRUE,"Essential Works.ht";#N/A,#N/A,TRUE,"Desirable Works.ht";#N/A,#N/A,TRUE,"Incentives"}</definedName>
    <definedName name="a" localSheetId="26" hidden="1">{#N/A,#N/A,TRUE,"Capex Summ";#N/A,#N/A,TRUE,"Essential Works.tw";#N/A,#N/A,TRUE,"Desirable Works.tw";#N/A,#N/A,TRUE,"Essential Works.rt";#N/A,#N/A,TRUE,"Desirable Works.rt";#N/A,#N/A,TRUE,"Mthly";#N/A,#N/A,TRUE,"Essential Works.ht";#N/A,#N/A,TRUE,"Desirable Works.ht";#N/A,#N/A,TRUE,"Incentives"}</definedName>
    <definedName name="a" localSheetId="28" hidden="1">{#N/A,#N/A,TRUE,"Capex Summ";#N/A,#N/A,TRUE,"Essential Works.tw";#N/A,#N/A,TRUE,"Desirable Works.tw";#N/A,#N/A,TRUE,"Essential Works.rt";#N/A,#N/A,TRUE,"Desirable Works.rt";#N/A,#N/A,TRUE,"Mthly";#N/A,#N/A,TRUE,"Essential Works.ht";#N/A,#N/A,TRUE,"Desirable Works.ht";#N/A,#N/A,TRUE,"Incentives"}</definedName>
    <definedName name="a" localSheetId="30" hidden="1">{#N/A,#N/A,TRUE,"Capex Summ";#N/A,#N/A,TRUE,"Essential Works.tw";#N/A,#N/A,TRUE,"Desirable Works.tw";#N/A,#N/A,TRUE,"Essential Works.rt";#N/A,#N/A,TRUE,"Desirable Works.rt";#N/A,#N/A,TRUE,"Mthly";#N/A,#N/A,TRUE,"Essential Works.ht";#N/A,#N/A,TRUE,"Desirable Works.ht";#N/A,#N/A,TRUE,"Incentives"}</definedName>
    <definedName name="a" localSheetId="32" hidden="1">{#N/A,#N/A,TRUE,"Capex Summ";#N/A,#N/A,TRUE,"Essential Works.tw";#N/A,#N/A,TRUE,"Desirable Works.tw";#N/A,#N/A,TRUE,"Essential Works.rt";#N/A,#N/A,TRUE,"Desirable Works.rt";#N/A,#N/A,TRUE,"Mthly";#N/A,#N/A,TRUE,"Essential Works.ht";#N/A,#N/A,TRUE,"Desirable Works.ht";#N/A,#N/A,TRUE,"Incentives"}</definedName>
    <definedName name="a" localSheetId="34" hidden="1">{#N/A,#N/A,TRUE,"Capex Summ";#N/A,#N/A,TRUE,"Essential Works.tw";#N/A,#N/A,TRUE,"Desirable Works.tw";#N/A,#N/A,TRUE,"Essential Works.rt";#N/A,#N/A,TRUE,"Desirable Works.rt";#N/A,#N/A,TRUE,"Mthly";#N/A,#N/A,TRUE,"Essential Works.ht";#N/A,#N/A,TRUE,"Desirable Works.ht";#N/A,#N/A,TRUE,"Incentives"}</definedName>
    <definedName name="a" localSheetId="36" hidden="1">{#N/A,#N/A,TRUE,"Capex Summ";#N/A,#N/A,TRUE,"Essential Works.tw";#N/A,#N/A,TRUE,"Desirable Works.tw";#N/A,#N/A,TRUE,"Essential Works.rt";#N/A,#N/A,TRUE,"Desirable Works.rt";#N/A,#N/A,TRUE,"Mthly";#N/A,#N/A,TRUE,"Essential Works.ht";#N/A,#N/A,TRUE,"Desirable Works.ht";#N/A,#N/A,TRUE,"Incentives"}</definedName>
    <definedName name="a" localSheetId="38" hidden="1">{#N/A,#N/A,TRUE,"Capex Summ";#N/A,#N/A,TRUE,"Essential Works.tw";#N/A,#N/A,TRUE,"Desirable Works.tw";#N/A,#N/A,TRUE,"Essential Works.rt";#N/A,#N/A,TRUE,"Desirable Works.rt";#N/A,#N/A,TRUE,"Mthly";#N/A,#N/A,TRUE,"Essential Works.ht";#N/A,#N/A,TRUE,"Desirable Works.ht";#N/A,#N/A,TRUE,"Incentives"}</definedName>
    <definedName name="a" hidden="1">{#N/A,#N/A,TRUE,"Capex Summ";#N/A,#N/A,TRUE,"Essential Works.tw";#N/A,#N/A,TRUE,"Desirable Works.tw";#N/A,#N/A,TRUE,"Essential Works.rt";#N/A,#N/A,TRUE,"Desirable Works.rt";#N/A,#N/A,TRUE,"Mthly";#N/A,#N/A,TRUE,"Essential Works.ht";#N/A,#N/A,TRUE,"Desirable Works.ht";#N/A,#N/A,TRUE,"Incentives"}</definedName>
    <definedName name="à" localSheetId="3" hidden="1">{#N/A,#N/A,FALSE,"Aging Summary";#N/A,#N/A,FALSE,"Ratio Analysis";#N/A,#N/A,FALSE,"Test 120 Day Accts";#N/A,#N/A,FALSE,"Tickmarks"}</definedName>
    <definedName name="à" localSheetId="5" hidden="1">{#N/A,#N/A,FALSE,"Aging Summary";#N/A,#N/A,FALSE,"Ratio Analysis";#N/A,#N/A,FALSE,"Test 120 Day Accts";#N/A,#N/A,FALSE,"Tickmarks"}</definedName>
    <definedName name="à" localSheetId="8" hidden="1">{#N/A,#N/A,FALSE,"Aging Summary";#N/A,#N/A,FALSE,"Ratio Analysis";#N/A,#N/A,FALSE,"Test 120 Day Accts";#N/A,#N/A,FALSE,"Tickmarks"}</definedName>
    <definedName name="à" localSheetId="10" hidden="1">{#N/A,#N/A,FALSE,"Aging Summary";#N/A,#N/A,FALSE,"Ratio Analysis";#N/A,#N/A,FALSE,"Test 120 Day Accts";#N/A,#N/A,FALSE,"Tickmarks"}</definedName>
    <definedName name="à" localSheetId="12" hidden="1">{#N/A,#N/A,FALSE,"Aging Summary";#N/A,#N/A,FALSE,"Ratio Analysis";#N/A,#N/A,FALSE,"Test 120 Day Accts";#N/A,#N/A,FALSE,"Tickmarks"}</definedName>
    <definedName name="à" localSheetId="14" hidden="1">{#N/A,#N/A,FALSE,"Aging Summary";#N/A,#N/A,FALSE,"Ratio Analysis";#N/A,#N/A,FALSE,"Test 120 Day Accts";#N/A,#N/A,FALSE,"Tickmarks"}</definedName>
    <definedName name="à" localSheetId="16" hidden="1">{#N/A,#N/A,FALSE,"Aging Summary";#N/A,#N/A,FALSE,"Ratio Analysis";#N/A,#N/A,FALSE,"Test 120 Day Accts";#N/A,#N/A,FALSE,"Tickmarks"}</definedName>
    <definedName name="à" localSheetId="22" hidden="1">{#N/A,#N/A,FALSE,"Aging Summary";#N/A,#N/A,FALSE,"Ratio Analysis";#N/A,#N/A,FALSE,"Test 120 Day Accts";#N/A,#N/A,FALSE,"Tickmarks"}</definedName>
    <definedName name="à" localSheetId="24" hidden="1">{#N/A,#N/A,FALSE,"Aging Summary";#N/A,#N/A,FALSE,"Ratio Analysis";#N/A,#N/A,FALSE,"Test 120 Day Accts";#N/A,#N/A,FALSE,"Tickmarks"}</definedName>
    <definedName name="à" localSheetId="26" hidden="1">{#N/A,#N/A,FALSE,"Aging Summary";#N/A,#N/A,FALSE,"Ratio Analysis";#N/A,#N/A,FALSE,"Test 120 Day Accts";#N/A,#N/A,FALSE,"Tickmarks"}</definedName>
    <definedName name="à" localSheetId="28" hidden="1">{#N/A,#N/A,FALSE,"Aging Summary";#N/A,#N/A,FALSE,"Ratio Analysis";#N/A,#N/A,FALSE,"Test 120 Day Accts";#N/A,#N/A,FALSE,"Tickmarks"}</definedName>
    <definedName name="à" localSheetId="30" hidden="1">{#N/A,#N/A,FALSE,"Aging Summary";#N/A,#N/A,FALSE,"Ratio Analysis";#N/A,#N/A,FALSE,"Test 120 Day Accts";#N/A,#N/A,FALSE,"Tickmarks"}</definedName>
    <definedName name="à" localSheetId="32" hidden="1">{#N/A,#N/A,FALSE,"Aging Summary";#N/A,#N/A,FALSE,"Ratio Analysis";#N/A,#N/A,FALSE,"Test 120 Day Accts";#N/A,#N/A,FALSE,"Tickmarks"}</definedName>
    <definedName name="à" localSheetId="34" hidden="1">{#N/A,#N/A,FALSE,"Aging Summary";#N/A,#N/A,FALSE,"Ratio Analysis";#N/A,#N/A,FALSE,"Test 120 Day Accts";#N/A,#N/A,FALSE,"Tickmarks"}</definedName>
    <definedName name="à" localSheetId="36" hidden="1">{#N/A,#N/A,FALSE,"Aging Summary";#N/A,#N/A,FALSE,"Ratio Analysis";#N/A,#N/A,FALSE,"Test 120 Day Accts";#N/A,#N/A,FALSE,"Tickmarks"}</definedName>
    <definedName name="à" localSheetId="38" hidden="1">{#N/A,#N/A,FALSE,"Aging Summary";#N/A,#N/A,FALSE,"Ratio Analysis";#N/A,#N/A,FALSE,"Test 120 Day Accts";#N/A,#N/A,FALSE,"Tickmarks"}</definedName>
    <definedName name="à" hidden="1">{#N/A,#N/A,FALSE,"Aging Summary";#N/A,#N/A,FALSE,"Ratio Analysis";#N/A,#N/A,FALSE,"Test 120 Day Accts";#N/A,#N/A,FALSE,"Tickmarks"}</definedName>
    <definedName name="aa"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#REF!</definedName>
    <definedName name="AAA_DOCTOPS" hidden="1">"AAA_SET"</definedName>
    <definedName name="AAA_duser" hidden="1">"OFF"</definedName>
    <definedName name="AAAAA" localSheetId="3"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 localSheetId="5"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 localSheetId="8"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 localSheetId="10"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 localSheetId="12"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 localSheetId="14"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 localSheetId="16"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 localSheetId="22"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 localSheetId="24"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 localSheetId="26"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 localSheetId="28"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 localSheetId="30"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 localSheetId="32"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 localSheetId="34"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 localSheetId="36"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 localSheetId="38"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aaaaa"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aaaaaaaa" localSheetId="3" hidden="1">{#N/A,#N/A,TRUE,"Capex Summ";#N/A,#N/A,TRUE,"Essential Works.tw";#N/A,#N/A,TRUE,"Desirable Works.tw";#N/A,#N/A,TRUE,"Essential Works.rt";#N/A,#N/A,TRUE,"Desirable Works.rt";#N/A,#N/A,TRUE,"Mthly";#N/A,#N/A,TRUE,"Essential Works.ht";#N/A,#N/A,TRUE,"Desirable Works.ht";#N/A,#N/A,TRUE,"Incentives"}</definedName>
    <definedName name="aaaaaaaaaaaaaa" localSheetId="5" hidden="1">{#N/A,#N/A,TRUE,"Capex Summ";#N/A,#N/A,TRUE,"Essential Works.tw";#N/A,#N/A,TRUE,"Desirable Works.tw";#N/A,#N/A,TRUE,"Essential Works.rt";#N/A,#N/A,TRUE,"Desirable Works.rt";#N/A,#N/A,TRUE,"Mthly";#N/A,#N/A,TRUE,"Essential Works.ht";#N/A,#N/A,TRUE,"Desirable Works.ht";#N/A,#N/A,TRUE,"Incentives"}</definedName>
    <definedName name="aaaaaaaaaaaaaa" localSheetId="8" hidden="1">{#N/A,#N/A,TRUE,"Capex Summ";#N/A,#N/A,TRUE,"Essential Works.tw";#N/A,#N/A,TRUE,"Desirable Works.tw";#N/A,#N/A,TRUE,"Essential Works.rt";#N/A,#N/A,TRUE,"Desirable Works.rt";#N/A,#N/A,TRUE,"Mthly";#N/A,#N/A,TRUE,"Essential Works.ht";#N/A,#N/A,TRUE,"Desirable Works.ht";#N/A,#N/A,TRUE,"Incentives"}</definedName>
    <definedName name="aaaaaaaaaaaaaa" localSheetId="10" hidden="1">{#N/A,#N/A,TRUE,"Capex Summ";#N/A,#N/A,TRUE,"Essential Works.tw";#N/A,#N/A,TRUE,"Desirable Works.tw";#N/A,#N/A,TRUE,"Essential Works.rt";#N/A,#N/A,TRUE,"Desirable Works.rt";#N/A,#N/A,TRUE,"Mthly";#N/A,#N/A,TRUE,"Essential Works.ht";#N/A,#N/A,TRUE,"Desirable Works.ht";#N/A,#N/A,TRUE,"Incentives"}</definedName>
    <definedName name="aaaaaaaaaaaaaa" localSheetId="12" hidden="1">{#N/A,#N/A,TRUE,"Capex Summ";#N/A,#N/A,TRUE,"Essential Works.tw";#N/A,#N/A,TRUE,"Desirable Works.tw";#N/A,#N/A,TRUE,"Essential Works.rt";#N/A,#N/A,TRUE,"Desirable Works.rt";#N/A,#N/A,TRUE,"Mthly";#N/A,#N/A,TRUE,"Essential Works.ht";#N/A,#N/A,TRUE,"Desirable Works.ht";#N/A,#N/A,TRUE,"Incentives"}</definedName>
    <definedName name="aaaaaaaaaaaaaa" localSheetId="14" hidden="1">{#N/A,#N/A,TRUE,"Capex Summ";#N/A,#N/A,TRUE,"Essential Works.tw";#N/A,#N/A,TRUE,"Desirable Works.tw";#N/A,#N/A,TRUE,"Essential Works.rt";#N/A,#N/A,TRUE,"Desirable Works.rt";#N/A,#N/A,TRUE,"Mthly";#N/A,#N/A,TRUE,"Essential Works.ht";#N/A,#N/A,TRUE,"Desirable Works.ht";#N/A,#N/A,TRUE,"Incentives"}</definedName>
    <definedName name="aaaaaaaaaaaaaa" localSheetId="16" hidden="1">{#N/A,#N/A,TRUE,"Capex Summ";#N/A,#N/A,TRUE,"Essential Works.tw";#N/A,#N/A,TRUE,"Desirable Works.tw";#N/A,#N/A,TRUE,"Essential Works.rt";#N/A,#N/A,TRUE,"Desirable Works.rt";#N/A,#N/A,TRUE,"Mthly";#N/A,#N/A,TRUE,"Essential Works.ht";#N/A,#N/A,TRUE,"Desirable Works.ht";#N/A,#N/A,TRUE,"Incentives"}</definedName>
    <definedName name="aaaaaaaaaaaaaa" localSheetId="22" hidden="1">{#N/A,#N/A,TRUE,"Capex Summ";#N/A,#N/A,TRUE,"Essential Works.tw";#N/A,#N/A,TRUE,"Desirable Works.tw";#N/A,#N/A,TRUE,"Essential Works.rt";#N/A,#N/A,TRUE,"Desirable Works.rt";#N/A,#N/A,TRUE,"Mthly";#N/A,#N/A,TRUE,"Essential Works.ht";#N/A,#N/A,TRUE,"Desirable Works.ht";#N/A,#N/A,TRUE,"Incentives"}</definedName>
    <definedName name="aaaaaaaaaaaaaa" localSheetId="40" hidden="1">{#N/A,#N/A,TRUE,"Capex Summ";#N/A,#N/A,TRUE,"Essential Works.tw";#N/A,#N/A,TRUE,"Desirable Works.tw";#N/A,#N/A,TRUE,"Essential Works.rt";#N/A,#N/A,TRUE,"Desirable Works.rt";#N/A,#N/A,TRUE,"Mthly";#N/A,#N/A,TRUE,"Essential Works.ht";#N/A,#N/A,TRUE,"Desirable Works.ht";#N/A,#N/A,TRUE,"Incentives"}</definedName>
    <definedName name="aaaaaaaaaaaaaa" localSheetId="24" hidden="1">{#N/A,#N/A,TRUE,"Capex Summ";#N/A,#N/A,TRUE,"Essential Works.tw";#N/A,#N/A,TRUE,"Desirable Works.tw";#N/A,#N/A,TRUE,"Essential Works.rt";#N/A,#N/A,TRUE,"Desirable Works.rt";#N/A,#N/A,TRUE,"Mthly";#N/A,#N/A,TRUE,"Essential Works.ht";#N/A,#N/A,TRUE,"Desirable Works.ht";#N/A,#N/A,TRUE,"Incentives"}</definedName>
    <definedName name="aaaaaaaaaaaaaa" localSheetId="26" hidden="1">{#N/A,#N/A,TRUE,"Capex Summ";#N/A,#N/A,TRUE,"Essential Works.tw";#N/A,#N/A,TRUE,"Desirable Works.tw";#N/A,#N/A,TRUE,"Essential Works.rt";#N/A,#N/A,TRUE,"Desirable Works.rt";#N/A,#N/A,TRUE,"Mthly";#N/A,#N/A,TRUE,"Essential Works.ht";#N/A,#N/A,TRUE,"Desirable Works.ht";#N/A,#N/A,TRUE,"Incentives"}</definedName>
    <definedName name="aaaaaaaaaaaaaa" localSheetId="28" hidden="1">{#N/A,#N/A,TRUE,"Capex Summ";#N/A,#N/A,TRUE,"Essential Works.tw";#N/A,#N/A,TRUE,"Desirable Works.tw";#N/A,#N/A,TRUE,"Essential Works.rt";#N/A,#N/A,TRUE,"Desirable Works.rt";#N/A,#N/A,TRUE,"Mthly";#N/A,#N/A,TRUE,"Essential Works.ht";#N/A,#N/A,TRUE,"Desirable Works.ht";#N/A,#N/A,TRUE,"Incentives"}</definedName>
    <definedName name="aaaaaaaaaaaaaa" localSheetId="30" hidden="1">{#N/A,#N/A,TRUE,"Capex Summ";#N/A,#N/A,TRUE,"Essential Works.tw";#N/A,#N/A,TRUE,"Desirable Works.tw";#N/A,#N/A,TRUE,"Essential Works.rt";#N/A,#N/A,TRUE,"Desirable Works.rt";#N/A,#N/A,TRUE,"Mthly";#N/A,#N/A,TRUE,"Essential Works.ht";#N/A,#N/A,TRUE,"Desirable Works.ht";#N/A,#N/A,TRUE,"Incentives"}</definedName>
    <definedName name="aaaaaaaaaaaaaa" localSheetId="32" hidden="1">{#N/A,#N/A,TRUE,"Capex Summ";#N/A,#N/A,TRUE,"Essential Works.tw";#N/A,#N/A,TRUE,"Desirable Works.tw";#N/A,#N/A,TRUE,"Essential Works.rt";#N/A,#N/A,TRUE,"Desirable Works.rt";#N/A,#N/A,TRUE,"Mthly";#N/A,#N/A,TRUE,"Essential Works.ht";#N/A,#N/A,TRUE,"Desirable Works.ht";#N/A,#N/A,TRUE,"Incentives"}</definedName>
    <definedName name="aaaaaaaaaaaaaa" localSheetId="34" hidden="1">{#N/A,#N/A,TRUE,"Capex Summ";#N/A,#N/A,TRUE,"Essential Works.tw";#N/A,#N/A,TRUE,"Desirable Works.tw";#N/A,#N/A,TRUE,"Essential Works.rt";#N/A,#N/A,TRUE,"Desirable Works.rt";#N/A,#N/A,TRUE,"Mthly";#N/A,#N/A,TRUE,"Essential Works.ht";#N/A,#N/A,TRUE,"Desirable Works.ht";#N/A,#N/A,TRUE,"Incentives"}</definedName>
    <definedName name="aaaaaaaaaaaaaa" localSheetId="36" hidden="1">{#N/A,#N/A,TRUE,"Capex Summ";#N/A,#N/A,TRUE,"Essential Works.tw";#N/A,#N/A,TRUE,"Desirable Works.tw";#N/A,#N/A,TRUE,"Essential Works.rt";#N/A,#N/A,TRUE,"Desirable Works.rt";#N/A,#N/A,TRUE,"Mthly";#N/A,#N/A,TRUE,"Essential Works.ht";#N/A,#N/A,TRUE,"Desirable Works.ht";#N/A,#N/A,TRUE,"Incentives"}</definedName>
    <definedName name="aaaaaaaaaaaaaa" localSheetId="38" hidden="1">{#N/A,#N/A,TRUE,"Capex Summ";#N/A,#N/A,TRUE,"Essential Works.tw";#N/A,#N/A,TRUE,"Desirable Works.tw";#N/A,#N/A,TRUE,"Essential Works.rt";#N/A,#N/A,TRUE,"Desirable Works.rt";#N/A,#N/A,TRUE,"Mthly";#N/A,#N/A,TRUE,"Essential Works.ht";#N/A,#N/A,TRUE,"Desirable Works.ht";#N/A,#N/A,TRUE,"Incentives"}</definedName>
    <definedName name="aaaaaaaaaaaaaa" hidden="1">{#N/A,#N/A,TRUE,"Capex Summ";#N/A,#N/A,TRUE,"Essential Works.tw";#N/A,#N/A,TRUE,"Desirable Works.tw";#N/A,#N/A,TRUE,"Essential Works.rt";#N/A,#N/A,TRUE,"Desirable Works.rt";#N/A,#N/A,TRUE,"Mthly";#N/A,#N/A,TRUE,"Essential Works.ht";#N/A,#N/A,TRUE,"Desirable Works.ht";#N/A,#N/A,TRUE,"Incentives"}</definedName>
    <definedName name="aaaaaaaaaaaaaaaaa" localSheetId="3" hidden="1">{#N/A,#N/A,TRUE,"Proposal";#N/A,#N/A,TRUE,"Assumptions";#N/A,#N/A,TRUE,"Net Income";#N/A,#N/A,TRUE,"Balsheet";#N/A,#N/A,TRUE,"Capex";#N/A,#N/A,TRUE,"Volumes";#N/A,#N/A,TRUE,"Revenues";#N/A,#N/A,TRUE,"Var.Costs";#N/A,#N/A,TRUE,"Personnel";#N/A,#N/A,TRUE,"Other costs";#N/A,#N/A,TRUE,"MKTG and G&amp;A"}</definedName>
    <definedName name="aaaaaaaaaaaaaaaaa" localSheetId="5" hidden="1">{#N/A,#N/A,TRUE,"Proposal";#N/A,#N/A,TRUE,"Assumptions";#N/A,#N/A,TRUE,"Net Income";#N/A,#N/A,TRUE,"Balsheet";#N/A,#N/A,TRUE,"Capex";#N/A,#N/A,TRUE,"Volumes";#N/A,#N/A,TRUE,"Revenues";#N/A,#N/A,TRUE,"Var.Costs";#N/A,#N/A,TRUE,"Personnel";#N/A,#N/A,TRUE,"Other costs";#N/A,#N/A,TRUE,"MKTG and G&amp;A"}</definedName>
    <definedName name="aaaaaaaaaaaaaaaaa" localSheetId="8" hidden="1">{#N/A,#N/A,TRUE,"Proposal";#N/A,#N/A,TRUE,"Assumptions";#N/A,#N/A,TRUE,"Net Income";#N/A,#N/A,TRUE,"Balsheet";#N/A,#N/A,TRUE,"Capex";#N/A,#N/A,TRUE,"Volumes";#N/A,#N/A,TRUE,"Revenues";#N/A,#N/A,TRUE,"Var.Costs";#N/A,#N/A,TRUE,"Personnel";#N/A,#N/A,TRUE,"Other costs";#N/A,#N/A,TRUE,"MKTG and G&amp;A"}</definedName>
    <definedName name="aaaaaaaaaaaaaaaaa" localSheetId="10" hidden="1">{#N/A,#N/A,TRUE,"Proposal";#N/A,#N/A,TRUE,"Assumptions";#N/A,#N/A,TRUE,"Net Income";#N/A,#N/A,TRUE,"Balsheet";#N/A,#N/A,TRUE,"Capex";#N/A,#N/A,TRUE,"Volumes";#N/A,#N/A,TRUE,"Revenues";#N/A,#N/A,TRUE,"Var.Costs";#N/A,#N/A,TRUE,"Personnel";#N/A,#N/A,TRUE,"Other costs";#N/A,#N/A,TRUE,"MKTG and G&amp;A"}</definedName>
    <definedName name="aaaaaaaaaaaaaaaaa" localSheetId="12" hidden="1">{#N/A,#N/A,TRUE,"Proposal";#N/A,#N/A,TRUE,"Assumptions";#N/A,#N/A,TRUE,"Net Income";#N/A,#N/A,TRUE,"Balsheet";#N/A,#N/A,TRUE,"Capex";#N/A,#N/A,TRUE,"Volumes";#N/A,#N/A,TRUE,"Revenues";#N/A,#N/A,TRUE,"Var.Costs";#N/A,#N/A,TRUE,"Personnel";#N/A,#N/A,TRUE,"Other costs";#N/A,#N/A,TRUE,"MKTG and G&amp;A"}</definedName>
    <definedName name="aaaaaaaaaaaaaaaaa" localSheetId="14" hidden="1">{#N/A,#N/A,TRUE,"Proposal";#N/A,#N/A,TRUE,"Assumptions";#N/A,#N/A,TRUE,"Net Income";#N/A,#N/A,TRUE,"Balsheet";#N/A,#N/A,TRUE,"Capex";#N/A,#N/A,TRUE,"Volumes";#N/A,#N/A,TRUE,"Revenues";#N/A,#N/A,TRUE,"Var.Costs";#N/A,#N/A,TRUE,"Personnel";#N/A,#N/A,TRUE,"Other costs";#N/A,#N/A,TRUE,"MKTG and G&amp;A"}</definedName>
    <definedName name="aaaaaaaaaaaaaaaaa" localSheetId="16" hidden="1">{#N/A,#N/A,TRUE,"Proposal";#N/A,#N/A,TRUE,"Assumptions";#N/A,#N/A,TRUE,"Net Income";#N/A,#N/A,TRUE,"Balsheet";#N/A,#N/A,TRUE,"Capex";#N/A,#N/A,TRUE,"Volumes";#N/A,#N/A,TRUE,"Revenues";#N/A,#N/A,TRUE,"Var.Costs";#N/A,#N/A,TRUE,"Personnel";#N/A,#N/A,TRUE,"Other costs";#N/A,#N/A,TRUE,"MKTG and G&amp;A"}</definedName>
    <definedName name="aaaaaaaaaaaaaaaaa" localSheetId="22" hidden="1">{#N/A,#N/A,TRUE,"Proposal";#N/A,#N/A,TRUE,"Assumptions";#N/A,#N/A,TRUE,"Net Income";#N/A,#N/A,TRUE,"Balsheet";#N/A,#N/A,TRUE,"Capex";#N/A,#N/A,TRUE,"Volumes";#N/A,#N/A,TRUE,"Revenues";#N/A,#N/A,TRUE,"Var.Costs";#N/A,#N/A,TRUE,"Personnel";#N/A,#N/A,TRUE,"Other costs";#N/A,#N/A,TRUE,"MKTG and G&amp;A"}</definedName>
    <definedName name="aaaaaaaaaaaaaaaaa" localSheetId="24" hidden="1">{#N/A,#N/A,TRUE,"Proposal";#N/A,#N/A,TRUE,"Assumptions";#N/A,#N/A,TRUE,"Net Income";#N/A,#N/A,TRUE,"Balsheet";#N/A,#N/A,TRUE,"Capex";#N/A,#N/A,TRUE,"Volumes";#N/A,#N/A,TRUE,"Revenues";#N/A,#N/A,TRUE,"Var.Costs";#N/A,#N/A,TRUE,"Personnel";#N/A,#N/A,TRUE,"Other costs";#N/A,#N/A,TRUE,"MKTG and G&amp;A"}</definedName>
    <definedName name="aaaaaaaaaaaaaaaaa" localSheetId="26" hidden="1">{#N/A,#N/A,TRUE,"Proposal";#N/A,#N/A,TRUE,"Assumptions";#N/A,#N/A,TRUE,"Net Income";#N/A,#N/A,TRUE,"Balsheet";#N/A,#N/A,TRUE,"Capex";#N/A,#N/A,TRUE,"Volumes";#N/A,#N/A,TRUE,"Revenues";#N/A,#N/A,TRUE,"Var.Costs";#N/A,#N/A,TRUE,"Personnel";#N/A,#N/A,TRUE,"Other costs";#N/A,#N/A,TRUE,"MKTG and G&amp;A"}</definedName>
    <definedName name="aaaaaaaaaaaaaaaaa" localSheetId="28" hidden="1">{#N/A,#N/A,TRUE,"Proposal";#N/A,#N/A,TRUE,"Assumptions";#N/A,#N/A,TRUE,"Net Income";#N/A,#N/A,TRUE,"Balsheet";#N/A,#N/A,TRUE,"Capex";#N/A,#N/A,TRUE,"Volumes";#N/A,#N/A,TRUE,"Revenues";#N/A,#N/A,TRUE,"Var.Costs";#N/A,#N/A,TRUE,"Personnel";#N/A,#N/A,TRUE,"Other costs";#N/A,#N/A,TRUE,"MKTG and G&amp;A"}</definedName>
    <definedName name="aaaaaaaaaaaaaaaaa" localSheetId="30" hidden="1">{#N/A,#N/A,TRUE,"Proposal";#N/A,#N/A,TRUE,"Assumptions";#N/A,#N/A,TRUE,"Net Income";#N/A,#N/A,TRUE,"Balsheet";#N/A,#N/A,TRUE,"Capex";#N/A,#N/A,TRUE,"Volumes";#N/A,#N/A,TRUE,"Revenues";#N/A,#N/A,TRUE,"Var.Costs";#N/A,#N/A,TRUE,"Personnel";#N/A,#N/A,TRUE,"Other costs";#N/A,#N/A,TRUE,"MKTG and G&amp;A"}</definedName>
    <definedName name="aaaaaaaaaaaaaaaaa" localSheetId="32" hidden="1">{#N/A,#N/A,TRUE,"Proposal";#N/A,#N/A,TRUE,"Assumptions";#N/A,#N/A,TRUE,"Net Income";#N/A,#N/A,TRUE,"Balsheet";#N/A,#N/A,TRUE,"Capex";#N/A,#N/A,TRUE,"Volumes";#N/A,#N/A,TRUE,"Revenues";#N/A,#N/A,TRUE,"Var.Costs";#N/A,#N/A,TRUE,"Personnel";#N/A,#N/A,TRUE,"Other costs";#N/A,#N/A,TRUE,"MKTG and G&amp;A"}</definedName>
    <definedName name="aaaaaaaaaaaaaaaaa" localSheetId="34" hidden="1">{#N/A,#N/A,TRUE,"Proposal";#N/A,#N/A,TRUE,"Assumptions";#N/A,#N/A,TRUE,"Net Income";#N/A,#N/A,TRUE,"Balsheet";#N/A,#N/A,TRUE,"Capex";#N/A,#N/A,TRUE,"Volumes";#N/A,#N/A,TRUE,"Revenues";#N/A,#N/A,TRUE,"Var.Costs";#N/A,#N/A,TRUE,"Personnel";#N/A,#N/A,TRUE,"Other costs";#N/A,#N/A,TRUE,"MKTG and G&amp;A"}</definedName>
    <definedName name="aaaaaaaaaaaaaaaaa" localSheetId="36" hidden="1">{#N/A,#N/A,TRUE,"Proposal";#N/A,#N/A,TRUE,"Assumptions";#N/A,#N/A,TRUE,"Net Income";#N/A,#N/A,TRUE,"Balsheet";#N/A,#N/A,TRUE,"Capex";#N/A,#N/A,TRUE,"Volumes";#N/A,#N/A,TRUE,"Revenues";#N/A,#N/A,TRUE,"Var.Costs";#N/A,#N/A,TRUE,"Personnel";#N/A,#N/A,TRUE,"Other costs";#N/A,#N/A,TRUE,"MKTG and G&amp;A"}</definedName>
    <definedName name="aaaaaaaaaaaaaaaaa" localSheetId="38" hidden="1">{#N/A,#N/A,TRUE,"Proposal";#N/A,#N/A,TRUE,"Assumptions";#N/A,#N/A,TRUE,"Net Income";#N/A,#N/A,TRUE,"Balsheet";#N/A,#N/A,TRUE,"Capex";#N/A,#N/A,TRUE,"Volumes";#N/A,#N/A,TRUE,"Revenues";#N/A,#N/A,TRUE,"Var.Costs";#N/A,#N/A,TRUE,"Personnel";#N/A,#N/A,TRUE,"Other costs";#N/A,#N/A,TRUE,"MKTG and G&amp;A"}</definedName>
    <definedName name="aaaaaaaaaaaaaaaaa" hidden="1">{#N/A,#N/A,TRUE,"Proposal";#N/A,#N/A,TRUE,"Assumptions";#N/A,#N/A,TRUE,"Net Income";#N/A,#N/A,TRUE,"Balsheet";#N/A,#N/A,TRUE,"Capex";#N/A,#N/A,TRUE,"Volumes";#N/A,#N/A,TRUE,"Revenues";#N/A,#N/A,TRUE,"Var.Costs";#N/A,#N/A,TRUE,"Personnel";#N/A,#N/A,TRUE,"Other costs";#N/A,#N/A,TRUE,"MKTG and G&amp;A"}</definedName>
    <definedName name="aaaaaqa" localSheetId="3" hidden="1">{#N/A,#N/A,FALSE,"MONTHDET";#N/A,#N/A,FALSE,"ACTUAL"}</definedName>
    <definedName name="aaaaaqa" localSheetId="5" hidden="1">{#N/A,#N/A,FALSE,"MONTHDET";#N/A,#N/A,FALSE,"ACTUAL"}</definedName>
    <definedName name="aaaaaqa" localSheetId="8" hidden="1">{#N/A,#N/A,FALSE,"MONTHDET";#N/A,#N/A,FALSE,"ACTUAL"}</definedName>
    <definedName name="aaaaaqa" localSheetId="10" hidden="1">{#N/A,#N/A,FALSE,"MONTHDET";#N/A,#N/A,FALSE,"ACTUAL"}</definedName>
    <definedName name="aaaaaqa" localSheetId="12" hidden="1">{#N/A,#N/A,FALSE,"MONTHDET";#N/A,#N/A,FALSE,"ACTUAL"}</definedName>
    <definedName name="aaaaaqa" localSheetId="14" hidden="1">{#N/A,#N/A,FALSE,"MONTHDET";#N/A,#N/A,FALSE,"ACTUAL"}</definedName>
    <definedName name="aaaaaqa" localSheetId="16" hidden="1">{#N/A,#N/A,FALSE,"MONTHDET";#N/A,#N/A,FALSE,"ACTUAL"}</definedName>
    <definedName name="aaaaaqa" localSheetId="22" hidden="1">{#N/A,#N/A,FALSE,"MONTHDET";#N/A,#N/A,FALSE,"ACTUAL"}</definedName>
    <definedName name="aaaaaqa" localSheetId="24" hidden="1">{#N/A,#N/A,FALSE,"MONTHDET";#N/A,#N/A,FALSE,"ACTUAL"}</definedName>
    <definedName name="aaaaaqa" localSheetId="26" hidden="1">{#N/A,#N/A,FALSE,"MONTHDET";#N/A,#N/A,FALSE,"ACTUAL"}</definedName>
    <definedName name="aaaaaqa" localSheetId="28" hidden="1">{#N/A,#N/A,FALSE,"MONTHDET";#N/A,#N/A,FALSE,"ACTUAL"}</definedName>
    <definedName name="aaaaaqa" localSheetId="30" hidden="1">{#N/A,#N/A,FALSE,"MONTHDET";#N/A,#N/A,FALSE,"ACTUAL"}</definedName>
    <definedName name="aaaaaqa" localSheetId="32" hidden="1">{#N/A,#N/A,FALSE,"MONTHDET";#N/A,#N/A,FALSE,"ACTUAL"}</definedName>
    <definedName name="aaaaaqa" localSheetId="34" hidden="1">{#N/A,#N/A,FALSE,"MONTHDET";#N/A,#N/A,FALSE,"ACTUAL"}</definedName>
    <definedName name="aaaaaqa" localSheetId="36" hidden="1">{#N/A,#N/A,FALSE,"MONTHDET";#N/A,#N/A,FALSE,"ACTUAL"}</definedName>
    <definedName name="aaaaaqa" localSheetId="38" hidden="1">{#N/A,#N/A,FALSE,"MONTHDET";#N/A,#N/A,FALSE,"ACTUAL"}</definedName>
    <definedName name="aaaaaqa" hidden="1">{#N/A,#N/A,FALSE,"MONTHDET";#N/A,#N/A,FALSE,"ACTUAL"}</definedName>
    <definedName name="aab" localSheetId="3" hidden="1">{#N/A,#N/A,FALSE,"MONTHDET";#N/A,#N/A,FALSE,"ACTUAL"}</definedName>
    <definedName name="aab" localSheetId="5" hidden="1">{#N/A,#N/A,FALSE,"MONTHDET";#N/A,#N/A,FALSE,"ACTUAL"}</definedName>
    <definedName name="aab" localSheetId="8" hidden="1">{#N/A,#N/A,FALSE,"MONTHDET";#N/A,#N/A,FALSE,"ACTUAL"}</definedName>
    <definedName name="aab" localSheetId="10" hidden="1">{#N/A,#N/A,FALSE,"MONTHDET";#N/A,#N/A,FALSE,"ACTUAL"}</definedName>
    <definedName name="aab" localSheetId="12" hidden="1">{#N/A,#N/A,FALSE,"MONTHDET";#N/A,#N/A,FALSE,"ACTUAL"}</definedName>
    <definedName name="aab" localSheetId="14" hidden="1">{#N/A,#N/A,FALSE,"MONTHDET";#N/A,#N/A,FALSE,"ACTUAL"}</definedName>
    <definedName name="aab" localSheetId="16" hidden="1">{#N/A,#N/A,FALSE,"MONTHDET";#N/A,#N/A,FALSE,"ACTUAL"}</definedName>
    <definedName name="aab" localSheetId="22" hidden="1">{#N/A,#N/A,FALSE,"MONTHDET";#N/A,#N/A,FALSE,"ACTUAL"}</definedName>
    <definedName name="aab" localSheetId="24" hidden="1">{#N/A,#N/A,FALSE,"MONTHDET";#N/A,#N/A,FALSE,"ACTUAL"}</definedName>
    <definedName name="aab" localSheetId="26" hidden="1">{#N/A,#N/A,FALSE,"MONTHDET";#N/A,#N/A,FALSE,"ACTUAL"}</definedName>
    <definedName name="aab" localSheetId="28" hidden="1">{#N/A,#N/A,FALSE,"MONTHDET";#N/A,#N/A,FALSE,"ACTUAL"}</definedName>
    <definedName name="aab" localSheetId="30" hidden="1">{#N/A,#N/A,FALSE,"MONTHDET";#N/A,#N/A,FALSE,"ACTUAL"}</definedName>
    <definedName name="aab" localSheetId="32" hidden="1">{#N/A,#N/A,FALSE,"MONTHDET";#N/A,#N/A,FALSE,"ACTUAL"}</definedName>
    <definedName name="aab" localSheetId="34" hidden="1">{#N/A,#N/A,FALSE,"MONTHDET";#N/A,#N/A,FALSE,"ACTUAL"}</definedName>
    <definedName name="aab" localSheetId="36" hidden="1">{#N/A,#N/A,FALSE,"MONTHDET";#N/A,#N/A,FALSE,"ACTUAL"}</definedName>
    <definedName name="aab" localSheetId="38" hidden="1">{#N/A,#N/A,FALSE,"MONTHDET";#N/A,#N/A,FALSE,"ACTUAL"}</definedName>
    <definedName name="aab" hidden="1">{#N/A,#N/A,FALSE,"MONTHDET";#N/A,#N/A,FALSE,"ACTUAL"}</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a"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a"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a"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a"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a"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a"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a"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a"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a"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a"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a"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a"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a"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a"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a"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a"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a"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b"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b"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b"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b"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b"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b"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b"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b"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b"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b"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b"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b"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b"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b"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b"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b"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b"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C">#REF!</definedName>
    <definedName name="abcd" localSheetId="3"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bcd" localSheetId="5"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bcd" localSheetId="8"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bcd" localSheetId="10"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bcd" localSheetId="12"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bcd" localSheetId="14"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bcd" localSheetId="16"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bcd" localSheetId="22"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bcd" localSheetId="24"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bcd" localSheetId="26"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bcd" localSheetId="28"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bcd" localSheetId="30"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bcd" localSheetId="32"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bcd" localSheetId="34"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bcd" localSheetId="36"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bcd" localSheetId="38"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bcd"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AccessDatabase">"C:\My Documents\DATAHG\GPT\AP\House View.mdb"</definedName>
    <definedName name="Accomplishments">#REF!</definedName>
    <definedName name="account">#REF!</definedName>
    <definedName name="ACNAMES1">#REF!</definedName>
    <definedName name="Act_Month">#REF!</definedName>
    <definedName name="Act_Montha">#REF!</definedName>
    <definedName name="Act_Year">#REF!</definedName>
    <definedName name="Actuals">#REF!</definedName>
    <definedName name="AddInfoCommentBox1">#REF!</definedName>
    <definedName name="AddInfoCommentBox2">#REF!</definedName>
    <definedName name="AddInfoCommentBox3">#REF!</definedName>
    <definedName name="AddInfoCommentBox4">#REF!</definedName>
    <definedName name="AddInfoName1">#REF!</definedName>
    <definedName name="AddInfoName2">#REF!</definedName>
    <definedName name="AddInfoName3">#REF!</definedName>
    <definedName name="AddInfoName4">#REF!</definedName>
    <definedName name="AddInfoTextBox1">#REF!</definedName>
    <definedName name="AddInfoTextBox2">#REF!</definedName>
    <definedName name="AddInfoTextBox3">#REF!</definedName>
    <definedName name="AddInfoTextBox4">#REF!</definedName>
    <definedName name="Address">#REF!</definedName>
    <definedName name="adj">#REF!</definedName>
    <definedName name="af" localSheetId="3" hidden="1">{"AnnInc",#N/A,TRUE,"Inc";"QtrInc1",#N/A,TRUE,"Inc";"Balance",#N/A,TRUE,"Bal";"Cflow",#N/A,TRUE,"Cash"}</definedName>
    <definedName name="af" localSheetId="5" hidden="1">{"AnnInc",#N/A,TRUE,"Inc";"QtrInc1",#N/A,TRUE,"Inc";"Balance",#N/A,TRUE,"Bal";"Cflow",#N/A,TRUE,"Cash"}</definedName>
    <definedName name="af" localSheetId="8" hidden="1">{"AnnInc",#N/A,TRUE,"Inc";"QtrInc1",#N/A,TRUE,"Inc";"Balance",#N/A,TRUE,"Bal";"Cflow",#N/A,TRUE,"Cash"}</definedName>
    <definedName name="af" localSheetId="10" hidden="1">{"AnnInc",#N/A,TRUE,"Inc";"QtrInc1",#N/A,TRUE,"Inc";"Balance",#N/A,TRUE,"Bal";"Cflow",#N/A,TRUE,"Cash"}</definedName>
    <definedName name="af" localSheetId="12" hidden="1">{"AnnInc",#N/A,TRUE,"Inc";"QtrInc1",#N/A,TRUE,"Inc";"Balance",#N/A,TRUE,"Bal";"Cflow",#N/A,TRUE,"Cash"}</definedName>
    <definedName name="af" localSheetId="14" hidden="1">{"AnnInc",#N/A,TRUE,"Inc";"QtrInc1",#N/A,TRUE,"Inc";"Balance",#N/A,TRUE,"Bal";"Cflow",#N/A,TRUE,"Cash"}</definedName>
    <definedName name="af" localSheetId="16" hidden="1">{"AnnInc",#N/A,TRUE,"Inc";"QtrInc1",#N/A,TRUE,"Inc";"Balance",#N/A,TRUE,"Bal";"Cflow",#N/A,TRUE,"Cash"}</definedName>
    <definedName name="af" localSheetId="22" hidden="1">{"AnnInc",#N/A,TRUE,"Inc";"QtrInc1",#N/A,TRUE,"Inc";"Balance",#N/A,TRUE,"Bal";"Cflow",#N/A,TRUE,"Cash"}</definedName>
    <definedName name="af" localSheetId="24" hidden="1">{"AnnInc",#N/A,TRUE,"Inc";"QtrInc1",#N/A,TRUE,"Inc";"Balance",#N/A,TRUE,"Bal";"Cflow",#N/A,TRUE,"Cash"}</definedName>
    <definedName name="af" localSheetId="26" hidden="1">{"AnnInc",#N/A,TRUE,"Inc";"QtrInc1",#N/A,TRUE,"Inc";"Balance",#N/A,TRUE,"Bal";"Cflow",#N/A,TRUE,"Cash"}</definedName>
    <definedName name="af" localSheetId="28" hidden="1">{"AnnInc",#N/A,TRUE,"Inc";"QtrInc1",#N/A,TRUE,"Inc";"Balance",#N/A,TRUE,"Bal";"Cflow",#N/A,TRUE,"Cash"}</definedName>
    <definedName name="af" localSheetId="30" hidden="1">{"AnnInc",#N/A,TRUE,"Inc";"QtrInc1",#N/A,TRUE,"Inc";"Balance",#N/A,TRUE,"Bal";"Cflow",#N/A,TRUE,"Cash"}</definedName>
    <definedName name="af" localSheetId="32" hidden="1">{"AnnInc",#N/A,TRUE,"Inc";"QtrInc1",#N/A,TRUE,"Inc";"Balance",#N/A,TRUE,"Bal";"Cflow",#N/A,TRUE,"Cash"}</definedName>
    <definedName name="af" localSheetId="34" hidden="1">{"AnnInc",#N/A,TRUE,"Inc";"QtrInc1",#N/A,TRUE,"Inc";"Balance",#N/A,TRUE,"Bal";"Cflow",#N/A,TRUE,"Cash"}</definedName>
    <definedName name="af" localSheetId="36" hidden="1">{"AnnInc",#N/A,TRUE,"Inc";"QtrInc1",#N/A,TRUE,"Inc";"Balance",#N/A,TRUE,"Bal";"Cflow",#N/A,TRUE,"Cash"}</definedName>
    <definedName name="af" localSheetId="38" hidden="1">{"AnnInc",#N/A,TRUE,"Inc";"QtrInc1",#N/A,TRUE,"Inc";"Balance",#N/A,TRUE,"Bal";"Cflow",#N/A,TRUE,"Cash"}</definedName>
    <definedName name="af" hidden="1">{"AnnInc",#N/A,TRUE,"Inc";"QtrInc1",#N/A,TRUE,"Inc";"Balance",#N/A,TRUE,"Bal";"Cflow",#N/A,TRUE,"Cash"}</definedName>
    <definedName name="af_k" localSheetId="3" hidden="1">{"AnnInc",#N/A,TRUE,"Inc";"QtrInc1",#N/A,TRUE,"Inc";"Balance",#N/A,TRUE,"Bal";"Cflow",#N/A,TRUE,"Cash"}</definedName>
    <definedName name="af_k" localSheetId="5" hidden="1">{"AnnInc",#N/A,TRUE,"Inc";"QtrInc1",#N/A,TRUE,"Inc";"Balance",#N/A,TRUE,"Bal";"Cflow",#N/A,TRUE,"Cash"}</definedName>
    <definedName name="af_k" localSheetId="8" hidden="1">{"AnnInc",#N/A,TRUE,"Inc";"QtrInc1",#N/A,TRUE,"Inc";"Balance",#N/A,TRUE,"Bal";"Cflow",#N/A,TRUE,"Cash"}</definedName>
    <definedName name="af_k" localSheetId="10" hidden="1">{"AnnInc",#N/A,TRUE,"Inc";"QtrInc1",#N/A,TRUE,"Inc";"Balance",#N/A,TRUE,"Bal";"Cflow",#N/A,TRUE,"Cash"}</definedName>
    <definedName name="af_k" localSheetId="12" hidden="1">{"AnnInc",#N/A,TRUE,"Inc";"QtrInc1",#N/A,TRUE,"Inc";"Balance",#N/A,TRUE,"Bal";"Cflow",#N/A,TRUE,"Cash"}</definedName>
    <definedName name="af_k" localSheetId="14" hidden="1">{"AnnInc",#N/A,TRUE,"Inc";"QtrInc1",#N/A,TRUE,"Inc";"Balance",#N/A,TRUE,"Bal";"Cflow",#N/A,TRUE,"Cash"}</definedName>
    <definedName name="af_k" localSheetId="16" hidden="1">{"AnnInc",#N/A,TRUE,"Inc";"QtrInc1",#N/A,TRUE,"Inc";"Balance",#N/A,TRUE,"Bal";"Cflow",#N/A,TRUE,"Cash"}</definedName>
    <definedName name="af_k" localSheetId="22" hidden="1">{"AnnInc",#N/A,TRUE,"Inc";"QtrInc1",#N/A,TRUE,"Inc";"Balance",#N/A,TRUE,"Bal";"Cflow",#N/A,TRUE,"Cash"}</definedName>
    <definedName name="af_k" localSheetId="24" hidden="1">{"AnnInc",#N/A,TRUE,"Inc";"QtrInc1",#N/A,TRUE,"Inc";"Balance",#N/A,TRUE,"Bal";"Cflow",#N/A,TRUE,"Cash"}</definedName>
    <definedName name="af_k" localSheetId="26" hidden="1">{"AnnInc",#N/A,TRUE,"Inc";"QtrInc1",#N/A,TRUE,"Inc";"Balance",#N/A,TRUE,"Bal";"Cflow",#N/A,TRUE,"Cash"}</definedName>
    <definedName name="af_k" localSheetId="28" hidden="1">{"AnnInc",#N/A,TRUE,"Inc";"QtrInc1",#N/A,TRUE,"Inc";"Balance",#N/A,TRUE,"Bal";"Cflow",#N/A,TRUE,"Cash"}</definedName>
    <definedName name="af_k" localSheetId="30" hidden="1">{"AnnInc",#N/A,TRUE,"Inc";"QtrInc1",#N/A,TRUE,"Inc";"Balance",#N/A,TRUE,"Bal";"Cflow",#N/A,TRUE,"Cash"}</definedName>
    <definedName name="af_k" localSheetId="32" hidden="1">{"AnnInc",#N/A,TRUE,"Inc";"QtrInc1",#N/A,TRUE,"Inc";"Balance",#N/A,TRUE,"Bal";"Cflow",#N/A,TRUE,"Cash"}</definedName>
    <definedName name="af_k" localSheetId="34" hidden="1">{"AnnInc",#N/A,TRUE,"Inc";"QtrInc1",#N/A,TRUE,"Inc";"Balance",#N/A,TRUE,"Bal";"Cflow",#N/A,TRUE,"Cash"}</definedName>
    <definedName name="af_k" localSheetId="36" hidden="1">{"AnnInc",#N/A,TRUE,"Inc";"QtrInc1",#N/A,TRUE,"Inc";"Balance",#N/A,TRUE,"Bal";"Cflow",#N/A,TRUE,"Cash"}</definedName>
    <definedName name="af_k" localSheetId="38" hidden="1">{"AnnInc",#N/A,TRUE,"Inc";"QtrInc1",#N/A,TRUE,"Inc";"Balance",#N/A,TRUE,"Bal";"Cflow",#N/A,TRUE,"Cash"}</definedName>
    <definedName name="af_k" hidden="1">{"AnnInc",#N/A,TRUE,"Inc";"QtrInc1",#N/A,TRUE,"Inc";"Balance",#N/A,TRUE,"Bal";"Cflow",#N/A,TRUE,"Cash"}</definedName>
    <definedName name="afd"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jkasof"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jkasof"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jkasof"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jkasof"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jkasof"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jkasof"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jkasof"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jkasof"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jkasof"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jkasof"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jkasof"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jkasof"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jkasof"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jkasof"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jkasof"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jkasof"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djkasof"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fsafsad" hidden="1">#REF!</definedName>
    <definedName name="AgroOpt1">#REF!</definedName>
    <definedName name="AgroOpt2">#REF!</definedName>
    <definedName name="AgroOpt3">#REF!</definedName>
    <definedName name="AgroOpt4">#REF!</definedName>
    <definedName name="AgroOpt5">#REF!</definedName>
    <definedName name="AgroOpt6">#REF!</definedName>
    <definedName name="aiu_bottom">#REF!</definedName>
    <definedName name="ALBERT_COMPLEX">#REF!</definedName>
    <definedName name="Allphases_disc2">#REF!</definedName>
    <definedName name="AllPhases_DiscountDollars">#REF!</definedName>
    <definedName name="AllPhases_DiscountPercentage">#REF!</definedName>
    <definedName name="AllPhases_Total">#REF!</definedName>
    <definedName name="AllphasesDisc2">#REF!</definedName>
    <definedName name="analysis15">#REF!</definedName>
    <definedName name="anscount" hidden="1">1</definedName>
    <definedName name="APA">#REF!</definedName>
    <definedName name="app_price1">#REF!</definedName>
    <definedName name="Approval">#REF!</definedName>
    <definedName name="AR_Query">#REF!</definedName>
    <definedName name="area">OFFSET(#REF!,0,0,COUNTA(#REF!)-1)</definedName>
    <definedName name="area1">OFFSET(#REF!,0,0,(COUNTA(#REF!)-1))</definedName>
    <definedName name="Areas">#REF!</definedName>
    <definedName name="arharhaehrtahr" localSheetId="3"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harhaehrtahr" localSheetId="5"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harhaehrtahr" localSheetId="8"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harhaehrtahr" localSheetId="1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harhaehrtahr" localSheetId="1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harhaehrtahr" localSheetId="14"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harhaehrtahr" localSheetId="16"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harhaehrtahr" localSheetId="2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harhaehrtahr" localSheetId="4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harhaehrtahr" localSheetId="24"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harhaehrtahr" localSheetId="26"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harhaehrtahr" localSheetId="28"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harhaehrtahr" localSheetId="3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harhaehrtahr" localSheetId="3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harhaehrtahr" localSheetId="34"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harhaehrtahr" localSheetId="36"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harhaehrtahr" localSheetId="38"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rharhaehrtahr"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as">#REF!</definedName>
    <definedName name="AS2DocOpenMode">"AS2DocumentEdit"</definedName>
    <definedName name="AS2ReportLS" hidden="1">1</definedName>
    <definedName name="AS2SyncStepLS" hidden="1">0</definedName>
    <definedName name="AS2TickmarkLS" hidden="1">#REF!</definedName>
    <definedName name="AS2VersionLS" hidden="1">300</definedName>
    <definedName name="ASD">#REF!</definedName>
    <definedName name="asdfas" hidden="1">#REF!</definedName>
    <definedName name="asdfsdafsa" localSheetId="3"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afsa" localSheetId="5"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afsa" localSheetId="8"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afsa" localSheetId="10"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afsa" localSheetId="1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afsa" localSheetId="14"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afsa" localSheetId="16"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afsa" localSheetId="2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afsa" localSheetId="24"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afsa" localSheetId="26"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afsa" localSheetId="28"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afsa" localSheetId="30"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afsa" localSheetId="3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afsa" localSheetId="34"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afsa" localSheetId="36"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afsa" localSheetId="38"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afsa"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fasfsadfsa" hidden="1">#REF!</definedName>
    <definedName name="Assignment_Table">#REF!</definedName>
    <definedName name="asssssss" localSheetId="3" hidden="1">{#N/A,#N/A,FALSE,"MK_ASS_B";#N/A,#N/A,FALSE,"MK_ASS_R";#N/A,#N/A,FALSE,"MK_ASS_S";#N/A,#N/A,FALSE,"TR_ASS_B";#N/A,#N/A,FALSE,"TR_ASS_R";#N/A,#N/A,FALSE,"TR_ASS_S";#N/A,#N/A,FALSE,"PR_ASS_B";#N/A,#N/A,FALSE,"PR_ASS_R";#N/A,#N/A,FALSE,"REV_SUM"}</definedName>
    <definedName name="asssssss" localSheetId="5" hidden="1">{#N/A,#N/A,FALSE,"MK_ASS_B";#N/A,#N/A,FALSE,"MK_ASS_R";#N/A,#N/A,FALSE,"MK_ASS_S";#N/A,#N/A,FALSE,"TR_ASS_B";#N/A,#N/A,FALSE,"TR_ASS_R";#N/A,#N/A,FALSE,"TR_ASS_S";#N/A,#N/A,FALSE,"PR_ASS_B";#N/A,#N/A,FALSE,"PR_ASS_R";#N/A,#N/A,FALSE,"REV_SUM"}</definedName>
    <definedName name="asssssss" localSheetId="8" hidden="1">{#N/A,#N/A,FALSE,"MK_ASS_B";#N/A,#N/A,FALSE,"MK_ASS_R";#N/A,#N/A,FALSE,"MK_ASS_S";#N/A,#N/A,FALSE,"TR_ASS_B";#N/A,#N/A,FALSE,"TR_ASS_R";#N/A,#N/A,FALSE,"TR_ASS_S";#N/A,#N/A,FALSE,"PR_ASS_B";#N/A,#N/A,FALSE,"PR_ASS_R";#N/A,#N/A,FALSE,"REV_SUM"}</definedName>
    <definedName name="asssssss" localSheetId="10" hidden="1">{#N/A,#N/A,FALSE,"MK_ASS_B";#N/A,#N/A,FALSE,"MK_ASS_R";#N/A,#N/A,FALSE,"MK_ASS_S";#N/A,#N/A,FALSE,"TR_ASS_B";#N/A,#N/A,FALSE,"TR_ASS_R";#N/A,#N/A,FALSE,"TR_ASS_S";#N/A,#N/A,FALSE,"PR_ASS_B";#N/A,#N/A,FALSE,"PR_ASS_R";#N/A,#N/A,FALSE,"REV_SUM"}</definedName>
    <definedName name="asssssss" localSheetId="12" hidden="1">{#N/A,#N/A,FALSE,"MK_ASS_B";#N/A,#N/A,FALSE,"MK_ASS_R";#N/A,#N/A,FALSE,"MK_ASS_S";#N/A,#N/A,FALSE,"TR_ASS_B";#N/A,#N/A,FALSE,"TR_ASS_R";#N/A,#N/A,FALSE,"TR_ASS_S";#N/A,#N/A,FALSE,"PR_ASS_B";#N/A,#N/A,FALSE,"PR_ASS_R";#N/A,#N/A,FALSE,"REV_SUM"}</definedName>
    <definedName name="asssssss" localSheetId="14" hidden="1">{#N/A,#N/A,FALSE,"MK_ASS_B";#N/A,#N/A,FALSE,"MK_ASS_R";#N/A,#N/A,FALSE,"MK_ASS_S";#N/A,#N/A,FALSE,"TR_ASS_B";#N/A,#N/A,FALSE,"TR_ASS_R";#N/A,#N/A,FALSE,"TR_ASS_S";#N/A,#N/A,FALSE,"PR_ASS_B";#N/A,#N/A,FALSE,"PR_ASS_R";#N/A,#N/A,FALSE,"REV_SUM"}</definedName>
    <definedName name="asssssss" localSheetId="16" hidden="1">{#N/A,#N/A,FALSE,"MK_ASS_B";#N/A,#N/A,FALSE,"MK_ASS_R";#N/A,#N/A,FALSE,"MK_ASS_S";#N/A,#N/A,FALSE,"TR_ASS_B";#N/A,#N/A,FALSE,"TR_ASS_R";#N/A,#N/A,FALSE,"TR_ASS_S";#N/A,#N/A,FALSE,"PR_ASS_B";#N/A,#N/A,FALSE,"PR_ASS_R";#N/A,#N/A,FALSE,"REV_SUM"}</definedName>
    <definedName name="asssssss" localSheetId="22" hidden="1">{#N/A,#N/A,FALSE,"MK_ASS_B";#N/A,#N/A,FALSE,"MK_ASS_R";#N/A,#N/A,FALSE,"MK_ASS_S";#N/A,#N/A,FALSE,"TR_ASS_B";#N/A,#N/A,FALSE,"TR_ASS_R";#N/A,#N/A,FALSE,"TR_ASS_S";#N/A,#N/A,FALSE,"PR_ASS_B";#N/A,#N/A,FALSE,"PR_ASS_R";#N/A,#N/A,FALSE,"REV_SUM"}</definedName>
    <definedName name="asssssss" localSheetId="24" hidden="1">{#N/A,#N/A,FALSE,"MK_ASS_B";#N/A,#N/A,FALSE,"MK_ASS_R";#N/A,#N/A,FALSE,"MK_ASS_S";#N/A,#N/A,FALSE,"TR_ASS_B";#N/A,#N/A,FALSE,"TR_ASS_R";#N/A,#N/A,FALSE,"TR_ASS_S";#N/A,#N/A,FALSE,"PR_ASS_B";#N/A,#N/A,FALSE,"PR_ASS_R";#N/A,#N/A,FALSE,"REV_SUM"}</definedName>
    <definedName name="asssssss" localSheetId="26" hidden="1">{#N/A,#N/A,FALSE,"MK_ASS_B";#N/A,#N/A,FALSE,"MK_ASS_R";#N/A,#N/A,FALSE,"MK_ASS_S";#N/A,#N/A,FALSE,"TR_ASS_B";#N/A,#N/A,FALSE,"TR_ASS_R";#N/A,#N/A,FALSE,"TR_ASS_S";#N/A,#N/A,FALSE,"PR_ASS_B";#N/A,#N/A,FALSE,"PR_ASS_R";#N/A,#N/A,FALSE,"REV_SUM"}</definedName>
    <definedName name="asssssss" localSheetId="28" hidden="1">{#N/A,#N/A,FALSE,"MK_ASS_B";#N/A,#N/A,FALSE,"MK_ASS_R";#N/A,#N/A,FALSE,"MK_ASS_S";#N/A,#N/A,FALSE,"TR_ASS_B";#N/A,#N/A,FALSE,"TR_ASS_R";#N/A,#N/A,FALSE,"TR_ASS_S";#N/A,#N/A,FALSE,"PR_ASS_B";#N/A,#N/A,FALSE,"PR_ASS_R";#N/A,#N/A,FALSE,"REV_SUM"}</definedName>
    <definedName name="asssssss" localSheetId="30" hidden="1">{#N/A,#N/A,FALSE,"MK_ASS_B";#N/A,#N/A,FALSE,"MK_ASS_R";#N/A,#N/A,FALSE,"MK_ASS_S";#N/A,#N/A,FALSE,"TR_ASS_B";#N/A,#N/A,FALSE,"TR_ASS_R";#N/A,#N/A,FALSE,"TR_ASS_S";#N/A,#N/A,FALSE,"PR_ASS_B";#N/A,#N/A,FALSE,"PR_ASS_R";#N/A,#N/A,FALSE,"REV_SUM"}</definedName>
    <definedName name="asssssss" localSheetId="32" hidden="1">{#N/A,#N/A,FALSE,"MK_ASS_B";#N/A,#N/A,FALSE,"MK_ASS_R";#N/A,#N/A,FALSE,"MK_ASS_S";#N/A,#N/A,FALSE,"TR_ASS_B";#N/A,#N/A,FALSE,"TR_ASS_R";#N/A,#N/A,FALSE,"TR_ASS_S";#N/A,#N/A,FALSE,"PR_ASS_B";#N/A,#N/A,FALSE,"PR_ASS_R";#N/A,#N/A,FALSE,"REV_SUM"}</definedName>
    <definedName name="asssssss" localSheetId="34" hidden="1">{#N/A,#N/A,FALSE,"MK_ASS_B";#N/A,#N/A,FALSE,"MK_ASS_R";#N/A,#N/A,FALSE,"MK_ASS_S";#N/A,#N/A,FALSE,"TR_ASS_B";#N/A,#N/A,FALSE,"TR_ASS_R";#N/A,#N/A,FALSE,"TR_ASS_S";#N/A,#N/A,FALSE,"PR_ASS_B";#N/A,#N/A,FALSE,"PR_ASS_R";#N/A,#N/A,FALSE,"REV_SUM"}</definedName>
    <definedName name="asssssss" localSheetId="36" hidden="1">{#N/A,#N/A,FALSE,"MK_ASS_B";#N/A,#N/A,FALSE,"MK_ASS_R";#N/A,#N/A,FALSE,"MK_ASS_S";#N/A,#N/A,FALSE,"TR_ASS_B";#N/A,#N/A,FALSE,"TR_ASS_R";#N/A,#N/A,FALSE,"TR_ASS_S";#N/A,#N/A,FALSE,"PR_ASS_B";#N/A,#N/A,FALSE,"PR_ASS_R";#N/A,#N/A,FALSE,"REV_SUM"}</definedName>
    <definedName name="asssssss" localSheetId="38" hidden="1">{#N/A,#N/A,FALSE,"MK_ASS_B";#N/A,#N/A,FALSE,"MK_ASS_R";#N/A,#N/A,FALSE,"MK_ASS_S";#N/A,#N/A,FALSE,"TR_ASS_B";#N/A,#N/A,FALSE,"TR_ASS_R";#N/A,#N/A,FALSE,"TR_ASS_S";#N/A,#N/A,FALSE,"PR_ASS_B";#N/A,#N/A,FALSE,"PR_ASS_R";#N/A,#N/A,FALSE,"REV_SUM"}</definedName>
    <definedName name="asssssss" hidden="1">{#N/A,#N/A,FALSE,"MK_ASS_B";#N/A,#N/A,FALSE,"MK_ASS_R";#N/A,#N/A,FALSE,"MK_ASS_S";#N/A,#N/A,FALSE,"TR_ASS_B";#N/A,#N/A,FALSE,"TR_ASS_R";#N/A,#N/A,FALSE,"TR_ASS_S";#N/A,#N/A,FALSE,"PR_ASS_B";#N/A,#N/A,FALSE,"PR_ASS_R";#N/A,#N/A,FALSE,"REV_SUM"}</definedName>
    <definedName name="ASSUMPTIONS">#REF!</definedName>
    <definedName name="AU_329">#REF!</definedName>
    <definedName name="august">#REF!</definedName>
    <definedName name="AURABOOKMARK1">#REF!</definedName>
    <definedName name="AURABOOKMARK12">#REF!</definedName>
    <definedName name="AURABOOKMARK13">#REF!</definedName>
    <definedName name="AURABOOKMARK182">#REF!</definedName>
    <definedName name="AURABOOKMARK495">#REF!</definedName>
    <definedName name="AURABOOKMARK922">#REF!</definedName>
    <definedName name="AuraStyleDefaultsReset" hidden="1">#N/A</definedName>
    <definedName name="Available_Hours_Month">#REF!</definedName>
    <definedName name="b" hidden="1">#REF!</definedName>
    <definedName name="B_PRINT">#REF!</definedName>
    <definedName name="B_TITLE">#REF!</definedName>
    <definedName name="ba">#REF!</definedName>
    <definedName name="Balancesheet">#REF!</definedName>
    <definedName name="ban" localSheetId="3" hidden="1">{#N/A,#N/A,FALSE,"5YRASSPl - consol'd";#N/A,#N/A,FALSE,"5YRASSPl - hotel";#N/A,#N/A,FALSE,"5YRASSPl - excl htl";#N/A,#N/A,FALSE,"VarReport";#N/A,#N/A,FALSE,"Sensitivity";#N/A,#N/A,FALSE,"House View ";#N/A,#N/A,FALSE,"KPI"}</definedName>
    <definedName name="ban" localSheetId="5" hidden="1">{#N/A,#N/A,FALSE,"5YRASSPl - consol'd";#N/A,#N/A,FALSE,"5YRASSPl - hotel";#N/A,#N/A,FALSE,"5YRASSPl - excl htl";#N/A,#N/A,FALSE,"VarReport";#N/A,#N/A,FALSE,"Sensitivity";#N/A,#N/A,FALSE,"House View ";#N/A,#N/A,FALSE,"KPI"}</definedName>
    <definedName name="ban" localSheetId="8" hidden="1">{#N/A,#N/A,FALSE,"5YRASSPl - consol'd";#N/A,#N/A,FALSE,"5YRASSPl - hotel";#N/A,#N/A,FALSE,"5YRASSPl - excl htl";#N/A,#N/A,FALSE,"VarReport";#N/A,#N/A,FALSE,"Sensitivity";#N/A,#N/A,FALSE,"House View ";#N/A,#N/A,FALSE,"KPI"}</definedName>
    <definedName name="ban" localSheetId="10" hidden="1">{#N/A,#N/A,FALSE,"5YRASSPl - consol'd";#N/A,#N/A,FALSE,"5YRASSPl - hotel";#N/A,#N/A,FALSE,"5YRASSPl - excl htl";#N/A,#N/A,FALSE,"VarReport";#N/A,#N/A,FALSE,"Sensitivity";#N/A,#N/A,FALSE,"House View ";#N/A,#N/A,FALSE,"KPI"}</definedName>
    <definedName name="ban" localSheetId="12" hidden="1">{#N/A,#N/A,FALSE,"5YRASSPl - consol'd";#N/A,#N/A,FALSE,"5YRASSPl - hotel";#N/A,#N/A,FALSE,"5YRASSPl - excl htl";#N/A,#N/A,FALSE,"VarReport";#N/A,#N/A,FALSE,"Sensitivity";#N/A,#N/A,FALSE,"House View ";#N/A,#N/A,FALSE,"KPI"}</definedName>
    <definedName name="ban" localSheetId="14" hidden="1">{#N/A,#N/A,FALSE,"5YRASSPl - consol'd";#N/A,#N/A,FALSE,"5YRASSPl - hotel";#N/A,#N/A,FALSE,"5YRASSPl - excl htl";#N/A,#N/A,FALSE,"VarReport";#N/A,#N/A,FALSE,"Sensitivity";#N/A,#N/A,FALSE,"House View ";#N/A,#N/A,FALSE,"KPI"}</definedName>
    <definedName name="ban" localSheetId="16" hidden="1">{#N/A,#N/A,FALSE,"5YRASSPl - consol'd";#N/A,#N/A,FALSE,"5YRASSPl - hotel";#N/A,#N/A,FALSE,"5YRASSPl - excl htl";#N/A,#N/A,FALSE,"VarReport";#N/A,#N/A,FALSE,"Sensitivity";#N/A,#N/A,FALSE,"House View ";#N/A,#N/A,FALSE,"KPI"}</definedName>
    <definedName name="ban" localSheetId="22" hidden="1">{#N/A,#N/A,FALSE,"5YRASSPl - consol'd";#N/A,#N/A,FALSE,"5YRASSPl - hotel";#N/A,#N/A,FALSE,"5YRASSPl - excl htl";#N/A,#N/A,FALSE,"VarReport";#N/A,#N/A,FALSE,"Sensitivity";#N/A,#N/A,FALSE,"House View ";#N/A,#N/A,FALSE,"KPI"}</definedName>
    <definedName name="ban" localSheetId="40" hidden="1">{#N/A,#N/A,FALSE,"5YRASSPl - consol'd";#N/A,#N/A,FALSE,"5YRASSPl - hotel";#N/A,#N/A,FALSE,"5YRASSPl - excl htl";#N/A,#N/A,FALSE,"VarReport";#N/A,#N/A,FALSE,"Sensitivity";#N/A,#N/A,FALSE,"House View ";#N/A,#N/A,FALSE,"KPI"}</definedName>
    <definedName name="ban" localSheetId="24" hidden="1">{#N/A,#N/A,FALSE,"5YRASSPl - consol'd";#N/A,#N/A,FALSE,"5YRASSPl - hotel";#N/A,#N/A,FALSE,"5YRASSPl - excl htl";#N/A,#N/A,FALSE,"VarReport";#N/A,#N/A,FALSE,"Sensitivity";#N/A,#N/A,FALSE,"House View ";#N/A,#N/A,FALSE,"KPI"}</definedName>
    <definedName name="ban" localSheetId="26" hidden="1">{#N/A,#N/A,FALSE,"5YRASSPl - consol'd";#N/A,#N/A,FALSE,"5YRASSPl - hotel";#N/A,#N/A,FALSE,"5YRASSPl - excl htl";#N/A,#N/A,FALSE,"VarReport";#N/A,#N/A,FALSE,"Sensitivity";#N/A,#N/A,FALSE,"House View ";#N/A,#N/A,FALSE,"KPI"}</definedName>
    <definedName name="ban" localSheetId="28" hidden="1">{#N/A,#N/A,FALSE,"5YRASSPl - consol'd";#N/A,#N/A,FALSE,"5YRASSPl - hotel";#N/A,#N/A,FALSE,"5YRASSPl - excl htl";#N/A,#N/A,FALSE,"VarReport";#N/A,#N/A,FALSE,"Sensitivity";#N/A,#N/A,FALSE,"House View ";#N/A,#N/A,FALSE,"KPI"}</definedName>
    <definedName name="ban" localSheetId="30" hidden="1">{#N/A,#N/A,FALSE,"5YRASSPl - consol'd";#N/A,#N/A,FALSE,"5YRASSPl - hotel";#N/A,#N/A,FALSE,"5YRASSPl - excl htl";#N/A,#N/A,FALSE,"VarReport";#N/A,#N/A,FALSE,"Sensitivity";#N/A,#N/A,FALSE,"House View ";#N/A,#N/A,FALSE,"KPI"}</definedName>
    <definedName name="ban" localSheetId="32" hidden="1">{#N/A,#N/A,FALSE,"5YRASSPl - consol'd";#N/A,#N/A,FALSE,"5YRASSPl - hotel";#N/A,#N/A,FALSE,"5YRASSPl - excl htl";#N/A,#N/A,FALSE,"VarReport";#N/A,#N/A,FALSE,"Sensitivity";#N/A,#N/A,FALSE,"House View ";#N/A,#N/A,FALSE,"KPI"}</definedName>
    <definedName name="ban" localSheetId="34" hidden="1">{#N/A,#N/A,FALSE,"5YRASSPl - consol'd";#N/A,#N/A,FALSE,"5YRASSPl - hotel";#N/A,#N/A,FALSE,"5YRASSPl - excl htl";#N/A,#N/A,FALSE,"VarReport";#N/A,#N/A,FALSE,"Sensitivity";#N/A,#N/A,FALSE,"House View ";#N/A,#N/A,FALSE,"KPI"}</definedName>
    <definedName name="ban" localSheetId="36" hidden="1">{#N/A,#N/A,FALSE,"5YRASSPl - consol'd";#N/A,#N/A,FALSE,"5YRASSPl - hotel";#N/A,#N/A,FALSE,"5YRASSPl - excl htl";#N/A,#N/A,FALSE,"VarReport";#N/A,#N/A,FALSE,"Sensitivity";#N/A,#N/A,FALSE,"House View ";#N/A,#N/A,FALSE,"KPI"}</definedName>
    <definedName name="ban" localSheetId="38" hidden="1">{#N/A,#N/A,FALSE,"5YRASSPl - consol'd";#N/A,#N/A,FALSE,"5YRASSPl - hotel";#N/A,#N/A,FALSE,"5YRASSPl - excl htl";#N/A,#N/A,FALSE,"VarReport";#N/A,#N/A,FALSE,"Sensitivity";#N/A,#N/A,FALSE,"House View ";#N/A,#N/A,FALSE,"KPI"}</definedName>
    <definedName name="ban" hidden="1">{#N/A,#N/A,FALSE,"5YRASSPl - consol'd";#N/A,#N/A,FALSE,"5YRASSPl - hotel";#N/A,#N/A,FALSE,"5YRASSPl - excl htl";#N/A,#N/A,FALSE,"VarReport";#N/A,#N/A,FALSE,"Sensitivity";#N/A,#N/A,FALSE,"House View ";#N/A,#N/A,FALSE,"KPI"}</definedName>
    <definedName name="Bank_bal">#REF!</definedName>
    <definedName name="Baseline_Date">#REF!</definedName>
    <definedName name="BatchDate">#REF!</definedName>
    <definedName name="BatchWeek">#REF!</definedName>
    <definedName name="bb" localSheetId="3" hidden="1">{#N/A,#N/A,FALSE,"MONTHDET";#N/A,#N/A,FALSE,"ACTUAL"}</definedName>
    <definedName name="bb" localSheetId="5" hidden="1">{#N/A,#N/A,FALSE,"MONTHDET";#N/A,#N/A,FALSE,"ACTUAL"}</definedName>
    <definedName name="bb" localSheetId="8" hidden="1">{#N/A,#N/A,FALSE,"MONTHDET";#N/A,#N/A,FALSE,"ACTUAL"}</definedName>
    <definedName name="bb" localSheetId="10" hidden="1">{#N/A,#N/A,FALSE,"MONTHDET";#N/A,#N/A,FALSE,"ACTUAL"}</definedName>
    <definedName name="bb" localSheetId="12" hidden="1">{#N/A,#N/A,FALSE,"MONTHDET";#N/A,#N/A,FALSE,"ACTUAL"}</definedName>
    <definedName name="bb" localSheetId="14" hidden="1">{#N/A,#N/A,FALSE,"MONTHDET";#N/A,#N/A,FALSE,"ACTUAL"}</definedName>
    <definedName name="bb" localSheetId="16" hidden="1">{#N/A,#N/A,FALSE,"MONTHDET";#N/A,#N/A,FALSE,"ACTUAL"}</definedName>
    <definedName name="bb" localSheetId="22" hidden="1">{#N/A,#N/A,FALSE,"MONTHDET";#N/A,#N/A,FALSE,"ACTUAL"}</definedName>
    <definedName name="bb" localSheetId="24" hidden="1">{#N/A,#N/A,FALSE,"MONTHDET";#N/A,#N/A,FALSE,"ACTUAL"}</definedName>
    <definedName name="bb" localSheetId="26" hidden="1">{#N/A,#N/A,FALSE,"MONTHDET";#N/A,#N/A,FALSE,"ACTUAL"}</definedName>
    <definedName name="bb" localSheetId="28" hidden="1">{#N/A,#N/A,FALSE,"MONTHDET";#N/A,#N/A,FALSE,"ACTUAL"}</definedName>
    <definedName name="bb" localSheetId="30" hidden="1">{#N/A,#N/A,FALSE,"MONTHDET";#N/A,#N/A,FALSE,"ACTUAL"}</definedName>
    <definedName name="bb" localSheetId="32" hidden="1">{#N/A,#N/A,FALSE,"MONTHDET";#N/A,#N/A,FALSE,"ACTUAL"}</definedName>
    <definedName name="bb" localSheetId="34" hidden="1">{#N/A,#N/A,FALSE,"MONTHDET";#N/A,#N/A,FALSE,"ACTUAL"}</definedName>
    <definedName name="bb" localSheetId="36" hidden="1">{#N/A,#N/A,FALSE,"MONTHDET";#N/A,#N/A,FALSE,"ACTUAL"}</definedName>
    <definedName name="bb" localSheetId="38" hidden="1">{#N/A,#N/A,FALSE,"MONTHDET";#N/A,#N/A,FALSE,"ACTUAL"}</definedName>
    <definedName name="bb" hidden="1">{#N/A,#N/A,FALSE,"MONTHDET";#N/A,#N/A,FALSE,"ACTUAL"}</definedName>
    <definedName name="bbb" localSheetId="3" hidden="1">{#N/A,#N/A,FALSE,"MAIN";#N/A,#N/A,FALSE,"MK_ASS_B";#N/A,#N/A,FALSE,"MK_ASS_R";#N/A,#N/A,FALSE,"TR_ASS_B";#N/A,#N/A,FALSE,"TR_ASS_R";#N/A,#N/A,FALSE,"ROAMING";#N/A,#N/A,FALSE,"PR_ASS_B";#N/A,#N/A,FALSE,"PR_ASS_R";#N/A,#N/A,FALSE,"PR_ASS_S"}</definedName>
    <definedName name="bbb" localSheetId="5" hidden="1">{#N/A,#N/A,FALSE,"MAIN";#N/A,#N/A,FALSE,"MK_ASS_B";#N/A,#N/A,FALSE,"MK_ASS_R";#N/A,#N/A,FALSE,"TR_ASS_B";#N/A,#N/A,FALSE,"TR_ASS_R";#N/A,#N/A,FALSE,"ROAMING";#N/A,#N/A,FALSE,"PR_ASS_B";#N/A,#N/A,FALSE,"PR_ASS_R";#N/A,#N/A,FALSE,"PR_ASS_S"}</definedName>
    <definedName name="bbb" localSheetId="8" hidden="1">{#N/A,#N/A,FALSE,"MAIN";#N/A,#N/A,FALSE,"MK_ASS_B";#N/A,#N/A,FALSE,"MK_ASS_R";#N/A,#N/A,FALSE,"TR_ASS_B";#N/A,#N/A,FALSE,"TR_ASS_R";#N/A,#N/A,FALSE,"ROAMING";#N/A,#N/A,FALSE,"PR_ASS_B";#N/A,#N/A,FALSE,"PR_ASS_R";#N/A,#N/A,FALSE,"PR_ASS_S"}</definedName>
    <definedName name="bbb" localSheetId="10" hidden="1">{#N/A,#N/A,FALSE,"MAIN";#N/A,#N/A,FALSE,"MK_ASS_B";#N/A,#N/A,FALSE,"MK_ASS_R";#N/A,#N/A,FALSE,"TR_ASS_B";#N/A,#N/A,FALSE,"TR_ASS_R";#N/A,#N/A,FALSE,"ROAMING";#N/A,#N/A,FALSE,"PR_ASS_B";#N/A,#N/A,FALSE,"PR_ASS_R";#N/A,#N/A,FALSE,"PR_ASS_S"}</definedName>
    <definedName name="bbb" localSheetId="12" hidden="1">{#N/A,#N/A,FALSE,"MAIN";#N/A,#N/A,FALSE,"MK_ASS_B";#N/A,#N/A,FALSE,"MK_ASS_R";#N/A,#N/A,FALSE,"TR_ASS_B";#N/A,#N/A,FALSE,"TR_ASS_R";#N/A,#N/A,FALSE,"ROAMING";#N/A,#N/A,FALSE,"PR_ASS_B";#N/A,#N/A,FALSE,"PR_ASS_R";#N/A,#N/A,FALSE,"PR_ASS_S"}</definedName>
    <definedName name="bbb" localSheetId="14" hidden="1">{#N/A,#N/A,FALSE,"MAIN";#N/A,#N/A,FALSE,"MK_ASS_B";#N/A,#N/A,FALSE,"MK_ASS_R";#N/A,#N/A,FALSE,"TR_ASS_B";#N/A,#N/A,FALSE,"TR_ASS_R";#N/A,#N/A,FALSE,"ROAMING";#N/A,#N/A,FALSE,"PR_ASS_B";#N/A,#N/A,FALSE,"PR_ASS_R";#N/A,#N/A,FALSE,"PR_ASS_S"}</definedName>
    <definedName name="bbb" localSheetId="16" hidden="1">{#N/A,#N/A,FALSE,"MAIN";#N/A,#N/A,FALSE,"MK_ASS_B";#N/A,#N/A,FALSE,"MK_ASS_R";#N/A,#N/A,FALSE,"TR_ASS_B";#N/A,#N/A,FALSE,"TR_ASS_R";#N/A,#N/A,FALSE,"ROAMING";#N/A,#N/A,FALSE,"PR_ASS_B";#N/A,#N/A,FALSE,"PR_ASS_R";#N/A,#N/A,FALSE,"PR_ASS_S"}</definedName>
    <definedName name="bbb" localSheetId="22" hidden="1">{#N/A,#N/A,FALSE,"MAIN";#N/A,#N/A,FALSE,"MK_ASS_B";#N/A,#N/A,FALSE,"MK_ASS_R";#N/A,#N/A,FALSE,"TR_ASS_B";#N/A,#N/A,FALSE,"TR_ASS_R";#N/A,#N/A,FALSE,"ROAMING";#N/A,#N/A,FALSE,"PR_ASS_B";#N/A,#N/A,FALSE,"PR_ASS_R";#N/A,#N/A,FALSE,"PR_ASS_S"}</definedName>
    <definedName name="bbb" localSheetId="24" hidden="1">{#N/A,#N/A,FALSE,"MAIN";#N/A,#N/A,FALSE,"MK_ASS_B";#N/A,#N/A,FALSE,"MK_ASS_R";#N/A,#N/A,FALSE,"TR_ASS_B";#N/A,#N/A,FALSE,"TR_ASS_R";#N/A,#N/A,FALSE,"ROAMING";#N/A,#N/A,FALSE,"PR_ASS_B";#N/A,#N/A,FALSE,"PR_ASS_R";#N/A,#N/A,FALSE,"PR_ASS_S"}</definedName>
    <definedName name="bbb" localSheetId="26" hidden="1">{#N/A,#N/A,FALSE,"MAIN";#N/A,#N/A,FALSE,"MK_ASS_B";#N/A,#N/A,FALSE,"MK_ASS_R";#N/A,#N/A,FALSE,"TR_ASS_B";#N/A,#N/A,FALSE,"TR_ASS_R";#N/A,#N/A,FALSE,"ROAMING";#N/A,#N/A,FALSE,"PR_ASS_B";#N/A,#N/A,FALSE,"PR_ASS_R";#N/A,#N/A,FALSE,"PR_ASS_S"}</definedName>
    <definedName name="bbb" localSheetId="28" hidden="1">{#N/A,#N/A,FALSE,"MAIN";#N/A,#N/A,FALSE,"MK_ASS_B";#N/A,#N/A,FALSE,"MK_ASS_R";#N/A,#N/A,FALSE,"TR_ASS_B";#N/A,#N/A,FALSE,"TR_ASS_R";#N/A,#N/A,FALSE,"ROAMING";#N/A,#N/A,FALSE,"PR_ASS_B";#N/A,#N/A,FALSE,"PR_ASS_R";#N/A,#N/A,FALSE,"PR_ASS_S"}</definedName>
    <definedName name="bbb" localSheetId="30" hidden="1">{#N/A,#N/A,FALSE,"MAIN";#N/A,#N/A,FALSE,"MK_ASS_B";#N/A,#N/A,FALSE,"MK_ASS_R";#N/A,#N/A,FALSE,"TR_ASS_B";#N/A,#N/A,FALSE,"TR_ASS_R";#N/A,#N/A,FALSE,"ROAMING";#N/A,#N/A,FALSE,"PR_ASS_B";#N/A,#N/A,FALSE,"PR_ASS_R";#N/A,#N/A,FALSE,"PR_ASS_S"}</definedName>
    <definedName name="bbb" localSheetId="32" hidden="1">{#N/A,#N/A,FALSE,"MAIN";#N/A,#N/A,FALSE,"MK_ASS_B";#N/A,#N/A,FALSE,"MK_ASS_R";#N/A,#N/A,FALSE,"TR_ASS_B";#N/A,#N/A,FALSE,"TR_ASS_R";#N/A,#N/A,FALSE,"ROAMING";#N/A,#N/A,FALSE,"PR_ASS_B";#N/A,#N/A,FALSE,"PR_ASS_R";#N/A,#N/A,FALSE,"PR_ASS_S"}</definedName>
    <definedName name="bbb" localSheetId="34" hidden="1">{#N/A,#N/A,FALSE,"MAIN";#N/A,#N/A,FALSE,"MK_ASS_B";#N/A,#N/A,FALSE,"MK_ASS_R";#N/A,#N/A,FALSE,"TR_ASS_B";#N/A,#N/A,FALSE,"TR_ASS_R";#N/A,#N/A,FALSE,"ROAMING";#N/A,#N/A,FALSE,"PR_ASS_B";#N/A,#N/A,FALSE,"PR_ASS_R";#N/A,#N/A,FALSE,"PR_ASS_S"}</definedName>
    <definedName name="bbb" localSheetId="36" hidden="1">{#N/A,#N/A,FALSE,"MAIN";#N/A,#N/A,FALSE,"MK_ASS_B";#N/A,#N/A,FALSE,"MK_ASS_R";#N/A,#N/A,FALSE,"TR_ASS_B";#N/A,#N/A,FALSE,"TR_ASS_R";#N/A,#N/A,FALSE,"ROAMING";#N/A,#N/A,FALSE,"PR_ASS_B";#N/A,#N/A,FALSE,"PR_ASS_R";#N/A,#N/A,FALSE,"PR_ASS_S"}</definedName>
    <definedName name="bbb" localSheetId="38" hidden="1">{#N/A,#N/A,FALSE,"MAIN";#N/A,#N/A,FALSE,"MK_ASS_B";#N/A,#N/A,FALSE,"MK_ASS_R";#N/A,#N/A,FALSE,"TR_ASS_B";#N/A,#N/A,FALSE,"TR_ASS_R";#N/A,#N/A,FALSE,"ROAMING";#N/A,#N/A,FALSE,"PR_ASS_B";#N/A,#N/A,FALSE,"PR_ASS_R";#N/A,#N/A,FALSE,"PR_ASS_S"}</definedName>
    <definedName name="bbb" hidden="1">{#N/A,#N/A,FALSE,"MAIN";#N/A,#N/A,FALSE,"MK_ASS_B";#N/A,#N/A,FALSE,"MK_ASS_R";#N/A,#N/A,FALSE,"TR_ASS_B";#N/A,#N/A,FALSE,"TR_ASS_R";#N/A,#N/A,FALSE,"ROAMING";#N/A,#N/A,FALSE,"PR_ASS_B";#N/A,#N/A,FALSE,"PR_ASS_R";#N/A,#N/A,FALSE,"PR_ASS_S"}</definedName>
    <definedName name="bccv" localSheetId="3" hidden="1">{"NOPCAPEVA",#N/A,FALSE,"Nopat";"FCFCSTAR",#N/A,FALSE,"FCFVAL";"EVAVL",#N/A,FALSE,"EVAVAL";"LEASE",#N/A,FALSE,"OpLease"}</definedName>
    <definedName name="bccv" localSheetId="5" hidden="1">{"NOPCAPEVA",#N/A,FALSE,"Nopat";"FCFCSTAR",#N/A,FALSE,"FCFVAL";"EVAVL",#N/A,FALSE,"EVAVAL";"LEASE",#N/A,FALSE,"OpLease"}</definedName>
    <definedName name="bccv" localSheetId="8" hidden="1">{"NOPCAPEVA",#N/A,FALSE,"Nopat";"FCFCSTAR",#N/A,FALSE,"FCFVAL";"EVAVL",#N/A,FALSE,"EVAVAL";"LEASE",#N/A,FALSE,"OpLease"}</definedName>
    <definedName name="bccv" localSheetId="10" hidden="1">{"NOPCAPEVA",#N/A,FALSE,"Nopat";"FCFCSTAR",#N/A,FALSE,"FCFVAL";"EVAVL",#N/A,FALSE,"EVAVAL";"LEASE",#N/A,FALSE,"OpLease"}</definedName>
    <definedName name="bccv" localSheetId="12" hidden="1">{"NOPCAPEVA",#N/A,FALSE,"Nopat";"FCFCSTAR",#N/A,FALSE,"FCFVAL";"EVAVL",#N/A,FALSE,"EVAVAL";"LEASE",#N/A,FALSE,"OpLease"}</definedName>
    <definedName name="bccv" localSheetId="14" hidden="1">{"NOPCAPEVA",#N/A,FALSE,"Nopat";"FCFCSTAR",#N/A,FALSE,"FCFVAL";"EVAVL",#N/A,FALSE,"EVAVAL";"LEASE",#N/A,FALSE,"OpLease"}</definedName>
    <definedName name="bccv" localSheetId="16" hidden="1">{"NOPCAPEVA",#N/A,FALSE,"Nopat";"FCFCSTAR",#N/A,FALSE,"FCFVAL";"EVAVL",#N/A,FALSE,"EVAVAL";"LEASE",#N/A,FALSE,"OpLease"}</definedName>
    <definedName name="bccv" localSheetId="22" hidden="1">{"NOPCAPEVA",#N/A,FALSE,"Nopat";"FCFCSTAR",#N/A,FALSE,"FCFVAL";"EVAVL",#N/A,FALSE,"EVAVAL";"LEASE",#N/A,FALSE,"OpLease"}</definedName>
    <definedName name="bccv" localSheetId="24" hidden="1">{"NOPCAPEVA",#N/A,FALSE,"Nopat";"FCFCSTAR",#N/A,FALSE,"FCFVAL";"EVAVL",#N/A,FALSE,"EVAVAL";"LEASE",#N/A,FALSE,"OpLease"}</definedName>
    <definedName name="bccv" localSheetId="26" hidden="1">{"NOPCAPEVA",#N/A,FALSE,"Nopat";"FCFCSTAR",#N/A,FALSE,"FCFVAL";"EVAVL",#N/A,FALSE,"EVAVAL";"LEASE",#N/A,FALSE,"OpLease"}</definedName>
    <definedName name="bccv" localSheetId="28" hidden="1">{"NOPCAPEVA",#N/A,FALSE,"Nopat";"FCFCSTAR",#N/A,FALSE,"FCFVAL";"EVAVL",#N/A,FALSE,"EVAVAL";"LEASE",#N/A,FALSE,"OpLease"}</definedName>
    <definedName name="bccv" localSheetId="30" hidden="1">{"NOPCAPEVA",#N/A,FALSE,"Nopat";"FCFCSTAR",#N/A,FALSE,"FCFVAL";"EVAVL",#N/A,FALSE,"EVAVAL";"LEASE",#N/A,FALSE,"OpLease"}</definedName>
    <definedName name="bccv" localSheetId="32" hidden="1">{"NOPCAPEVA",#N/A,FALSE,"Nopat";"FCFCSTAR",#N/A,FALSE,"FCFVAL";"EVAVL",#N/A,FALSE,"EVAVAL";"LEASE",#N/A,FALSE,"OpLease"}</definedName>
    <definedName name="bccv" localSheetId="34" hidden="1">{"NOPCAPEVA",#N/A,FALSE,"Nopat";"FCFCSTAR",#N/A,FALSE,"FCFVAL";"EVAVL",#N/A,FALSE,"EVAVAL";"LEASE",#N/A,FALSE,"OpLease"}</definedName>
    <definedName name="bccv" localSheetId="36" hidden="1">{"NOPCAPEVA",#N/A,FALSE,"Nopat";"FCFCSTAR",#N/A,FALSE,"FCFVAL";"EVAVL",#N/A,FALSE,"EVAVAL";"LEASE",#N/A,FALSE,"OpLease"}</definedName>
    <definedName name="bccv" localSheetId="38" hidden="1">{"NOPCAPEVA",#N/A,FALSE,"Nopat";"FCFCSTAR",#N/A,FALSE,"FCFVAL";"EVAVL",#N/A,FALSE,"EVAVAL";"LEASE",#N/A,FALSE,"OpLease"}</definedName>
    <definedName name="bccv" hidden="1">{"NOPCAPEVA",#N/A,FALSE,"Nopat";"FCFCSTAR",#N/A,FALSE,"FCFVAL";"EVAVL",#N/A,FALSE,"EVAVAL";"LEASE",#N/A,FALSE,"OpLease"}</definedName>
    <definedName name="bcvxz" localSheetId="3" hidden="1">{"NOPCAPEVA",#N/A,FALSE,"Nopat";"FCFCSTAR",#N/A,FALSE,"FCFVAL";"EVAVL",#N/A,FALSE,"EVAVAL";"LEASE",#N/A,FALSE,"OpLease"}</definedName>
    <definedName name="bcvxz" localSheetId="5" hidden="1">{"NOPCAPEVA",#N/A,FALSE,"Nopat";"FCFCSTAR",#N/A,FALSE,"FCFVAL";"EVAVL",#N/A,FALSE,"EVAVAL";"LEASE",#N/A,FALSE,"OpLease"}</definedName>
    <definedName name="bcvxz" localSheetId="8" hidden="1">{"NOPCAPEVA",#N/A,FALSE,"Nopat";"FCFCSTAR",#N/A,FALSE,"FCFVAL";"EVAVL",#N/A,FALSE,"EVAVAL";"LEASE",#N/A,FALSE,"OpLease"}</definedName>
    <definedName name="bcvxz" localSheetId="10" hidden="1">{"NOPCAPEVA",#N/A,FALSE,"Nopat";"FCFCSTAR",#N/A,FALSE,"FCFVAL";"EVAVL",#N/A,FALSE,"EVAVAL";"LEASE",#N/A,FALSE,"OpLease"}</definedName>
    <definedName name="bcvxz" localSheetId="12" hidden="1">{"NOPCAPEVA",#N/A,FALSE,"Nopat";"FCFCSTAR",#N/A,FALSE,"FCFVAL";"EVAVL",#N/A,FALSE,"EVAVAL";"LEASE",#N/A,FALSE,"OpLease"}</definedName>
    <definedName name="bcvxz" localSheetId="14" hidden="1">{"NOPCAPEVA",#N/A,FALSE,"Nopat";"FCFCSTAR",#N/A,FALSE,"FCFVAL";"EVAVL",#N/A,FALSE,"EVAVAL";"LEASE",#N/A,FALSE,"OpLease"}</definedName>
    <definedName name="bcvxz" localSheetId="16" hidden="1">{"NOPCAPEVA",#N/A,FALSE,"Nopat";"FCFCSTAR",#N/A,FALSE,"FCFVAL";"EVAVL",#N/A,FALSE,"EVAVAL";"LEASE",#N/A,FALSE,"OpLease"}</definedName>
    <definedName name="bcvxz" localSheetId="22" hidden="1">{"NOPCAPEVA",#N/A,FALSE,"Nopat";"FCFCSTAR",#N/A,FALSE,"FCFVAL";"EVAVL",#N/A,FALSE,"EVAVAL";"LEASE",#N/A,FALSE,"OpLease"}</definedName>
    <definedName name="bcvxz" localSheetId="24" hidden="1">{"NOPCAPEVA",#N/A,FALSE,"Nopat";"FCFCSTAR",#N/A,FALSE,"FCFVAL";"EVAVL",#N/A,FALSE,"EVAVAL";"LEASE",#N/A,FALSE,"OpLease"}</definedName>
    <definedName name="bcvxz" localSheetId="26" hidden="1">{"NOPCAPEVA",#N/A,FALSE,"Nopat";"FCFCSTAR",#N/A,FALSE,"FCFVAL";"EVAVL",#N/A,FALSE,"EVAVAL";"LEASE",#N/A,FALSE,"OpLease"}</definedName>
    <definedName name="bcvxz" localSheetId="28" hidden="1">{"NOPCAPEVA",#N/A,FALSE,"Nopat";"FCFCSTAR",#N/A,FALSE,"FCFVAL";"EVAVL",#N/A,FALSE,"EVAVAL";"LEASE",#N/A,FALSE,"OpLease"}</definedName>
    <definedName name="bcvxz" localSheetId="30" hidden="1">{"NOPCAPEVA",#N/A,FALSE,"Nopat";"FCFCSTAR",#N/A,FALSE,"FCFVAL";"EVAVL",#N/A,FALSE,"EVAVAL";"LEASE",#N/A,FALSE,"OpLease"}</definedName>
    <definedName name="bcvxz" localSheetId="32" hidden="1">{"NOPCAPEVA",#N/A,FALSE,"Nopat";"FCFCSTAR",#N/A,FALSE,"FCFVAL";"EVAVL",#N/A,FALSE,"EVAVAL";"LEASE",#N/A,FALSE,"OpLease"}</definedName>
    <definedName name="bcvxz" localSheetId="34" hidden="1">{"NOPCAPEVA",#N/A,FALSE,"Nopat";"FCFCSTAR",#N/A,FALSE,"FCFVAL";"EVAVL",#N/A,FALSE,"EVAVAL";"LEASE",#N/A,FALSE,"OpLease"}</definedName>
    <definedName name="bcvxz" localSheetId="36" hidden="1">{"NOPCAPEVA",#N/A,FALSE,"Nopat";"FCFCSTAR",#N/A,FALSE,"FCFVAL";"EVAVL",#N/A,FALSE,"EVAVAL";"LEASE",#N/A,FALSE,"OpLease"}</definedName>
    <definedName name="bcvxz" localSheetId="38" hidden="1">{"NOPCAPEVA",#N/A,FALSE,"Nopat";"FCFCSTAR",#N/A,FALSE,"FCFVAL";"EVAVL",#N/A,FALSE,"EVAVAL";"LEASE",#N/A,FALSE,"OpLease"}</definedName>
    <definedName name="bcvxz" hidden="1">{"NOPCAPEVA",#N/A,FALSE,"Nopat";"FCFCSTAR",#N/A,FALSE,"FCFVAL";"EVAVL",#N/A,FALSE,"EVAVAL";"LEASE",#N/A,FALSE,"OpLease"}</definedName>
    <definedName name="bcz" localSheetId="3" hidden="1">{"AnnInc",#N/A,TRUE,"Inc";"QtrInc1",#N/A,TRUE,"Inc";"Balance",#N/A,TRUE,"Bal";"Cflow",#N/A,TRUE,"Cash"}</definedName>
    <definedName name="bcz" localSheetId="5" hidden="1">{"AnnInc",#N/A,TRUE,"Inc";"QtrInc1",#N/A,TRUE,"Inc";"Balance",#N/A,TRUE,"Bal";"Cflow",#N/A,TRUE,"Cash"}</definedName>
    <definedName name="bcz" localSheetId="8" hidden="1">{"AnnInc",#N/A,TRUE,"Inc";"QtrInc1",#N/A,TRUE,"Inc";"Balance",#N/A,TRUE,"Bal";"Cflow",#N/A,TRUE,"Cash"}</definedName>
    <definedName name="bcz" localSheetId="10" hidden="1">{"AnnInc",#N/A,TRUE,"Inc";"QtrInc1",#N/A,TRUE,"Inc";"Balance",#N/A,TRUE,"Bal";"Cflow",#N/A,TRUE,"Cash"}</definedName>
    <definedName name="bcz" localSheetId="12" hidden="1">{"AnnInc",#N/A,TRUE,"Inc";"QtrInc1",#N/A,TRUE,"Inc";"Balance",#N/A,TRUE,"Bal";"Cflow",#N/A,TRUE,"Cash"}</definedName>
    <definedName name="bcz" localSheetId="14" hidden="1">{"AnnInc",#N/A,TRUE,"Inc";"QtrInc1",#N/A,TRUE,"Inc";"Balance",#N/A,TRUE,"Bal";"Cflow",#N/A,TRUE,"Cash"}</definedName>
    <definedName name="bcz" localSheetId="16" hidden="1">{"AnnInc",#N/A,TRUE,"Inc";"QtrInc1",#N/A,TRUE,"Inc";"Balance",#N/A,TRUE,"Bal";"Cflow",#N/A,TRUE,"Cash"}</definedName>
    <definedName name="bcz" localSheetId="22" hidden="1">{"AnnInc",#N/A,TRUE,"Inc";"QtrInc1",#N/A,TRUE,"Inc";"Balance",#N/A,TRUE,"Bal";"Cflow",#N/A,TRUE,"Cash"}</definedName>
    <definedName name="bcz" localSheetId="24" hidden="1">{"AnnInc",#N/A,TRUE,"Inc";"QtrInc1",#N/A,TRUE,"Inc";"Balance",#N/A,TRUE,"Bal";"Cflow",#N/A,TRUE,"Cash"}</definedName>
    <definedName name="bcz" localSheetId="26" hidden="1">{"AnnInc",#N/A,TRUE,"Inc";"QtrInc1",#N/A,TRUE,"Inc";"Balance",#N/A,TRUE,"Bal";"Cflow",#N/A,TRUE,"Cash"}</definedName>
    <definedName name="bcz" localSheetId="28" hidden="1">{"AnnInc",#N/A,TRUE,"Inc";"QtrInc1",#N/A,TRUE,"Inc";"Balance",#N/A,TRUE,"Bal";"Cflow",#N/A,TRUE,"Cash"}</definedName>
    <definedName name="bcz" localSheetId="30" hidden="1">{"AnnInc",#N/A,TRUE,"Inc";"QtrInc1",#N/A,TRUE,"Inc";"Balance",#N/A,TRUE,"Bal";"Cflow",#N/A,TRUE,"Cash"}</definedName>
    <definedName name="bcz" localSheetId="32" hidden="1">{"AnnInc",#N/A,TRUE,"Inc";"QtrInc1",#N/A,TRUE,"Inc";"Balance",#N/A,TRUE,"Bal";"Cflow",#N/A,TRUE,"Cash"}</definedName>
    <definedName name="bcz" localSheetId="34" hidden="1">{"AnnInc",#N/A,TRUE,"Inc";"QtrInc1",#N/A,TRUE,"Inc";"Balance",#N/A,TRUE,"Bal";"Cflow",#N/A,TRUE,"Cash"}</definedName>
    <definedName name="bcz" localSheetId="36" hidden="1">{"AnnInc",#N/A,TRUE,"Inc";"QtrInc1",#N/A,TRUE,"Inc";"Balance",#N/A,TRUE,"Bal";"Cflow",#N/A,TRUE,"Cash"}</definedName>
    <definedName name="bcz" localSheetId="38" hidden="1">{"AnnInc",#N/A,TRUE,"Inc";"QtrInc1",#N/A,TRUE,"Inc";"Balance",#N/A,TRUE,"Bal";"Cflow",#N/A,TRUE,"Cash"}</definedName>
    <definedName name="bcz" hidden="1">{"AnnInc",#N/A,TRUE,"Inc";"QtrInc1",#N/A,TRUE,"Inc";"Balance",#N/A,TRUE,"Bal";"Cflow",#N/A,TRUE,"Cash"}</definedName>
    <definedName name="bd" localSheetId="3" hidden="1">{"NOPCAPEVA",#N/A,FALSE,"Nopat";"FCFCSTAR",#N/A,FALSE,"FCFVAL";"EVAVL",#N/A,FALSE,"EVAVAL";"LEASE",#N/A,FALSE,"OpLease"}</definedName>
    <definedName name="bd" localSheetId="5" hidden="1">{"NOPCAPEVA",#N/A,FALSE,"Nopat";"FCFCSTAR",#N/A,FALSE,"FCFVAL";"EVAVL",#N/A,FALSE,"EVAVAL";"LEASE",#N/A,FALSE,"OpLease"}</definedName>
    <definedName name="bd" localSheetId="8" hidden="1">{"NOPCAPEVA",#N/A,FALSE,"Nopat";"FCFCSTAR",#N/A,FALSE,"FCFVAL";"EVAVL",#N/A,FALSE,"EVAVAL";"LEASE",#N/A,FALSE,"OpLease"}</definedName>
    <definedName name="bd" localSheetId="10" hidden="1">{"NOPCAPEVA",#N/A,FALSE,"Nopat";"FCFCSTAR",#N/A,FALSE,"FCFVAL";"EVAVL",#N/A,FALSE,"EVAVAL";"LEASE",#N/A,FALSE,"OpLease"}</definedName>
    <definedName name="bd" localSheetId="12" hidden="1">{"NOPCAPEVA",#N/A,FALSE,"Nopat";"FCFCSTAR",#N/A,FALSE,"FCFVAL";"EVAVL",#N/A,FALSE,"EVAVAL";"LEASE",#N/A,FALSE,"OpLease"}</definedName>
    <definedName name="bd" localSheetId="14" hidden="1">{"NOPCAPEVA",#N/A,FALSE,"Nopat";"FCFCSTAR",#N/A,FALSE,"FCFVAL";"EVAVL",#N/A,FALSE,"EVAVAL";"LEASE",#N/A,FALSE,"OpLease"}</definedName>
    <definedName name="bd" localSheetId="16" hidden="1">{"NOPCAPEVA",#N/A,FALSE,"Nopat";"FCFCSTAR",#N/A,FALSE,"FCFVAL";"EVAVL",#N/A,FALSE,"EVAVAL";"LEASE",#N/A,FALSE,"OpLease"}</definedName>
    <definedName name="bd" localSheetId="22" hidden="1">{"NOPCAPEVA",#N/A,FALSE,"Nopat";"FCFCSTAR",#N/A,FALSE,"FCFVAL";"EVAVL",#N/A,FALSE,"EVAVAL";"LEASE",#N/A,FALSE,"OpLease"}</definedName>
    <definedName name="bd" localSheetId="24" hidden="1">{"NOPCAPEVA",#N/A,FALSE,"Nopat";"FCFCSTAR",#N/A,FALSE,"FCFVAL";"EVAVL",#N/A,FALSE,"EVAVAL";"LEASE",#N/A,FALSE,"OpLease"}</definedName>
    <definedName name="bd" localSheetId="26" hidden="1">{"NOPCAPEVA",#N/A,FALSE,"Nopat";"FCFCSTAR",#N/A,FALSE,"FCFVAL";"EVAVL",#N/A,FALSE,"EVAVAL";"LEASE",#N/A,FALSE,"OpLease"}</definedName>
    <definedName name="bd" localSheetId="28" hidden="1">{"NOPCAPEVA",#N/A,FALSE,"Nopat";"FCFCSTAR",#N/A,FALSE,"FCFVAL";"EVAVL",#N/A,FALSE,"EVAVAL";"LEASE",#N/A,FALSE,"OpLease"}</definedName>
    <definedName name="bd" localSheetId="30" hidden="1">{"NOPCAPEVA",#N/A,FALSE,"Nopat";"FCFCSTAR",#N/A,FALSE,"FCFVAL";"EVAVL",#N/A,FALSE,"EVAVAL";"LEASE",#N/A,FALSE,"OpLease"}</definedName>
    <definedName name="bd" localSheetId="32" hidden="1">{"NOPCAPEVA",#N/A,FALSE,"Nopat";"FCFCSTAR",#N/A,FALSE,"FCFVAL";"EVAVL",#N/A,FALSE,"EVAVAL";"LEASE",#N/A,FALSE,"OpLease"}</definedName>
    <definedName name="bd" localSheetId="34" hidden="1">{"NOPCAPEVA",#N/A,FALSE,"Nopat";"FCFCSTAR",#N/A,FALSE,"FCFVAL";"EVAVL",#N/A,FALSE,"EVAVAL";"LEASE",#N/A,FALSE,"OpLease"}</definedName>
    <definedName name="bd" localSheetId="36" hidden="1">{"NOPCAPEVA",#N/A,FALSE,"Nopat";"FCFCSTAR",#N/A,FALSE,"FCFVAL";"EVAVL",#N/A,FALSE,"EVAVAL";"LEASE",#N/A,FALSE,"OpLease"}</definedName>
    <definedName name="bd" localSheetId="38" hidden="1">{"NOPCAPEVA",#N/A,FALSE,"Nopat";"FCFCSTAR",#N/A,FALSE,"FCFVAL";"EVAVL",#N/A,FALSE,"EVAVAL";"LEASE",#N/A,FALSE,"OpLease"}</definedName>
    <definedName name="bd" hidden="1">{"NOPCAPEVA",#N/A,FALSE,"Nopat";"FCFCSTAR",#N/A,FALSE,"FCFVAL";"EVAVL",#N/A,FALSE,"EVAVAL";"LEASE",#N/A,FALSE,"OpLease"}</definedName>
    <definedName name="bd_k" localSheetId="3" hidden="1">{"NOPCAPEVA",#N/A,FALSE,"Nopat";"FCFCSTAR",#N/A,FALSE,"FCFVAL";"EVAVL",#N/A,FALSE,"EVAVAL";"LEASE",#N/A,FALSE,"OpLease"}</definedName>
    <definedName name="bd_k" localSheetId="5" hidden="1">{"NOPCAPEVA",#N/A,FALSE,"Nopat";"FCFCSTAR",#N/A,FALSE,"FCFVAL";"EVAVL",#N/A,FALSE,"EVAVAL";"LEASE",#N/A,FALSE,"OpLease"}</definedName>
    <definedName name="bd_k" localSheetId="8" hidden="1">{"NOPCAPEVA",#N/A,FALSE,"Nopat";"FCFCSTAR",#N/A,FALSE,"FCFVAL";"EVAVL",#N/A,FALSE,"EVAVAL";"LEASE",#N/A,FALSE,"OpLease"}</definedName>
    <definedName name="bd_k" localSheetId="10" hidden="1">{"NOPCAPEVA",#N/A,FALSE,"Nopat";"FCFCSTAR",#N/A,FALSE,"FCFVAL";"EVAVL",#N/A,FALSE,"EVAVAL";"LEASE",#N/A,FALSE,"OpLease"}</definedName>
    <definedName name="bd_k" localSheetId="12" hidden="1">{"NOPCAPEVA",#N/A,FALSE,"Nopat";"FCFCSTAR",#N/A,FALSE,"FCFVAL";"EVAVL",#N/A,FALSE,"EVAVAL";"LEASE",#N/A,FALSE,"OpLease"}</definedName>
    <definedName name="bd_k" localSheetId="14" hidden="1">{"NOPCAPEVA",#N/A,FALSE,"Nopat";"FCFCSTAR",#N/A,FALSE,"FCFVAL";"EVAVL",#N/A,FALSE,"EVAVAL";"LEASE",#N/A,FALSE,"OpLease"}</definedName>
    <definedName name="bd_k" localSheetId="16" hidden="1">{"NOPCAPEVA",#N/A,FALSE,"Nopat";"FCFCSTAR",#N/A,FALSE,"FCFVAL";"EVAVL",#N/A,FALSE,"EVAVAL";"LEASE",#N/A,FALSE,"OpLease"}</definedName>
    <definedName name="bd_k" localSheetId="22" hidden="1">{"NOPCAPEVA",#N/A,FALSE,"Nopat";"FCFCSTAR",#N/A,FALSE,"FCFVAL";"EVAVL",#N/A,FALSE,"EVAVAL";"LEASE",#N/A,FALSE,"OpLease"}</definedName>
    <definedName name="bd_k" localSheetId="24" hidden="1">{"NOPCAPEVA",#N/A,FALSE,"Nopat";"FCFCSTAR",#N/A,FALSE,"FCFVAL";"EVAVL",#N/A,FALSE,"EVAVAL";"LEASE",#N/A,FALSE,"OpLease"}</definedName>
    <definedName name="bd_k" localSheetId="26" hidden="1">{"NOPCAPEVA",#N/A,FALSE,"Nopat";"FCFCSTAR",#N/A,FALSE,"FCFVAL";"EVAVL",#N/A,FALSE,"EVAVAL";"LEASE",#N/A,FALSE,"OpLease"}</definedName>
    <definedName name="bd_k" localSheetId="28" hidden="1">{"NOPCAPEVA",#N/A,FALSE,"Nopat";"FCFCSTAR",#N/A,FALSE,"FCFVAL";"EVAVL",#N/A,FALSE,"EVAVAL";"LEASE",#N/A,FALSE,"OpLease"}</definedName>
    <definedName name="bd_k" localSheetId="30" hidden="1">{"NOPCAPEVA",#N/A,FALSE,"Nopat";"FCFCSTAR",#N/A,FALSE,"FCFVAL";"EVAVL",#N/A,FALSE,"EVAVAL";"LEASE",#N/A,FALSE,"OpLease"}</definedName>
    <definedName name="bd_k" localSheetId="32" hidden="1">{"NOPCAPEVA",#N/A,FALSE,"Nopat";"FCFCSTAR",#N/A,FALSE,"FCFVAL";"EVAVL",#N/A,FALSE,"EVAVAL";"LEASE",#N/A,FALSE,"OpLease"}</definedName>
    <definedName name="bd_k" localSheetId="34" hidden="1">{"NOPCAPEVA",#N/A,FALSE,"Nopat";"FCFCSTAR",#N/A,FALSE,"FCFVAL";"EVAVL",#N/A,FALSE,"EVAVAL";"LEASE",#N/A,FALSE,"OpLease"}</definedName>
    <definedName name="bd_k" localSheetId="36" hidden="1">{"NOPCAPEVA",#N/A,FALSE,"Nopat";"FCFCSTAR",#N/A,FALSE,"FCFVAL";"EVAVL",#N/A,FALSE,"EVAVAL";"LEASE",#N/A,FALSE,"OpLease"}</definedName>
    <definedName name="bd_k" localSheetId="38" hidden="1">{"NOPCAPEVA",#N/A,FALSE,"Nopat";"FCFCSTAR",#N/A,FALSE,"FCFVAL";"EVAVL",#N/A,FALSE,"EVAVAL";"LEASE",#N/A,FALSE,"OpLease"}</definedName>
    <definedName name="bd_k" hidden="1">{"NOPCAPEVA",#N/A,FALSE,"Nopat";"FCFCSTAR",#N/A,FALSE,"FCFVAL";"EVAVL",#N/A,FALSE,"EVAVAL";"LEASE",#N/A,FALSE,"OpLease"}</definedName>
    <definedName name="bdxc" localSheetId="3" hidden="1">{"NOPCAPEVA",#N/A,FALSE,"Nopat";"FCFCSTAR",#N/A,FALSE,"FCFVAL";"EVAVL",#N/A,FALSE,"EVAVAL";"LEASE",#N/A,FALSE,"OpLease"}</definedName>
    <definedName name="bdxc" localSheetId="5" hidden="1">{"NOPCAPEVA",#N/A,FALSE,"Nopat";"FCFCSTAR",#N/A,FALSE,"FCFVAL";"EVAVL",#N/A,FALSE,"EVAVAL";"LEASE",#N/A,FALSE,"OpLease"}</definedName>
    <definedName name="bdxc" localSheetId="8" hidden="1">{"NOPCAPEVA",#N/A,FALSE,"Nopat";"FCFCSTAR",#N/A,FALSE,"FCFVAL";"EVAVL",#N/A,FALSE,"EVAVAL";"LEASE",#N/A,FALSE,"OpLease"}</definedName>
    <definedName name="bdxc" localSheetId="10" hidden="1">{"NOPCAPEVA",#N/A,FALSE,"Nopat";"FCFCSTAR",#N/A,FALSE,"FCFVAL";"EVAVL",#N/A,FALSE,"EVAVAL";"LEASE",#N/A,FALSE,"OpLease"}</definedName>
    <definedName name="bdxc" localSheetId="12" hidden="1">{"NOPCAPEVA",#N/A,FALSE,"Nopat";"FCFCSTAR",#N/A,FALSE,"FCFVAL";"EVAVL",#N/A,FALSE,"EVAVAL";"LEASE",#N/A,FALSE,"OpLease"}</definedName>
    <definedName name="bdxc" localSheetId="14" hidden="1">{"NOPCAPEVA",#N/A,FALSE,"Nopat";"FCFCSTAR",#N/A,FALSE,"FCFVAL";"EVAVL",#N/A,FALSE,"EVAVAL";"LEASE",#N/A,FALSE,"OpLease"}</definedName>
    <definedName name="bdxc" localSheetId="16" hidden="1">{"NOPCAPEVA",#N/A,FALSE,"Nopat";"FCFCSTAR",#N/A,FALSE,"FCFVAL";"EVAVL",#N/A,FALSE,"EVAVAL";"LEASE",#N/A,FALSE,"OpLease"}</definedName>
    <definedName name="bdxc" localSheetId="22" hidden="1">{"NOPCAPEVA",#N/A,FALSE,"Nopat";"FCFCSTAR",#N/A,FALSE,"FCFVAL";"EVAVL",#N/A,FALSE,"EVAVAL";"LEASE",#N/A,FALSE,"OpLease"}</definedName>
    <definedName name="bdxc" localSheetId="24" hidden="1">{"NOPCAPEVA",#N/A,FALSE,"Nopat";"FCFCSTAR",#N/A,FALSE,"FCFVAL";"EVAVL",#N/A,FALSE,"EVAVAL";"LEASE",#N/A,FALSE,"OpLease"}</definedName>
    <definedName name="bdxc" localSheetId="26" hidden="1">{"NOPCAPEVA",#N/A,FALSE,"Nopat";"FCFCSTAR",#N/A,FALSE,"FCFVAL";"EVAVL",#N/A,FALSE,"EVAVAL";"LEASE",#N/A,FALSE,"OpLease"}</definedName>
    <definedName name="bdxc" localSheetId="28" hidden="1">{"NOPCAPEVA",#N/A,FALSE,"Nopat";"FCFCSTAR",#N/A,FALSE,"FCFVAL";"EVAVL",#N/A,FALSE,"EVAVAL";"LEASE",#N/A,FALSE,"OpLease"}</definedName>
    <definedName name="bdxc" localSheetId="30" hidden="1">{"NOPCAPEVA",#N/A,FALSE,"Nopat";"FCFCSTAR",#N/A,FALSE,"FCFVAL";"EVAVL",#N/A,FALSE,"EVAVAL";"LEASE",#N/A,FALSE,"OpLease"}</definedName>
    <definedName name="bdxc" localSheetId="32" hidden="1">{"NOPCAPEVA",#N/A,FALSE,"Nopat";"FCFCSTAR",#N/A,FALSE,"FCFVAL";"EVAVL",#N/A,FALSE,"EVAVAL";"LEASE",#N/A,FALSE,"OpLease"}</definedName>
    <definedName name="bdxc" localSheetId="34" hidden="1">{"NOPCAPEVA",#N/A,FALSE,"Nopat";"FCFCSTAR",#N/A,FALSE,"FCFVAL";"EVAVL",#N/A,FALSE,"EVAVAL";"LEASE",#N/A,FALSE,"OpLease"}</definedName>
    <definedName name="bdxc" localSheetId="36" hidden="1">{"NOPCAPEVA",#N/A,FALSE,"Nopat";"FCFCSTAR",#N/A,FALSE,"FCFVAL";"EVAVL",#N/A,FALSE,"EVAVAL";"LEASE",#N/A,FALSE,"OpLease"}</definedName>
    <definedName name="bdxc" localSheetId="38" hidden="1">{"NOPCAPEVA",#N/A,FALSE,"Nopat";"FCFCSTAR",#N/A,FALSE,"FCFVAL";"EVAVL",#N/A,FALSE,"EVAVAL";"LEASE",#N/A,FALSE,"OpLease"}</definedName>
    <definedName name="bdxc" hidden="1">{"NOPCAPEVA",#N/A,FALSE,"Nopat";"FCFCSTAR",#N/A,FALSE,"FCFVAL";"EVAVL",#N/A,FALSE,"EVAVAL";"LEASE",#N/A,FALSE,"OpLease"}</definedName>
    <definedName name="bea">#REF!</definedName>
    <definedName name="Beg_Bal">#REF!</definedName>
    <definedName name="bfc" localSheetId="3" hidden="1">{"NOPCAPEVA",#N/A,FALSE,"Nopat";"FCFCSTAR",#N/A,FALSE,"FCFVAL";"EVAVL",#N/A,FALSE,"EVAVAL";"LEASE",#N/A,FALSE,"OpLease"}</definedName>
    <definedName name="bfc" localSheetId="5" hidden="1">{"NOPCAPEVA",#N/A,FALSE,"Nopat";"FCFCSTAR",#N/A,FALSE,"FCFVAL";"EVAVL",#N/A,FALSE,"EVAVAL";"LEASE",#N/A,FALSE,"OpLease"}</definedName>
    <definedName name="bfc" localSheetId="8" hidden="1">{"NOPCAPEVA",#N/A,FALSE,"Nopat";"FCFCSTAR",#N/A,FALSE,"FCFVAL";"EVAVL",#N/A,FALSE,"EVAVAL";"LEASE",#N/A,FALSE,"OpLease"}</definedName>
    <definedName name="bfc" localSheetId="10" hidden="1">{"NOPCAPEVA",#N/A,FALSE,"Nopat";"FCFCSTAR",#N/A,FALSE,"FCFVAL";"EVAVL",#N/A,FALSE,"EVAVAL";"LEASE",#N/A,FALSE,"OpLease"}</definedName>
    <definedName name="bfc" localSheetId="12" hidden="1">{"NOPCAPEVA",#N/A,FALSE,"Nopat";"FCFCSTAR",#N/A,FALSE,"FCFVAL";"EVAVL",#N/A,FALSE,"EVAVAL";"LEASE",#N/A,FALSE,"OpLease"}</definedName>
    <definedName name="bfc" localSheetId="14" hidden="1">{"NOPCAPEVA",#N/A,FALSE,"Nopat";"FCFCSTAR",#N/A,FALSE,"FCFVAL";"EVAVL",#N/A,FALSE,"EVAVAL";"LEASE",#N/A,FALSE,"OpLease"}</definedName>
    <definedName name="bfc" localSheetId="16" hidden="1">{"NOPCAPEVA",#N/A,FALSE,"Nopat";"FCFCSTAR",#N/A,FALSE,"FCFVAL";"EVAVL",#N/A,FALSE,"EVAVAL";"LEASE",#N/A,FALSE,"OpLease"}</definedName>
    <definedName name="bfc" localSheetId="22" hidden="1">{"NOPCAPEVA",#N/A,FALSE,"Nopat";"FCFCSTAR",#N/A,FALSE,"FCFVAL";"EVAVL",#N/A,FALSE,"EVAVAL";"LEASE",#N/A,FALSE,"OpLease"}</definedName>
    <definedName name="bfc" localSheetId="24" hidden="1">{"NOPCAPEVA",#N/A,FALSE,"Nopat";"FCFCSTAR",#N/A,FALSE,"FCFVAL";"EVAVL",#N/A,FALSE,"EVAVAL";"LEASE",#N/A,FALSE,"OpLease"}</definedName>
    <definedName name="bfc" localSheetId="26" hidden="1">{"NOPCAPEVA",#N/A,FALSE,"Nopat";"FCFCSTAR",#N/A,FALSE,"FCFVAL";"EVAVL",#N/A,FALSE,"EVAVAL";"LEASE",#N/A,FALSE,"OpLease"}</definedName>
    <definedName name="bfc" localSheetId="28" hidden="1">{"NOPCAPEVA",#N/A,FALSE,"Nopat";"FCFCSTAR",#N/A,FALSE,"FCFVAL";"EVAVL",#N/A,FALSE,"EVAVAL";"LEASE",#N/A,FALSE,"OpLease"}</definedName>
    <definedName name="bfc" localSheetId="30" hidden="1">{"NOPCAPEVA",#N/A,FALSE,"Nopat";"FCFCSTAR",#N/A,FALSE,"FCFVAL";"EVAVL",#N/A,FALSE,"EVAVAL";"LEASE",#N/A,FALSE,"OpLease"}</definedName>
    <definedName name="bfc" localSheetId="32" hidden="1">{"NOPCAPEVA",#N/A,FALSE,"Nopat";"FCFCSTAR",#N/A,FALSE,"FCFVAL";"EVAVL",#N/A,FALSE,"EVAVAL";"LEASE",#N/A,FALSE,"OpLease"}</definedName>
    <definedName name="bfc" localSheetId="34" hidden="1">{"NOPCAPEVA",#N/A,FALSE,"Nopat";"FCFCSTAR",#N/A,FALSE,"FCFVAL";"EVAVL",#N/A,FALSE,"EVAVAL";"LEASE",#N/A,FALSE,"OpLease"}</definedName>
    <definedName name="bfc" localSheetId="36" hidden="1">{"NOPCAPEVA",#N/A,FALSE,"Nopat";"FCFCSTAR",#N/A,FALSE,"FCFVAL";"EVAVL",#N/A,FALSE,"EVAVAL";"LEASE",#N/A,FALSE,"OpLease"}</definedName>
    <definedName name="bfc" localSheetId="38" hidden="1">{"NOPCAPEVA",#N/A,FALSE,"Nopat";"FCFCSTAR",#N/A,FALSE,"FCFVAL";"EVAVL",#N/A,FALSE,"EVAVAL";"LEASE",#N/A,FALSE,"OpLease"}</definedName>
    <definedName name="bfc" hidden="1">{"NOPCAPEVA",#N/A,FALSE,"Nopat";"FCFCSTAR",#N/A,FALSE,"FCFVAL";"EVAVL",#N/A,FALSE,"EVAVAL";"LEASE",#N/A,FALSE,"OpLease"}</definedName>
    <definedName name="bfds" localSheetId="3" hidden="1">{"NOPCAPEVA",#N/A,FALSE,"Nopat";"FCFCSTAR",#N/A,FALSE,"FCFVAL";"EVAVL",#N/A,FALSE,"EVAVAL";"LEASE",#N/A,FALSE,"OpLease"}</definedName>
    <definedName name="bfds" localSheetId="5" hidden="1">{"NOPCAPEVA",#N/A,FALSE,"Nopat";"FCFCSTAR",#N/A,FALSE,"FCFVAL";"EVAVL",#N/A,FALSE,"EVAVAL";"LEASE",#N/A,FALSE,"OpLease"}</definedName>
    <definedName name="bfds" localSheetId="8" hidden="1">{"NOPCAPEVA",#N/A,FALSE,"Nopat";"FCFCSTAR",#N/A,FALSE,"FCFVAL";"EVAVL",#N/A,FALSE,"EVAVAL";"LEASE",#N/A,FALSE,"OpLease"}</definedName>
    <definedName name="bfds" localSheetId="10" hidden="1">{"NOPCAPEVA",#N/A,FALSE,"Nopat";"FCFCSTAR",#N/A,FALSE,"FCFVAL";"EVAVL",#N/A,FALSE,"EVAVAL";"LEASE",#N/A,FALSE,"OpLease"}</definedName>
    <definedName name="bfds" localSheetId="12" hidden="1">{"NOPCAPEVA",#N/A,FALSE,"Nopat";"FCFCSTAR",#N/A,FALSE,"FCFVAL";"EVAVL",#N/A,FALSE,"EVAVAL";"LEASE",#N/A,FALSE,"OpLease"}</definedName>
    <definedName name="bfds" localSheetId="14" hidden="1">{"NOPCAPEVA",#N/A,FALSE,"Nopat";"FCFCSTAR",#N/A,FALSE,"FCFVAL";"EVAVL",#N/A,FALSE,"EVAVAL";"LEASE",#N/A,FALSE,"OpLease"}</definedName>
    <definedName name="bfds" localSheetId="16" hidden="1">{"NOPCAPEVA",#N/A,FALSE,"Nopat";"FCFCSTAR",#N/A,FALSE,"FCFVAL";"EVAVL",#N/A,FALSE,"EVAVAL";"LEASE",#N/A,FALSE,"OpLease"}</definedName>
    <definedName name="bfds" localSheetId="22" hidden="1">{"NOPCAPEVA",#N/A,FALSE,"Nopat";"FCFCSTAR",#N/A,FALSE,"FCFVAL";"EVAVL",#N/A,FALSE,"EVAVAL";"LEASE",#N/A,FALSE,"OpLease"}</definedName>
    <definedName name="bfds" localSheetId="24" hidden="1">{"NOPCAPEVA",#N/A,FALSE,"Nopat";"FCFCSTAR",#N/A,FALSE,"FCFVAL";"EVAVL",#N/A,FALSE,"EVAVAL";"LEASE",#N/A,FALSE,"OpLease"}</definedName>
    <definedName name="bfds" localSheetId="26" hidden="1">{"NOPCAPEVA",#N/A,FALSE,"Nopat";"FCFCSTAR",#N/A,FALSE,"FCFVAL";"EVAVL",#N/A,FALSE,"EVAVAL";"LEASE",#N/A,FALSE,"OpLease"}</definedName>
    <definedName name="bfds" localSheetId="28" hidden="1">{"NOPCAPEVA",#N/A,FALSE,"Nopat";"FCFCSTAR",#N/A,FALSE,"FCFVAL";"EVAVL",#N/A,FALSE,"EVAVAL";"LEASE",#N/A,FALSE,"OpLease"}</definedName>
    <definedName name="bfds" localSheetId="30" hidden="1">{"NOPCAPEVA",#N/A,FALSE,"Nopat";"FCFCSTAR",#N/A,FALSE,"FCFVAL";"EVAVL",#N/A,FALSE,"EVAVAL";"LEASE",#N/A,FALSE,"OpLease"}</definedName>
    <definedName name="bfds" localSheetId="32" hidden="1">{"NOPCAPEVA",#N/A,FALSE,"Nopat";"FCFCSTAR",#N/A,FALSE,"FCFVAL";"EVAVL",#N/A,FALSE,"EVAVAL";"LEASE",#N/A,FALSE,"OpLease"}</definedName>
    <definedName name="bfds" localSheetId="34" hidden="1">{"NOPCAPEVA",#N/A,FALSE,"Nopat";"FCFCSTAR",#N/A,FALSE,"FCFVAL";"EVAVL",#N/A,FALSE,"EVAVAL";"LEASE",#N/A,FALSE,"OpLease"}</definedName>
    <definedName name="bfds" localSheetId="36" hidden="1">{"NOPCAPEVA",#N/A,FALSE,"Nopat";"FCFCSTAR",#N/A,FALSE,"FCFVAL";"EVAVL",#N/A,FALSE,"EVAVAL";"LEASE",#N/A,FALSE,"OpLease"}</definedName>
    <definedName name="bfds" localSheetId="38" hidden="1">{"NOPCAPEVA",#N/A,FALSE,"Nopat";"FCFCSTAR",#N/A,FALSE,"FCFVAL";"EVAVL",#N/A,FALSE,"EVAVAL";"LEASE",#N/A,FALSE,"OpLease"}</definedName>
    <definedName name="bfds" hidden="1">{"NOPCAPEVA",#N/A,FALSE,"Nopat";"FCFCSTAR",#N/A,FALSE,"FCFVAL";"EVAVL",#N/A,FALSE,"EVAVAL";"LEASE",#N/A,FALSE,"OpLease"}</definedName>
    <definedName name="bfdz" localSheetId="3" hidden="1">{"NOPCAPEVA",#N/A,FALSE,"Nopat";"FCFCSTAR",#N/A,FALSE,"FCFVAL";"EVAVL",#N/A,FALSE,"EVAVAL";"LEASE",#N/A,FALSE,"OpLease"}</definedName>
    <definedName name="bfdz" localSheetId="5" hidden="1">{"NOPCAPEVA",#N/A,FALSE,"Nopat";"FCFCSTAR",#N/A,FALSE,"FCFVAL";"EVAVL",#N/A,FALSE,"EVAVAL";"LEASE",#N/A,FALSE,"OpLease"}</definedName>
    <definedName name="bfdz" localSheetId="8" hidden="1">{"NOPCAPEVA",#N/A,FALSE,"Nopat";"FCFCSTAR",#N/A,FALSE,"FCFVAL";"EVAVL",#N/A,FALSE,"EVAVAL";"LEASE",#N/A,FALSE,"OpLease"}</definedName>
    <definedName name="bfdz" localSheetId="10" hidden="1">{"NOPCAPEVA",#N/A,FALSE,"Nopat";"FCFCSTAR",#N/A,FALSE,"FCFVAL";"EVAVL",#N/A,FALSE,"EVAVAL";"LEASE",#N/A,FALSE,"OpLease"}</definedName>
    <definedName name="bfdz" localSheetId="12" hidden="1">{"NOPCAPEVA",#N/A,FALSE,"Nopat";"FCFCSTAR",#N/A,FALSE,"FCFVAL";"EVAVL",#N/A,FALSE,"EVAVAL";"LEASE",#N/A,FALSE,"OpLease"}</definedName>
    <definedName name="bfdz" localSheetId="14" hidden="1">{"NOPCAPEVA",#N/A,FALSE,"Nopat";"FCFCSTAR",#N/A,FALSE,"FCFVAL";"EVAVL",#N/A,FALSE,"EVAVAL";"LEASE",#N/A,FALSE,"OpLease"}</definedName>
    <definedName name="bfdz" localSheetId="16" hidden="1">{"NOPCAPEVA",#N/A,FALSE,"Nopat";"FCFCSTAR",#N/A,FALSE,"FCFVAL";"EVAVL",#N/A,FALSE,"EVAVAL";"LEASE",#N/A,FALSE,"OpLease"}</definedName>
    <definedName name="bfdz" localSheetId="22" hidden="1">{"NOPCAPEVA",#N/A,FALSE,"Nopat";"FCFCSTAR",#N/A,FALSE,"FCFVAL";"EVAVL",#N/A,FALSE,"EVAVAL";"LEASE",#N/A,FALSE,"OpLease"}</definedName>
    <definedName name="bfdz" localSheetId="24" hidden="1">{"NOPCAPEVA",#N/A,FALSE,"Nopat";"FCFCSTAR",#N/A,FALSE,"FCFVAL";"EVAVL",#N/A,FALSE,"EVAVAL";"LEASE",#N/A,FALSE,"OpLease"}</definedName>
    <definedName name="bfdz" localSheetId="26" hidden="1">{"NOPCAPEVA",#N/A,FALSE,"Nopat";"FCFCSTAR",#N/A,FALSE,"FCFVAL";"EVAVL",#N/A,FALSE,"EVAVAL";"LEASE",#N/A,FALSE,"OpLease"}</definedName>
    <definedName name="bfdz" localSheetId="28" hidden="1">{"NOPCAPEVA",#N/A,FALSE,"Nopat";"FCFCSTAR",#N/A,FALSE,"FCFVAL";"EVAVL",#N/A,FALSE,"EVAVAL";"LEASE",#N/A,FALSE,"OpLease"}</definedName>
    <definedName name="bfdz" localSheetId="30" hidden="1">{"NOPCAPEVA",#N/A,FALSE,"Nopat";"FCFCSTAR",#N/A,FALSE,"FCFVAL";"EVAVL",#N/A,FALSE,"EVAVAL";"LEASE",#N/A,FALSE,"OpLease"}</definedName>
    <definedName name="bfdz" localSheetId="32" hidden="1">{"NOPCAPEVA",#N/A,FALSE,"Nopat";"FCFCSTAR",#N/A,FALSE,"FCFVAL";"EVAVL",#N/A,FALSE,"EVAVAL";"LEASE",#N/A,FALSE,"OpLease"}</definedName>
    <definedName name="bfdz" localSheetId="34" hidden="1">{"NOPCAPEVA",#N/A,FALSE,"Nopat";"FCFCSTAR",#N/A,FALSE,"FCFVAL";"EVAVL",#N/A,FALSE,"EVAVAL";"LEASE",#N/A,FALSE,"OpLease"}</definedName>
    <definedName name="bfdz" localSheetId="36" hidden="1">{"NOPCAPEVA",#N/A,FALSE,"Nopat";"FCFCSTAR",#N/A,FALSE,"FCFVAL";"EVAVL",#N/A,FALSE,"EVAVAL";"LEASE",#N/A,FALSE,"OpLease"}</definedName>
    <definedName name="bfdz" localSheetId="38" hidden="1">{"NOPCAPEVA",#N/A,FALSE,"Nopat";"FCFCSTAR",#N/A,FALSE,"FCFVAL";"EVAVL",#N/A,FALSE,"EVAVAL";"LEASE",#N/A,FALSE,"OpLease"}</definedName>
    <definedName name="bfdz" hidden="1">{"NOPCAPEVA",#N/A,FALSE,"Nopat";"FCFCSTAR",#N/A,FALSE,"FCFVAL";"EVAVL",#N/A,FALSE,"EVAVAL";"LEASE",#N/A,FALSE,"OpLease"}</definedName>
    <definedName name="bfszd" localSheetId="3" hidden="1">{"NOPCAPEVA",#N/A,FALSE,"Nopat";"FCFCSTAR",#N/A,FALSE,"FCFVAL";"EVAVL",#N/A,FALSE,"EVAVAL";"LEASE",#N/A,FALSE,"OpLease"}</definedName>
    <definedName name="bfszd" localSheetId="5" hidden="1">{"NOPCAPEVA",#N/A,FALSE,"Nopat";"FCFCSTAR",#N/A,FALSE,"FCFVAL";"EVAVL",#N/A,FALSE,"EVAVAL";"LEASE",#N/A,FALSE,"OpLease"}</definedName>
    <definedName name="bfszd" localSheetId="8" hidden="1">{"NOPCAPEVA",#N/A,FALSE,"Nopat";"FCFCSTAR",#N/A,FALSE,"FCFVAL";"EVAVL",#N/A,FALSE,"EVAVAL";"LEASE",#N/A,FALSE,"OpLease"}</definedName>
    <definedName name="bfszd" localSheetId="10" hidden="1">{"NOPCAPEVA",#N/A,FALSE,"Nopat";"FCFCSTAR",#N/A,FALSE,"FCFVAL";"EVAVL",#N/A,FALSE,"EVAVAL";"LEASE",#N/A,FALSE,"OpLease"}</definedName>
    <definedName name="bfszd" localSheetId="12" hidden="1">{"NOPCAPEVA",#N/A,FALSE,"Nopat";"FCFCSTAR",#N/A,FALSE,"FCFVAL";"EVAVL",#N/A,FALSE,"EVAVAL";"LEASE",#N/A,FALSE,"OpLease"}</definedName>
    <definedName name="bfszd" localSheetId="14" hidden="1">{"NOPCAPEVA",#N/A,FALSE,"Nopat";"FCFCSTAR",#N/A,FALSE,"FCFVAL";"EVAVL",#N/A,FALSE,"EVAVAL";"LEASE",#N/A,FALSE,"OpLease"}</definedName>
    <definedName name="bfszd" localSheetId="16" hidden="1">{"NOPCAPEVA",#N/A,FALSE,"Nopat";"FCFCSTAR",#N/A,FALSE,"FCFVAL";"EVAVL",#N/A,FALSE,"EVAVAL";"LEASE",#N/A,FALSE,"OpLease"}</definedName>
    <definedName name="bfszd" localSheetId="22" hidden="1">{"NOPCAPEVA",#N/A,FALSE,"Nopat";"FCFCSTAR",#N/A,FALSE,"FCFVAL";"EVAVL",#N/A,FALSE,"EVAVAL";"LEASE",#N/A,FALSE,"OpLease"}</definedName>
    <definedName name="bfszd" localSheetId="24" hidden="1">{"NOPCAPEVA",#N/A,FALSE,"Nopat";"FCFCSTAR",#N/A,FALSE,"FCFVAL";"EVAVL",#N/A,FALSE,"EVAVAL";"LEASE",#N/A,FALSE,"OpLease"}</definedName>
    <definedName name="bfszd" localSheetId="26" hidden="1">{"NOPCAPEVA",#N/A,FALSE,"Nopat";"FCFCSTAR",#N/A,FALSE,"FCFVAL";"EVAVL",#N/A,FALSE,"EVAVAL";"LEASE",#N/A,FALSE,"OpLease"}</definedName>
    <definedName name="bfszd" localSheetId="28" hidden="1">{"NOPCAPEVA",#N/A,FALSE,"Nopat";"FCFCSTAR",#N/A,FALSE,"FCFVAL";"EVAVL",#N/A,FALSE,"EVAVAL";"LEASE",#N/A,FALSE,"OpLease"}</definedName>
    <definedName name="bfszd" localSheetId="30" hidden="1">{"NOPCAPEVA",#N/A,FALSE,"Nopat";"FCFCSTAR",#N/A,FALSE,"FCFVAL";"EVAVL",#N/A,FALSE,"EVAVAL";"LEASE",#N/A,FALSE,"OpLease"}</definedName>
    <definedName name="bfszd" localSheetId="32" hidden="1">{"NOPCAPEVA",#N/A,FALSE,"Nopat";"FCFCSTAR",#N/A,FALSE,"FCFVAL";"EVAVL",#N/A,FALSE,"EVAVAL";"LEASE",#N/A,FALSE,"OpLease"}</definedName>
    <definedName name="bfszd" localSheetId="34" hidden="1">{"NOPCAPEVA",#N/A,FALSE,"Nopat";"FCFCSTAR",#N/A,FALSE,"FCFVAL";"EVAVL",#N/A,FALSE,"EVAVAL";"LEASE",#N/A,FALSE,"OpLease"}</definedName>
    <definedName name="bfszd" localSheetId="36" hidden="1">{"NOPCAPEVA",#N/A,FALSE,"Nopat";"FCFCSTAR",#N/A,FALSE,"FCFVAL";"EVAVL",#N/A,FALSE,"EVAVAL";"LEASE",#N/A,FALSE,"OpLease"}</definedName>
    <definedName name="bfszd" localSheetId="38" hidden="1">{"NOPCAPEVA",#N/A,FALSE,"Nopat";"FCFCSTAR",#N/A,FALSE,"FCFVAL";"EVAVL",#N/A,FALSE,"EVAVAL";"LEASE",#N/A,FALSE,"OpLease"}</definedName>
    <definedName name="bfszd" hidden="1">{"NOPCAPEVA",#N/A,FALSE,"Nopat";"FCFCSTAR",#N/A,FALSE,"FCFVAL";"EVAVL",#N/A,FALSE,"EVAVAL";"LEASE",#N/A,FALSE,"OpLease"}</definedName>
    <definedName name="bfx" localSheetId="3" hidden="1">{"AnnInc",#N/A,TRUE,"Inc";"QtrInc1",#N/A,TRUE,"Inc";"Balance",#N/A,TRUE,"Bal";"Cflow",#N/A,TRUE,"Cash"}</definedName>
    <definedName name="bfx" localSheetId="5" hidden="1">{"AnnInc",#N/A,TRUE,"Inc";"QtrInc1",#N/A,TRUE,"Inc";"Balance",#N/A,TRUE,"Bal";"Cflow",#N/A,TRUE,"Cash"}</definedName>
    <definedName name="bfx" localSheetId="8" hidden="1">{"AnnInc",#N/A,TRUE,"Inc";"QtrInc1",#N/A,TRUE,"Inc";"Balance",#N/A,TRUE,"Bal";"Cflow",#N/A,TRUE,"Cash"}</definedName>
    <definedName name="bfx" localSheetId="10" hidden="1">{"AnnInc",#N/A,TRUE,"Inc";"QtrInc1",#N/A,TRUE,"Inc";"Balance",#N/A,TRUE,"Bal";"Cflow",#N/A,TRUE,"Cash"}</definedName>
    <definedName name="bfx" localSheetId="12" hidden="1">{"AnnInc",#N/A,TRUE,"Inc";"QtrInc1",#N/A,TRUE,"Inc";"Balance",#N/A,TRUE,"Bal";"Cflow",#N/A,TRUE,"Cash"}</definedName>
    <definedName name="bfx" localSheetId="14" hidden="1">{"AnnInc",#N/A,TRUE,"Inc";"QtrInc1",#N/A,TRUE,"Inc";"Balance",#N/A,TRUE,"Bal";"Cflow",#N/A,TRUE,"Cash"}</definedName>
    <definedName name="bfx" localSheetId="16" hidden="1">{"AnnInc",#N/A,TRUE,"Inc";"QtrInc1",#N/A,TRUE,"Inc";"Balance",#N/A,TRUE,"Bal";"Cflow",#N/A,TRUE,"Cash"}</definedName>
    <definedName name="bfx" localSheetId="22" hidden="1">{"AnnInc",#N/A,TRUE,"Inc";"QtrInc1",#N/A,TRUE,"Inc";"Balance",#N/A,TRUE,"Bal";"Cflow",#N/A,TRUE,"Cash"}</definedName>
    <definedName name="bfx" localSheetId="24" hidden="1">{"AnnInc",#N/A,TRUE,"Inc";"QtrInc1",#N/A,TRUE,"Inc";"Balance",#N/A,TRUE,"Bal";"Cflow",#N/A,TRUE,"Cash"}</definedName>
    <definedName name="bfx" localSheetId="26" hidden="1">{"AnnInc",#N/A,TRUE,"Inc";"QtrInc1",#N/A,TRUE,"Inc";"Balance",#N/A,TRUE,"Bal";"Cflow",#N/A,TRUE,"Cash"}</definedName>
    <definedName name="bfx" localSheetId="28" hidden="1">{"AnnInc",#N/A,TRUE,"Inc";"QtrInc1",#N/A,TRUE,"Inc";"Balance",#N/A,TRUE,"Bal";"Cflow",#N/A,TRUE,"Cash"}</definedName>
    <definedName name="bfx" localSheetId="30" hidden="1">{"AnnInc",#N/A,TRUE,"Inc";"QtrInc1",#N/A,TRUE,"Inc";"Balance",#N/A,TRUE,"Bal";"Cflow",#N/A,TRUE,"Cash"}</definedName>
    <definedName name="bfx" localSheetId="32" hidden="1">{"AnnInc",#N/A,TRUE,"Inc";"QtrInc1",#N/A,TRUE,"Inc";"Balance",#N/A,TRUE,"Bal";"Cflow",#N/A,TRUE,"Cash"}</definedName>
    <definedName name="bfx" localSheetId="34" hidden="1">{"AnnInc",#N/A,TRUE,"Inc";"QtrInc1",#N/A,TRUE,"Inc";"Balance",#N/A,TRUE,"Bal";"Cflow",#N/A,TRUE,"Cash"}</definedName>
    <definedName name="bfx" localSheetId="36" hidden="1">{"AnnInc",#N/A,TRUE,"Inc";"QtrInc1",#N/A,TRUE,"Inc";"Balance",#N/A,TRUE,"Bal";"Cflow",#N/A,TRUE,"Cash"}</definedName>
    <definedName name="bfx" localSheetId="38" hidden="1">{"AnnInc",#N/A,TRUE,"Inc";"QtrInc1",#N/A,TRUE,"Inc";"Balance",#N/A,TRUE,"Bal";"Cflow",#N/A,TRUE,"Cash"}</definedName>
    <definedName name="bfx" hidden="1">{"AnnInc",#N/A,TRUE,"Inc";"QtrInc1",#N/A,TRUE,"Inc";"Balance",#N/A,TRUE,"Bal";"Cflow",#N/A,TRUE,"Cash"}</definedName>
    <definedName name="bfzx" localSheetId="3" hidden="1">{"AnnInc",#N/A,TRUE,"Inc";"QtrInc1",#N/A,TRUE,"Inc";"Balance",#N/A,TRUE,"Bal";"Cflow",#N/A,TRUE,"Cash"}</definedName>
    <definedName name="bfzx" localSheetId="5" hidden="1">{"AnnInc",#N/A,TRUE,"Inc";"QtrInc1",#N/A,TRUE,"Inc";"Balance",#N/A,TRUE,"Bal";"Cflow",#N/A,TRUE,"Cash"}</definedName>
    <definedName name="bfzx" localSheetId="8" hidden="1">{"AnnInc",#N/A,TRUE,"Inc";"QtrInc1",#N/A,TRUE,"Inc";"Balance",#N/A,TRUE,"Bal";"Cflow",#N/A,TRUE,"Cash"}</definedName>
    <definedName name="bfzx" localSheetId="10" hidden="1">{"AnnInc",#N/A,TRUE,"Inc";"QtrInc1",#N/A,TRUE,"Inc";"Balance",#N/A,TRUE,"Bal";"Cflow",#N/A,TRUE,"Cash"}</definedName>
    <definedName name="bfzx" localSheetId="12" hidden="1">{"AnnInc",#N/A,TRUE,"Inc";"QtrInc1",#N/A,TRUE,"Inc";"Balance",#N/A,TRUE,"Bal";"Cflow",#N/A,TRUE,"Cash"}</definedName>
    <definedName name="bfzx" localSheetId="14" hidden="1">{"AnnInc",#N/A,TRUE,"Inc";"QtrInc1",#N/A,TRUE,"Inc";"Balance",#N/A,TRUE,"Bal";"Cflow",#N/A,TRUE,"Cash"}</definedName>
    <definedName name="bfzx" localSheetId="16" hidden="1">{"AnnInc",#N/A,TRUE,"Inc";"QtrInc1",#N/A,TRUE,"Inc";"Balance",#N/A,TRUE,"Bal";"Cflow",#N/A,TRUE,"Cash"}</definedName>
    <definedName name="bfzx" localSheetId="22" hidden="1">{"AnnInc",#N/A,TRUE,"Inc";"QtrInc1",#N/A,TRUE,"Inc";"Balance",#N/A,TRUE,"Bal";"Cflow",#N/A,TRUE,"Cash"}</definedName>
    <definedName name="bfzx" localSheetId="24" hidden="1">{"AnnInc",#N/A,TRUE,"Inc";"QtrInc1",#N/A,TRUE,"Inc";"Balance",#N/A,TRUE,"Bal";"Cflow",#N/A,TRUE,"Cash"}</definedName>
    <definedName name="bfzx" localSheetId="26" hidden="1">{"AnnInc",#N/A,TRUE,"Inc";"QtrInc1",#N/A,TRUE,"Inc";"Balance",#N/A,TRUE,"Bal";"Cflow",#N/A,TRUE,"Cash"}</definedName>
    <definedName name="bfzx" localSheetId="28" hidden="1">{"AnnInc",#N/A,TRUE,"Inc";"QtrInc1",#N/A,TRUE,"Inc";"Balance",#N/A,TRUE,"Bal";"Cflow",#N/A,TRUE,"Cash"}</definedName>
    <definedName name="bfzx" localSheetId="30" hidden="1">{"AnnInc",#N/A,TRUE,"Inc";"QtrInc1",#N/A,TRUE,"Inc";"Balance",#N/A,TRUE,"Bal";"Cflow",#N/A,TRUE,"Cash"}</definedName>
    <definedName name="bfzx" localSheetId="32" hidden="1">{"AnnInc",#N/A,TRUE,"Inc";"QtrInc1",#N/A,TRUE,"Inc";"Balance",#N/A,TRUE,"Bal";"Cflow",#N/A,TRUE,"Cash"}</definedName>
    <definedName name="bfzx" localSheetId="34" hidden="1">{"AnnInc",#N/A,TRUE,"Inc";"QtrInc1",#N/A,TRUE,"Inc";"Balance",#N/A,TRUE,"Bal";"Cflow",#N/A,TRUE,"Cash"}</definedName>
    <definedName name="bfzx" localSheetId="36" hidden="1">{"AnnInc",#N/A,TRUE,"Inc";"QtrInc1",#N/A,TRUE,"Inc";"Balance",#N/A,TRUE,"Bal";"Cflow",#N/A,TRUE,"Cash"}</definedName>
    <definedName name="bfzx" localSheetId="38" hidden="1">{"AnnInc",#N/A,TRUE,"Inc";"QtrInc1",#N/A,TRUE,"Inc";"Balance",#N/A,TRUE,"Bal";"Cflow",#N/A,TRUE,"Cash"}</definedName>
    <definedName name="bfzx" hidden="1">{"AnnInc",#N/A,TRUE,"Inc";"QtrInc1",#N/A,TRUE,"Inc";"Balance",#N/A,TRUE,"Bal";"Cflow",#N/A,TRUE,"Cash"}</definedName>
    <definedName name="BG_Del" hidden="1">15</definedName>
    <definedName name="BG_Ins" hidden="1">4</definedName>
    <definedName name="BG_Mod" hidden="1">6</definedName>
    <definedName name="bidsheet1" localSheetId="3"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bidsheet1" localSheetId="5"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bidsheet1" localSheetId="8"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bidsheet1" localSheetId="10"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bidsheet1" localSheetId="12"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bidsheet1" localSheetId="14"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bidsheet1" localSheetId="16"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bidsheet1" localSheetId="22"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bidsheet1" localSheetId="24"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bidsheet1" localSheetId="26"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bidsheet1" localSheetId="28"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bidsheet1" localSheetId="30"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bidsheet1" localSheetId="32"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bidsheet1" localSheetId="34"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bidsheet1" localSheetId="36"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bidsheet1" localSheetId="38"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bidsheet1"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blank">#REF!</definedName>
    <definedName name="blank1" hidden="1">#REF!</definedName>
    <definedName name="BLPB1" hidden="1">#REF!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nmbm" localSheetId="3" hidden="1">{#N/A,#N/A,TRUE,"Main Issues";#N/A,#N/A,TRUE,"Income statement ($)"}</definedName>
    <definedName name="bnmbm" localSheetId="5" hidden="1">{#N/A,#N/A,TRUE,"Main Issues";#N/A,#N/A,TRUE,"Income statement ($)"}</definedName>
    <definedName name="bnmbm" localSheetId="8" hidden="1">{#N/A,#N/A,TRUE,"Main Issues";#N/A,#N/A,TRUE,"Income statement ($)"}</definedName>
    <definedName name="bnmbm" localSheetId="10" hidden="1">{#N/A,#N/A,TRUE,"Main Issues";#N/A,#N/A,TRUE,"Income statement ($)"}</definedName>
    <definedName name="bnmbm" localSheetId="12" hidden="1">{#N/A,#N/A,TRUE,"Main Issues";#N/A,#N/A,TRUE,"Income statement ($)"}</definedName>
    <definedName name="bnmbm" localSheetId="14" hidden="1">{#N/A,#N/A,TRUE,"Main Issues";#N/A,#N/A,TRUE,"Income statement ($)"}</definedName>
    <definedName name="bnmbm" localSheetId="16" hidden="1">{#N/A,#N/A,TRUE,"Main Issues";#N/A,#N/A,TRUE,"Income statement ($)"}</definedName>
    <definedName name="bnmbm" localSheetId="22" hidden="1">{#N/A,#N/A,TRUE,"Main Issues";#N/A,#N/A,TRUE,"Income statement ($)"}</definedName>
    <definedName name="bnmbm" localSheetId="24" hidden="1">{#N/A,#N/A,TRUE,"Main Issues";#N/A,#N/A,TRUE,"Income statement ($)"}</definedName>
    <definedName name="bnmbm" localSheetId="26" hidden="1">{#N/A,#N/A,TRUE,"Main Issues";#N/A,#N/A,TRUE,"Income statement ($)"}</definedName>
    <definedName name="bnmbm" localSheetId="28" hidden="1">{#N/A,#N/A,TRUE,"Main Issues";#N/A,#N/A,TRUE,"Income statement ($)"}</definedName>
    <definedName name="bnmbm" localSheetId="30" hidden="1">{#N/A,#N/A,TRUE,"Main Issues";#N/A,#N/A,TRUE,"Income statement ($)"}</definedName>
    <definedName name="bnmbm" localSheetId="32" hidden="1">{#N/A,#N/A,TRUE,"Main Issues";#N/A,#N/A,TRUE,"Income statement ($)"}</definedName>
    <definedName name="bnmbm" localSheetId="34" hidden="1">{#N/A,#N/A,TRUE,"Main Issues";#N/A,#N/A,TRUE,"Income statement ($)"}</definedName>
    <definedName name="bnmbm" localSheetId="36" hidden="1">{#N/A,#N/A,TRUE,"Main Issues";#N/A,#N/A,TRUE,"Income statement ($)"}</definedName>
    <definedName name="bnmbm" localSheetId="38" hidden="1">{#N/A,#N/A,TRUE,"Main Issues";#N/A,#N/A,TRUE,"Income statement ($)"}</definedName>
    <definedName name="bnmbm" hidden="1">{#N/A,#N/A,TRUE,"Main Issues";#N/A,#N/A,TRUE,"Income statement ($)"}</definedName>
    <definedName name="Board_WLP_less_MO" localSheetId="3" hidden="1">{"'MBU CUR MONTH (isg_sr)'!$A$1:$O$41"}</definedName>
    <definedName name="Board_WLP_less_MO" localSheetId="5" hidden="1">{"'MBU CUR MONTH (isg_sr)'!$A$1:$O$41"}</definedName>
    <definedName name="Board_WLP_less_MO" localSheetId="8" hidden="1">{"'MBU CUR MONTH (isg_sr)'!$A$1:$O$41"}</definedName>
    <definedName name="Board_WLP_less_MO" localSheetId="10" hidden="1">{"'MBU CUR MONTH (isg_sr)'!$A$1:$O$41"}</definedName>
    <definedName name="Board_WLP_less_MO" localSheetId="12" hidden="1">{"'MBU CUR MONTH (isg_sr)'!$A$1:$O$41"}</definedName>
    <definedName name="Board_WLP_less_MO" localSheetId="14" hidden="1">{"'MBU CUR MONTH (isg_sr)'!$A$1:$O$41"}</definedName>
    <definedName name="Board_WLP_less_MO" localSheetId="16" hidden="1">{"'MBU CUR MONTH (isg_sr)'!$A$1:$O$41"}</definedName>
    <definedName name="Board_WLP_less_MO" localSheetId="22" hidden="1">{"'MBU CUR MONTH (isg_sr)'!$A$1:$O$41"}</definedName>
    <definedName name="Board_WLP_less_MO" localSheetId="24" hidden="1">{"'MBU CUR MONTH (isg_sr)'!$A$1:$O$41"}</definedName>
    <definedName name="Board_WLP_less_MO" localSheetId="26" hidden="1">{"'MBU CUR MONTH (isg_sr)'!$A$1:$O$41"}</definedName>
    <definedName name="Board_WLP_less_MO" localSheetId="28" hidden="1">{"'MBU CUR MONTH (isg_sr)'!$A$1:$O$41"}</definedName>
    <definedName name="Board_WLP_less_MO" localSheetId="30" hidden="1">{"'MBU CUR MONTH (isg_sr)'!$A$1:$O$41"}</definedName>
    <definedName name="Board_WLP_less_MO" localSheetId="32" hidden="1">{"'MBU CUR MONTH (isg_sr)'!$A$1:$O$41"}</definedName>
    <definedName name="Board_WLP_less_MO" localSheetId="34" hidden="1">{"'MBU CUR MONTH (isg_sr)'!$A$1:$O$41"}</definedName>
    <definedName name="Board_WLP_less_MO" localSheetId="36" hidden="1">{"'MBU CUR MONTH (isg_sr)'!$A$1:$O$41"}</definedName>
    <definedName name="Board_WLP_less_MO" localSheetId="38" hidden="1">{"'MBU CUR MONTH (isg_sr)'!$A$1:$O$41"}</definedName>
    <definedName name="Board_WLP_less_MO" hidden="1">{"'MBU CUR MONTH (isg_sr)'!$A$1:$O$41"}</definedName>
    <definedName name="bob" localSheetId="3" hidden="1">{"'Sheet1'!$A$1:$G$26"}</definedName>
    <definedName name="bob" localSheetId="5" hidden="1">{"'Sheet1'!$A$1:$G$26"}</definedName>
    <definedName name="bob" localSheetId="8" hidden="1">{"'Sheet1'!$A$1:$G$26"}</definedName>
    <definedName name="bob" localSheetId="10" hidden="1">{"'Sheet1'!$A$1:$G$26"}</definedName>
    <definedName name="bob" localSheetId="12" hidden="1">{"'Sheet1'!$A$1:$G$26"}</definedName>
    <definedName name="bob" localSheetId="14" hidden="1">{"'Sheet1'!$A$1:$G$26"}</definedName>
    <definedName name="bob" localSheetId="16" hidden="1">{"'Sheet1'!$A$1:$G$26"}</definedName>
    <definedName name="bob" localSheetId="22" hidden="1">{"'Sheet1'!$A$1:$G$26"}</definedName>
    <definedName name="bob" localSheetId="24" hidden="1">{"'Sheet1'!$A$1:$G$26"}</definedName>
    <definedName name="bob" localSheetId="26" hidden="1">{"'Sheet1'!$A$1:$G$26"}</definedName>
    <definedName name="bob" localSheetId="28" hidden="1">{"'Sheet1'!$A$1:$G$26"}</definedName>
    <definedName name="bob" localSheetId="30" hidden="1">{"'Sheet1'!$A$1:$G$26"}</definedName>
    <definedName name="bob" localSheetId="32" hidden="1">{"'Sheet1'!$A$1:$G$26"}</definedName>
    <definedName name="bob" localSheetId="34" hidden="1">{"'Sheet1'!$A$1:$G$26"}</definedName>
    <definedName name="bob" localSheetId="36" hidden="1">{"'Sheet1'!$A$1:$G$26"}</definedName>
    <definedName name="bob" localSheetId="38" hidden="1">{"'Sheet1'!$A$1:$G$26"}</definedName>
    <definedName name="bob" hidden="1">{"'Sheet1'!$A$1:$G$26"}</definedName>
    <definedName name="bonus">#REF!</definedName>
    <definedName name="BookDate">#REF!</definedName>
    <definedName name="Borrowing">#REF!</definedName>
    <definedName name="BREP">#REF!</definedName>
    <definedName name="BU">#REF!</definedName>
    <definedName name="BU_LIST">#REF!</definedName>
    <definedName name="budget" localSheetId="3" hidden="1">{#N/A,#N/A,TRUE,"Main Issues";#N/A,#N/A,TRUE,"Income statement ($)"}</definedName>
    <definedName name="budget" localSheetId="5" hidden="1">{#N/A,#N/A,TRUE,"Main Issues";#N/A,#N/A,TRUE,"Income statement ($)"}</definedName>
    <definedName name="budget" localSheetId="8" hidden="1">{#N/A,#N/A,TRUE,"Main Issues";#N/A,#N/A,TRUE,"Income statement ($)"}</definedName>
    <definedName name="budget" localSheetId="10" hidden="1">{#N/A,#N/A,TRUE,"Main Issues";#N/A,#N/A,TRUE,"Income statement ($)"}</definedName>
    <definedName name="budget" localSheetId="12" hidden="1">{#N/A,#N/A,TRUE,"Main Issues";#N/A,#N/A,TRUE,"Income statement ($)"}</definedName>
    <definedName name="budget" localSheetId="14" hidden="1">{#N/A,#N/A,TRUE,"Main Issues";#N/A,#N/A,TRUE,"Income statement ($)"}</definedName>
    <definedName name="budget" localSheetId="16" hidden="1">{#N/A,#N/A,TRUE,"Main Issues";#N/A,#N/A,TRUE,"Income statement ($)"}</definedName>
    <definedName name="budget" localSheetId="22" hidden="1">{#N/A,#N/A,TRUE,"Main Issues";#N/A,#N/A,TRUE,"Income statement ($)"}</definedName>
    <definedName name="budget" localSheetId="24" hidden="1">{#N/A,#N/A,TRUE,"Main Issues";#N/A,#N/A,TRUE,"Income statement ($)"}</definedName>
    <definedName name="budget" localSheetId="26" hidden="1">{#N/A,#N/A,TRUE,"Main Issues";#N/A,#N/A,TRUE,"Income statement ($)"}</definedName>
    <definedName name="budget" localSheetId="28" hidden="1">{#N/A,#N/A,TRUE,"Main Issues";#N/A,#N/A,TRUE,"Income statement ($)"}</definedName>
    <definedName name="budget" localSheetId="30" hidden="1">{#N/A,#N/A,TRUE,"Main Issues";#N/A,#N/A,TRUE,"Income statement ($)"}</definedName>
    <definedName name="budget" localSheetId="32" hidden="1">{#N/A,#N/A,TRUE,"Main Issues";#N/A,#N/A,TRUE,"Income statement ($)"}</definedName>
    <definedName name="budget" localSheetId="34" hidden="1">{#N/A,#N/A,TRUE,"Main Issues";#N/A,#N/A,TRUE,"Income statement ($)"}</definedName>
    <definedName name="budget" localSheetId="36" hidden="1">{#N/A,#N/A,TRUE,"Main Issues";#N/A,#N/A,TRUE,"Income statement ($)"}</definedName>
    <definedName name="budget" localSheetId="38" hidden="1">{#N/A,#N/A,TRUE,"Main Issues";#N/A,#N/A,TRUE,"Income statement ($)"}</definedName>
    <definedName name="budget" hidden="1">{#N/A,#N/A,TRUE,"Main Issues";#N/A,#N/A,TRUE,"Income statement ($)"}</definedName>
    <definedName name="budget2" localSheetId="3" hidden="1">{#N/A,#N/A,TRUE,"Main Issues";#N/A,#N/A,TRUE,"Income statement ($)"}</definedName>
    <definedName name="budget2" localSheetId="5" hidden="1">{#N/A,#N/A,TRUE,"Main Issues";#N/A,#N/A,TRUE,"Income statement ($)"}</definedName>
    <definedName name="budget2" localSheetId="8" hidden="1">{#N/A,#N/A,TRUE,"Main Issues";#N/A,#N/A,TRUE,"Income statement ($)"}</definedName>
    <definedName name="budget2" localSheetId="10" hidden="1">{#N/A,#N/A,TRUE,"Main Issues";#N/A,#N/A,TRUE,"Income statement ($)"}</definedName>
    <definedName name="budget2" localSheetId="12" hidden="1">{#N/A,#N/A,TRUE,"Main Issues";#N/A,#N/A,TRUE,"Income statement ($)"}</definedName>
    <definedName name="budget2" localSheetId="14" hidden="1">{#N/A,#N/A,TRUE,"Main Issues";#N/A,#N/A,TRUE,"Income statement ($)"}</definedName>
    <definedName name="budget2" localSheetId="16" hidden="1">{#N/A,#N/A,TRUE,"Main Issues";#N/A,#N/A,TRUE,"Income statement ($)"}</definedName>
    <definedName name="budget2" localSheetId="22" hidden="1">{#N/A,#N/A,TRUE,"Main Issues";#N/A,#N/A,TRUE,"Income statement ($)"}</definedName>
    <definedName name="budget2" localSheetId="24" hidden="1">{#N/A,#N/A,TRUE,"Main Issues";#N/A,#N/A,TRUE,"Income statement ($)"}</definedName>
    <definedName name="budget2" localSheetId="26" hidden="1">{#N/A,#N/A,TRUE,"Main Issues";#N/A,#N/A,TRUE,"Income statement ($)"}</definedName>
    <definedName name="budget2" localSheetId="28" hidden="1">{#N/A,#N/A,TRUE,"Main Issues";#N/A,#N/A,TRUE,"Income statement ($)"}</definedName>
    <definedName name="budget2" localSheetId="30" hidden="1">{#N/A,#N/A,TRUE,"Main Issues";#N/A,#N/A,TRUE,"Income statement ($)"}</definedName>
    <definedName name="budget2" localSheetId="32" hidden="1">{#N/A,#N/A,TRUE,"Main Issues";#N/A,#N/A,TRUE,"Income statement ($)"}</definedName>
    <definedName name="budget2" localSheetId="34" hidden="1">{#N/A,#N/A,TRUE,"Main Issues";#N/A,#N/A,TRUE,"Income statement ($)"}</definedName>
    <definedName name="budget2" localSheetId="36" hidden="1">{#N/A,#N/A,TRUE,"Main Issues";#N/A,#N/A,TRUE,"Income statement ($)"}</definedName>
    <definedName name="budget2" localSheetId="38" hidden="1">{#N/A,#N/A,TRUE,"Main Issues";#N/A,#N/A,TRUE,"Income statement ($)"}</definedName>
    <definedName name="budget2" hidden="1">{#N/A,#N/A,TRUE,"Main Issues";#N/A,#N/A,TRUE,"Income statement ($)"}</definedName>
    <definedName name="BUGIS_VILLAGE">#REF!</definedName>
    <definedName name="bulist">#REF!</definedName>
    <definedName name="BULKS">#REF!</definedName>
    <definedName name="Button_1">"House_View_Sheet1_List"</definedName>
    <definedName name="Button_2">"House_View_Sheet1_List"</definedName>
    <definedName name="Button_3">"House_View_Sheet1_List1"</definedName>
    <definedName name="Ç" localSheetId="3" hidden="1">{#N/A,#N/A,FALSE,"MAIN";#N/A,#N/A,FALSE,"MK_ASS_B";#N/A,#N/A,FALSE,"MK_ASS_R";#N/A,#N/A,FALSE,"TR_ASS_B";#N/A,#N/A,FALSE,"TR_ASS_R";#N/A,#N/A,FALSE,"ROAMING";#N/A,#N/A,FALSE,"PR_ASS_B";#N/A,#N/A,FALSE,"PR_ASS_R";#N/A,#N/A,FALSE,"PR_ASS_S"}</definedName>
    <definedName name="Ç" localSheetId="5" hidden="1">{#N/A,#N/A,FALSE,"MAIN";#N/A,#N/A,FALSE,"MK_ASS_B";#N/A,#N/A,FALSE,"MK_ASS_R";#N/A,#N/A,FALSE,"TR_ASS_B";#N/A,#N/A,FALSE,"TR_ASS_R";#N/A,#N/A,FALSE,"ROAMING";#N/A,#N/A,FALSE,"PR_ASS_B";#N/A,#N/A,FALSE,"PR_ASS_R";#N/A,#N/A,FALSE,"PR_ASS_S"}</definedName>
    <definedName name="Ç" localSheetId="8" hidden="1">{#N/A,#N/A,FALSE,"MAIN";#N/A,#N/A,FALSE,"MK_ASS_B";#N/A,#N/A,FALSE,"MK_ASS_R";#N/A,#N/A,FALSE,"TR_ASS_B";#N/A,#N/A,FALSE,"TR_ASS_R";#N/A,#N/A,FALSE,"ROAMING";#N/A,#N/A,FALSE,"PR_ASS_B";#N/A,#N/A,FALSE,"PR_ASS_R";#N/A,#N/A,FALSE,"PR_ASS_S"}</definedName>
    <definedName name="Ç" localSheetId="10" hidden="1">{#N/A,#N/A,FALSE,"MAIN";#N/A,#N/A,FALSE,"MK_ASS_B";#N/A,#N/A,FALSE,"MK_ASS_R";#N/A,#N/A,FALSE,"TR_ASS_B";#N/A,#N/A,FALSE,"TR_ASS_R";#N/A,#N/A,FALSE,"ROAMING";#N/A,#N/A,FALSE,"PR_ASS_B";#N/A,#N/A,FALSE,"PR_ASS_R";#N/A,#N/A,FALSE,"PR_ASS_S"}</definedName>
    <definedName name="Ç" localSheetId="12" hidden="1">{#N/A,#N/A,FALSE,"MAIN";#N/A,#N/A,FALSE,"MK_ASS_B";#N/A,#N/A,FALSE,"MK_ASS_R";#N/A,#N/A,FALSE,"TR_ASS_B";#N/A,#N/A,FALSE,"TR_ASS_R";#N/A,#N/A,FALSE,"ROAMING";#N/A,#N/A,FALSE,"PR_ASS_B";#N/A,#N/A,FALSE,"PR_ASS_R";#N/A,#N/A,FALSE,"PR_ASS_S"}</definedName>
    <definedName name="Ç" localSheetId="14" hidden="1">{#N/A,#N/A,FALSE,"MAIN";#N/A,#N/A,FALSE,"MK_ASS_B";#N/A,#N/A,FALSE,"MK_ASS_R";#N/A,#N/A,FALSE,"TR_ASS_B";#N/A,#N/A,FALSE,"TR_ASS_R";#N/A,#N/A,FALSE,"ROAMING";#N/A,#N/A,FALSE,"PR_ASS_B";#N/A,#N/A,FALSE,"PR_ASS_R";#N/A,#N/A,FALSE,"PR_ASS_S"}</definedName>
    <definedName name="Ç" localSheetId="16" hidden="1">{#N/A,#N/A,FALSE,"MAIN";#N/A,#N/A,FALSE,"MK_ASS_B";#N/A,#N/A,FALSE,"MK_ASS_R";#N/A,#N/A,FALSE,"TR_ASS_B";#N/A,#N/A,FALSE,"TR_ASS_R";#N/A,#N/A,FALSE,"ROAMING";#N/A,#N/A,FALSE,"PR_ASS_B";#N/A,#N/A,FALSE,"PR_ASS_R";#N/A,#N/A,FALSE,"PR_ASS_S"}</definedName>
    <definedName name="Ç" localSheetId="22" hidden="1">{#N/A,#N/A,FALSE,"MAIN";#N/A,#N/A,FALSE,"MK_ASS_B";#N/A,#N/A,FALSE,"MK_ASS_R";#N/A,#N/A,FALSE,"TR_ASS_B";#N/A,#N/A,FALSE,"TR_ASS_R";#N/A,#N/A,FALSE,"ROAMING";#N/A,#N/A,FALSE,"PR_ASS_B";#N/A,#N/A,FALSE,"PR_ASS_R";#N/A,#N/A,FALSE,"PR_ASS_S"}</definedName>
    <definedName name="Ç" localSheetId="24" hidden="1">{#N/A,#N/A,FALSE,"MAIN";#N/A,#N/A,FALSE,"MK_ASS_B";#N/A,#N/A,FALSE,"MK_ASS_R";#N/A,#N/A,FALSE,"TR_ASS_B";#N/A,#N/A,FALSE,"TR_ASS_R";#N/A,#N/A,FALSE,"ROAMING";#N/A,#N/A,FALSE,"PR_ASS_B";#N/A,#N/A,FALSE,"PR_ASS_R";#N/A,#N/A,FALSE,"PR_ASS_S"}</definedName>
    <definedName name="Ç" localSheetId="26" hidden="1">{#N/A,#N/A,FALSE,"MAIN";#N/A,#N/A,FALSE,"MK_ASS_B";#N/A,#N/A,FALSE,"MK_ASS_R";#N/A,#N/A,FALSE,"TR_ASS_B";#N/A,#N/A,FALSE,"TR_ASS_R";#N/A,#N/A,FALSE,"ROAMING";#N/A,#N/A,FALSE,"PR_ASS_B";#N/A,#N/A,FALSE,"PR_ASS_R";#N/A,#N/A,FALSE,"PR_ASS_S"}</definedName>
    <definedName name="Ç" localSheetId="28" hidden="1">{#N/A,#N/A,FALSE,"MAIN";#N/A,#N/A,FALSE,"MK_ASS_B";#N/A,#N/A,FALSE,"MK_ASS_R";#N/A,#N/A,FALSE,"TR_ASS_B";#N/A,#N/A,FALSE,"TR_ASS_R";#N/A,#N/A,FALSE,"ROAMING";#N/A,#N/A,FALSE,"PR_ASS_B";#N/A,#N/A,FALSE,"PR_ASS_R";#N/A,#N/A,FALSE,"PR_ASS_S"}</definedName>
    <definedName name="Ç" localSheetId="30" hidden="1">{#N/A,#N/A,FALSE,"MAIN";#N/A,#N/A,FALSE,"MK_ASS_B";#N/A,#N/A,FALSE,"MK_ASS_R";#N/A,#N/A,FALSE,"TR_ASS_B";#N/A,#N/A,FALSE,"TR_ASS_R";#N/A,#N/A,FALSE,"ROAMING";#N/A,#N/A,FALSE,"PR_ASS_B";#N/A,#N/A,FALSE,"PR_ASS_R";#N/A,#N/A,FALSE,"PR_ASS_S"}</definedName>
    <definedName name="Ç" localSheetId="32" hidden="1">{#N/A,#N/A,FALSE,"MAIN";#N/A,#N/A,FALSE,"MK_ASS_B";#N/A,#N/A,FALSE,"MK_ASS_R";#N/A,#N/A,FALSE,"TR_ASS_B";#N/A,#N/A,FALSE,"TR_ASS_R";#N/A,#N/A,FALSE,"ROAMING";#N/A,#N/A,FALSE,"PR_ASS_B";#N/A,#N/A,FALSE,"PR_ASS_R";#N/A,#N/A,FALSE,"PR_ASS_S"}</definedName>
    <definedName name="Ç" localSheetId="34" hidden="1">{#N/A,#N/A,FALSE,"MAIN";#N/A,#N/A,FALSE,"MK_ASS_B";#N/A,#N/A,FALSE,"MK_ASS_R";#N/A,#N/A,FALSE,"TR_ASS_B";#N/A,#N/A,FALSE,"TR_ASS_R";#N/A,#N/A,FALSE,"ROAMING";#N/A,#N/A,FALSE,"PR_ASS_B";#N/A,#N/A,FALSE,"PR_ASS_R";#N/A,#N/A,FALSE,"PR_ASS_S"}</definedName>
    <definedName name="Ç" localSheetId="36" hidden="1">{#N/A,#N/A,FALSE,"MAIN";#N/A,#N/A,FALSE,"MK_ASS_B";#N/A,#N/A,FALSE,"MK_ASS_R";#N/A,#N/A,FALSE,"TR_ASS_B";#N/A,#N/A,FALSE,"TR_ASS_R";#N/A,#N/A,FALSE,"ROAMING";#N/A,#N/A,FALSE,"PR_ASS_B";#N/A,#N/A,FALSE,"PR_ASS_R";#N/A,#N/A,FALSE,"PR_ASS_S"}</definedName>
    <definedName name="Ç" localSheetId="38" hidden="1">{#N/A,#N/A,FALSE,"MAIN";#N/A,#N/A,FALSE,"MK_ASS_B";#N/A,#N/A,FALSE,"MK_ASS_R";#N/A,#N/A,FALSE,"TR_ASS_B";#N/A,#N/A,FALSE,"TR_ASS_R";#N/A,#N/A,FALSE,"ROAMING";#N/A,#N/A,FALSE,"PR_ASS_B";#N/A,#N/A,FALSE,"PR_ASS_R";#N/A,#N/A,FALSE,"PR_ASS_S"}</definedName>
    <definedName name="Ç" hidden="1">{#N/A,#N/A,FALSE,"MAIN";#N/A,#N/A,FALSE,"MK_ASS_B";#N/A,#N/A,FALSE,"MK_ASS_R";#N/A,#N/A,FALSE,"TR_ASS_B";#N/A,#N/A,FALSE,"TR_ASS_R";#N/A,#N/A,FALSE,"ROAMING";#N/A,#N/A,FALSE,"PR_ASS_B";#N/A,#N/A,FALSE,"PR_ASS_R";#N/A,#N/A,FALSE,"PR_ASS_S"}</definedName>
    <definedName name="C_PRINT">#REF!</definedName>
    <definedName name="C_TITLE">#REF!</definedName>
    <definedName name="CAIRNHILL_PLACE">#REF!</definedName>
    <definedName name="CAP">#REF!</definedName>
    <definedName name="CAP_Forecast">#REF!</definedName>
    <definedName name="cap_hw">#REF!</definedName>
    <definedName name="cap_lbr">#REF!</definedName>
    <definedName name="cap_msc">#REF!</definedName>
    <definedName name="cap_sw">#REF!</definedName>
    <definedName name="Cash_beginning">#REF!</definedName>
    <definedName name="Cash_minimum">#REF!</definedName>
    <definedName name="CashBalance">#REF!</definedName>
    <definedName name="Casting">#REF!</definedName>
    <definedName name="CAT">#REF!</definedName>
    <definedName name="Category">#REF!</definedName>
    <definedName name="CATG">#REF!</definedName>
    <definedName name="cccc" localSheetId="3" hidden="1">{#N/A,#N/A,FALSE,"MAIN";#N/A,#N/A,FALSE,"MK_ASS_B";#N/A,#N/A,FALSE,"MK_ASS_R";#N/A,#N/A,FALSE,"TR_ASS_B";#N/A,#N/A,FALSE,"TR_ASS_R";#N/A,#N/A,FALSE,"ROAMING";#N/A,#N/A,FALSE,"PR_ASS_B";#N/A,#N/A,FALSE,"PR_ASS_R";#N/A,#N/A,FALSE,"PR_ASS_S"}</definedName>
    <definedName name="cccc" localSheetId="5" hidden="1">{#N/A,#N/A,FALSE,"MAIN";#N/A,#N/A,FALSE,"MK_ASS_B";#N/A,#N/A,FALSE,"MK_ASS_R";#N/A,#N/A,FALSE,"TR_ASS_B";#N/A,#N/A,FALSE,"TR_ASS_R";#N/A,#N/A,FALSE,"ROAMING";#N/A,#N/A,FALSE,"PR_ASS_B";#N/A,#N/A,FALSE,"PR_ASS_R";#N/A,#N/A,FALSE,"PR_ASS_S"}</definedName>
    <definedName name="cccc" localSheetId="8" hidden="1">{#N/A,#N/A,FALSE,"MAIN";#N/A,#N/A,FALSE,"MK_ASS_B";#N/A,#N/A,FALSE,"MK_ASS_R";#N/A,#N/A,FALSE,"TR_ASS_B";#N/A,#N/A,FALSE,"TR_ASS_R";#N/A,#N/A,FALSE,"ROAMING";#N/A,#N/A,FALSE,"PR_ASS_B";#N/A,#N/A,FALSE,"PR_ASS_R";#N/A,#N/A,FALSE,"PR_ASS_S"}</definedName>
    <definedName name="cccc" localSheetId="10" hidden="1">{#N/A,#N/A,FALSE,"MAIN";#N/A,#N/A,FALSE,"MK_ASS_B";#N/A,#N/A,FALSE,"MK_ASS_R";#N/A,#N/A,FALSE,"TR_ASS_B";#N/A,#N/A,FALSE,"TR_ASS_R";#N/A,#N/A,FALSE,"ROAMING";#N/A,#N/A,FALSE,"PR_ASS_B";#N/A,#N/A,FALSE,"PR_ASS_R";#N/A,#N/A,FALSE,"PR_ASS_S"}</definedName>
    <definedName name="cccc" localSheetId="12" hidden="1">{#N/A,#N/A,FALSE,"MAIN";#N/A,#N/A,FALSE,"MK_ASS_B";#N/A,#N/A,FALSE,"MK_ASS_R";#N/A,#N/A,FALSE,"TR_ASS_B";#N/A,#N/A,FALSE,"TR_ASS_R";#N/A,#N/A,FALSE,"ROAMING";#N/A,#N/A,FALSE,"PR_ASS_B";#N/A,#N/A,FALSE,"PR_ASS_R";#N/A,#N/A,FALSE,"PR_ASS_S"}</definedName>
    <definedName name="cccc" localSheetId="14" hidden="1">{#N/A,#N/A,FALSE,"MAIN";#N/A,#N/A,FALSE,"MK_ASS_B";#N/A,#N/A,FALSE,"MK_ASS_R";#N/A,#N/A,FALSE,"TR_ASS_B";#N/A,#N/A,FALSE,"TR_ASS_R";#N/A,#N/A,FALSE,"ROAMING";#N/A,#N/A,FALSE,"PR_ASS_B";#N/A,#N/A,FALSE,"PR_ASS_R";#N/A,#N/A,FALSE,"PR_ASS_S"}</definedName>
    <definedName name="cccc" localSheetId="16" hidden="1">{#N/A,#N/A,FALSE,"MAIN";#N/A,#N/A,FALSE,"MK_ASS_B";#N/A,#N/A,FALSE,"MK_ASS_R";#N/A,#N/A,FALSE,"TR_ASS_B";#N/A,#N/A,FALSE,"TR_ASS_R";#N/A,#N/A,FALSE,"ROAMING";#N/A,#N/A,FALSE,"PR_ASS_B";#N/A,#N/A,FALSE,"PR_ASS_R";#N/A,#N/A,FALSE,"PR_ASS_S"}</definedName>
    <definedName name="cccc" localSheetId="22" hidden="1">{#N/A,#N/A,FALSE,"MAIN";#N/A,#N/A,FALSE,"MK_ASS_B";#N/A,#N/A,FALSE,"MK_ASS_R";#N/A,#N/A,FALSE,"TR_ASS_B";#N/A,#N/A,FALSE,"TR_ASS_R";#N/A,#N/A,FALSE,"ROAMING";#N/A,#N/A,FALSE,"PR_ASS_B";#N/A,#N/A,FALSE,"PR_ASS_R";#N/A,#N/A,FALSE,"PR_ASS_S"}</definedName>
    <definedName name="cccc" localSheetId="24" hidden="1">{#N/A,#N/A,FALSE,"MAIN";#N/A,#N/A,FALSE,"MK_ASS_B";#N/A,#N/A,FALSE,"MK_ASS_R";#N/A,#N/A,FALSE,"TR_ASS_B";#N/A,#N/A,FALSE,"TR_ASS_R";#N/A,#N/A,FALSE,"ROAMING";#N/A,#N/A,FALSE,"PR_ASS_B";#N/A,#N/A,FALSE,"PR_ASS_R";#N/A,#N/A,FALSE,"PR_ASS_S"}</definedName>
    <definedName name="cccc" localSheetId="26" hidden="1">{#N/A,#N/A,FALSE,"MAIN";#N/A,#N/A,FALSE,"MK_ASS_B";#N/A,#N/A,FALSE,"MK_ASS_R";#N/A,#N/A,FALSE,"TR_ASS_B";#N/A,#N/A,FALSE,"TR_ASS_R";#N/A,#N/A,FALSE,"ROAMING";#N/A,#N/A,FALSE,"PR_ASS_B";#N/A,#N/A,FALSE,"PR_ASS_R";#N/A,#N/A,FALSE,"PR_ASS_S"}</definedName>
    <definedName name="cccc" localSheetId="28" hidden="1">{#N/A,#N/A,FALSE,"MAIN";#N/A,#N/A,FALSE,"MK_ASS_B";#N/A,#N/A,FALSE,"MK_ASS_R";#N/A,#N/A,FALSE,"TR_ASS_B";#N/A,#N/A,FALSE,"TR_ASS_R";#N/A,#N/A,FALSE,"ROAMING";#N/A,#N/A,FALSE,"PR_ASS_B";#N/A,#N/A,FALSE,"PR_ASS_R";#N/A,#N/A,FALSE,"PR_ASS_S"}</definedName>
    <definedName name="cccc" localSheetId="30" hidden="1">{#N/A,#N/A,FALSE,"MAIN";#N/A,#N/A,FALSE,"MK_ASS_B";#N/A,#N/A,FALSE,"MK_ASS_R";#N/A,#N/A,FALSE,"TR_ASS_B";#N/A,#N/A,FALSE,"TR_ASS_R";#N/A,#N/A,FALSE,"ROAMING";#N/A,#N/A,FALSE,"PR_ASS_B";#N/A,#N/A,FALSE,"PR_ASS_R";#N/A,#N/A,FALSE,"PR_ASS_S"}</definedName>
    <definedName name="cccc" localSheetId="32" hidden="1">{#N/A,#N/A,FALSE,"MAIN";#N/A,#N/A,FALSE,"MK_ASS_B";#N/A,#N/A,FALSE,"MK_ASS_R";#N/A,#N/A,FALSE,"TR_ASS_B";#N/A,#N/A,FALSE,"TR_ASS_R";#N/A,#N/A,FALSE,"ROAMING";#N/A,#N/A,FALSE,"PR_ASS_B";#N/A,#N/A,FALSE,"PR_ASS_R";#N/A,#N/A,FALSE,"PR_ASS_S"}</definedName>
    <definedName name="cccc" localSheetId="34" hidden="1">{#N/A,#N/A,FALSE,"MAIN";#N/A,#N/A,FALSE,"MK_ASS_B";#N/A,#N/A,FALSE,"MK_ASS_R";#N/A,#N/A,FALSE,"TR_ASS_B";#N/A,#N/A,FALSE,"TR_ASS_R";#N/A,#N/A,FALSE,"ROAMING";#N/A,#N/A,FALSE,"PR_ASS_B";#N/A,#N/A,FALSE,"PR_ASS_R";#N/A,#N/A,FALSE,"PR_ASS_S"}</definedName>
    <definedName name="cccc" localSheetId="36" hidden="1">{#N/A,#N/A,FALSE,"MAIN";#N/A,#N/A,FALSE,"MK_ASS_B";#N/A,#N/A,FALSE,"MK_ASS_R";#N/A,#N/A,FALSE,"TR_ASS_B";#N/A,#N/A,FALSE,"TR_ASS_R";#N/A,#N/A,FALSE,"ROAMING";#N/A,#N/A,FALSE,"PR_ASS_B";#N/A,#N/A,FALSE,"PR_ASS_R";#N/A,#N/A,FALSE,"PR_ASS_S"}</definedName>
    <definedName name="cccc" localSheetId="38" hidden="1">{#N/A,#N/A,FALSE,"MAIN";#N/A,#N/A,FALSE,"MK_ASS_B";#N/A,#N/A,FALSE,"MK_ASS_R";#N/A,#N/A,FALSE,"TR_ASS_B";#N/A,#N/A,FALSE,"TR_ASS_R";#N/A,#N/A,FALSE,"ROAMING";#N/A,#N/A,FALSE,"PR_ASS_B";#N/A,#N/A,FALSE,"PR_ASS_R";#N/A,#N/A,FALSE,"PR_ASS_S"}</definedName>
    <definedName name="cccc" hidden="1">{#N/A,#N/A,FALSE,"MAIN";#N/A,#N/A,FALSE,"MK_ASS_B";#N/A,#N/A,FALSE,"MK_ASS_R";#N/A,#N/A,FALSE,"TR_ASS_B";#N/A,#N/A,FALSE,"TR_ASS_R";#N/A,#N/A,FALSE,"ROAMING";#N/A,#N/A,FALSE,"PR_ASS_B";#N/A,#N/A,FALSE,"PR_ASS_R";#N/A,#N/A,FALSE,"PR_ASS_S"}</definedName>
    <definedName name="ccccc" localSheetId="3" hidden="1">{"cebank",#N/A,FALSE,"P9498BAR";"spbank",#N/A,FALSE,"P9498BAR";"renfinbank",#N/A,FALSE,"P9498BAR";"indici",#N/A,FALSE,"P9498BAR"}</definedName>
    <definedName name="ccccc" localSheetId="5" hidden="1">{"cebank",#N/A,FALSE,"P9498BAR";"spbank",#N/A,FALSE,"P9498BAR";"renfinbank",#N/A,FALSE,"P9498BAR";"indici",#N/A,FALSE,"P9498BAR"}</definedName>
    <definedName name="ccccc" localSheetId="8" hidden="1">{"cebank",#N/A,FALSE,"P9498BAR";"spbank",#N/A,FALSE,"P9498BAR";"renfinbank",#N/A,FALSE,"P9498BAR";"indici",#N/A,FALSE,"P9498BAR"}</definedName>
    <definedName name="ccccc" localSheetId="10" hidden="1">{"cebank",#N/A,FALSE,"P9498BAR";"spbank",#N/A,FALSE,"P9498BAR";"renfinbank",#N/A,FALSE,"P9498BAR";"indici",#N/A,FALSE,"P9498BAR"}</definedName>
    <definedName name="ccccc" localSheetId="12" hidden="1">{"cebank",#N/A,FALSE,"P9498BAR";"spbank",#N/A,FALSE,"P9498BAR";"renfinbank",#N/A,FALSE,"P9498BAR";"indici",#N/A,FALSE,"P9498BAR"}</definedName>
    <definedName name="ccccc" localSheetId="14" hidden="1">{"cebank",#N/A,FALSE,"P9498BAR";"spbank",#N/A,FALSE,"P9498BAR";"renfinbank",#N/A,FALSE,"P9498BAR";"indici",#N/A,FALSE,"P9498BAR"}</definedName>
    <definedName name="ccccc" localSheetId="16" hidden="1">{"cebank",#N/A,FALSE,"P9498BAR";"spbank",#N/A,FALSE,"P9498BAR";"renfinbank",#N/A,FALSE,"P9498BAR";"indici",#N/A,FALSE,"P9498BAR"}</definedName>
    <definedName name="ccccc" localSheetId="22" hidden="1">{"cebank",#N/A,FALSE,"P9498BAR";"spbank",#N/A,FALSE,"P9498BAR";"renfinbank",#N/A,FALSE,"P9498BAR";"indici",#N/A,FALSE,"P9498BAR"}</definedName>
    <definedName name="ccccc" localSheetId="24" hidden="1">{"cebank",#N/A,FALSE,"P9498BAR";"spbank",#N/A,FALSE,"P9498BAR";"renfinbank",#N/A,FALSE,"P9498BAR";"indici",#N/A,FALSE,"P9498BAR"}</definedName>
    <definedName name="ccccc" localSheetId="26" hidden="1">{"cebank",#N/A,FALSE,"P9498BAR";"spbank",#N/A,FALSE,"P9498BAR";"renfinbank",#N/A,FALSE,"P9498BAR";"indici",#N/A,FALSE,"P9498BAR"}</definedName>
    <definedName name="ccccc" localSheetId="28" hidden="1">{"cebank",#N/A,FALSE,"P9498BAR";"spbank",#N/A,FALSE,"P9498BAR";"renfinbank",#N/A,FALSE,"P9498BAR";"indici",#N/A,FALSE,"P9498BAR"}</definedName>
    <definedName name="ccccc" localSheetId="30" hidden="1">{"cebank",#N/A,FALSE,"P9498BAR";"spbank",#N/A,FALSE,"P9498BAR";"renfinbank",#N/A,FALSE,"P9498BAR";"indici",#N/A,FALSE,"P9498BAR"}</definedName>
    <definedName name="ccccc" localSheetId="32" hidden="1">{"cebank",#N/A,FALSE,"P9498BAR";"spbank",#N/A,FALSE,"P9498BAR";"renfinbank",#N/A,FALSE,"P9498BAR";"indici",#N/A,FALSE,"P9498BAR"}</definedName>
    <definedName name="ccccc" localSheetId="34" hidden="1">{"cebank",#N/A,FALSE,"P9498BAR";"spbank",#N/A,FALSE,"P9498BAR";"renfinbank",#N/A,FALSE,"P9498BAR";"indici",#N/A,FALSE,"P9498BAR"}</definedName>
    <definedName name="ccccc" localSheetId="36" hidden="1">{"cebank",#N/A,FALSE,"P9498BAR";"spbank",#N/A,FALSE,"P9498BAR";"renfinbank",#N/A,FALSE,"P9498BAR";"indici",#N/A,FALSE,"P9498BAR"}</definedName>
    <definedName name="ccccc" localSheetId="38" hidden="1">{"cebank",#N/A,FALSE,"P9498BAR";"spbank",#N/A,FALSE,"P9498BAR";"renfinbank",#N/A,FALSE,"P9498BAR";"indici",#N/A,FALSE,"P9498BAR"}</definedName>
    <definedName name="ccccc" hidden="1">{"cebank",#N/A,FALSE,"P9498BAR";"spbank",#N/A,FALSE,"P9498BAR";"renfinbank",#N/A,FALSE,"P9498BAR";"indici",#N/A,FALSE,"P9498BAR"}</definedName>
    <definedName name="ççççç" localSheetId="3" hidden="1">{#N/A,#N/A,FALSE,"MAIN";#N/A,#N/A,FALSE,"MK_ASS_B";#N/A,#N/A,FALSE,"MK_ASS_R";#N/A,#N/A,FALSE,"TR_ASS_B";#N/A,#N/A,FALSE,"TR_ASS_R";#N/A,#N/A,FALSE,"ROAMING";#N/A,#N/A,FALSE,"PR_ASS_B";#N/A,#N/A,FALSE,"PR_ASS_R";#N/A,#N/A,FALSE,"PR_ASS_S"}</definedName>
    <definedName name="ççççç" localSheetId="5" hidden="1">{#N/A,#N/A,FALSE,"MAIN";#N/A,#N/A,FALSE,"MK_ASS_B";#N/A,#N/A,FALSE,"MK_ASS_R";#N/A,#N/A,FALSE,"TR_ASS_B";#N/A,#N/A,FALSE,"TR_ASS_R";#N/A,#N/A,FALSE,"ROAMING";#N/A,#N/A,FALSE,"PR_ASS_B";#N/A,#N/A,FALSE,"PR_ASS_R";#N/A,#N/A,FALSE,"PR_ASS_S"}</definedName>
    <definedName name="ççççç" localSheetId="8" hidden="1">{#N/A,#N/A,FALSE,"MAIN";#N/A,#N/A,FALSE,"MK_ASS_B";#N/A,#N/A,FALSE,"MK_ASS_R";#N/A,#N/A,FALSE,"TR_ASS_B";#N/A,#N/A,FALSE,"TR_ASS_R";#N/A,#N/A,FALSE,"ROAMING";#N/A,#N/A,FALSE,"PR_ASS_B";#N/A,#N/A,FALSE,"PR_ASS_R";#N/A,#N/A,FALSE,"PR_ASS_S"}</definedName>
    <definedName name="ççççç" localSheetId="10" hidden="1">{#N/A,#N/A,FALSE,"MAIN";#N/A,#N/A,FALSE,"MK_ASS_B";#N/A,#N/A,FALSE,"MK_ASS_R";#N/A,#N/A,FALSE,"TR_ASS_B";#N/A,#N/A,FALSE,"TR_ASS_R";#N/A,#N/A,FALSE,"ROAMING";#N/A,#N/A,FALSE,"PR_ASS_B";#N/A,#N/A,FALSE,"PR_ASS_R";#N/A,#N/A,FALSE,"PR_ASS_S"}</definedName>
    <definedName name="ççççç" localSheetId="12" hidden="1">{#N/A,#N/A,FALSE,"MAIN";#N/A,#N/A,FALSE,"MK_ASS_B";#N/A,#N/A,FALSE,"MK_ASS_R";#N/A,#N/A,FALSE,"TR_ASS_B";#N/A,#N/A,FALSE,"TR_ASS_R";#N/A,#N/A,FALSE,"ROAMING";#N/A,#N/A,FALSE,"PR_ASS_B";#N/A,#N/A,FALSE,"PR_ASS_R";#N/A,#N/A,FALSE,"PR_ASS_S"}</definedName>
    <definedName name="ççççç" localSheetId="14" hidden="1">{#N/A,#N/A,FALSE,"MAIN";#N/A,#N/A,FALSE,"MK_ASS_B";#N/A,#N/A,FALSE,"MK_ASS_R";#N/A,#N/A,FALSE,"TR_ASS_B";#N/A,#N/A,FALSE,"TR_ASS_R";#N/A,#N/A,FALSE,"ROAMING";#N/A,#N/A,FALSE,"PR_ASS_B";#N/A,#N/A,FALSE,"PR_ASS_R";#N/A,#N/A,FALSE,"PR_ASS_S"}</definedName>
    <definedName name="ççççç" localSheetId="16" hidden="1">{#N/A,#N/A,FALSE,"MAIN";#N/A,#N/A,FALSE,"MK_ASS_B";#N/A,#N/A,FALSE,"MK_ASS_R";#N/A,#N/A,FALSE,"TR_ASS_B";#N/A,#N/A,FALSE,"TR_ASS_R";#N/A,#N/A,FALSE,"ROAMING";#N/A,#N/A,FALSE,"PR_ASS_B";#N/A,#N/A,FALSE,"PR_ASS_R";#N/A,#N/A,FALSE,"PR_ASS_S"}</definedName>
    <definedName name="ççççç" localSheetId="22" hidden="1">{#N/A,#N/A,FALSE,"MAIN";#N/A,#N/A,FALSE,"MK_ASS_B";#N/A,#N/A,FALSE,"MK_ASS_R";#N/A,#N/A,FALSE,"TR_ASS_B";#N/A,#N/A,FALSE,"TR_ASS_R";#N/A,#N/A,FALSE,"ROAMING";#N/A,#N/A,FALSE,"PR_ASS_B";#N/A,#N/A,FALSE,"PR_ASS_R";#N/A,#N/A,FALSE,"PR_ASS_S"}</definedName>
    <definedName name="ççççç" localSheetId="24" hidden="1">{#N/A,#N/A,FALSE,"MAIN";#N/A,#N/A,FALSE,"MK_ASS_B";#N/A,#N/A,FALSE,"MK_ASS_R";#N/A,#N/A,FALSE,"TR_ASS_B";#N/A,#N/A,FALSE,"TR_ASS_R";#N/A,#N/A,FALSE,"ROAMING";#N/A,#N/A,FALSE,"PR_ASS_B";#N/A,#N/A,FALSE,"PR_ASS_R";#N/A,#N/A,FALSE,"PR_ASS_S"}</definedName>
    <definedName name="ççççç" localSheetId="26" hidden="1">{#N/A,#N/A,FALSE,"MAIN";#N/A,#N/A,FALSE,"MK_ASS_B";#N/A,#N/A,FALSE,"MK_ASS_R";#N/A,#N/A,FALSE,"TR_ASS_B";#N/A,#N/A,FALSE,"TR_ASS_R";#N/A,#N/A,FALSE,"ROAMING";#N/A,#N/A,FALSE,"PR_ASS_B";#N/A,#N/A,FALSE,"PR_ASS_R";#N/A,#N/A,FALSE,"PR_ASS_S"}</definedName>
    <definedName name="ççççç" localSheetId="28" hidden="1">{#N/A,#N/A,FALSE,"MAIN";#N/A,#N/A,FALSE,"MK_ASS_B";#N/A,#N/A,FALSE,"MK_ASS_R";#N/A,#N/A,FALSE,"TR_ASS_B";#N/A,#N/A,FALSE,"TR_ASS_R";#N/A,#N/A,FALSE,"ROAMING";#N/A,#N/A,FALSE,"PR_ASS_B";#N/A,#N/A,FALSE,"PR_ASS_R";#N/A,#N/A,FALSE,"PR_ASS_S"}</definedName>
    <definedName name="ççççç" localSheetId="30" hidden="1">{#N/A,#N/A,FALSE,"MAIN";#N/A,#N/A,FALSE,"MK_ASS_B";#N/A,#N/A,FALSE,"MK_ASS_R";#N/A,#N/A,FALSE,"TR_ASS_B";#N/A,#N/A,FALSE,"TR_ASS_R";#N/A,#N/A,FALSE,"ROAMING";#N/A,#N/A,FALSE,"PR_ASS_B";#N/A,#N/A,FALSE,"PR_ASS_R";#N/A,#N/A,FALSE,"PR_ASS_S"}</definedName>
    <definedName name="ççççç" localSheetId="32" hidden="1">{#N/A,#N/A,FALSE,"MAIN";#N/A,#N/A,FALSE,"MK_ASS_B";#N/A,#N/A,FALSE,"MK_ASS_R";#N/A,#N/A,FALSE,"TR_ASS_B";#N/A,#N/A,FALSE,"TR_ASS_R";#N/A,#N/A,FALSE,"ROAMING";#N/A,#N/A,FALSE,"PR_ASS_B";#N/A,#N/A,FALSE,"PR_ASS_R";#N/A,#N/A,FALSE,"PR_ASS_S"}</definedName>
    <definedName name="ççççç" localSheetId="34" hidden="1">{#N/A,#N/A,FALSE,"MAIN";#N/A,#N/A,FALSE,"MK_ASS_B";#N/A,#N/A,FALSE,"MK_ASS_R";#N/A,#N/A,FALSE,"TR_ASS_B";#N/A,#N/A,FALSE,"TR_ASS_R";#N/A,#N/A,FALSE,"ROAMING";#N/A,#N/A,FALSE,"PR_ASS_B";#N/A,#N/A,FALSE,"PR_ASS_R";#N/A,#N/A,FALSE,"PR_ASS_S"}</definedName>
    <definedName name="ççççç" localSheetId="36" hidden="1">{#N/A,#N/A,FALSE,"MAIN";#N/A,#N/A,FALSE,"MK_ASS_B";#N/A,#N/A,FALSE,"MK_ASS_R";#N/A,#N/A,FALSE,"TR_ASS_B";#N/A,#N/A,FALSE,"TR_ASS_R";#N/A,#N/A,FALSE,"ROAMING";#N/A,#N/A,FALSE,"PR_ASS_B";#N/A,#N/A,FALSE,"PR_ASS_R";#N/A,#N/A,FALSE,"PR_ASS_S"}</definedName>
    <definedName name="ççççç" localSheetId="38" hidden="1">{#N/A,#N/A,FALSE,"MAIN";#N/A,#N/A,FALSE,"MK_ASS_B";#N/A,#N/A,FALSE,"MK_ASS_R";#N/A,#N/A,FALSE,"TR_ASS_B";#N/A,#N/A,FALSE,"TR_ASS_R";#N/A,#N/A,FALSE,"ROAMING";#N/A,#N/A,FALSE,"PR_ASS_B";#N/A,#N/A,FALSE,"PR_ASS_R";#N/A,#N/A,FALSE,"PR_ASS_S"}</definedName>
    <definedName name="ççççç" hidden="1">{#N/A,#N/A,FALSE,"MAIN";#N/A,#N/A,FALSE,"MK_ASS_B";#N/A,#N/A,FALSE,"MK_ASS_R";#N/A,#N/A,FALSE,"TR_ASS_B";#N/A,#N/A,FALSE,"TR_ASS_R";#N/A,#N/A,FALSE,"ROAMING";#N/A,#N/A,FALSE,"PR_ASS_B";#N/A,#N/A,FALSE,"PR_ASS_R";#N/A,#N/A,FALSE,"PR_ASS_S"}</definedName>
    <definedName name="cd">#REF!</definedName>
    <definedName name="cde" hidden="1">#REF!</definedName>
    <definedName name="CF_AccruedExpenses">#REF!</definedName>
    <definedName name="CF_Cash">#REF!</definedName>
    <definedName name="CF_CurrentLTDebit">#REF!</definedName>
    <definedName name="CF_DeferredTax">#REF!</definedName>
    <definedName name="CF_Dividends">#REF!</definedName>
    <definedName name="CF_Intangibles">#REF!</definedName>
    <definedName name="CF_Inventories">#REF!</definedName>
    <definedName name="CF_Investments">#REF!</definedName>
    <definedName name="CF_LTDebt">#REF!</definedName>
    <definedName name="CF_NetIncome">#REF!</definedName>
    <definedName name="CF_Payables">#REF!</definedName>
    <definedName name="CF_PrepaidExpenses">#REF!</definedName>
    <definedName name="CF_Property">#REF!</definedName>
    <definedName name="CF_Receivables">#REF!</definedName>
    <definedName name="CF_Shares">#REF!</definedName>
    <definedName name="CF_Taxation">#REF!</definedName>
    <definedName name="ChAC">#REF!</definedName>
    <definedName name="chagnge" localSheetId="3"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 localSheetId="5"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 localSheetId="8"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 localSheetId="10"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 localSheetId="12"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 localSheetId="14"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 localSheetId="16"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 localSheetId="22"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 localSheetId="24"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 localSheetId="26"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 localSheetId="28"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 localSheetId="30"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 localSheetId="32"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 localSheetId="34"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 localSheetId="36"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 localSheetId="38"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l" localSheetId="3"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l" localSheetId="5"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l" localSheetId="8"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l" localSheetId="10"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l" localSheetId="12"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l" localSheetId="14"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l" localSheetId="16"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l" localSheetId="22"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l" localSheetId="24"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l" localSheetId="26"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l" localSheetId="28"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l" localSheetId="30"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l" localSheetId="32"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l" localSheetId="34"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l" localSheetId="36"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l" localSheetId="38"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l"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ngeStatus">#REF!</definedName>
    <definedName name="ChBV">#REF!</definedName>
    <definedName name="chg_log_display">#REF!</definedName>
    <definedName name="China">#REF!</definedName>
    <definedName name="ciao" localSheetId="3" hidden="1">{#N/A,#N/A,FALSE,"L. Zottola";#N/A,#N/A,FALSE,"M. Ruggi";#N/A,#N/A,FALSE,"M. Valenti";#N/A,#N/A,FALSE,"C. Mazza";#N/A,#N/A,FALSE,"G. Bellinzona";#N/A,#N/A,FALSE,"M. Carletti";#N/A,#N/A,FALSE,"P. Maresca";#N/A,#N/A,FALSE,"L. Tondi";#N/A,#N/A,FALSE,"M. Marani";#N/A,#N/A,FALSE,"R. Ruggerini";#N/A,#N/A,FALSE,"L. Liguori";#N/A,#N/A,FALSE,"D. Battistel"}</definedName>
    <definedName name="ciao" localSheetId="5" hidden="1">{#N/A,#N/A,FALSE,"L. Zottola";#N/A,#N/A,FALSE,"M. Ruggi";#N/A,#N/A,FALSE,"M. Valenti";#N/A,#N/A,FALSE,"C. Mazza";#N/A,#N/A,FALSE,"G. Bellinzona";#N/A,#N/A,FALSE,"M. Carletti";#N/A,#N/A,FALSE,"P. Maresca";#N/A,#N/A,FALSE,"L. Tondi";#N/A,#N/A,FALSE,"M. Marani";#N/A,#N/A,FALSE,"R. Ruggerini";#N/A,#N/A,FALSE,"L. Liguori";#N/A,#N/A,FALSE,"D. Battistel"}</definedName>
    <definedName name="ciao" localSheetId="8" hidden="1">{#N/A,#N/A,FALSE,"L. Zottola";#N/A,#N/A,FALSE,"M. Ruggi";#N/A,#N/A,FALSE,"M. Valenti";#N/A,#N/A,FALSE,"C. Mazza";#N/A,#N/A,FALSE,"G. Bellinzona";#N/A,#N/A,FALSE,"M. Carletti";#N/A,#N/A,FALSE,"P. Maresca";#N/A,#N/A,FALSE,"L. Tondi";#N/A,#N/A,FALSE,"M. Marani";#N/A,#N/A,FALSE,"R. Ruggerini";#N/A,#N/A,FALSE,"L. Liguori";#N/A,#N/A,FALSE,"D. Battistel"}</definedName>
    <definedName name="ciao" localSheetId="10" hidden="1">{#N/A,#N/A,FALSE,"L. Zottola";#N/A,#N/A,FALSE,"M. Ruggi";#N/A,#N/A,FALSE,"M. Valenti";#N/A,#N/A,FALSE,"C. Mazza";#N/A,#N/A,FALSE,"G. Bellinzona";#N/A,#N/A,FALSE,"M. Carletti";#N/A,#N/A,FALSE,"P. Maresca";#N/A,#N/A,FALSE,"L. Tondi";#N/A,#N/A,FALSE,"M. Marani";#N/A,#N/A,FALSE,"R. Ruggerini";#N/A,#N/A,FALSE,"L. Liguori";#N/A,#N/A,FALSE,"D. Battistel"}</definedName>
    <definedName name="ciao" localSheetId="12" hidden="1">{#N/A,#N/A,FALSE,"L. Zottola";#N/A,#N/A,FALSE,"M. Ruggi";#N/A,#N/A,FALSE,"M. Valenti";#N/A,#N/A,FALSE,"C. Mazza";#N/A,#N/A,FALSE,"G. Bellinzona";#N/A,#N/A,FALSE,"M. Carletti";#N/A,#N/A,FALSE,"P. Maresca";#N/A,#N/A,FALSE,"L. Tondi";#N/A,#N/A,FALSE,"M. Marani";#N/A,#N/A,FALSE,"R. Ruggerini";#N/A,#N/A,FALSE,"L. Liguori";#N/A,#N/A,FALSE,"D. Battistel"}</definedName>
    <definedName name="ciao" localSheetId="14" hidden="1">{#N/A,#N/A,FALSE,"L. Zottola";#N/A,#N/A,FALSE,"M. Ruggi";#N/A,#N/A,FALSE,"M. Valenti";#N/A,#N/A,FALSE,"C. Mazza";#N/A,#N/A,FALSE,"G. Bellinzona";#N/A,#N/A,FALSE,"M. Carletti";#N/A,#N/A,FALSE,"P. Maresca";#N/A,#N/A,FALSE,"L. Tondi";#N/A,#N/A,FALSE,"M. Marani";#N/A,#N/A,FALSE,"R. Ruggerini";#N/A,#N/A,FALSE,"L. Liguori";#N/A,#N/A,FALSE,"D. Battistel"}</definedName>
    <definedName name="ciao" localSheetId="16" hidden="1">{#N/A,#N/A,FALSE,"L. Zottola";#N/A,#N/A,FALSE,"M. Ruggi";#N/A,#N/A,FALSE,"M. Valenti";#N/A,#N/A,FALSE,"C. Mazza";#N/A,#N/A,FALSE,"G. Bellinzona";#N/A,#N/A,FALSE,"M. Carletti";#N/A,#N/A,FALSE,"P. Maresca";#N/A,#N/A,FALSE,"L. Tondi";#N/A,#N/A,FALSE,"M. Marani";#N/A,#N/A,FALSE,"R. Ruggerini";#N/A,#N/A,FALSE,"L. Liguori";#N/A,#N/A,FALSE,"D. Battistel"}</definedName>
    <definedName name="ciao" localSheetId="22" hidden="1">{#N/A,#N/A,FALSE,"L. Zottola";#N/A,#N/A,FALSE,"M. Ruggi";#N/A,#N/A,FALSE,"M. Valenti";#N/A,#N/A,FALSE,"C. Mazza";#N/A,#N/A,FALSE,"G. Bellinzona";#N/A,#N/A,FALSE,"M. Carletti";#N/A,#N/A,FALSE,"P. Maresca";#N/A,#N/A,FALSE,"L. Tondi";#N/A,#N/A,FALSE,"M. Marani";#N/A,#N/A,FALSE,"R. Ruggerini";#N/A,#N/A,FALSE,"L. Liguori";#N/A,#N/A,FALSE,"D. Battistel"}</definedName>
    <definedName name="ciao" localSheetId="24" hidden="1">{#N/A,#N/A,FALSE,"L. Zottola";#N/A,#N/A,FALSE,"M. Ruggi";#N/A,#N/A,FALSE,"M. Valenti";#N/A,#N/A,FALSE,"C. Mazza";#N/A,#N/A,FALSE,"G. Bellinzona";#N/A,#N/A,FALSE,"M. Carletti";#N/A,#N/A,FALSE,"P. Maresca";#N/A,#N/A,FALSE,"L. Tondi";#N/A,#N/A,FALSE,"M. Marani";#N/A,#N/A,FALSE,"R. Ruggerini";#N/A,#N/A,FALSE,"L. Liguori";#N/A,#N/A,FALSE,"D. Battistel"}</definedName>
    <definedName name="ciao" localSheetId="26" hidden="1">{#N/A,#N/A,FALSE,"L. Zottola";#N/A,#N/A,FALSE,"M. Ruggi";#N/A,#N/A,FALSE,"M. Valenti";#N/A,#N/A,FALSE,"C. Mazza";#N/A,#N/A,FALSE,"G. Bellinzona";#N/A,#N/A,FALSE,"M. Carletti";#N/A,#N/A,FALSE,"P. Maresca";#N/A,#N/A,FALSE,"L. Tondi";#N/A,#N/A,FALSE,"M. Marani";#N/A,#N/A,FALSE,"R. Ruggerini";#N/A,#N/A,FALSE,"L. Liguori";#N/A,#N/A,FALSE,"D. Battistel"}</definedName>
    <definedName name="ciao" localSheetId="28" hidden="1">{#N/A,#N/A,FALSE,"L. Zottola";#N/A,#N/A,FALSE,"M. Ruggi";#N/A,#N/A,FALSE,"M. Valenti";#N/A,#N/A,FALSE,"C. Mazza";#N/A,#N/A,FALSE,"G. Bellinzona";#N/A,#N/A,FALSE,"M. Carletti";#N/A,#N/A,FALSE,"P. Maresca";#N/A,#N/A,FALSE,"L. Tondi";#N/A,#N/A,FALSE,"M. Marani";#N/A,#N/A,FALSE,"R. Ruggerini";#N/A,#N/A,FALSE,"L. Liguori";#N/A,#N/A,FALSE,"D. Battistel"}</definedName>
    <definedName name="ciao" localSheetId="30" hidden="1">{#N/A,#N/A,FALSE,"L. Zottola";#N/A,#N/A,FALSE,"M. Ruggi";#N/A,#N/A,FALSE,"M. Valenti";#N/A,#N/A,FALSE,"C. Mazza";#N/A,#N/A,FALSE,"G. Bellinzona";#N/A,#N/A,FALSE,"M. Carletti";#N/A,#N/A,FALSE,"P. Maresca";#N/A,#N/A,FALSE,"L. Tondi";#N/A,#N/A,FALSE,"M. Marani";#N/A,#N/A,FALSE,"R. Ruggerini";#N/A,#N/A,FALSE,"L. Liguori";#N/A,#N/A,FALSE,"D. Battistel"}</definedName>
    <definedName name="ciao" localSheetId="32" hidden="1">{#N/A,#N/A,FALSE,"L. Zottola";#N/A,#N/A,FALSE,"M. Ruggi";#N/A,#N/A,FALSE,"M. Valenti";#N/A,#N/A,FALSE,"C. Mazza";#N/A,#N/A,FALSE,"G. Bellinzona";#N/A,#N/A,FALSE,"M. Carletti";#N/A,#N/A,FALSE,"P. Maresca";#N/A,#N/A,FALSE,"L. Tondi";#N/A,#N/A,FALSE,"M. Marani";#N/A,#N/A,FALSE,"R. Ruggerini";#N/A,#N/A,FALSE,"L. Liguori";#N/A,#N/A,FALSE,"D. Battistel"}</definedName>
    <definedName name="ciao" localSheetId="34" hidden="1">{#N/A,#N/A,FALSE,"L. Zottola";#N/A,#N/A,FALSE,"M. Ruggi";#N/A,#N/A,FALSE,"M. Valenti";#N/A,#N/A,FALSE,"C. Mazza";#N/A,#N/A,FALSE,"G. Bellinzona";#N/A,#N/A,FALSE,"M. Carletti";#N/A,#N/A,FALSE,"P. Maresca";#N/A,#N/A,FALSE,"L. Tondi";#N/A,#N/A,FALSE,"M. Marani";#N/A,#N/A,FALSE,"R. Ruggerini";#N/A,#N/A,FALSE,"L. Liguori";#N/A,#N/A,FALSE,"D. Battistel"}</definedName>
    <definedName name="ciao" localSheetId="36" hidden="1">{#N/A,#N/A,FALSE,"L. Zottola";#N/A,#N/A,FALSE,"M. Ruggi";#N/A,#N/A,FALSE,"M. Valenti";#N/A,#N/A,FALSE,"C. Mazza";#N/A,#N/A,FALSE,"G. Bellinzona";#N/A,#N/A,FALSE,"M. Carletti";#N/A,#N/A,FALSE,"P. Maresca";#N/A,#N/A,FALSE,"L. Tondi";#N/A,#N/A,FALSE,"M. Marani";#N/A,#N/A,FALSE,"R. Ruggerini";#N/A,#N/A,FALSE,"L. Liguori";#N/A,#N/A,FALSE,"D. Battistel"}</definedName>
    <definedName name="ciao" localSheetId="38" hidden="1">{#N/A,#N/A,FALSE,"L. Zottola";#N/A,#N/A,FALSE,"M. Ruggi";#N/A,#N/A,FALSE,"M. Valenti";#N/A,#N/A,FALSE,"C. Mazza";#N/A,#N/A,FALSE,"G. Bellinzona";#N/A,#N/A,FALSE,"M. Carletti";#N/A,#N/A,FALSE,"P. Maresca";#N/A,#N/A,FALSE,"L. Tondi";#N/A,#N/A,FALSE,"M. Marani";#N/A,#N/A,FALSE,"R. Ruggerini";#N/A,#N/A,FALSE,"L. Liguori";#N/A,#N/A,FALSE,"D. Battistel"}</definedName>
    <definedName name="ciao" hidden="1">{#N/A,#N/A,FALSE,"L. Zottola";#N/A,#N/A,FALSE,"M. Ruggi";#N/A,#N/A,FALSE,"M. Valenti";#N/A,#N/A,FALSE,"C. Mazza";#N/A,#N/A,FALSE,"G. Bellinzona";#N/A,#N/A,FALSE,"M. Carletti";#N/A,#N/A,FALSE,"P. Maresca";#N/A,#N/A,FALSE,"L. Tondi";#N/A,#N/A,FALSE,"M. Marani";#N/A,#N/A,FALSE,"R. Ruggerini";#N/A,#N/A,FALSE,"L. Liguori";#N/A,#N/A,FALSE,"D. Battistel"}</definedName>
    <definedName name="CIQWBGuid" hidden="1">"2cd8126d-26c3-430c-b7fa-a069e3a1fc62"</definedName>
    <definedName name="CISAct">#REF!</definedName>
    <definedName name="City">#REF!</definedName>
    <definedName name="Click_Dept">#REF!</definedName>
    <definedName name="CLIENT_NAME">#REF!</definedName>
    <definedName name="Close_Confirm">#REF!</definedName>
    <definedName name="Closing_Cash_Consideration">#REF!</definedName>
    <definedName name="Closing_Stock_Consideration_Value">#REF!</definedName>
    <definedName name="CM_Dept">#REF!</definedName>
    <definedName name="cn">#REF!</definedName>
    <definedName name="CNY">#REF!</definedName>
    <definedName name="COA">#REF!</definedName>
    <definedName name="coa_data">#REF!</definedName>
    <definedName name="coa_data1">#REF!</definedName>
    <definedName name="Code">#REF!</definedName>
    <definedName name="COLUMBIA">#REF!</definedName>
    <definedName name="CommentBox1a">#REF!</definedName>
    <definedName name="CommentBox1b">#REF!</definedName>
    <definedName name="CommentBox1c">#REF!</definedName>
    <definedName name="CommentBox2a">#REF!</definedName>
    <definedName name="CommentBox2b">#REF!</definedName>
    <definedName name="CommentBox2c">#REF!</definedName>
    <definedName name="CommentBox2d">#REF!</definedName>
    <definedName name="CommentBox2e">#REF!</definedName>
    <definedName name="CommentBox3a">#REF!</definedName>
    <definedName name="CommentBox4a">#REF!</definedName>
    <definedName name="Companny_Name">#REF!</definedName>
    <definedName name="company">#REF!</definedName>
    <definedName name="Company_name">#REF!</definedName>
    <definedName name="Complete1">#REF!</definedName>
    <definedName name="Complete2">#REF!</definedName>
    <definedName name="Complex1">#REF!</definedName>
    <definedName name="Complex2">#REF!</definedName>
    <definedName name="Complex3">#REF!</definedName>
    <definedName name="coname">#REF!</definedName>
    <definedName name="Concl">#REF!</definedName>
    <definedName name="Conclusion">#REF!</definedName>
    <definedName name="ConTransport">#REF!</definedName>
    <definedName name="Core_Access">#REF!</definedName>
    <definedName name="Cost_Center_List">#REF!</definedName>
    <definedName name="Counter">#REF!</definedName>
    <definedName name="Country">#REF!</definedName>
    <definedName name="CTCLUB_SHARE_N_CASH_BAL_DLR1">#REF!</definedName>
    <definedName name="Cum_Int">#REF!</definedName>
    <definedName name="CUPPAGE_TERRACE">#REF!</definedName>
    <definedName name="currency">#REF!</definedName>
    <definedName name="CurrentColumnIndex">#REF!</definedName>
    <definedName name="CurrentColumnRowIndex">#REF!</definedName>
    <definedName name="CurrentRowLineItemIndex">#REF!</definedName>
    <definedName name="CurrentWeek">#REF!</definedName>
    <definedName name="CurrentWkEnd">#REF!</definedName>
    <definedName name="CustName">#REF!</definedName>
    <definedName name="CustOrder">#REF!</definedName>
    <definedName name="Cwvu.lib1." hidden="1">#REF!,#REF!</definedName>
    <definedName name="CY_NetAssets">#REF!</definedName>
    <definedName name="CY_Reserves">#REF!</definedName>
    <definedName name="CY_RetainedProftit">#REF!</definedName>
    <definedName name="CY_RetainedProftits">#REF!</definedName>
    <definedName name="d">#REF!</definedName>
    <definedName name="D_PRINT">#REF!</definedName>
    <definedName name="D_TITLE">#REF!</definedName>
    <definedName name="Data">#REF!</definedName>
    <definedName name="Data_summary" localSheetId="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1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1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1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2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2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2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2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3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3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3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3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3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1" hidden="1">#REF!</definedName>
    <definedName name="data2" hidden="1">#REF!</definedName>
    <definedName name="data3" hidden="1">#REF!</definedName>
    <definedName name="DATA5">#REF!</definedName>
    <definedName name="DATA6">#REF!</definedName>
    <definedName name="DATE">#REF!</definedName>
    <definedName name="DateLabel">#REF!</definedName>
    <definedName name="Dates">#REF!</definedName>
    <definedName name="DatesTable7">#REF!</definedName>
    <definedName name="DayHrs">#REF!</definedName>
    <definedName name="DayOnes">#REF!</definedName>
    <definedName name="DaysRemainByArea">#REF!</definedName>
    <definedName name="dbName">"172.16.8.62:1521/OBIEE"</definedName>
    <definedName name="dbUserName">"caluser1"</definedName>
    <definedName name="dcssd" localSheetId="3" hidden="1">{#N/A,#N/A,FALSE,"MK_ASS_B";#N/A,#N/A,FALSE,"MK_ASS_R";#N/A,#N/A,FALSE,"MK_ASS_S";#N/A,#N/A,FALSE,"TR_ASS_B";#N/A,#N/A,FALSE,"TR_ASS_R";#N/A,#N/A,FALSE,"TR_ASS_S";#N/A,#N/A,FALSE,"PR_ASS_B";#N/A,#N/A,FALSE,"PR_ASS_R";#N/A,#N/A,FALSE,"REV_SUM"}</definedName>
    <definedName name="dcssd" localSheetId="5" hidden="1">{#N/A,#N/A,FALSE,"MK_ASS_B";#N/A,#N/A,FALSE,"MK_ASS_R";#N/A,#N/A,FALSE,"MK_ASS_S";#N/A,#N/A,FALSE,"TR_ASS_B";#N/A,#N/A,FALSE,"TR_ASS_R";#N/A,#N/A,FALSE,"TR_ASS_S";#N/A,#N/A,FALSE,"PR_ASS_B";#N/A,#N/A,FALSE,"PR_ASS_R";#N/A,#N/A,FALSE,"REV_SUM"}</definedName>
    <definedName name="dcssd" localSheetId="8" hidden="1">{#N/A,#N/A,FALSE,"MK_ASS_B";#N/A,#N/A,FALSE,"MK_ASS_R";#N/A,#N/A,FALSE,"MK_ASS_S";#N/A,#N/A,FALSE,"TR_ASS_B";#N/A,#N/A,FALSE,"TR_ASS_R";#N/A,#N/A,FALSE,"TR_ASS_S";#N/A,#N/A,FALSE,"PR_ASS_B";#N/A,#N/A,FALSE,"PR_ASS_R";#N/A,#N/A,FALSE,"REV_SUM"}</definedName>
    <definedName name="dcssd" localSheetId="10" hidden="1">{#N/A,#N/A,FALSE,"MK_ASS_B";#N/A,#N/A,FALSE,"MK_ASS_R";#N/A,#N/A,FALSE,"MK_ASS_S";#N/A,#N/A,FALSE,"TR_ASS_B";#N/A,#N/A,FALSE,"TR_ASS_R";#N/A,#N/A,FALSE,"TR_ASS_S";#N/A,#N/A,FALSE,"PR_ASS_B";#N/A,#N/A,FALSE,"PR_ASS_R";#N/A,#N/A,FALSE,"REV_SUM"}</definedName>
    <definedName name="dcssd" localSheetId="12" hidden="1">{#N/A,#N/A,FALSE,"MK_ASS_B";#N/A,#N/A,FALSE,"MK_ASS_R";#N/A,#N/A,FALSE,"MK_ASS_S";#N/A,#N/A,FALSE,"TR_ASS_B";#N/A,#N/A,FALSE,"TR_ASS_R";#N/A,#N/A,FALSE,"TR_ASS_S";#N/A,#N/A,FALSE,"PR_ASS_B";#N/A,#N/A,FALSE,"PR_ASS_R";#N/A,#N/A,FALSE,"REV_SUM"}</definedName>
    <definedName name="dcssd" localSheetId="14" hidden="1">{#N/A,#N/A,FALSE,"MK_ASS_B";#N/A,#N/A,FALSE,"MK_ASS_R";#N/A,#N/A,FALSE,"MK_ASS_S";#N/A,#N/A,FALSE,"TR_ASS_B";#N/A,#N/A,FALSE,"TR_ASS_R";#N/A,#N/A,FALSE,"TR_ASS_S";#N/A,#N/A,FALSE,"PR_ASS_B";#N/A,#N/A,FALSE,"PR_ASS_R";#N/A,#N/A,FALSE,"REV_SUM"}</definedName>
    <definedName name="dcssd" localSheetId="16" hidden="1">{#N/A,#N/A,FALSE,"MK_ASS_B";#N/A,#N/A,FALSE,"MK_ASS_R";#N/A,#N/A,FALSE,"MK_ASS_S";#N/A,#N/A,FALSE,"TR_ASS_B";#N/A,#N/A,FALSE,"TR_ASS_R";#N/A,#N/A,FALSE,"TR_ASS_S";#N/A,#N/A,FALSE,"PR_ASS_B";#N/A,#N/A,FALSE,"PR_ASS_R";#N/A,#N/A,FALSE,"REV_SUM"}</definedName>
    <definedName name="dcssd" localSheetId="22" hidden="1">{#N/A,#N/A,FALSE,"MK_ASS_B";#N/A,#N/A,FALSE,"MK_ASS_R";#N/A,#N/A,FALSE,"MK_ASS_S";#N/A,#N/A,FALSE,"TR_ASS_B";#N/A,#N/A,FALSE,"TR_ASS_R";#N/A,#N/A,FALSE,"TR_ASS_S";#N/A,#N/A,FALSE,"PR_ASS_B";#N/A,#N/A,FALSE,"PR_ASS_R";#N/A,#N/A,FALSE,"REV_SUM"}</definedName>
    <definedName name="dcssd" localSheetId="24" hidden="1">{#N/A,#N/A,FALSE,"MK_ASS_B";#N/A,#N/A,FALSE,"MK_ASS_R";#N/A,#N/A,FALSE,"MK_ASS_S";#N/A,#N/A,FALSE,"TR_ASS_B";#N/A,#N/A,FALSE,"TR_ASS_R";#N/A,#N/A,FALSE,"TR_ASS_S";#N/A,#N/A,FALSE,"PR_ASS_B";#N/A,#N/A,FALSE,"PR_ASS_R";#N/A,#N/A,FALSE,"REV_SUM"}</definedName>
    <definedName name="dcssd" localSheetId="26" hidden="1">{#N/A,#N/A,FALSE,"MK_ASS_B";#N/A,#N/A,FALSE,"MK_ASS_R";#N/A,#N/A,FALSE,"MK_ASS_S";#N/A,#N/A,FALSE,"TR_ASS_B";#N/A,#N/A,FALSE,"TR_ASS_R";#N/A,#N/A,FALSE,"TR_ASS_S";#N/A,#N/A,FALSE,"PR_ASS_B";#N/A,#N/A,FALSE,"PR_ASS_R";#N/A,#N/A,FALSE,"REV_SUM"}</definedName>
    <definedName name="dcssd" localSheetId="28" hidden="1">{#N/A,#N/A,FALSE,"MK_ASS_B";#N/A,#N/A,FALSE,"MK_ASS_R";#N/A,#N/A,FALSE,"MK_ASS_S";#N/A,#N/A,FALSE,"TR_ASS_B";#N/A,#N/A,FALSE,"TR_ASS_R";#N/A,#N/A,FALSE,"TR_ASS_S";#N/A,#N/A,FALSE,"PR_ASS_B";#N/A,#N/A,FALSE,"PR_ASS_R";#N/A,#N/A,FALSE,"REV_SUM"}</definedName>
    <definedName name="dcssd" localSheetId="30" hidden="1">{#N/A,#N/A,FALSE,"MK_ASS_B";#N/A,#N/A,FALSE,"MK_ASS_R";#N/A,#N/A,FALSE,"MK_ASS_S";#N/A,#N/A,FALSE,"TR_ASS_B";#N/A,#N/A,FALSE,"TR_ASS_R";#N/A,#N/A,FALSE,"TR_ASS_S";#N/A,#N/A,FALSE,"PR_ASS_B";#N/A,#N/A,FALSE,"PR_ASS_R";#N/A,#N/A,FALSE,"REV_SUM"}</definedName>
    <definedName name="dcssd" localSheetId="32" hidden="1">{#N/A,#N/A,FALSE,"MK_ASS_B";#N/A,#N/A,FALSE,"MK_ASS_R";#N/A,#N/A,FALSE,"MK_ASS_S";#N/A,#N/A,FALSE,"TR_ASS_B";#N/A,#N/A,FALSE,"TR_ASS_R";#N/A,#N/A,FALSE,"TR_ASS_S";#N/A,#N/A,FALSE,"PR_ASS_B";#N/A,#N/A,FALSE,"PR_ASS_R";#N/A,#N/A,FALSE,"REV_SUM"}</definedName>
    <definedName name="dcssd" localSheetId="34" hidden="1">{#N/A,#N/A,FALSE,"MK_ASS_B";#N/A,#N/A,FALSE,"MK_ASS_R";#N/A,#N/A,FALSE,"MK_ASS_S";#N/A,#N/A,FALSE,"TR_ASS_B";#N/A,#N/A,FALSE,"TR_ASS_R";#N/A,#N/A,FALSE,"TR_ASS_S";#N/A,#N/A,FALSE,"PR_ASS_B";#N/A,#N/A,FALSE,"PR_ASS_R";#N/A,#N/A,FALSE,"REV_SUM"}</definedName>
    <definedName name="dcssd" localSheetId="36" hidden="1">{#N/A,#N/A,FALSE,"MK_ASS_B";#N/A,#N/A,FALSE,"MK_ASS_R";#N/A,#N/A,FALSE,"MK_ASS_S";#N/A,#N/A,FALSE,"TR_ASS_B";#N/A,#N/A,FALSE,"TR_ASS_R";#N/A,#N/A,FALSE,"TR_ASS_S";#N/A,#N/A,FALSE,"PR_ASS_B";#N/A,#N/A,FALSE,"PR_ASS_R";#N/A,#N/A,FALSE,"REV_SUM"}</definedName>
    <definedName name="dcssd" localSheetId="38" hidden="1">{#N/A,#N/A,FALSE,"MK_ASS_B";#N/A,#N/A,FALSE,"MK_ASS_R";#N/A,#N/A,FALSE,"MK_ASS_S";#N/A,#N/A,FALSE,"TR_ASS_B";#N/A,#N/A,FALSE,"TR_ASS_R";#N/A,#N/A,FALSE,"TR_ASS_S";#N/A,#N/A,FALSE,"PR_ASS_B";#N/A,#N/A,FALSE,"PR_ASS_R";#N/A,#N/A,FALSE,"REV_SUM"}</definedName>
    <definedName name="dcssd" hidden="1">{#N/A,#N/A,FALSE,"MK_ASS_B";#N/A,#N/A,FALSE,"MK_ASS_R";#N/A,#N/A,FALSE,"MK_ASS_S";#N/A,#N/A,FALSE,"TR_ASS_B";#N/A,#N/A,FALSE,"TR_ASS_R";#N/A,#N/A,FALSE,"TR_ASS_S";#N/A,#N/A,FALSE,"PR_ASS_B";#N/A,#N/A,FALSE,"PR_ASS_R";#N/A,#N/A,FALSE,"REV_SUM"}</definedName>
    <definedName name="dd" localSheetId="3" hidden="1">{#N/A,#N/A,FALSE,"MAIN";#N/A,#N/A,FALSE,"MK_ASS_B";#N/A,#N/A,FALSE,"MK_ASS_R";#N/A,#N/A,FALSE,"TR_ASS_B";#N/A,#N/A,FALSE,"TR_ASS_R";#N/A,#N/A,FALSE,"ROAMING";#N/A,#N/A,FALSE,"PR_ASS_B";#N/A,#N/A,FALSE,"PR_ASS_R";#N/A,#N/A,FALSE,"PR_ASS_S"}</definedName>
    <definedName name="dd" localSheetId="5" hidden="1">{#N/A,#N/A,FALSE,"MAIN";#N/A,#N/A,FALSE,"MK_ASS_B";#N/A,#N/A,FALSE,"MK_ASS_R";#N/A,#N/A,FALSE,"TR_ASS_B";#N/A,#N/A,FALSE,"TR_ASS_R";#N/A,#N/A,FALSE,"ROAMING";#N/A,#N/A,FALSE,"PR_ASS_B";#N/A,#N/A,FALSE,"PR_ASS_R";#N/A,#N/A,FALSE,"PR_ASS_S"}</definedName>
    <definedName name="dd" localSheetId="8" hidden="1">{#N/A,#N/A,FALSE,"MAIN";#N/A,#N/A,FALSE,"MK_ASS_B";#N/A,#N/A,FALSE,"MK_ASS_R";#N/A,#N/A,FALSE,"TR_ASS_B";#N/A,#N/A,FALSE,"TR_ASS_R";#N/A,#N/A,FALSE,"ROAMING";#N/A,#N/A,FALSE,"PR_ASS_B";#N/A,#N/A,FALSE,"PR_ASS_R";#N/A,#N/A,FALSE,"PR_ASS_S"}</definedName>
    <definedName name="dd" localSheetId="10" hidden="1">{#N/A,#N/A,FALSE,"MAIN";#N/A,#N/A,FALSE,"MK_ASS_B";#N/A,#N/A,FALSE,"MK_ASS_R";#N/A,#N/A,FALSE,"TR_ASS_B";#N/A,#N/A,FALSE,"TR_ASS_R";#N/A,#N/A,FALSE,"ROAMING";#N/A,#N/A,FALSE,"PR_ASS_B";#N/A,#N/A,FALSE,"PR_ASS_R";#N/A,#N/A,FALSE,"PR_ASS_S"}</definedName>
    <definedName name="dd" localSheetId="12" hidden="1">{#N/A,#N/A,FALSE,"MAIN";#N/A,#N/A,FALSE,"MK_ASS_B";#N/A,#N/A,FALSE,"MK_ASS_R";#N/A,#N/A,FALSE,"TR_ASS_B";#N/A,#N/A,FALSE,"TR_ASS_R";#N/A,#N/A,FALSE,"ROAMING";#N/A,#N/A,FALSE,"PR_ASS_B";#N/A,#N/A,FALSE,"PR_ASS_R";#N/A,#N/A,FALSE,"PR_ASS_S"}</definedName>
    <definedName name="dd" localSheetId="14" hidden="1">{#N/A,#N/A,FALSE,"MAIN";#N/A,#N/A,FALSE,"MK_ASS_B";#N/A,#N/A,FALSE,"MK_ASS_R";#N/A,#N/A,FALSE,"TR_ASS_B";#N/A,#N/A,FALSE,"TR_ASS_R";#N/A,#N/A,FALSE,"ROAMING";#N/A,#N/A,FALSE,"PR_ASS_B";#N/A,#N/A,FALSE,"PR_ASS_R";#N/A,#N/A,FALSE,"PR_ASS_S"}</definedName>
    <definedName name="dd" localSheetId="16" hidden="1">{#N/A,#N/A,FALSE,"MAIN";#N/A,#N/A,FALSE,"MK_ASS_B";#N/A,#N/A,FALSE,"MK_ASS_R";#N/A,#N/A,FALSE,"TR_ASS_B";#N/A,#N/A,FALSE,"TR_ASS_R";#N/A,#N/A,FALSE,"ROAMING";#N/A,#N/A,FALSE,"PR_ASS_B";#N/A,#N/A,FALSE,"PR_ASS_R";#N/A,#N/A,FALSE,"PR_ASS_S"}</definedName>
    <definedName name="dd" localSheetId="22" hidden="1">{#N/A,#N/A,FALSE,"MAIN";#N/A,#N/A,FALSE,"MK_ASS_B";#N/A,#N/A,FALSE,"MK_ASS_R";#N/A,#N/A,FALSE,"TR_ASS_B";#N/A,#N/A,FALSE,"TR_ASS_R";#N/A,#N/A,FALSE,"ROAMING";#N/A,#N/A,FALSE,"PR_ASS_B";#N/A,#N/A,FALSE,"PR_ASS_R";#N/A,#N/A,FALSE,"PR_ASS_S"}</definedName>
    <definedName name="dd" localSheetId="24" hidden="1">{#N/A,#N/A,FALSE,"MAIN";#N/A,#N/A,FALSE,"MK_ASS_B";#N/A,#N/A,FALSE,"MK_ASS_R";#N/A,#N/A,FALSE,"TR_ASS_B";#N/A,#N/A,FALSE,"TR_ASS_R";#N/A,#N/A,FALSE,"ROAMING";#N/A,#N/A,FALSE,"PR_ASS_B";#N/A,#N/A,FALSE,"PR_ASS_R";#N/A,#N/A,FALSE,"PR_ASS_S"}</definedName>
    <definedName name="dd" localSheetId="26" hidden="1">{#N/A,#N/A,FALSE,"MAIN";#N/A,#N/A,FALSE,"MK_ASS_B";#N/A,#N/A,FALSE,"MK_ASS_R";#N/A,#N/A,FALSE,"TR_ASS_B";#N/A,#N/A,FALSE,"TR_ASS_R";#N/A,#N/A,FALSE,"ROAMING";#N/A,#N/A,FALSE,"PR_ASS_B";#N/A,#N/A,FALSE,"PR_ASS_R";#N/A,#N/A,FALSE,"PR_ASS_S"}</definedName>
    <definedName name="dd" localSheetId="28" hidden="1">{#N/A,#N/A,FALSE,"MAIN";#N/A,#N/A,FALSE,"MK_ASS_B";#N/A,#N/A,FALSE,"MK_ASS_R";#N/A,#N/A,FALSE,"TR_ASS_B";#N/A,#N/A,FALSE,"TR_ASS_R";#N/A,#N/A,FALSE,"ROAMING";#N/A,#N/A,FALSE,"PR_ASS_B";#N/A,#N/A,FALSE,"PR_ASS_R";#N/A,#N/A,FALSE,"PR_ASS_S"}</definedName>
    <definedName name="dd" localSheetId="30" hidden="1">{#N/A,#N/A,FALSE,"MAIN";#N/A,#N/A,FALSE,"MK_ASS_B";#N/A,#N/A,FALSE,"MK_ASS_R";#N/A,#N/A,FALSE,"TR_ASS_B";#N/A,#N/A,FALSE,"TR_ASS_R";#N/A,#N/A,FALSE,"ROAMING";#N/A,#N/A,FALSE,"PR_ASS_B";#N/A,#N/A,FALSE,"PR_ASS_R";#N/A,#N/A,FALSE,"PR_ASS_S"}</definedName>
    <definedName name="dd" localSheetId="32" hidden="1">{#N/A,#N/A,FALSE,"MAIN";#N/A,#N/A,FALSE,"MK_ASS_B";#N/A,#N/A,FALSE,"MK_ASS_R";#N/A,#N/A,FALSE,"TR_ASS_B";#N/A,#N/A,FALSE,"TR_ASS_R";#N/A,#N/A,FALSE,"ROAMING";#N/A,#N/A,FALSE,"PR_ASS_B";#N/A,#N/A,FALSE,"PR_ASS_R";#N/A,#N/A,FALSE,"PR_ASS_S"}</definedName>
    <definedName name="dd" localSheetId="34" hidden="1">{#N/A,#N/A,FALSE,"MAIN";#N/A,#N/A,FALSE,"MK_ASS_B";#N/A,#N/A,FALSE,"MK_ASS_R";#N/A,#N/A,FALSE,"TR_ASS_B";#N/A,#N/A,FALSE,"TR_ASS_R";#N/A,#N/A,FALSE,"ROAMING";#N/A,#N/A,FALSE,"PR_ASS_B";#N/A,#N/A,FALSE,"PR_ASS_R";#N/A,#N/A,FALSE,"PR_ASS_S"}</definedName>
    <definedName name="dd" localSheetId="36" hidden="1">{#N/A,#N/A,FALSE,"MAIN";#N/A,#N/A,FALSE,"MK_ASS_B";#N/A,#N/A,FALSE,"MK_ASS_R";#N/A,#N/A,FALSE,"TR_ASS_B";#N/A,#N/A,FALSE,"TR_ASS_R";#N/A,#N/A,FALSE,"ROAMING";#N/A,#N/A,FALSE,"PR_ASS_B";#N/A,#N/A,FALSE,"PR_ASS_R";#N/A,#N/A,FALSE,"PR_ASS_S"}</definedName>
    <definedName name="dd" localSheetId="38" hidden="1">{#N/A,#N/A,FALSE,"MAIN";#N/A,#N/A,FALSE,"MK_ASS_B";#N/A,#N/A,FALSE,"MK_ASS_R";#N/A,#N/A,FALSE,"TR_ASS_B";#N/A,#N/A,FALSE,"TR_ASS_R";#N/A,#N/A,FALSE,"ROAMING";#N/A,#N/A,FALSE,"PR_ASS_B";#N/A,#N/A,FALSE,"PR_ASS_R";#N/A,#N/A,FALSE,"PR_ASS_S"}</definedName>
    <definedName name="dd" hidden="1">{#N/A,#N/A,FALSE,"MAIN";#N/A,#N/A,FALSE,"MK_ASS_B";#N/A,#N/A,FALSE,"MK_ASS_R";#N/A,#N/A,FALSE,"TR_ASS_B";#N/A,#N/A,FALSE,"TR_ASS_R";#N/A,#N/A,FALSE,"ROAMING";#N/A,#N/A,FALSE,"PR_ASS_B";#N/A,#N/A,FALSE,"PR_ASS_R";#N/A,#N/A,FALSE,"PR_ASS_S"}</definedName>
    <definedName name="DD_Curr">#REF!</definedName>
    <definedName name="DDAdvCount">#REF!</definedName>
    <definedName name="DDAdvFixedFee">#REF!</definedName>
    <definedName name="DDAdvMRR">#REF!</definedName>
    <definedName name="DDAdvVarSpend">#REF!</definedName>
    <definedName name="DDARPU">#REF!</definedName>
    <definedName name="DDBaseCount">#REF!</definedName>
    <definedName name="DDBaseMRR">#REF!</definedName>
    <definedName name="DDCoreCount">#REF!</definedName>
    <definedName name="DDCoreMRR">#REF!</definedName>
    <definedName name="DDCRMCount">#REF!</definedName>
    <definedName name="DDCRMMRR">#REF!</definedName>
    <definedName name="DDCustomerCount">#REF!</definedName>
    <definedName name="ddd" localSheetId="3"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ddd" localSheetId="5"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ddd" localSheetId="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ddd" localSheetId="10"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ddd" localSheetId="1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ddd" localSheetId="1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ddd" localSheetId="1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ddd" localSheetId="2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ddd" localSheetId="2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ddd" localSheetId="2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ddd" localSheetId="2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ddd" localSheetId="30"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ddd" localSheetId="3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ddd" localSheetId="3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ddd" localSheetId="3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ddd" localSheetId="3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ddd"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dddd" localSheetId="3" hidden="1">{#N/A,#N/A,FALSE,"MAIN";#N/A,#N/A,FALSE,"MK_ASS_B";#N/A,#N/A,FALSE,"MK_ASS_R";#N/A,#N/A,FALSE,"TR_ASS_B";#N/A,#N/A,FALSE,"TR_ASS_R";#N/A,#N/A,FALSE,"ROAMING";#N/A,#N/A,FALSE,"PR_ASS_B";#N/A,#N/A,FALSE,"PR_ASS_R";#N/A,#N/A,FALSE,"PR_ASS_S"}</definedName>
    <definedName name="dddd" localSheetId="5" hidden="1">{#N/A,#N/A,FALSE,"MAIN";#N/A,#N/A,FALSE,"MK_ASS_B";#N/A,#N/A,FALSE,"MK_ASS_R";#N/A,#N/A,FALSE,"TR_ASS_B";#N/A,#N/A,FALSE,"TR_ASS_R";#N/A,#N/A,FALSE,"ROAMING";#N/A,#N/A,FALSE,"PR_ASS_B";#N/A,#N/A,FALSE,"PR_ASS_R";#N/A,#N/A,FALSE,"PR_ASS_S"}</definedName>
    <definedName name="dddd" localSheetId="8" hidden="1">{#N/A,#N/A,FALSE,"MAIN";#N/A,#N/A,FALSE,"MK_ASS_B";#N/A,#N/A,FALSE,"MK_ASS_R";#N/A,#N/A,FALSE,"TR_ASS_B";#N/A,#N/A,FALSE,"TR_ASS_R";#N/A,#N/A,FALSE,"ROAMING";#N/A,#N/A,FALSE,"PR_ASS_B";#N/A,#N/A,FALSE,"PR_ASS_R";#N/A,#N/A,FALSE,"PR_ASS_S"}</definedName>
    <definedName name="dddd" localSheetId="10" hidden="1">{#N/A,#N/A,FALSE,"MAIN";#N/A,#N/A,FALSE,"MK_ASS_B";#N/A,#N/A,FALSE,"MK_ASS_R";#N/A,#N/A,FALSE,"TR_ASS_B";#N/A,#N/A,FALSE,"TR_ASS_R";#N/A,#N/A,FALSE,"ROAMING";#N/A,#N/A,FALSE,"PR_ASS_B";#N/A,#N/A,FALSE,"PR_ASS_R";#N/A,#N/A,FALSE,"PR_ASS_S"}</definedName>
    <definedName name="dddd" localSheetId="12" hidden="1">{#N/A,#N/A,FALSE,"MAIN";#N/A,#N/A,FALSE,"MK_ASS_B";#N/A,#N/A,FALSE,"MK_ASS_R";#N/A,#N/A,FALSE,"TR_ASS_B";#N/A,#N/A,FALSE,"TR_ASS_R";#N/A,#N/A,FALSE,"ROAMING";#N/A,#N/A,FALSE,"PR_ASS_B";#N/A,#N/A,FALSE,"PR_ASS_R";#N/A,#N/A,FALSE,"PR_ASS_S"}</definedName>
    <definedName name="dddd" localSheetId="14" hidden="1">{#N/A,#N/A,FALSE,"MAIN";#N/A,#N/A,FALSE,"MK_ASS_B";#N/A,#N/A,FALSE,"MK_ASS_R";#N/A,#N/A,FALSE,"TR_ASS_B";#N/A,#N/A,FALSE,"TR_ASS_R";#N/A,#N/A,FALSE,"ROAMING";#N/A,#N/A,FALSE,"PR_ASS_B";#N/A,#N/A,FALSE,"PR_ASS_R";#N/A,#N/A,FALSE,"PR_ASS_S"}</definedName>
    <definedName name="dddd" localSheetId="16" hidden="1">{#N/A,#N/A,FALSE,"MAIN";#N/A,#N/A,FALSE,"MK_ASS_B";#N/A,#N/A,FALSE,"MK_ASS_R";#N/A,#N/A,FALSE,"TR_ASS_B";#N/A,#N/A,FALSE,"TR_ASS_R";#N/A,#N/A,FALSE,"ROAMING";#N/A,#N/A,FALSE,"PR_ASS_B";#N/A,#N/A,FALSE,"PR_ASS_R";#N/A,#N/A,FALSE,"PR_ASS_S"}</definedName>
    <definedName name="dddd" localSheetId="22" hidden="1">{#N/A,#N/A,FALSE,"MAIN";#N/A,#N/A,FALSE,"MK_ASS_B";#N/A,#N/A,FALSE,"MK_ASS_R";#N/A,#N/A,FALSE,"TR_ASS_B";#N/A,#N/A,FALSE,"TR_ASS_R";#N/A,#N/A,FALSE,"ROAMING";#N/A,#N/A,FALSE,"PR_ASS_B";#N/A,#N/A,FALSE,"PR_ASS_R";#N/A,#N/A,FALSE,"PR_ASS_S"}</definedName>
    <definedName name="dddd" localSheetId="24" hidden="1">{#N/A,#N/A,FALSE,"MAIN";#N/A,#N/A,FALSE,"MK_ASS_B";#N/A,#N/A,FALSE,"MK_ASS_R";#N/A,#N/A,FALSE,"TR_ASS_B";#N/A,#N/A,FALSE,"TR_ASS_R";#N/A,#N/A,FALSE,"ROAMING";#N/A,#N/A,FALSE,"PR_ASS_B";#N/A,#N/A,FALSE,"PR_ASS_R";#N/A,#N/A,FALSE,"PR_ASS_S"}</definedName>
    <definedName name="dddd" localSheetId="26" hidden="1">{#N/A,#N/A,FALSE,"MAIN";#N/A,#N/A,FALSE,"MK_ASS_B";#N/A,#N/A,FALSE,"MK_ASS_R";#N/A,#N/A,FALSE,"TR_ASS_B";#N/A,#N/A,FALSE,"TR_ASS_R";#N/A,#N/A,FALSE,"ROAMING";#N/A,#N/A,FALSE,"PR_ASS_B";#N/A,#N/A,FALSE,"PR_ASS_R";#N/A,#N/A,FALSE,"PR_ASS_S"}</definedName>
    <definedName name="dddd" localSheetId="28" hidden="1">{#N/A,#N/A,FALSE,"MAIN";#N/A,#N/A,FALSE,"MK_ASS_B";#N/A,#N/A,FALSE,"MK_ASS_R";#N/A,#N/A,FALSE,"TR_ASS_B";#N/A,#N/A,FALSE,"TR_ASS_R";#N/A,#N/A,FALSE,"ROAMING";#N/A,#N/A,FALSE,"PR_ASS_B";#N/A,#N/A,FALSE,"PR_ASS_R";#N/A,#N/A,FALSE,"PR_ASS_S"}</definedName>
    <definedName name="dddd" localSheetId="30" hidden="1">{#N/A,#N/A,FALSE,"MAIN";#N/A,#N/A,FALSE,"MK_ASS_B";#N/A,#N/A,FALSE,"MK_ASS_R";#N/A,#N/A,FALSE,"TR_ASS_B";#N/A,#N/A,FALSE,"TR_ASS_R";#N/A,#N/A,FALSE,"ROAMING";#N/A,#N/A,FALSE,"PR_ASS_B";#N/A,#N/A,FALSE,"PR_ASS_R";#N/A,#N/A,FALSE,"PR_ASS_S"}</definedName>
    <definedName name="dddd" localSheetId="32" hidden="1">{#N/A,#N/A,FALSE,"MAIN";#N/A,#N/A,FALSE,"MK_ASS_B";#N/A,#N/A,FALSE,"MK_ASS_R";#N/A,#N/A,FALSE,"TR_ASS_B";#N/A,#N/A,FALSE,"TR_ASS_R";#N/A,#N/A,FALSE,"ROAMING";#N/A,#N/A,FALSE,"PR_ASS_B";#N/A,#N/A,FALSE,"PR_ASS_R";#N/A,#N/A,FALSE,"PR_ASS_S"}</definedName>
    <definedName name="dddd" localSheetId="34" hidden="1">{#N/A,#N/A,FALSE,"MAIN";#N/A,#N/A,FALSE,"MK_ASS_B";#N/A,#N/A,FALSE,"MK_ASS_R";#N/A,#N/A,FALSE,"TR_ASS_B";#N/A,#N/A,FALSE,"TR_ASS_R";#N/A,#N/A,FALSE,"ROAMING";#N/A,#N/A,FALSE,"PR_ASS_B";#N/A,#N/A,FALSE,"PR_ASS_R";#N/A,#N/A,FALSE,"PR_ASS_S"}</definedName>
    <definedName name="dddd" localSheetId="36" hidden="1">{#N/A,#N/A,FALSE,"MAIN";#N/A,#N/A,FALSE,"MK_ASS_B";#N/A,#N/A,FALSE,"MK_ASS_R";#N/A,#N/A,FALSE,"TR_ASS_B";#N/A,#N/A,FALSE,"TR_ASS_R";#N/A,#N/A,FALSE,"ROAMING";#N/A,#N/A,FALSE,"PR_ASS_B";#N/A,#N/A,FALSE,"PR_ASS_R";#N/A,#N/A,FALSE,"PR_ASS_S"}</definedName>
    <definedName name="dddd" localSheetId="38" hidden="1">{#N/A,#N/A,FALSE,"MAIN";#N/A,#N/A,FALSE,"MK_ASS_B";#N/A,#N/A,FALSE,"MK_ASS_R";#N/A,#N/A,FALSE,"TR_ASS_B";#N/A,#N/A,FALSE,"TR_ASS_R";#N/A,#N/A,FALSE,"ROAMING";#N/A,#N/A,FALSE,"PR_ASS_B";#N/A,#N/A,FALSE,"PR_ASS_R";#N/A,#N/A,FALSE,"PR_ASS_S"}</definedName>
    <definedName name="dddd" hidden="1">{#N/A,#N/A,FALSE,"MAIN";#N/A,#N/A,FALSE,"MK_ASS_B";#N/A,#N/A,FALSE,"MK_ASS_R";#N/A,#N/A,FALSE,"TR_ASS_B";#N/A,#N/A,FALSE,"TR_ASS_R";#N/A,#N/A,FALSE,"ROAMING";#N/A,#N/A,FALSE,"PR_ASS_B";#N/A,#N/A,FALSE,"PR_ASS_R";#N/A,#N/A,FALSE,"PR_ASS_S"}</definedName>
    <definedName name="DDDDD" localSheetId="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 localSheetId="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 localSheetId="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 localSheetId="1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 localSheetId="1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 localSheetId="1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 localSheetId="2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 localSheetId="2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 localSheetId="2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 localSheetId="2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 localSheetId="3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 localSheetId="3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 localSheetId="3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 localSheetId="3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 localSheetId="3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dd" hidden="1">#REF!</definedName>
    <definedName name="DDDDDDFFF" localSheetId="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DFFF" localSheetId="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DFFF" localSheetId="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DFFF"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DFFF" localSheetId="1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DFFF" localSheetId="1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DFFF" localSheetId="1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DFFF" localSheetId="2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DFFF" localSheetId="2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DFFF" localSheetId="2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DFFF" localSheetId="2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DFFF" localSheetId="3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DFFF" localSheetId="3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DFFF" localSheetId="3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DFFF" localSheetId="3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DFFF" localSheetId="3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DDDDFFF"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DMRR">#REF!</definedName>
    <definedName name="DDOtherMRR">#REF!</definedName>
    <definedName name="DDRooftopCount">#REF!</definedName>
    <definedName name="DDSEOCount">#REF!</definedName>
    <definedName name="DDSEOMRR">#REF!</definedName>
    <definedName name="DDSocialCount">#REF!</definedName>
    <definedName name="DDSocialMRR">#REF!</definedName>
    <definedName name="ddxf" localSheetId="3" hidden="1">{"NOPCAPEVA",#N/A,FALSE,"Nopat";"FCFCSTAR",#N/A,FALSE,"FCFVAL";"EVAVL",#N/A,FALSE,"EVAVAL";"LEASE",#N/A,FALSE,"OpLease"}</definedName>
    <definedName name="ddxf" localSheetId="5" hidden="1">{"NOPCAPEVA",#N/A,FALSE,"Nopat";"FCFCSTAR",#N/A,FALSE,"FCFVAL";"EVAVL",#N/A,FALSE,"EVAVAL";"LEASE",#N/A,FALSE,"OpLease"}</definedName>
    <definedName name="ddxf" localSheetId="8" hidden="1">{"NOPCAPEVA",#N/A,FALSE,"Nopat";"FCFCSTAR",#N/A,FALSE,"FCFVAL";"EVAVL",#N/A,FALSE,"EVAVAL";"LEASE",#N/A,FALSE,"OpLease"}</definedName>
    <definedName name="ddxf" localSheetId="10" hidden="1">{"NOPCAPEVA",#N/A,FALSE,"Nopat";"FCFCSTAR",#N/A,FALSE,"FCFVAL";"EVAVL",#N/A,FALSE,"EVAVAL";"LEASE",#N/A,FALSE,"OpLease"}</definedName>
    <definedName name="ddxf" localSheetId="12" hidden="1">{"NOPCAPEVA",#N/A,FALSE,"Nopat";"FCFCSTAR",#N/A,FALSE,"FCFVAL";"EVAVL",#N/A,FALSE,"EVAVAL";"LEASE",#N/A,FALSE,"OpLease"}</definedName>
    <definedName name="ddxf" localSheetId="14" hidden="1">{"NOPCAPEVA",#N/A,FALSE,"Nopat";"FCFCSTAR",#N/A,FALSE,"FCFVAL";"EVAVL",#N/A,FALSE,"EVAVAL";"LEASE",#N/A,FALSE,"OpLease"}</definedName>
    <definedName name="ddxf" localSheetId="16" hidden="1">{"NOPCAPEVA",#N/A,FALSE,"Nopat";"FCFCSTAR",#N/A,FALSE,"FCFVAL";"EVAVL",#N/A,FALSE,"EVAVAL";"LEASE",#N/A,FALSE,"OpLease"}</definedName>
    <definedName name="ddxf" localSheetId="22" hidden="1">{"NOPCAPEVA",#N/A,FALSE,"Nopat";"FCFCSTAR",#N/A,FALSE,"FCFVAL";"EVAVL",#N/A,FALSE,"EVAVAL";"LEASE",#N/A,FALSE,"OpLease"}</definedName>
    <definedName name="ddxf" localSheetId="24" hidden="1">{"NOPCAPEVA",#N/A,FALSE,"Nopat";"FCFCSTAR",#N/A,FALSE,"FCFVAL";"EVAVL",#N/A,FALSE,"EVAVAL";"LEASE",#N/A,FALSE,"OpLease"}</definedName>
    <definedName name="ddxf" localSheetId="26" hidden="1">{"NOPCAPEVA",#N/A,FALSE,"Nopat";"FCFCSTAR",#N/A,FALSE,"FCFVAL";"EVAVL",#N/A,FALSE,"EVAVAL";"LEASE",#N/A,FALSE,"OpLease"}</definedName>
    <definedName name="ddxf" localSheetId="28" hidden="1">{"NOPCAPEVA",#N/A,FALSE,"Nopat";"FCFCSTAR",#N/A,FALSE,"FCFVAL";"EVAVL",#N/A,FALSE,"EVAVAL";"LEASE",#N/A,FALSE,"OpLease"}</definedName>
    <definedName name="ddxf" localSheetId="30" hidden="1">{"NOPCAPEVA",#N/A,FALSE,"Nopat";"FCFCSTAR",#N/A,FALSE,"FCFVAL";"EVAVL",#N/A,FALSE,"EVAVAL";"LEASE",#N/A,FALSE,"OpLease"}</definedName>
    <definedName name="ddxf" localSheetId="32" hidden="1">{"NOPCAPEVA",#N/A,FALSE,"Nopat";"FCFCSTAR",#N/A,FALSE,"FCFVAL";"EVAVL",#N/A,FALSE,"EVAVAL";"LEASE",#N/A,FALSE,"OpLease"}</definedName>
    <definedName name="ddxf" localSheetId="34" hidden="1">{"NOPCAPEVA",#N/A,FALSE,"Nopat";"FCFCSTAR",#N/A,FALSE,"FCFVAL";"EVAVL",#N/A,FALSE,"EVAVAL";"LEASE",#N/A,FALSE,"OpLease"}</definedName>
    <definedName name="ddxf" localSheetId="36" hidden="1">{"NOPCAPEVA",#N/A,FALSE,"Nopat";"FCFCSTAR",#N/A,FALSE,"FCFVAL";"EVAVL",#N/A,FALSE,"EVAVAL";"LEASE",#N/A,FALSE,"OpLease"}</definedName>
    <definedName name="ddxf" localSheetId="38" hidden="1">{"NOPCAPEVA",#N/A,FALSE,"Nopat";"FCFCSTAR",#N/A,FALSE,"FCFVAL";"EVAVL",#N/A,FALSE,"EVAVAL";"LEASE",#N/A,FALSE,"OpLease"}</definedName>
    <definedName name="ddxf" hidden="1">{"NOPCAPEVA",#N/A,FALSE,"Nopat";"FCFCSTAR",#N/A,FALSE,"FCFVAL";"EVAVL",#N/A,FALSE,"EVAVAL";"LEASE",#N/A,FALSE,"OpLease"}</definedName>
    <definedName name="DE">#REF!</definedName>
    <definedName name="decdata">#REF!</definedName>
    <definedName name="DecisionStatus">#REF!</definedName>
    <definedName name="DefectData">#REF!</definedName>
    <definedName name="DefectHeading">#REF!</definedName>
    <definedName name="depr">#REF!</definedName>
    <definedName name="depr_HP">#REF!</definedName>
    <definedName name="Dept">#REF!</definedName>
    <definedName name="DeptCoTable">#REF!</definedName>
    <definedName name="des" localSheetId="3" hidden="1">{#N/A,#N/A,FALSE,"COVER";#N/A,#N/A,FALSE,"REPORT";#N/A,#N/A,FALSE,"SUMMARY";#N/A,#N/A,FALSE,"DIV";#N/A,#N/A,FALSE,"GRAFICA";#N/A,#N/A,FALSE,"ARCH";#N/A,#N/A,FALSE,"TOT_ARCH";#N/A,#N/A,FALSE,"CANC";#N/A,#N/A,FALSE,"EDIT";#N/A,#N/A,FALSE,"SW";#N/A,#N/A,FALSE,"HW"}</definedName>
    <definedName name="des" localSheetId="5" hidden="1">{#N/A,#N/A,FALSE,"COVER";#N/A,#N/A,FALSE,"REPORT";#N/A,#N/A,FALSE,"SUMMARY";#N/A,#N/A,FALSE,"DIV";#N/A,#N/A,FALSE,"GRAFICA";#N/A,#N/A,FALSE,"ARCH";#N/A,#N/A,FALSE,"TOT_ARCH";#N/A,#N/A,FALSE,"CANC";#N/A,#N/A,FALSE,"EDIT";#N/A,#N/A,FALSE,"SW";#N/A,#N/A,FALSE,"HW"}</definedName>
    <definedName name="des" localSheetId="8" hidden="1">{#N/A,#N/A,FALSE,"COVER";#N/A,#N/A,FALSE,"REPORT";#N/A,#N/A,FALSE,"SUMMARY";#N/A,#N/A,FALSE,"DIV";#N/A,#N/A,FALSE,"GRAFICA";#N/A,#N/A,FALSE,"ARCH";#N/A,#N/A,FALSE,"TOT_ARCH";#N/A,#N/A,FALSE,"CANC";#N/A,#N/A,FALSE,"EDIT";#N/A,#N/A,FALSE,"SW";#N/A,#N/A,FALSE,"HW"}</definedName>
    <definedName name="des" localSheetId="10" hidden="1">{#N/A,#N/A,FALSE,"COVER";#N/A,#N/A,FALSE,"REPORT";#N/A,#N/A,FALSE,"SUMMARY";#N/A,#N/A,FALSE,"DIV";#N/A,#N/A,FALSE,"GRAFICA";#N/A,#N/A,FALSE,"ARCH";#N/A,#N/A,FALSE,"TOT_ARCH";#N/A,#N/A,FALSE,"CANC";#N/A,#N/A,FALSE,"EDIT";#N/A,#N/A,FALSE,"SW";#N/A,#N/A,FALSE,"HW"}</definedName>
    <definedName name="des" localSheetId="12" hidden="1">{#N/A,#N/A,FALSE,"COVER";#N/A,#N/A,FALSE,"REPORT";#N/A,#N/A,FALSE,"SUMMARY";#N/A,#N/A,FALSE,"DIV";#N/A,#N/A,FALSE,"GRAFICA";#N/A,#N/A,FALSE,"ARCH";#N/A,#N/A,FALSE,"TOT_ARCH";#N/A,#N/A,FALSE,"CANC";#N/A,#N/A,FALSE,"EDIT";#N/A,#N/A,FALSE,"SW";#N/A,#N/A,FALSE,"HW"}</definedName>
    <definedName name="des" localSheetId="14" hidden="1">{#N/A,#N/A,FALSE,"COVER";#N/A,#N/A,FALSE,"REPORT";#N/A,#N/A,FALSE,"SUMMARY";#N/A,#N/A,FALSE,"DIV";#N/A,#N/A,FALSE,"GRAFICA";#N/A,#N/A,FALSE,"ARCH";#N/A,#N/A,FALSE,"TOT_ARCH";#N/A,#N/A,FALSE,"CANC";#N/A,#N/A,FALSE,"EDIT";#N/A,#N/A,FALSE,"SW";#N/A,#N/A,FALSE,"HW"}</definedName>
    <definedName name="des" localSheetId="16" hidden="1">{#N/A,#N/A,FALSE,"COVER";#N/A,#N/A,FALSE,"REPORT";#N/A,#N/A,FALSE,"SUMMARY";#N/A,#N/A,FALSE,"DIV";#N/A,#N/A,FALSE,"GRAFICA";#N/A,#N/A,FALSE,"ARCH";#N/A,#N/A,FALSE,"TOT_ARCH";#N/A,#N/A,FALSE,"CANC";#N/A,#N/A,FALSE,"EDIT";#N/A,#N/A,FALSE,"SW";#N/A,#N/A,FALSE,"HW"}</definedName>
    <definedName name="des" localSheetId="22" hidden="1">{#N/A,#N/A,FALSE,"COVER";#N/A,#N/A,FALSE,"REPORT";#N/A,#N/A,FALSE,"SUMMARY";#N/A,#N/A,FALSE,"DIV";#N/A,#N/A,FALSE,"GRAFICA";#N/A,#N/A,FALSE,"ARCH";#N/A,#N/A,FALSE,"TOT_ARCH";#N/A,#N/A,FALSE,"CANC";#N/A,#N/A,FALSE,"EDIT";#N/A,#N/A,FALSE,"SW";#N/A,#N/A,FALSE,"HW"}</definedName>
    <definedName name="des" localSheetId="24" hidden="1">{#N/A,#N/A,FALSE,"COVER";#N/A,#N/A,FALSE,"REPORT";#N/A,#N/A,FALSE,"SUMMARY";#N/A,#N/A,FALSE,"DIV";#N/A,#N/A,FALSE,"GRAFICA";#N/A,#N/A,FALSE,"ARCH";#N/A,#N/A,FALSE,"TOT_ARCH";#N/A,#N/A,FALSE,"CANC";#N/A,#N/A,FALSE,"EDIT";#N/A,#N/A,FALSE,"SW";#N/A,#N/A,FALSE,"HW"}</definedName>
    <definedName name="des" localSheetId="26" hidden="1">{#N/A,#N/A,FALSE,"COVER";#N/A,#N/A,FALSE,"REPORT";#N/A,#N/A,FALSE,"SUMMARY";#N/A,#N/A,FALSE,"DIV";#N/A,#N/A,FALSE,"GRAFICA";#N/A,#N/A,FALSE,"ARCH";#N/A,#N/A,FALSE,"TOT_ARCH";#N/A,#N/A,FALSE,"CANC";#N/A,#N/A,FALSE,"EDIT";#N/A,#N/A,FALSE,"SW";#N/A,#N/A,FALSE,"HW"}</definedName>
    <definedName name="des" localSheetId="28" hidden="1">{#N/A,#N/A,FALSE,"COVER";#N/A,#N/A,FALSE,"REPORT";#N/A,#N/A,FALSE,"SUMMARY";#N/A,#N/A,FALSE,"DIV";#N/A,#N/A,FALSE,"GRAFICA";#N/A,#N/A,FALSE,"ARCH";#N/A,#N/A,FALSE,"TOT_ARCH";#N/A,#N/A,FALSE,"CANC";#N/A,#N/A,FALSE,"EDIT";#N/A,#N/A,FALSE,"SW";#N/A,#N/A,FALSE,"HW"}</definedName>
    <definedName name="des" localSheetId="30" hidden="1">{#N/A,#N/A,FALSE,"COVER";#N/A,#N/A,FALSE,"REPORT";#N/A,#N/A,FALSE,"SUMMARY";#N/A,#N/A,FALSE,"DIV";#N/A,#N/A,FALSE,"GRAFICA";#N/A,#N/A,FALSE,"ARCH";#N/A,#N/A,FALSE,"TOT_ARCH";#N/A,#N/A,FALSE,"CANC";#N/A,#N/A,FALSE,"EDIT";#N/A,#N/A,FALSE,"SW";#N/A,#N/A,FALSE,"HW"}</definedName>
    <definedName name="des" localSheetId="32" hidden="1">{#N/A,#N/A,FALSE,"COVER";#N/A,#N/A,FALSE,"REPORT";#N/A,#N/A,FALSE,"SUMMARY";#N/A,#N/A,FALSE,"DIV";#N/A,#N/A,FALSE,"GRAFICA";#N/A,#N/A,FALSE,"ARCH";#N/A,#N/A,FALSE,"TOT_ARCH";#N/A,#N/A,FALSE,"CANC";#N/A,#N/A,FALSE,"EDIT";#N/A,#N/A,FALSE,"SW";#N/A,#N/A,FALSE,"HW"}</definedName>
    <definedName name="des" localSheetId="34" hidden="1">{#N/A,#N/A,FALSE,"COVER";#N/A,#N/A,FALSE,"REPORT";#N/A,#N/A,FALSE,"SUMMARY";#N/A,#N/A,FALSE,"DIV";#N/A,#N/A,FALSE,"GRAFICA";#N/A,#N/A,FALSE,"ARCH";#N/A,#N/A,FALSE,"TOT_ARCH";#N/A,#N/A,FALSE,"CANC";#N/A,#N/A,FALSE,"EDIT";#N/A,#N/A,FALSE,"SW";#N/A,#N/A,FALSE,"HW"}</definedName>
    <definedName name="des" localSheetId="36" hidden="1">{#N/A,#N/A,FALSE,"COVER";#N/A,#N/A,FALSE,"REPORT";#N/A,#N/A,FALSE,"SUMMARY";#N/A,#N/A,FALSE,"DIV";#N/A,#N/A,FALSE,"GRAFICA";#N/A,#N/A,FALSE,"ARCH";#N/A,#N/A,FALSE,"TOT_ARCH";#N/A,#N/A,FALSE,"CANC";#N/A,#N/A,FALSE,"EDIT";#N/A,#N/A,FALSE,"SW";#N/A,#N/A,FALSE,"HW"}</definedName>
    <definedName name="des" localSheetId="38" hidden="1">{#N/A,#N/A,FALSE,"COVER";#N/A,#N/A,FALSE,"REPORT";#N/A,#N/A,FALSE,"SUMMARY";#N/A,#N/A,FALSE,"DIV";#N/A,#N/A,FALSE,"GRAFICA";#N/A,#N/A,FALSE,"ARCH";#N/A,#N/A,FALSE,"TOT_ARCH";#N/A,#N/A,FALSE,"CANC";#N/A,#N/A,FALSE,"EDIT";#N/A,#N/A,FALSE,"SW";#N/A,#N/A,FALSE,"HW"}</definedName>
    <definedName name="des" hidden="1">{#N/A,#N/A,FALSE,"COVER";#N/A,#N/A,FALSE,"REPORT";#N/A,#N/A,FALSE,"SUMMARY";#N/A,#N/A,FALSE,"DIV";#N/A,#N/A,FALSE,"GRAFICA";#N/A,#N/A,FALSE,"ARCH";#N/A,#N/A,FALSE,"TOT_ARCH";#N/A,#N/A,FALSE,"CANC";#N/A,#N/A,FALSE,"EDIT";#N/A,#N/A,FALSE,"SW";#N/A,#N/A,FALSE,"HW"}</definedName>
    <definedName name="DEV__Informatica">#REF!</definedName>
    <definedName name="dfadsth" localSheetId="3" hidden="1">{"AnnInc",#N/A,TRUE,"Inc";"QtrInc1",#N/A,TRUE,"Inc";"Balance",#N/A,TRUE,"Bal";"Cflow",#N/A,TRUE,"Cash"}</definedName>
    <definedName name="dfadsth" localSheetId="5" hidden="1">{"AnnInc",#N/A,TRUE,"Inc";"QtrInc1",#N/A,TRUE,"Inc";"Balance",#N/A,TRUE,"Bal";"Cflow",#N/A,TRUE,"Cash"}</definedName>
    <definedName name="dfadsth" localSheetId="8" hidden="1">{"AnnInc",#N/A,TRUE,"Inc";"QtrInc1",#N/A,TRUE,"Inc";"Balance",#N/A,TRUE,"Bal";"Cflow",#N/A,TRUE,"Cash"}</definedName>
    <definedName name="dfadsth" localSheetId="10" hidden="1">{"AnnInc",#N/A,TRUE,"Inc";"QtrInc1",#N/A,TRUE,"Inc";"Balance",#N/A,TRUE,"Bal";"Cflow",#N/A,TRUE,"Cash"}</definedName>
    <definedName name="dfadsth" localSheetId="12" hidden="1">{"AnnInc",#N/A,TRUE,"Inc";"QtrInc1",#N/A,TRUE,"Inc";"Balance",#N/A,TRUE,"Bal";"Cflow",#N/A,TRUE,"Cash"}</definedName>
    <definedName name="dfadsth" localSheetId="14" hidden="1">{"AnnInc",#N/A,TRUE,"Inc";"QtrInc1",#N/A,TRUE,"Inc";"Balance",#N/A,TRUE,"Bal";"Cflow",#N/A,TRUE,"Cash"}</definedName>
    <definedName name="dfadsth" localSheetId="16" hidden="1">{"AnnInc",#N/A,TRUE,"Inc";"QtrInc1",#N/A,TRUE,"Inc";"Balance",#N/A,TRUE,"Bal";"Cflow",#N/A,TRUE,"Cash"}</definedName>
    <definedName name="dfadsth" localSheetId="22" hidden="1">{"AnnInc",#N/A,TRUE,"Inc";"QtrInc1",#N/A,TRUE,"Inc";"Balance",#N/A,TRUE,"Bal";"Cflow",#N/A,TRUE,"Cash"}</definedName>
    <definedName name="dfadsth" localSheetId="24" hidden="1">{"AnnInc",#N/A,TRUE,"Inc";"QtrInc1",#N/A,TRUE,"Inc";"Balance",#N/A,TRUE,"Bal";"Cflow",#N/A,TRUE,"Cash"}</definedName>
    <definedName name="dfadsth" localSheetId="26" hidden="1">{"AnnInc",#N/A,TRUE,"Inc";"QtrInc1",#N/A,TRUE,"Inc";"Balance",#N/A,TRUE,"Bal";"Cflow",#N/A,TRUE,"Cash"}</definedName>
    <definedName name="dfadsth" localSheetId="28" hidden="1">{"AnnInc",#N/A,TRUE,"Inc";"QtrInc1",#N/A,TRUE,"Inc";"Balance",#N/A,TRUE,"Bal";"Cflow",#N/A,TRUE,"Cash"}</definedName>
    <definedName name="dfadsth" localSheetId="30" hidden="1">{"AnnInc",#N/A,TRUE,"Inc";"QtrInc1",#N/A,TRUE,"Inc";"Balance",#N/A,TRUE,"Bal";"Cflow",#N/A,TRUE,"Cash"}</definedName>
    <definedName name="dfadsth" localSheetId="32" hidden="1">{"AnnInc",#N/A,TRUE,"Inc";"QtrInc1",#N/A,TRUE,"Inc";"Balance",#N/A,TRUE,"Bal";"Cflow",#N/A,TRUE,"Cash"}</definedName>
    <definedName name="dfadsth" localSheetId="34" hidden="1">{"AnnInc",#N/A,TRUE,"Inc";"QtrInc1",#N/A,TRUE,"Inc";"Balance",#N/A,TRUE,"Bal";"Cflow",#N/A,TRUE,"Cash"}</definedName>
    <definedName name="dfadsth" localSheetId="36" hidden="1">{"AnnInc",#N/A,TRUE,"Inc";"QtrInc1",#N/A,TRUE,"Inc";"Balance",#N/A,TRUE,"Bal";"Cflow",#N/A,TRUE,"Cash"}</definedName>
    <definedName name="dfadsth" localSheetId="38" hidden="1">{"AnnInc",#N/A,TRUE,"Inc";"QtrInc1",#N/A,TRUE,"Inc";"Balance",#N/A,TRUE,"Bal";"Cflow",#N/A,TRUE,"Cash"}</definedName>
    <definedName name="dfadsth" hidden="1">{"AnnInc",#N/A,TRUE,"Inc";"QtrInc1",#N/A,TRUE,"Inc";"Balance",#N/A,TRUE,"Bal";"Cflow",#N/A,TRUE,"Cash"}</definedName>
    <definedName name="dfd">#REF!</definedName>
    <definedName name="dfdfd" localSheetId="3" hidden="1">{#N/A,#N/A,FALSE,"Colombo";#N/A,#N/A,FALSE,"Colata";#N/A,#N/A,FALSE,"Colombo + Colata"}</definedName>
    <definedName name="dfdfd" localSheetId="5" hidden="1">{#N/A,#N/A,FALSE,"Colombo";#N/A,#N/A,FALSE,"Colata";#N/A,#N/A,FALSE,"Colombo + Colata"}</definedName>
    <definedName name="dfdfd" localSheetId="8" hidden="1">{#N/A,#N/A,FALSE,"Colombo";#N/A,#N/A,FALSE,"Colata";#N/A,#N/A,FALSE,"Colombo + Colata"}</definedName>
    <definedName name="dfdfd" localSheetId="10" hidden="1">{#N/A,#N/A,FALSE,"Colombo";#N/A,#N/A,FALSE,"Colata";#N/A,#N/A,FALSE,"Colombo + Colata"}</definedName>
    <definedName name="dfdfd" localSheetId="12" hidden="1">{#N/A,#N/A,FALSE,"Colombo";#N/A,#N/A,FALSE,"Colata";#N/A,#N/A,FALSE,"Colombo + Colata"}</definedName>
    <definedName name="dfdfd" localSheetId="14" hidden="1">{#N/A,#N/A,FALSE,"Colombo";#N/A,#N/A,FALSE,"Colata";#N/A,#N/A,FALSE,"Colombo + Colata"}</definedName>
    <definedName name="dfdfd" localSheetId="16" hidden="1">{#N/A,#N/A,FALSE,"Colombo";#N/A,#N/A,FALSE,"Colata";#N/A,#N/A,FALSE,"Colombo + Colata"}</definedName>
    <definedName name="dfdfd" localSheetId="22" hidden="1">{#N/A,#N/A,FALSE,"Colombo";#N/A,#N/A,FALSE,"Colata";#N/A,#N/A,FALSE,"Colombo + Colata"}</definedName>
    <definedName name="dfdfd" localSheetId="24" hidden="1">{#N/A,#N/A,FALSE,"Colombo";#N/A,#N/A,FALSE,"Colata";#N/A,#N/A,FALSE,"Colombo + Colata"}</definedName>
    <definedName name="dfdfd" localSheetId="26" hidden="1">{#N/A,#N/A,FALSE,"Colombo";#N/A,#N/A,FALSE,"Colata";#N/A,#N/A,FALSE,"Colombo + Colata"}</definedName>
    <definedName name="dfdfd" localSheetId="28" hidden="1">{#N/A,#N/A,FALSE,"Colombo";#N/A,#N/A,FALSE,"Colata";#N/A,#N/A,FALSE,"Colombo + Colata"}</definedName>
    <definedName name="dfdfd" localSheetId="30" hidden="1">{#N/A,#N/A,FALSE,"Colombo";#N/A,#N/A,FALSE,"Colata";#N/A,#N/A,FALSE,"Colombo + Colata"}</definedName>
    <definedName name="dfdfd" localSheetId="32" hidden="1">{#N/A,#N/A,FALSE,"Colombo";#N/A,#N/A,FALSE,"Colata";#N/A,#N/A,FALSE,"Colombo + Colata"}</definedName>
    <definedName name="dfdfd" localSheetId="34" hidden="1">{#N/A,#N/A,FALSE,"Colombo";#N/A,#N/A,FALSE,"Colata";#N/A,#N/A,FALSE,"Colombo + Colata"}</definedName>
    <definedName name="dfdfd" localSheetId="36" hidden="1">{#N/A,#N/A,FALSE,"Colombo";#N/A,#N/A,FALSE,"Colata";#N/A,#N/A,FALSE,"Colombo + Colata"}</definedName>
    <definedName name="dfdfd" localSheetId="38" hidden="1">{#N/A,#N/A,FALSE,"Colombo";#N/A,#N/A,FALSE,"Colata";#N/A,#N/A,FALSE,"Colombo + Colata"}</definedName>
    <definedName name="dfdfd" hidden="1">{#N/A,#N/A,FALSE,"Colombo";#N/A,#N/A,FALSE,"Colata";#N/A,#N/A,FALSE,"Colombo + Colata"}</definedName>
    <definedName name="DFG" localSheetId="3" hidden="1">{#N/A,#N/A,FALSE,"bs_cons";#N/A,#N/A,FALSE,"bs_grup";#N/A,#N/A,FALSE,"bs_umpl";#N/A,#N/A,FALSE,"bs_bim";#N/A,#N/A,FALSE,"bs_bdb";#N/A,#N/A,FALSE,"bs_mq32";#N/A,#N/A,FALSE,"bs_bsrl"}</definedName>
    <definedName name="DFG" localSheetId="5" hidden="1">{#N/A,#N/A,FALSE,"bs_cons";#N/A,#N/A,FALSE,"bs_grup";#N/A,#N/A,FALSE,"bs_umpl";#N/A,#N/A,FALSE,"bs_bim";#N/A,#N/A,FALSE,"bs_bdb";#N/A,#N/A,FALSE,"bs_mq32";#N/A,#N/A,FALSE,"bs_bsrl"}</definedName>
    <definedName name="DFG" localSheetId="8" hidden="1">{#N/A,#N/A,FALSE,"bs_cons";#N/A,#N/A,FALSE,"bs_grup";#N/A,#N/A,FALSE,"bs_umpl";#N/A,#N/A,FALSE,"bs_bim";#N/A,#N/A,FALSE,"bs_bdb";#N/A,#N/A,FALSE,"bs_mq32";#N/A,#N/A,FALSE,"bs_bsrl"}</definedName>
    <definedName name="DFG" localSheetId="10" hidden="1">{#N/A,#N/A,FALSE,"bs_cons";#N/A,#N/A,FALSE,"bs_grup";#N/A,#N/A,FALSE,"bs_umpl";#N/A,#N/A,FALSE,"bs_bim";#N/A,#N/A,FALSE,"bs_bdb";#N/A,#N/A,FALSE,"bs_mq32";#N/A,#N/A,FALSE,"bs_bsrl"}</definedName>
    <definedName name="DFG" localSheetId="12" hidden="1">{#N/A,#N/A,FALSE,"bs_cons";#N/A,#N/A,FALSE,"bs_grup";#N/A,#N/A,FALSE,"bs_umpl";#N/A,#N/A,FALSE,"bs_bim";#N/A,#N/A,FALSE,"bs_bdb";#N/A,#N/A,FALSE,"bs_mq32";#N/A,#N/A,FALSE,"bs_bsrl"}</definedName>
    <definedName name="DFG" localSheetId="14" hidden="1">{#N/A,#N/A,FALSE,"bs_cons";#N/A,#N/A,FALSE,"bs_grup";#N/A,#N/A,FALSE,"bs_umpl";#N/A,#N/A,FALSE,"bs_bim";#N/A,#N/A,FALSE,"bs_bdb";#N/A,#N/A,FALSE,"bs_mq32";#N/A,#N/A,FALSE,"bs_bsrl"}</definedName>
    <definedName name="DFG" localSheetId="16" hidden="1">{#N/A,#N/A,FALSE,"bs_cons";#N/A,#N/A,FALSE,"bs_grup";#N/A,#N/A,FALSE,"bs_umpl";#N/A,#N/A,FALSE,"bs_bim";#N/A,#N/A,FALSE,"bs_bdb";#N/A,#N/A,FALSE,"bs_mq32";#N/A,#N/A,FALSE,"bs_bsrl"}</definedName>
    <definedName name="DFG" localSheetId="22" hidden="1">{#N/A,#N/A,FALSE,"bs_cons";#N/A,#N/A,FALSE,"bs_grup";#N/A,#N/A,FALSE,"bs_umpl";#N/A,#N/A,FALSE,"bs_bim";#N/A,#N/A,FALSE,"bs_bdb";#N/A,#N/A,FALSE,"bs_mq32";#N/A,#N/A,FALSE,"bs_bsrl"}</definedName>
    <definedName name="DFG" localSheetId="24" hidden="1">{#N/A,#N/A,FALSE,"bs_cons";#N/A,#N/A,FALSE,"bs_grup";#N/A,#N/A,FALSE,"bs_umpl";#N/A,#N/A,FALSE,"bs_bim";#N/A,#N/A,FALSE,"bs_bdb";#N/A,#N/A,FALSE,"bs_mq32";#N/A,#N/A,FALSE,"bs_bsrl"}</definedName>
    <definedName name="DFG" localSheetId="26" hidden="1">{#N/A,#N/A,FALSE,"bs_cons";#N/A,#N/A,FALSE,"bs_grup";#N/A,#N/A,FALSE,"bs_umpl";#N/A,#N/A,FALSE,"bs_bim";#N/A,#N/A,FALSE,"bs_bdb";#N/A,#N/A,FALSE,"bs_mq32";#N/A,#N/A,FALSE,"bs_bsrl"}</definedName>
    <definedName name="DFG" localSheetId="28" hidden="1">{#N/A,#N/A,FALSE,"bs_cons";#N/A,#N/A,FALSE,"bs_grup";#N/A,#N/A,FALSE,"bs_umpl";#N/A,#N/A,FALSE,"bs_bim";#N/A,#N/A,FALSE,"bs_bdb";#N/A,#N/A,FALSE,"bs_mq32";#N/A,#N/A,FALSE,"bs_bsrl"}</definedName>
    <definedName name="DFG" localSheetId="30" hidden="1">{#N/A,#N/A,FALSE,"bs_cons";#N/A,#N/A,FALSE,"bs_grup";#N/A,#N/A,FALSE,"bs_umpl";#N/A,#N/A,FALSE,"bs_bim";#N/A,#N/A,FALSE,"bs_bdb";#N/A,#N/A,FALSE,"bs_mq32";#N/A,#N/A,FALSE,"bs_bsrl"}</definedName>
    <definedName name="DFG" localSheetId="32" hidden="1">{#N/A,#N/A,FALSE,"bs_cons";#N/A,#N/A,FALSE,"bs_grup";#N/A,#N/A,FALSE,"bs_umpl";#N/A,#N/A,FALSE,"bs_bim";#N/A,#N/A,FALSE,"bs_bdb";#N/A,#N/A,FALSE,"bs_mq32";#N/A,#N/A,FALSE,"bs_bsrl"}</definedName>
    <definedName name="DFG" localSheetId="34" hidden="1">{#N/A,#N/A,FALSE,"bs_cons";#N/A,#N/A,FALSE,"bs_grup";#N/A,#N/A,FALSE,"bs_umpl";#N/A,#N/A,FALSE,"bs_bim";#N/A,#N/A,FALSE,"bs_bdb";#N/A,#N/A,FALSE,"bs_mq32";#N/A,#N/A,FALSE,"bs_bsrl"}</definedName>
    <definedName name="DFG" localSheetId="36" hidden="1">{#N/A,#N/A,FALSE,"bs_cons";#N/A,#N/A,FALSE,"bs_grup";#N/A,#N/A,FALSE,"bs_umpl";#N/A,#N/A,FALSE,"bs_bim";#N/A,#N/A,FALSE,"bs_bdb";#N/A,#N/A,FALSE,"bs_mq32";#N/A,#N/A,FALSE,"bs_bsrl"}</definedName>
    <definedName name="DFG" localSheetId="38" hidden="1">{#N/A,#N/A,FALSE,"bs_cons";#N/A,#N/A,FALSE,"bs_grup";#N/A,#N/A,FALSE,"bs_umpl";#N/A,#N/A,FALSE,"bs_bim";#N/A,#N/A,FALSE,"bs_bdb";#N/A,#N/A,FALSE,"bs_mq32";#N/A,#N/A,FALSE,"bs_bsrl"}</definedName>
    <definedName name="DFG" hidden="1">{#N/A,#N/A,FALSE,"bs_cons";#N/A,#N/A,FALSE,"bs_grup";#N/A,#N/A,FALSE,"bs_umpl";#N/A,#N/A,FALSE,"bs_bim";#N/A,#N/A,FALSE,"bs_bdb";#N/A,#N/A,FALSE,"bs_mq32";#N/A,#N/A,FALSE,"bs_bsrl"}</definedName>
    <definedName name="dfgda" localSheetId="3" hidden="1">{"AnnInc",#N/A,TRUE,"Inc";"QtrInc1",#N/A,TRUE,"Inc";"Balance",#N/A,TRUE,"Bal";"Cflow",#N/A,TRUE,"Cash"}</definedName>
    <definedName name="dfgda" localSheetId="5" hidden="1">{"AnnInc",#N/A,TRUE,"Inc";"QtrInc1",#N/A,TRUE,"Inc";"Balance",#N/A,TRUE,"Bal";"Cflow",#N/A,TRUE,"Cash"}</definedName>
    <definedName name="dfgda" localSheetId="8" hidden="1">{"AnnInc",#N/A,TRUE,"Inc";"QtrInc1",#N/A,TRUE,"Inc";"Balance",#N/A,TRUE,"Bal";"Cflow",#N/A,TRUE,"Cash"}</definedName>
    <definedName name="dfgda" localSheetId="10" hidden="1">{"AnnInc",#N/A,TRUE,"Inc";"QtrInc1",#N/A,TRUE,"Inc";"Balance",#N/A,TRUE,"Bal";"Cflow",#N/A,TRUE,"Cash"}</definedName>
    <definedName name="dfgda" localSheetId="12" hidden="1">{"AnnInc",#N/A,TRUE,"Inc";"QtrInc1",#N/A,TRUE,"Inc";"Balance",#N/A,TRUE,"Bal";"Cflow",#N/A,TRUE,"Cash"}</definedName>
    <definedName name="dfgda" localSheetId="14" hidden="1">{"AnnInc",#N/A,TRUE,"Inc";"QtrInc1",#N/A,TRUE,"Inc";"Balance",#N/A,TRUE,"Bal";"Cflow",#N/A,TRUE,"Cash"}</definedName>
    <definedName name="dfgda" localSheetId="16" hidden="1">{"AnnInc",#N/A,TRUE,"Inc";"QtrInc1",#N/A,TRUE,"Inc";"Balance",#N/A,TRUE,"Bal";"Cflow",#N/A,TRUE,"Cash"}</definedName>
    <definedName name="dfgda" localSheetId="22" hidden="1">{"AnnInc",#N/A,TRUE,"Inc";"QtrInc1",#N/A,TRUE,"Inc";"Balance",#N/A,TRUE,"Bal";"Cflow",#N/A,TRUE,"Cash"}</definedName>
    <definedName name="dfgda" localSheetId="24" hidden="1">{"AnnInc",#N/A,TRUE,"Inc";"QtrInc1",#N/A,TRUE,"Inc";"Balance",#N/A,TRUE,"Bal";"Cflow",#N/A,TRUE,"Cash"}</definedName>
    <definedName name="dfgda" localSheetId="26" hidden="1">{"AnnInc",#N/A,TRUE,"Inc";"QtrInc1",#N/A,TRUE,"Inc";"Balance",#N/A,TRUE,"Bal";"Cflow",#N/A,TRUE,"Cash"}</definedName>
    <definedName name="dfgda" localSheetId="28" hidden="1">{"AnnInc",#N/A,TRUE,"Inc";"QtrInc1",#N/A,TRUE,"Inc";"Balance",#N/A,TRUE,"Bal";"Cflow",#N/A,TRUE,"Cash"}</definedName>
    <definedName name="dfgda" localSheetId="30" hidden="1">{"AnnInc",#N/A,TRUE,"Inc";"QtrInc1",#N/A,TRUE,"Inc";"Balance",#N/A,TRUE,"Bal";"Cflow",#N/A,TRUE,"Cash"}</definedName>
    <definedName name="dfgda" localSheetId="32" hidden="1">{"AnnInc",#N/A,TRUE,"Inc";"QtrInc1",#N/A,TRUE,"Inc";"Balance",#N/A,TRUE,"Bal";"Cflow",#N/A,TRUE,"Cash"}</definedName>
    <definedName name="dfgda" localSheetId="34" hidden="1">{"AnnInc",#N/A,TRUE,"Inc";"QtrInc1",#N/A,TRUE,"Inc";"Balance",#N/A,TRUE,"Bal";"Cflow",#N/A,TRUE,"Cash"}</definedName>
    <definedName name="dfgda" localSheetId="36" hidden="1">{"AnnInc",#N/A,TRUE,"Inc";"QtrInc1",#N/A,TRUE,"Inc";"Balance",#N/A,TRUE,"Bal";"Cflow",#N/A,TRUE,"Cash"}</definedName>
    <definedName name="dfgda" localSheetId="38" hidden="1">{"AnnInc",#N/A,TRUE,"Inc";"QtrInc1",#N/A,TRUE,"Inc";"Balance",#N/A,TRUE,"Bal";"Cflow",#N/A,TRUE,"Cash"}</definedName>
    <definedName name="dfgda" hidden="1">{"AnnInc",#N/A,TRUE,"Inc";"QtrInc1",#N/A,TRUE,"Inc";"Balance",#N/A,TRUE,"Bal";"Cflow",#N/A,TRUE,"Cash"}</definedName>
    <definedName name="dfhfdhfd" localSheetId="3"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dhfd" localSheetId="5"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dhfd" localSheetId="8"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dhfd" localSheetId="10"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dhfd" localSheetId="1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dhfd" localSheetId="14"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dhfd" localSheetId="16"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dhfd" localSheetId="2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dhfd" localSheetId="24"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dhfd" localSheetId="26"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dhfd" localSheetId="28"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dhfd" localSheetId="30"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dhfd" localSheetId="3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dhfd" localSheetId="34"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dhfd" localSheetId="36"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dhfd" localSheetId="38"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dhfd"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L" localSheetId="3" hidden="1">{#N/A,#N/A,TRUE,"Capex Summ";#N/A,#N/A,TRUE,"Essential Works.tw";#N/A,#N/A,TRUE,"Desirable Works.tw";#N/A,#N/A,TRUE,"Essential Works.rt";#N/A,#N/A,TRUE,"Desirable Works.rt";#N/A,#N/A,TRUE,"Mthly";#N/A,#N/A,TRUE,"Essential Works.ht";#N/A,#N/A,TRUE,"Desirable Works.ht";#N/A,#N/A,TRUE,"Incentives"}</definedName>
    <definedName name="DFL" localSheetId="5" hidden="1">{#N/A,#N/A,TRUE,"Capex Summ";#N/A,#N/A,TRUE,"Essential Works.tw";#N/A,#N/A,TRUE,"Desirable Works.tw";#N/A,#N/A,TRUE,"Essential Works.rt";#N/A,#N/A,TRUE,"Desirable Works.rt";#N/A,#N/A,TRUE,"Mthly";#N/A,#N/A,TRUE,"Essential Works.ht";#N/A,#N/A,TRUE,"Desirable Works.ht";#N/A,#N/A,TRUE,"Incentives"}</definedName>
    <definedName name="DFL" localSheetId="8" hidden="1">{#N/A,#N/A,TRUE,"Capex Summ";#N/A,#N/A,TRUE,"Essential Works.tw";#N/A,#N/A,TRUE,"Desirable Works.tw";#N/A,#N/A,TRUE,"Essential Works.rt";#N/A,#N/A,TRUE,"Desirable Works.rt";#N/A,#N/A,TRUE,"Mthly";#N/A,#N/A,TRUE,"Essential Works.ht";#N/A,#N/A,TRUE,"Desirable Works.ht";#N/A,#N/A,TRUE,"Incentives"}</definedName>
    <definedName name="DFL" localSheetId="10" hidden="1">{#N/A,#N/A,TRUE,"Capex Summ";#N/A,#N/A,TRUE,"Essential Works.tw";#N/A,#N/A,TRUE,"Desirable Works.tw";#N/A,#N/A,TRUE,"Essential Works.rt";#N/A,#N/A,TRUE,"Desirable Works.rt";#N/A,#N/A,TRUE,"Mthly";#N/A,#N/A,TRUE,"Essential Works.ht";#N/A,#N/A,TRUE,"Desirable Works.ht";#N/A,#N/A,TRUE,"Incentives"}</definedName>
    <definedName name="DFL" localSheetId="12" hidden="1">{#N/A,#N/A,TRUE,"Capex Summ";#N/A,#N/A,TRUE,"Essential Works.tw";#N/A,#N/A,TRUE,"Desirable Works.tw";#N/A,#N/A,TRUE,"Essential Works.rt";#N/A,#N/A,TRUE,"Desirable Works.rt";#N/A,#N/A,TRUE,"Mthly";#N/A,#N/A,TRUE,"Essential Works.ht";#N/A,#N/A,TRUE,"Desirable Works.ht";#N/A,#N/A,TRUE,"Incentives"}</definedName>
    <definedName name="DFL" localSheetId="14" hidden="1">{#N/A,#N/A,TRUE,"Capex Summ";#N/A,#N/A,TRUE,"Essential Works.tw";#N/A,#N/A,TRUE,"Desirable Works.tw";#N/A,#N/A,TRUE,"Essential Works.rt";#N/A,#N/A,TRUE,"Desirable Works.rt";#N/A,#N/A,TRUE,"Mthly";#N/A,#N/A,TRUE,"Essential Works.ht";#N/A,#N/A,TRUE,"Desirable Works.ht";#N/A,#N/A,TRUE,"Incentives"}</definedName>
    <definedName name="DFL" localSheetId="16" hidden="1">{#N/A,#N/A,TRUE,"Capex Summ";#N/A,#N/A,TRUE,"Essential Works.tw";#N/A,#N/A,TRUE,"Desirable Works.tw";#N/A,#N/A,TRUE,"Essential Works.rt";#N/A,#N/A,TRUE,"Desirable Works.rt";#N/A,#N/A,TRUE,"Mthly";#N/A,#N/A,TRUE,"Essential Works.ht";#N/A,#N/A,TRUE,"Desirable Works.ht";#N/A,#N/A,TRUE,"Incentives"}</definedName>
    <definedName name="DFL" localSheetId="22" hidden="1">{#N/A,#N/A,TRUE,"Capex Summ";#N/A,#N/A,TRUE,"Essential Works.tw";#N/A,#N/A,TRUE,"Desirable Works.tw";#N/A,#N/A,TRUE,"Essential Works.rt";#N/A,#N/A,TRUE,"Desirable Works.rt";#N/A,#N/A,TRUE,"Mthly";#N/A,#N/A,TRUE,"Essential Works.ht";#N/A,#N/A,TRUE,"Desirable Works.ht";#N/A,#N/A,TRUE,"Incentives"}</definedName>
    <definedName name="DFL" localSheetId="40" hidden="1">{#N/A,#N/A,TRUE,"Capex Summ";#N/A,#N/A,TRUE,"Essential Works.tw";#N/A,#N/A,TRUE,"Desirable Works.tw";#N/A,#N/A,TRUE,"Essential Works.rt";#N/A,#N/A,TRUE,"Desirable Works.rt";#N/A,#N/A,TRUE,"Mthly";#N/A,#N/A,TRUE,"Essential Works.ht";#N/A,#N/A,TRUE,"Desirable Works.ht";#N/A,#N/A,TRUE,"Incentives"}</definedName>
    <definedName name="DFL" localSheetId="24" hidden="1">{#N/A,#N/A,TRUE,"Capex Summ";#N/A,#N/A,TRUE,"Essential Works.tw";#N/A,#N/A,TRUE,"Desirable Works.tw";#N/A,#N/A,TRUE,"Essential Works.rt";#N/A,#N/A,TRUE,"Desirable Works.rt";#N/A,#N/A,TRUE,"Mthly";#N/A,#N/A,TRUE,"Essential Works.ht";#N/A,#N/A,TRUE,"Desirable Works.ht";#N/A,#N/A,TRUE,"Incentives"}</definedName>
    <definedName name="DFL" localSheetId="26" hidden="1">{#N/A,#N/A,TRUE,"Capex Summ";#N/A,#N/A,TRUE,"Essential Works.tw";#N/A,#N/A,TRUE,"Desirable Works.tw";#N/A,#N/A,TRUE,"Essential Works.rt";#N/A,#N/A,TRUE,"Desirable Works.rt";#N/A,#N/A,TRUE,"Mthly";#N/A,#N/A,TRUE,"Essential Works.ht";#N/A,#N/A,TRUE,"Desirable Works.ht";#N/A,#N/A,TRUE,"Incentives"}</definedName>
    <definedName name="DFL" localSheetId="28" hidden="1">{#N/A,#N/A,TRUE,"Capex Summ";#N/A,#N/A,TRUE,"Essential Works.tw";#N/A,#N/A,TRUE,"Desirable Works.tw";#N/A,#N/A,TRUE,"Essential Works.rt";#N/A,#N/A,TRUE,"Desirable Works.rt";#N/A,#N/A,TRUE,"Mthly";#N/A,#N/A,TRUE,"Essential Works.ht";#N/A,#N/A,TRUE,"Desirable Works.ht";#N/A,#N/A,TRUE,"Incentives"}</definedName>
    <definedName name="DFL" localSheetId="30" hidden="1">{#N/A,#N/A,TRUE,"Capex Summ";#N/A,#N/A,TRUE,"Essential Works.tw";#N/A,#N/A,TRUE,"Desirable Works.tw";#N/A,#N/A,TRUE,"Essential Works.rt";#N/A,#N/A,TRUE,"Desirable Works.rt";#N/A,#N/A,TRUE,"Mthly";#N/A,#N/A,TRUE,"Essential Works.ht";#N/A,#N/A,TRUE,"Desirable Works.ht";#N/A,#N/A,TRUE,"Incentives"}</definedName>
    <definedName name="DFL" localSheetId="32" hidden="1">{#N/A,#N/A,TRUE,"Capex Summ";#N/A,#N/A,TRUE,"Essential Works.tw";#N/A,#N/A,TRUE,"Desirable Works.tw";#N/A,#N/A,TRUE,"Essential Works.rt";#N/A,#N/A,TRUE,"Desirable Works.rt";#N/A,#N/A,TRUE,"Mthly";#N/A,#N/A,TRUE,"Essential Works.ht";#N/A,#N/A,TRUE,"Desirable Works.ht";#N/A,#N/A,TRUE,"Incentives"}</definedName>
    <definedName name="DFL" localSheetId="34" hidden="1">{#N/A,#N/A,TRUE,"Capex Summ";#N/A,#N/A,TRUE,"Essential Works.tw";#N/A,#N/A,TRUE,"Desirable Works.tw";#N/A,#N/A,TRUE,"Essential Works.rt";#N/A,#N/A,TRUE,"Desirable Works.rt";#N/A,#N/A,TRUE,"Mthly";#N/A,#N/A,TRUE,"Essential Works.ht";#N/A,#N/A,TRUE,"Desirable Works.ht";#N/A,#N/A,TRUE,"Incentives"}</definedName>
    <definedName name="DFL" localSheetId="36" hidden="1">{#N/A,#N/A,TRUE,"Capex Summ";#N/A,#N/A,TRUE,"Essential Works.tw";#N/A,#N/A,TRUE,"Desirable Works.tw";#N/A,#N/A,TRUE,"Essential Works.rt";#N/A,#N/A,TRUE,"Desirable Works.rt";#N/A,#N/A,TRUE,"Mthly";#N/A,#N/A,TRUE,"Essential Works.ht";#N/A,#N/A,TRUE,"Desirable Works.ht";#N/A,#N/A,TRUE,"Incentives"}</definedName>
    <definedName name="DFL" localSheetId="38" hidden="1">{#N/A,#N/A,TRUE,"Capex Summ";#N/A,#N/A,TRUE,"Essential Works.tw";#N/A,#N/A,TRUE,"Desirable Works.tw";#N/A,#N/A,TRUE,"Essential Works.rt";#N/A,#N/A,TRUE,"Desirable Works.rt";#N/A,#N/A,TRUE,"Mthly";#N/A,#N/A,TRUE,"Essential Works.ht";#N/A,#N/A,TRUE,"Desirable Works.ht";#N/A,#N/A,TRUE,"Incentives"}</definedName>
    <definedName name="DFL" hidden="1">{#N/A,#N/A,TRUE,"Capex Summ";#N/A,#N/A,TRUE,"Essential Works.tw";#N/A,#N/A,TRUE,"Desirable Works.tw";#N/A,#N/A,TRUE,"Essential Works.rt";#N/A,#N/A,TRUE,"Desirable Works.rt";#N/A,#N/A,TRUE,"Mthly";#N/A,#N/A,TRUE,"Essential Works.ht";#N/A,#N/A,TRUE,"Desirable Works.ht";#N/A,#N/A,TRUE,"Incentives"}</definedName>
    <definedName name="DIAdvCount">#REF!</definedName>
    <definedName name="DIAdvFixedFee">#REF!</definedName>
    <definedName name="DIAdvMRR">#REF!</definedName>
    <definedName name="DIAdvVarSpend">#REF!</definedName>
    <definedName name="DIBaseCount">#REF!</definedName>
    <definedName name="DIBaseMRR">#REF!</definedName>
    <definedName name="DICoreCount">#REF!</definedName>
    <definedName name="DICoreMRR">#REF!</definedName>
    <definedName name="DICRMCount">#REF!</definedName>
    <definedName name="DICRMMRR">#REF!</definedName>
    <definedName name="DICustomerCount">#REF!</definedName>
    <definedName name="DIMRR">#REF!</definedName>
    <definedName name="DIOtherMRR">#REF!</definedName>
    <definedName name="Direct_v_Channel">#REF!</definedName>
    <definedName name="DIRooftopCount">#REF!</definedName>
    <definedName name="Discount" hidden="1">#REF!</definedName>
    <definedName name="DISEOCount">#REF!</definedName>
    <definedName name="DISEOMRR">#REF!</definedName>
    <definedName name="DISocialCount">#REF!</definedName>
    <definedName name="DISocialMRR">#REF!</definedName>
    <definedName name="display_area_2" hidden="1">#REF!</definedName>
    <definedName name="dklnc" localSheetId="3" hidden="1">{#N/A,#N/A,TRUE,"Main Issues";#N/A,#N/A,TRUE,"Income statement ($)"}</definedName>
    <definedName name="dklnc" localSheetId="5" hidden="1">{#N/A,#N/A,TRUE,"Main Issues";#N/A,#N/A,TRUE,"Income statement ($)"}</definedName>
    <definedName name="dklnc" localSheetId="8" hidden="1">{#N/A,#N/A,TRUE,"Main Issues";#N/A,#N/A,TRUE,"Income statement ($)"}</definedName>
    <definedName name="dklnc" localSheetId="10" hidden="1">{#N/A,#N/A,TRUE,"Main Issues";#N/A,#N/A,TRUE,"Income statement ($)"}</definedName>
    <definedName name="dklnc" localSheetId="12" hidden="1">{#N/A,#N/A,TRUE,"Main Issues";#N/A,#N/A,TRUE,"Income statement ($)"}</definedName>
    <definedName name="dklnc" localSheetId="14" hidden="1">{#N/A,#N/A,TRUE,"Main Issues";#N/A,#N/A,TRUE,"Income statement ($)"}</definedName>
    <definedName name="dklnc" localSheetId="16" hidden="1">{#N/A,#N/A,TRUE,"Main Issues";#N/A,#N/A,TRUE,"Income statement ($)"}</definedName>
    <definedName name="dklnc" localSheetId="22" hidden="1">{#N/A,#N/A,TRUE,"Main Issues";#N/A,#N/A,TRUE,"Income statement ($)"}</definedName>
    <definedName name="dklnc" localSheetId="24" hidden="1">{#N/A,#N/A,TRUE,"Main Issues";#N/A,#N/A,TRUE,"Income statement ($)"}</definedName>
    <definedName name="dklnc" localSheetId="26" hidden="1">{#N/A,#N/A,TRUE,"Main Issues";#N/A,#N/A,TRUE,"Income statement ($)"}</definedName>
    <definedName name="dklnc" localSheetId="28" hidden="1">{#N/A,#N/A,TRUE,"Main Issues";#N/A,#N/A,TRUE,"Income statement ($)"}</definedName>
    <definedName name="dklnc" localSheetId="30" hidden="1">{#N/A,#N/A,TRUE,"Main Issues";#N/A,#N/A,TRUE,"Income statement ($)"}</definedName>
    <definedName name="dklnc" localSheetId="32" hidden="1">{#N/A,#N/A,TRUE,"Main Issues";#N/A,#N/A,TRUE,"Income statement ($)"}</definedName>
    <definedName name="dklnc" localSheetId="34" hidden="1">{#N/A,#N/A,TRUE,"Main Issues";#N/A,#N/A,TRUE,"Income statement ($)"}</definedName>
    <definedName name="dklnc" localSheetId="36" hidden="1">{#N/A,#N/A,TRUE,"Main Issues";#N/A,#N/A,TRUE,"Income statement ($)"}</definedName>
    <definedName name="dklnc" localSheetId="38" hidden="1">{#N/A,#N/A,TRUE,"Main Issues";#N/A,#N/A,TRUE,"Income statement ($)"}</definedName>
    <definedName name="dklnc" hidden="1">{#N/A,#N/A,TRUE,"Main Issues";#N/A,#N/A,TRUE,"Income statement ($)"}</definedName>
    <definedName name="dn" localSheetId="3" hidden="1">{#N/A,#N/A,TRUE,"Main Issues";#N/A,#N/A,TRUE,"Income statement ($)"}</definedName>
    <definedName name="dn" localSheetId="5" hidden="1">{#N/A,#N/A,TRUE,"Main Issues";#N/A,#N/A,TRUE,"Income statement ($)"}</definedName>
    <definedName name="dn" localSheetId="8" hidden="1">{#N/A,#N/A,TRUE,"Main Issues";#N/A,#N/A,TRUE,"Income statement ($)"}</definedName>
    <definedName name="dn" localSheetId="10" hidden="1">{#N/A,#N/A,TRUE,"Main Issues";#N/A,#N/A,TRUE,"Income statement ($)"}</definedName>
    <definedName name="dn" localSheetId="12" hidden="1">{#N/A,#N/A,TRUE,"Main Issues";#N/A,#N/A,TRUE,"Income statement ($)"}</definedName>
    <definedName name="dn" localSheetId="14" hidden="1">{#N/A,#N/A,TRUE,"Main Issues";#N/A,#N/A,TRUE,"Income statement ($)"}</definedName>
    <definedName name="dn" localSheetId="16" hidden="1">{#N/A,#N/A,TRUE,"Main Issues";#N/A,#N/A,TRUE,"Income statement ($)"}</definedName>
    <definedName name="dn" localSheetId="22" hidden="1">{#N/A,#N/A,TRUE,"Main Issues";#N/A,#N/A,TRUE,"Income statement ($)"}</definedName>
    <definedName name="dn" localSheetId="24" hidden="1">{#N/A,#N/A,TRUE,"Main Issues";#N/A,#N/A,TRUE,"Income statement ($)"}</definedName>
    <definedName name="dn" localSheetId="26" hidden="1">{#N/A,#N/A,TRUE,"Main Issues";#N/A,#N/A,TRUE,"Income statement ($)"}</definedName>
    <definedName name="dn" localSheetId="28" hidden="1">{#N/A,#N/A,TRUE,"Main Issues";#N/A,#N/A,TRUE,"Income statement ($)"}</definedName>
    <definedName name="dn" localSheetId="30" hidden="1">{#N/A,#N/A,TRUE,"Main Issues";#N/A,#N/A,TRUE,"Income statement ($)"}</definedName>
    <definedName name="dn" localSheetId="32" hidden="1">{#N/A,#N/A,TRUE,"Main Issues";#N/A,#N/A,TRUE,"Income statement ($)"}</definedName>
    <definedName name="dn" localSheetId="34" hidden="1">{#N/A,#N/A,TRUE,"Main Issues";#N/A,#N/A,TRUE,"Income statement ($)"}</definedName>
    <definedName name="dn" localSheetId="36" hidden="1">{#N/A,#N/A,TRUE,"Main Issues";#N/A,#N/A,TRUE,"Income statement ($)"}</definedName>
    <definedName name="dn" localSheetId="38" hidden="1">{#N/A,#N/A,TRUE,"Main Issues";#N/A,#N/A,TRUE,"Income statement ($)"}</definedName>
    <definedName name="dn" hidden="1">{#N/A,#N/A,TRUE,"Main Issues";#N/A,#N/A,TRUE,"Income statement ($)"}</definedName>
    <definedName name="DoneThreshold">#REF!</definedName>
    <definedName name="DPFLSDPFL" localSheetId="3"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5"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8"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1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1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14"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16"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2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4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24"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26"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28"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3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3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34"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36"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38"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sfkljsd" localSheetId="3" hidden="1">{#N/A,#N/A,TRUE,"Capex Summ";#N/A,#N/A,TRUE,"Essential Works.tw";#N/A,#N/A,TRUE,"Desirable Works.tw";#N/A,#N/A,TRUE,"Essential Works.rt";#N/A,#N/A,TRUE,"Desirable Works.rt";#N/A,#N/A,TRUE,"Mthly";#N/A,#N/A,TRUE,"Essential Works.ht";#N/A,#N/A,TRUE,"Desirable Works.ht";#N/A,#N/A,TRUE,"Incentives"}</definedName>
    <definedName name="dsfkljsd" localSheetId="5" hidden="1">{#N/A,#N/A,TRUE,"Capex Summ";#N/A,#N/A,TRUE,"Essential Works.tw";#N/A,#N/A,TRUE,"Desirable Works.tw";#N/A,#N/A,TRUE,"Essential Works.rt";#N/A,#N/A,TRUE,"Desirable Works.rt";#N/A,#N/A,TRUE,"Mthly";#N/A,#N/A,TRUE,"Essential Works.ht";#N/A,#N/A,TRUE,"Desirable Works.ht";#N/A,#N/A,TRUE,"Incentives"}</definedName>
    <definedName name="dsfkljsd" localSheetId="8" hidden="1">{#N/A,#N/A,TRUE,"Capex Summ";#N/A,#N/A,TRUE,"Essential Works.tw";#N/A,#N/A,TRUE,"Desirable Works.tw";#N/A,#N/A,TRUE,"Essential Works.rt";#N/A,#N/A,TRUE,"Desirable Works.rt";#N/A,#N/A,TRUE,"Mthly";#N/A,#N/A,TRUE,"Essential Works.ht";#N/A,#N/A,TRUE,"Desirable Works.ht";#N/A,#N/A,TRUE,"Incentives"}</definedName>
    <definedName name="dsfkljsd" localSheetId="10" hidden="1">{#N/A,#N/A,TRUE,"Capex Summ";#N/A,#N/A,TRUE,"Essential Works.tw";#N/A,#N/A,TRUE,"Desirable Works.tw";#N/A,#N/A,TRUE,"Essential Works.rt";#N/A,#N/A,TRUE,"Desirable Works.rt";#N/A,#N/A,TRUE,"Mthly";#N/A,#N/A,TRUE,"Essential Works.ht";#N/A,#N/A,TRUE,"Desirable Works.ht";#N/A,#N/A,TRUE,"Incentives"}</definedName>
    <definedName name="dsfkljsd" localSheetId="12" hidden="1">{#N/A,#N/A,TRUE,"Capex Summ";#N/A,#N/A,TRUE,"Essential Works.tw";#N/A,#N/A,TRUE,"Desirable Works.tw";#N/A,#N/A,TRUE,"Essential Works.rt";#N/A,#N/A,TRUE,"Desirable Works.rt";#N/A,#N/A,TRUE,"Mthly";#N/A,#N/A,TRUE,"Essential Works.ht";#N/A,#N/A,TRUE,"Desirable Works.ht";#N/A,#N/A,TRUE,"Incentives"}</definedName>
    <definedName name="dsfkljsd" localSheetId="14" hidden="1">{#N/A,#N/A,TRUE,"Capex Summ";#N/A,#N/A,TRUE,"Essential Works.tw";#N/A,#N/A,TRUE,"Desirable Works.tw";#N/A,#N/A,TRUE,"Essential Works.rt";#N/A,#N/A,TRUE,"Desirable Works.rt";#N/A,#N/A,TRUE,"Mthly";#N/A,#N/A,TRUE,"Essential Works.ht";#N/A,#N/A,TRUE,"Desirable Works.ht";#N/A,#N/A,TRUE,"Incentives"}</definedName>
    <definedName name="dsfkljsd" localSheetId="16" hidden="1">{#N/A,#N/A,TRUE,"Capex Summ";#N/A,#N/A,TRUE,"Essential Works.tw";#N/A,#N/A,TRUE,"Desirable Works.tw";#N/A,#N/A,TRUE,"Essential Works.rt";#N/A,#N/A,TRUE,"Desirable Works.rt";#N/A,#N/A,TRUE,"Mthly";#N/A,#N/A,TRUE,"Essential Works.ht";#N/A,#N/A,TRUE,"Desirable Works.ht";#N/A,#N/A,TRUE,"Incentives"}</definedName>
    <definedName name="dsfkljsd" localSheetId="22" hidden="1">{#N/A,#N/A,TRUE,"Capex Summ";#N/A,#N/A,TRUE,"Essential Works.tw";#N/A,#N/A,TRUE,"Desirable Works.tw";#N/A,#N/A,TRUE,"Essential Works.rt";#N/A,#N/A,TRUE,"Desirable Works.rt";#N/A,#N/A,TRUE,"Mthly";#N/A,#N/A,TRUE,"Essential Works.ht";#N/A,#N/A,TRUE,"Desirable Works.ht";#N/A,#N/A,TRUE,"Incentives"}</definedName>
    <definedName name="dsfkljsd" localSheetId="40" hidden="1">{#N/A,#N/A,TRUE,"Capex Summ";#N/A,#N/A,TRUE,"Essential Works.tw";#N/A,#N/A,TRUE,"Desirable Works.tw";#N/A,#N/A,TRUE,"Essential Works.rt";#N/A,#N/A,TRUE,"Desirable Works.rt";#N/A,#N/A,TRUE,"Mthly";#N/A,#N/A,TRUE,"Essential Works.ht";#N/A,#N/A,TRUE,"Desirable Works.ht";#N/A,#N/A,TRUE,"Incentives"}</definedName>
    <definedName name="dsfkljsd" localSheetId="24" hidden="1">{#N/A,#N/A,TRUE,"Capex Summ";#N/A,#N/A,TRUE,"Essential Works.tw";#N/A,#N/A,TRUE,"Desirable Works.tw";#N/A,#N/A,TRUE,"Essential Works.rt";#N/A,#N/A,TRUE,"Desirable Works.rt";#N/A,#N/A,TRUE,"Mthly";#N/A,#N/A,TRUE,"Essential Works.ht";#N/A,#N/A,TRUE,"Desirable Works.ht";#N/A,#N/A,TRUE,"Incentives"}</definedName>
    <definedName name="dsfkljsd" localSheetId="26" hidden="1">{#N/A,#N/A,TRUE,"Capex Summ";#N/A,#N/A,TRUE,"Essential Works.tw";#N/A,#N/A,TRUE,"Desirable Works.tw";#N/A,#N/A,TRUE,"Essential Works.rt";#N/A,#N/A,TRUE,"Desirable Works.rt";#N/A,#N/A,TRUE,"Mthly";#N/A,#N/A,TRUE,"Essential Works.ht";#N/A,#N/A,TRUE,"Desirable Works.ht";#N/A,#N/A,TRUE,"Incentives"}</definedName>
    <definedName name="dsfkljsd" localSheetId="28" hidden="1">{#N/A,#N/A,TRUE,"Capex Summ";#N/A,#N/A,TRUE,"Essential Works.tw";#N/A,#N/A,TRUE,"Desirable Works.tw";#N/A,#N/A,TRUE,"Essential Works.rt";#N/A,#N/A,TRUE,"Desirable Works.rt";#N/A,#N/A,TRUE,"Mthly";#N/A,#N/A,TRUE,"Essential Works.ht";#N/A,#N/A,TRUE,"Desirable Works.ht";#N/A,#N/A,TRUE,"Incentives"}</definedName>
    <definedName name="dsfkljsd" localSheetId="30" hidden="1">{#N/A,#N/A,TRUE,"Capex Summ";#N/A,#N/A,TRUE,"Essential Works.tw";#N/A,#N/A,TRUE,"Desirable Works.tw";#N/A,#N/A,TRUE,"Essential Works.rt";#N/A,#N/A,TRUE,"Desirable Works.rt";#N/A,#N/A,TRUE,"Mthly";#N/A,#N/A,TRUE,"Essential Works.ht";#N/A,#N/A,TRUE,"Desirable Works.ht";#N/A,#N/A,TRUE,"Incentives"}</definedName>
    <definedName name="dsfkljsd" localSheetId="32" hidden="1">{#N/A,#N/A,TRUE,"Capex Summ";#N/A,#N/A,TRUE,"Essential Works.tw";#N/A,#N/A,TRUE,"Desirable Works.tw";#N/A,#N/A,TRUE,"Essential Works.rt";#N/A,#N/A,TRUE,"Desirable Works.rt";#N/A,#N/A,TRUE,"Mthly";#N/A,#N/A,TRUE,"Essential Works.ht";#N/A,#N/A,TRUE,"Desirable Works.ht";#N/A,#N/A,TRUE,"Incentives"}</definedName>
    <definedName name="dsfkljsd" localSheetId="34" hidden="1">{#N/A,#N/A,TRUE,"Capex Summ";#N/A,#N/A,TRUE,"Essential Works.tw";#N/A,#N/A,TRUE,"Desirable Works.tw";#N/A,#N/A,TRUE,"Essential Works.rt";#N/A,#N/A,TRUE,"Desirable Works.rt";#N/A,#N/A,TRUE,"Mthly";#N/A,#N/A,TRUE,"Essential Works.ht";#N/A,#N/A,TRUE,"Desirable Works.ht";#N/A,#N/A,TRUE,"Incentives"}</definedName>
    <definedName name="dsfkljsd" localSheetId="36" hidden="1">{#N/A,#N/A,TRUE,"Capex Summ";#N/A,#N/A,TRUE,"Essential Works.tw";#N/A,#N/A,TRUE,"Desirable Works.tw";#N/A,#N/A,TRUE,"Essential Works.rt";#N/A,#N/A,TRUE,"Desirable Works.rt";#N/A,#N/A,TRUE,"Mthly";#N/A,#N/A,TRUE,"Essential Works.ht";#N/A,#N/A,TRUE,"Desirable Works.ht";#N/A,#N/A,TRUE,"Incentives"}</definedName>
    <definedName name="dsfkljsd" localSheetId="38" hidden="1">{#N/A,#N/A,TRUE,"Capex Summ";#N/A,#N/A,TRUE,"Essential Works.tw";#N/A,#N/A,TRUE,"Desirable Works.tw";#N/A,#N/A,TRUE,"Essential Works.rt";#N/A,#N/A,TRUE,"Desirable Works.rt";#N/A,#N/A,TRUE,"Mthly";#N/A,#N/A,TRUE,"Essential Works.ht";#N/A,#N/A,TRUE,"Desirable Works.ht";#N/A,#N/A,TRUE,"Incentives"}</definedName>
    <definedName name="dsfkljsd" hidden="1">{#N/A,#N/A,TRUE,"Capex Summ";#N/A,#N/A,TRUE,"Essential Works.tw";#N/A,#N/A,TRUE,"Desirable Works.tw";#N/A,#N/A,TRUE,"Essential Works.rt";#N/A,#N/A,TRUE,"Desirable Works.rt";#N/A,#N/A,TRUE,"Mthly";#N/A,#N/A,TRUE,"Essential Works.ht";#N/A,#N/A,TRUE,"Desirable Works.ht";#N/A,#N/A,TRUE,"Incentives"}</definedName>
    <definedName name="dsgsdgsd" localSheetId="3" hidden="1">{#N/A,#N/A,FALSE,"5YRASSPl - consol'd";#N/A,#N/A,FALSE,"5YRASSPl - hotel";#N/A,#N/A,FALSE,"5YRASSPl - excl htl";#N/A,#N/A,FALSE,"VarReport";#N/A,#N/A,FALSE,"Sensitivity";#N/A,#N/A,FALSE,"House View ";#N/A,#N/A,FALSE,"KPI"}</definedName>
    <definedName name="dsgsdgsd" localSheetId="5" hidden="1">{#N/A,#N/A,FALSE,"5YRASSPl - consol'd";#N/A,#N/A,FALSE,"5YRASSPl - hotel";#N/A,#N/A,FALSE,"5YRASSPl - excl htl";#N/A,#N/A,FALSE,"VarReport";#N/A,#N/A,FALSE,"Sensitivity";#N/A,#N/A,FALSE,"House View ";#N/A,#N/A,FALSE,"KPI"}</definedName>
    <definedName name="dsgsdgsd" localSheetId="8" hidden="1">{#N/A,#N/A,FALSE,"5YRASSPl - consol'd";#N/A,#N/A,FALSE,"5YRASSPl - hotel";#N/A,#N/A,FALSE,"5YRASSPl - excl htl";#N/A,#N/A,FALSE,"VarReport";#N/A,#N/A,FALSE,"Sensitivity";#N/A,#N/A,FALSE,"House View ";#N/A,#N/A,FALSE,"KPI"}</definedName>
    <definedName name="dsgsdgsd" localSheetId="10" hidden="1">{#N/A,#N/A,FALSE,"5YRASSPl - consol'd";#N/A,#N/A,FALSE,"5YRASSPl - hotel";#N/A,#N/A,FALSE,"5YRASSPl - excl htl";#N/A,#N/A,FALSE,"VarReport";#N/A,#N/A,FALSE,"Sensitivity";#N/A,#N/A,FALSE,"House View ";#N/A,#N/A,FALSE,"KPI"}</definedName>
    <definedName name="dsgsdgsd" localSheetId="12" hidden="1">{#N/A,#N/A,FALSE,"5YRASSPl - consol'd";#N/A,#N/A,FALSE,"5YRASSPl - hotel";#N/A,#N/A,FALSE,"5YRASSPl - excl htl";#N/A,#N/A,FALSE,"VarReport";#N/A,#N/A,FALSE,"Sensitivity";#N/A,#N/A,FALSE,"House View ";#N/A,#N/A,FALSE,"KPI"}</definedName>
    <definedName name="dsgsdgsd" localSheetId="14" hidden="1">{#N/A,#N/A,FALSE,"5YRASSPl - consol'd";#N/A,#N/A,FALSE,"5YRASSPl - hotel";#N/A,#N/A,FALSE,"5YRASSPl - excl htl";#N/A,#N/A,FALSE,"VarReport";#N/A,#N/A,FALSE,"Sensitivity";#N/A,#N/A,FALSE,"House View ";#N/A,#N/A,FALSE,"KPI"}</definedName>
    <definedName name="dsgsdgsd" localSheetId="16" hidden="1">{#N/A,#N/A,FALSE,"5YRASSPl - consol'd";#N/A,#N/A,FALSE,"5YRASSPl - hotel";#N/A,#N/A,FALSE,"5YRASSPl - excl htl";#N/A,#N/A,FALSE,"VarReport";#N/A,#N/A,FALSE,"Sensitivity";#N/A,#N/A,FALSE,"House View ";#N/A,#N/A,FALSE,"KPI"}</definedName>
    <definedName name="dsgsdgsd" localSheetId="22" hidden="1">{#N/A,#N/A,FALSE,"5YRASSPl - consol'd";#N/A,#N/A,FALSE,"5YRASSPl - hotel";#N/A,#N/A,FALSE,"5YRASSPl - excl htl";#N/A,#N/A,FALSE,"VarReport";#N/A,#N/A,FALSE,"Sensitivity";#N/A,#N/A,FALSE,"House View ";#N/A,#N/A,FALSE,"KPI"}</definedName>
    <definedName name="dsgsdgsd" localSheetId="40" hidden="1">{#N/A,#N/A,FALSE,"5YRASSPl - consol'd";#N/A,#N/A,FALSE,"5YRASSPl - hotel";#N/A,#N/A,FALSE,"5YRASSPl - excl htl";#N/A,#N/A,FALSE,"VarReport";#N/A,#N/A,FALSE,"Sensitivity";#N/A,#N/A,FALSE,"House View ";#N/A,#N/A,FALSE,"KPI"}</definedName>
    <definedName name="dsgsdgsd" localSheetId="24" hidden="1">{#N/A,#N/A,FALSE,"5YRASSPl - consol'd";#N/A,#N/A,FALSE,"5YRASSPl - hotel";#N/A,#N/A,FALSE,"5YRASSPl - excl htl";#N/A,#N/A,FALSE,"VarReport";#N/A,#N/A,FALSE,"Sensitivity";#N/A,#N/A,FALSE,"House View ";#N/A,#N/A,FALSE,"KPI"}</definedName>
    <definedName name="dsgsdgsd" localSheetId="26" hidden="1">{#N/A,#N/A,FALSE,"5YRASSPl - consol'd";#N/A,#N/A,FALSE,"5YRASSPl - hotel";#N/A,#N/A,FALSE,"5YRASSPl - excl htl";#N/A,#N/A,FALSE,"VarReport";#N/A,#N/A,FALSE,"Sensitivity";#N/A,#N/A,FALSE,"House View ";#N/A,#N/A,FALSE,"KPI"}</definedName>
    <definedName name="dsgsdgsd" localSheetId="28" hidden="1">{#N/A,#N/A,FALSE,"5YRASSPl - consol'd";#N/A,#N/A,FALSE,"5YRASSPl - hotel";#N/A,#N/A,FALSE,"5YRASSPl - excl htl";#N/A,#N/A,FALSE,"VarReport";#N/A,#N/A,FALSE,"Sensitivity";#N/A,#N/A,FALSE,"House View ";#N/A,#N/A,FALSE,"KPI"}</definedName>
    <definedName name="dsgsdgsd" localSheetId="30" hidden="1">{#N/A,#N/A,FALSE,"5YRASSPl - consol'd";#N/A,#N/A,FALSE,"5YRASSPl - hotel";#N/A,#N/A,FALSE,"5YRASSPl - excl htl";#N/A,#N/A,FALSE,"VarReport";#N/A,#N/A,FALSE,"Sensitivity";#N/A,#N/A,FALSE,"House View ";#N/A,#N/A,FALSE,"KPI"}</definedName>
    <definedName name="dsgsdgsd" localSheetId="32" hidden="1">{#N/A,#N/A,FALSE,"5YRASSPl - consol'd";#N/A,#N/A,FALSE,"5YRASSPl - hotel";#N/A,#N/A,FALSE,"5YRASSPl - excl htl";#N/A,#N/A,FALSE,"VarReport";#N/A,#N/A,FALSE,"Sensitivity";#N/A,#N/A,FALSE,"House View ";#N/A,#N/A,FALSE,"KPI"}</definedName>
    <definedName name="dsgsdgsd" localSheetId="34" hidden="1">{#N/A,#N/A,FALSE,"5YRASSPl - consol'd";#N/A,#N/A,FALSE,"5YRASSPl - hotel";#N/A,#N/A,FALSE,"5YRASSPl - excl htl";#N/A,#N/A,FALSE,"VarReport";#N/A,#N/A,FALSE,"Sensitivity";#N/A,#N/A,FALSE,"House View ";#N/A,#N/A,FALSE,"KPI"}</definedName>
    <definedName name="dsgsdgsd" localSheetId="36" hidden="1">{#N/A,#N/A,FALSE,"5YRASSPl - consol'd";#N/A,#N/A,FALSE,"5YRASSPl - hotel";#N/A,#N/A,FALSE,"5YRASSPl - excl htl";#N/A,#N/A,FALSE,"VarReport";#N/A,#N/A,FALSE,"Sensitivity";#N/A,#N/A,FALSE,"House View ";#N/A,#N/A,FALSE,"KPI"}</definedName>
    <definedName name="dsgsdgsd" localSheetId="38" hidden="1">{#N/A,#N/A,FALSE,"5YRASSPl - consol'd";#N/A,#N/A,FALSE,"5YRASSPl - hotel";#N/A,#N/A,FALSE,"5YRASSPl - excl htl";#N/A,#N/A,FALSE,"VarReport";#N/A,#N/A,FALSE,"Sensitivity";#N/A,#N/A,FALSE,"House View ";#N/A,#N/A,FALSE,"KPI"}</definedName>
    <definedName name="dsgsdgsd" hidden="1">{#N/A,#N/A,FALSE,"5YRASSPl - consol'd";#N/A,#N/A,FALSE,"5YRASSPl - hotel";#N/A,#N/A,FALSE,"5YRASSPl - excl htl";#N/A,#N/A,FALSE,"VarReport";#N/A,#N/A,FALSE,"Sensitivity";#N/A,#N/A,FALSE,"House View ";#N/A,#N/A,FALSE,"KPI"}</definedName>
    <definedName name="dss" localSheetId="3" hidden="1">{#N/A,#N/A,FALSE,"MAIN";#N/A,#N/A,FALSE,"MK_ASS_B";#N/A,#N/A,FALSE,"MK_ASS_R";#N/A,#N/A,FALSE,"TR_ASS_B";#N/A,#N/A,FALSE,"TR_ASS_R";#N/A,#N/A,FALSE,"ROAMING";#N/A,#N/A,FALSE,"PR_ASS_B";#N/A,#N/A,FALSE,"PR_ASS_R";#N/A,#N/A,FALSE,"PR_ASS_S"}</definedName>
    <definedName name="dss" localSheetId="5" hidden="1">{#N/A,#N/A,FALSE,"MAIN";#N/A,#N/A,FALSE,"MK_ASS_B";#N/A,#N/A,FALSE,"MK_ASS_R";#N/A,#N/A,FALSE,"TR_ASS_B";#N/A,#N/A,FALSE,"TR_ASS_R";#N/A,#N/A,FALSE,"ROAMING";#N/A,#N/A,FALSE,"PR_ASS_B";#N/A,#N/A,FALSE,"PR_ASS_R";#N/A,#N/A,FALSE,"PR_ASS_S"}</definedName>
    <definedName name="dss" localSheetId="8" hidden="1">{#N/A,#N/A,FALSE,"MAIN";#N/A,#N/A,FALSE,"MK_ASS_B";#N/A,#N/A,FALSE,"MK_ASS_R";#N/A,#N/A,FALSE,"TR_ASS_B";#N/A,#N/A,FALSE,"TR_ASS_R";#N/A,#N/A,FALSE,"ROAMING";#N/A,#N/A,FALSE,"PR_ASS_B";#N/A,#N/A,FALSE,"PR_ASS_R";#N/A,#N/A,FALSE,"PR_ASS_S"}</definedName>
    <definedName name="dss" localSheetId="10" hidden="1">{#N/A,#N/A,FALSE,"MAIN";#N/A,#N/A,FALSE,"MK_ASS_B";#N/A,#N/A,FALSE,"MK_ASS_R";#N/A,#N/A,FALSE,"TR_ASS_B";#N/A,#N/A,FALSE,"TR_ASS_R";#N/A,#N/A,FALSE,"ROAMING";#N/A,#N/A,FALSE,"PR_ASS_B";#N/A,#N/A,FALSE,"PR_ASS_R";#N/A,#N/A,FALSE,"PR_ASS_S"}</definedName>
    <definedName name="dss" localSheetId="12" hidden="1">{#N/A,#N/A,FALSE,"MAIN";#N/A,#N/A,FALSE,"MK_ASS_B";#N/A,#N/A,FALSE,"MK_ASS_R";#N/A,#N/A,FALSE,"TR_ASS_B";#N/A,#N/A,FALSE,"TR_ASS_R";#N/A,#N/A,FALSE,"ROAMING";#N/A,#N/A,FALSE,"PR_ASS_B";#N/A,#N/A,FALSE,"PR_ASS_R";#N/A,#N/A,FALSE,"PR_ASS_S"}</definedName>
    <definedName name="dss" localSheetId="14" hidden="1">{#N/A,#N/A,FALSE,"MAIN";#N/A,#N/A,FALSE,"MK_ASS_B";#N/A,#N/A,FALSE,"MK_ASS_R";#N/A,#N/A,FALSE,"TR_ASS_B";#N/A,#N/A,FALSE,"TR_ASS_R";#N/A,#N/A,FALSE,"ROAMING";#N/A,#N/A,FALSE,"PR_ASS_B";#N/A,#N/A,FALSE,"PR_ASS_R";#N/A,#N/A,FALSE,"PR_ASS_S"}</definedName>
    <definedName name="dss" localSheetId="16" hidden="1">{#N/A,#N/A,FALSE,"MAIN";#N/A,#N/A,FALSE,"MK_ASS_B";#N/A,#N/A,FALSE,"MK_ASS_R";#N/A,#N/A,FALSE,"TR_ASS_B";#N/A,#N/A,FALSE,"TR_ASS_R";#N/A,#N/A,FALSE,"ROAMING";#N/A,#N/A,FALSE,"PR_ASS_B";#N/A,#N/A,FALSE,"PR_ASS_R";#N/A,#N/A,FALSE,"PR_ASS_S"}</definedName>
    <definedName name="dss" localSheetId="22" hidden="1">{#N/A,#N/A,FALSE,"MAIN";#N/A,#N/A,FALSE,"MK_ASS_B";#N/A,#N/A,FALSE,"MK_ASS_R";#N/A,#N/A,FALSE,"TR_ASS_B";#N/A,#N/A,FALSE,"TR_ASS_R";#N/A,#N/A,FALSE,"ROAMING";#N/A,#N/A,FALSE,"PR_ASS_B";#N/A,#N/A,FALSE,"PR_ASS_R";#N/A,#N/A,FALSE,"PR_ASS_S"}</definedName>
    <definedName name="dss" localSheetId="24" hidden="1">{#N/A,#N/A,FALSE,"MAIN";#N/A,#N/A,FALSE,"MK_ASS_B";#N/A,#N/A,FALSE,"MK_ASS_R";#N/A,#N/A,FALSE,"TR_ASS_B";#N/A,#N/A,FALSE,"TR_ASS_R";#N/A,#N/A,FALSE,"ROAMING";#N/A,#N/A,FALSE,"PR_ASS_B";#N/A,#N/A,FALSE,"PR_ASS_R";#N/A,#N/A,FALSE,"PR_ASS_S"}</definedName>
    <definedName name="dss" localSheetId="26" hidden="1">{#N/A,#N/A,FALSE,"MAIN";#N/A,#N/A,FALSE,"MK_ASS_B";#N/A,#N/A,FALSE,"MK_ASS_R";#N/A,#N/A,FALSE,"TR_ASS_B";#N/A,#N/A,FALSE,"TR_ASS_R";#N/A,#N/A,FALSE,"ROAMING";#N/A,#N/A,FALSE,"PR_ASS_B";#N/A,#N/A,FALSE,"PR_ASS_R";#N/A,#N/A,FALSE,"PR_ASS_S"}</definedName>
    <definedName name="dss" localSheetId="28" hidden="1">{#N/A,#N/A,FALSE,"MAIN";#N/A,#N/A,FALSE,"MK_ASS_B";#N/A,#N/A,FALSE,"MK_ASS_R";#N/A,#N/A,FALSE,"TR_ASS_B";#N/A,#N/A,FALSE,"TR_ASS_R";#N/A,#N/A,FALSE,"ROAMING";#N/A,#N/A,FALSE,"PR_ASS_B";#N/A,#N/A,FALSE,"PR_ASS_R";#N/A,#N/A,FALSE,"PR_ASS_S"}</definedName>
    <definedName name="dss" localSheetId="30" hidden="1">{#N/A,#N/A,FALSE,"MAIN";#N/A,#N/A,FALSE,"MK_ASS_B";#N/A,#N/A,FALSE,"MK_ASS_R";#N/A,#N/A,FALSE,"TR_ASS_B";#N/A,#N/A,FALSE,"TR_ASS_R";#N/A,#N/A,FALSE,"ROAMING";#N/A,#N/A,FALSE,"PR_ASS_B";#N/A,#N/A,FALSE,"PR_ASS_R";#N/A,#N/A,FALSE,"PR_ASS_S"}</definedName>
    <definedName name="dss" localSheetId="32" hidden="1">{#N/A,#N/A,FALSE,"MAIN";#N/A,#N/A,FALSE,"MK_ASS_B";#N/A,#N/A,FALSE,"MK_ASS_R";#N/A,#N/A,FALSE,"TR_ASS_B";#N/A,#N/A,FALSE,"TR_ASS_R";#N/A,#N/A,FALSE,"ROAMING";#N/A,#N/A,FALSE,"PR_ASS_B";#N/A,#N/A,FALSE,"PR_ASS_R";#N/A,#N/A,FALSE,"PR_ASS_S"}</definedName>
    <definedName name="dss" localSheetId="34" hidden="1">{#N/A,#N/A,FALSE,"MAIN";#N/A,#N/A,FALSE,"MK_ASS_B";#N/A,#N/A,FALSE,"MK_ASS_R";#N/A,#N/A,FALSE,"TR_ASS_B";#N/A,#N/A,FALSE,"TR_ASS_R";#N/A,#N/A,FALSE,"ROAMING";#N/A,#N/A,FALSE,"PR_ASS_B";#N/A,#N/A,FALSE,"PR_ASS_R";#N/A,#N/A,FALSE,"PR_ASS_S"}</definedName>
    <definedName name="dss" localSheetId="36" hidden="1">{#N/A,#N/A,FALSE,"MAIN";#N/A,#N/A,FALSE,"MK_ASS_B";#N/A,#N/A,FALSE,"MK_ASS_R";#N/A,#N/A,FALSE,"TR_ASS_B";#N/A,#N/A,FALSE,"TR_ASS_R";#N/A,#N/A,FALSE,"ROAMING";#N/A,#N/A,FALSE,"PR_ASS_B";#N/A,#N/A,FALSE,"PR_ASS_R";#N/A,#N/A,FALSE,"PR_ASS_S"}</definedName>
    <definedName name="dss" localSheetId="38" hidden="1">{#N/A,#N/A,FALSE,"MAIN";#N/A,#N/A,FALSE,"MK_ASS_B";#N/A,#N/A,FALSE,"MK_ASS_R";#N/A,#N/A,FALSE,"TR_ASS_B";#N/A,#N/A,FALSE,"TR_ASS_R";#N/A,#N/A,FALSE,"ROAMING";#N/A,#N/A,FALSE,"PR_ASS_B";#N/A,#N/A,FALSE,"PR_ASS_R";#N/A,#N/A,FALSE,"PR_ASS_S"}</definedName>
    <definedName name="dss" hidden="1">{#N/A,#N/A,FALSE,"MAIN";#N/A,#N/A,FALSE,"MK_ASS_B";#N/A,#N/A,FALSE,"MK_ASS_R";#N/A,#N/A,FALSE,"TR_ASS_B";#N/A,#N/A,FALSE,"TR_ASS_R";#N/A,#N/A,FALSE,"ROAMING";#N/A,#N/A,FALSE,"PR_ASS_B";#N/A,#N/A,FALSE,"PR_ASS_R";#N/A,#N/A,FALSE,"PR_ASS_S"}</definedName>
    <definedName name="DTEAR">#REF!</definedName>
    <definedName name="E">#REF!</definedName>
    <definedName name="eaf" localSheetId="3" hidden="1">{"AnnInc",#N/A,TRUE,"Inc";"QtrInc1",#N/A,TRUE,"Inc";"Balance",#N/A,TRUE,"Bal";"Cflow",#N/A,TRUE,"Cash"}</definedName>
    <definedName name="eaf" localSheetId="5" hidden="1">{"AnnInc",#N/A,TRUE,"Inc";"QtrInc1",#N/A,TRUE,"Inc";"Balance",#N/A,TRUE,"Bal";"Cflow",#N/A,TRUE,"Cash"}</definedName>
    <definedName name="eaf" localSheetId="8" hidden="1">{"AnnInc",#N/A,TRUE,"Inc";"QtrInc1",#N/A,TRUE,"Inc";"Balance",#N/A,TRUE,"Bal";"Cflow",#N/A,TRUE,"Cash"}</definedName>
    <definedName name="eaf" localSheetId="10" hidden="1">{"AnnInc",#N/A,TRUE,"Inc";"QtrInc1",#N/A,TRUE,"Inc";"Balance",#N/A,TRUE,"Bal";"Cflow",#N/A,TRUE,"Cash"}</definedName>
    <definedName name="eaf" localSheetId="12" hidden="1">{"AnnInc",#N/A,TRUE,"Inc";"QtrInc1",#N/A,TRUE,"Inc";"Balance",#N/A,TRUE,"Bal";"Cflow",#N/A,TRUE,"Cash"}</definedName>
    <definedName name="eaf" localSheetId="14" hidden="1">{"AnnInc",#N/A,TRUE,"Inc";"QtrInc1",#N/A,TRUE,"Inc";"Balance",#N/A,TRUE,"Bal";"Cflow",#N/A,TRUE,"Cash"}</definedName>
    <definedName name="eaf" localSheetId="16" hidden="1">{"AnnInc",#N/A,TRUE,"Inc";"QtrInc1",#N/A,TRUE,"Inc";"Balance",#N/A,TRUE,"Bal";"Cflow",#N/A,TRUE,"Cash"}</definedName>
    <definedName name="eaf" localSheetId="22" hidden="1">{"AnnInc",#N/A,TRUE,"Inc";"QtrInc1",#N/A,TRUE,"Inc";"Balance",#N/A,TRUE,"Bal";"Cflow",#N/A,TRUE,"Cash"}</definedName>
    <definedName name="eaf" localSheetId="24" hidden="1">{"AnnInc",#N/A,TRUE,"Inc";"QtrInc1",#N/A,TRUE,"Inc";"Balance",#N/A,TRUE,"Bal";"Cflow",#N/A,TRUE,"Cash"}</definedName>
    <definedName name="eaf" localSheetId="26" hidden="1">{"AnnInc",#N/A,TRUE,"Inc";"QtrInc1",#N/A,TRUE,"Inc";"Balance",#N/A,TRUE,"Bal";"Cflow",#N/A,TRUE,"Cash"}</definedName>
    <definedName name="eaf" localSheetId="28" hidden="1">{"AnnInc",#N/A,TRUE,"Inc";"QtrInc1",#N/A,TRUE,"Inc";"Balance",#N/A,TRUE,"Bal";"Cflow",#N/A,TRUE,"Cash"}</definedName>
    <definedName name="eaf" localSheetId="30" hidden="1">{"AnnInc",#N/A,TRUE,"Inc";"QtrInc1",#N/A,TRUE,"Inc";"Balance",#N/A,TRUE,"Bal";"Cflow",#N/A,TRUE,"Cash"}</definedName>
    <definedName name="eaf" localSheetId="32" hidden="1">{"AnnInc",#N/A,TRUE,"Inc";"QtrInc1",#N/A,TRUE,"Inc";"Balance",#N/A,TRUE,"Bal";"Cflow",#N/A,TRUE,"Cash"}</definedName>
    <definedName name="eaf" localSheetId="34" hidden="1">{"AnnInc",#N/A,TRUE,"Inc";"QtrInc1",#N/A,TRUE,"Inc";"Balance",#N/A,TRUE,"Bal";"Cflow",#N/A,TRUE,"Cash"}</definedName>
    <definedName name="eaf" localSheetId="36" hidden="1">{"AnnInc",#N/A,TRUE,"Inc";"QtrInc1",#N/A,TRUE,"Inc";"Balance",#N/A,TRUE,"Bal";"Cflow",#N/A,TRUE,"Cash"}</definedName>
    <definedName name="eaf" localSheetId="38" hidden="1">{"AnnInc",#N/A,TRUE,"Inc";"QtrInc1",#N/A,TRUE,"Inc";"Balance",#N/A,TRUE,"Bal";"Cflow",#N/A,TRUE,"Cash"}</definedName>
    <definedName name="eaf" hidden="1">{"AnnInc",#N/A,TRUE,"Inc";"QtrInc1",#N/A,TRUE,"Inc";"Balance",#N/A,TRUE,"Bal";"Cflow",#N/A,TRUE,"Cash"}</definedName>
    <definedName name="eas" localSheetId="3" hidden="1">{"NOPCAPEVA",#N/A,FALSE,"Nopat";"FCFCSTAR",#N/A,FALSE,"FCFVAL";"EVAVL",#N/A,FALSE,"EVAVAL";"LEASE",#N/A,FALSE,"OpLease"}</definedName>
    <definedName name="eas" localSheetId="5" hidden="1">{"NOPCAPEVA",#N/A,FALSE,"Nopat";"FCFCSTAR",#N/A,FALSE,"FCFVAL";"EVAVL",#N/A,FALSE,"EVAVAL";"LEASE",#N/A,FALSE,"OpLease"}</definedName>
    <definedName name="eas" localSheetId="8" hidden="1">{"NOPCAPEVA",#N/A,FALSE,"Nopat";"FCFCSTAR",#N/A,FALSE,"FCFVAL";"EVAVL",#N/A,FALSE,"EVAVAL";"LEASE",#N/A,FALSE,"OpLease"}</definedName>
    <definedName name="eas" localSheetId="10" hidden="1">{"NOPCAPEVA",#N/A,FALSE,"Nopat";"FCFCSTAR",#N/A,FALSE,"FCFVAL";"EVAVL",#N/A,FALSE,"EVAVAL";"LEASE",#N/A,FALSE,"OpLease"}</definedName>
    <definedName name="eas" localSheetId="12" hidden="1">{"NOPCAPEVA",#N/A,FALSE,"Nopat";"FCFCSTAR",#N/A,FALSE,"FCFVAL";"EVAVL",#N/A,FALSE,"EVAVAL";"LEASE",#N/A,FALSE,"OpLease"}</definedName>
    <definedName name="eas" localSheetId="14" hidden="1">{"NOPCAPEVA",#N/A,FALSE,"Nopat";"FCFCSTAR",#N/A,FALSE,"FCFVAL";"EVAVL",#N/A,FALSE,"EVAVAL";"LEASE",#N/A,FALSE,"OpLease"}</definedName>
    <definedName name="eas" localSheetId="16" hidden="1">{"NOPCAPEVA",#N/A,FALSE,"Nopat";"FCFCSTAR",#N/A,FALSE,"FCFVAL";"EVAVL",#N/A,FALSE,"EVAVAL";"LEASE",#N/A,FALSE,"OpLease"}</definedName>
    <definedName name="eas" localSheetId="22" hidden="1">{"NOPCAPEVA",#N/A,FALSE,"Nopat";"FCFCSTAR",#N/A,FALSE,"FCFVAL";"EVAVL",#N/A,FALSE,"EVAVAL";"LEASE",#N/A,FALSE,"OpLease"}</definedName>
    <definedName name="eas" localSheetId="24" hidden="1">{"NOPCAPEVA",#N/A,FALSE,"Nopat";"FCFCSTAR",#N/A,FALSE,"FCFVAL";"EVAVL",#N/A,FALSE,"EVAVAL";"LEASE",#N/A,FALSE,"OpLease"}</definedName>
    <definedName name="eas" localSheetId="26" hidden="1">{"NOPCAPEVA",#N/A,FALSE,"Nopat";"FCFCSTAR",#N/A,FALSE,"FCFVAL";"EVAVL",#N/A,FALSE,"EVAVAL";"LEASE",#N/A,FALSE,"OpLease"}</definedName>
    <definedName name="eas" localSheetId="28" hidden="1">{"NOPCAPEVA",#N/A,FALSE,"Nopat";"FCFCSTAR",#N/A,FALSE,"FCFVAL";"EVAVL",#N/A,FALSE,"EVAVAL";"LEASE",#N/A,FALSE,"OpLease"}</definedName>
    <definedName name="eas" localSheetId="30" hidden="1">{"NOPCAPEVA",#N/A,FALSE,"Nopat";"FCFCSTAR",#N/A,FALSE,"FCFVAL";"EVAVL",#N/A,FALSE,"EVAVAL";"LEASE",#N/A,FALSE,"OpLease"}</definedName>
    <definedName name="eas" localSheetId="32" hidden="1">{"NOPCAPEVA",#N/A,FALSE,"Nopat";"FCFCSTAR",#N/A,FALSE,"FCFVAL";"EVAVL",#N/A,FALSE,"EVAVAL";"LEASE",#N/A,FALSE,"OpLease"}</definedName>
    <definedName name="eas" localSheetId="34" hidden="1">{"NOPCAPEVA",#N/A,FALSE,"Nopat";"FCFCSTAR",#N/A,FALSE,"FCFVAL";"EVAVL",#N/A,FALSE,"EVAVAL";"LEASE",#N/A,FALSE,"OpLease"}</definedName>
    <definedName name="eas" localSheetId="36" hidden="1">{"NOPCAPEVA",#N/A,FALSE,"Nopat";"FCFCSTAR",#N/A,FALSE,"FCFVAL";"EVAVL",#N/A,FALSE,"EVAVAL";"LEASE",#N/A,FALSE,"OpLease"}</definedName>
    <definedName name="eas" localSheetId="38" hidden="1">{"NOPCAPEVA",#N/A,FALSE,"Nopat";"FCFCSTAR",#N/A,FALSE,"FCFVAL";"EVAVL",#N/A,FALSE,"EVAVAL";"LEASE",#N/A,FALSE,"OpLease"}</definedName>
    <definedName name="eas" hidden="1">{"NOPCAPEVA",#N/A,FALSE,"Nopat";"FCFCSTAR",#N/A,FALSE,"FCFVAL";"EVAVL",#N/A,FALSE,"EVAVAL";"LEASE",#N/A,FALSE,"OpLease"}</definedName>
    <definedName name="eas_k" localSheetId="3" hidden="1">{"NOPCAPEVA",#N/A,FALSE,"Nopat";"FCFCSTAR",#N/A,FALSE,"FCFVAL";"EVAVL",#N/A,FALSE,"EVAVAL";"LEASE",#N/A,FALSE,"OpLease"}</definedName>
    <definedName name="eas_k" localSheetId="5" hidden="1">{"NOPCAPEVA",#N/A,FALSE,"Nopat";"FCFCSTAR",#N/A,FALSE,"FCFVAL";"EVAVL",#N/A,FALSE,"EVAVAL";"LEASE",#N/A,FALSE,"OpLease"}</definedName>
    <definedName name="eas_k" localSheetId="8" hidden="1">{"NOPCAPEVA",#N/A,FALSE,"Nopat";"FCFCSTAR",#N/A,FALSE,"FCFVAL";"EVAVL",#N/A,FALSE,"EVAVAL";"LEASE",#N/A,FALSE,"OpLease"}</definedName>
    <definedName name="eas_k" localSheetId="10" hidden="1">{"NOPCAPEVA",#N/A,FALSE,"Nopat";"FCFCSTAR",#N/A,FALSE,"FCFVAL";"EVAVL",#N/A,FALSE,"EVAVAL";"LEASE",#N/A,FALSE,"OpLease"}</definedName>
    <definedName name="eas_k" localSheetId="12" hidden="1">{"NOPCAPEVA",#N/A,FALSE,"Nopat";"FCFCSTAR",#N/A,FALSE,"FCFVAL";"EVAVL",#N/A,FALSE,"EVAVAL";"LEASE",#N/A,FALSE,"OpLease"}</definedName>
    <definedName name="eas_k" localSheetId="14" hidden="1">{"NOPCAPEVA",#N/A,FALSE,"Nopat";"FCFCSTAR",#N/A,FALSE,"FCFVAL";"EVAVL",#N/A,FALSE,"EVAVAL";"LEASE",#N/A,FALSE,"OpLease"}</definedName>
    <definedName name="eas_k" localSheetId="16" hidden="1">{"NOPCAPEVA",#N/A,FALSE,"Nopat";"FCFCSTAR",#N/A,FALSE,"FCFVAL";"EVAVL",#N/A,FALSE,"EVAVAL";"LEASE",#N/A,FALSE,"OpLease"}</definedName>
    <definedName name="eas_k" localSheetId="22" hidden="1">{"NOPCAPEVA",#N/A,FALSE,"Nopat";"FCFCSTAR",#N/A,FALSE,"FCFVAL";"EVAVL",#N/A,FALSE,"EVAVAL";"LEASE",#N/A,FALSE,"OpLease"}</definedName>
    <definedName name="eas_k" localSheetId="24" hidden="1">{"NOPCAPEVA",#N/A,FALSE,"Nopat";"FCFCSTAR",#N/A,FALSE,"FCFVAL";"EVAVL",#N/A,FALSE,"EVAVAL";"LEASE",#N/A,FALSE,"OpLease"}</definedName>
    <definedName name="eas_k" localSheetId="26" hidden="1">{"NOPCAPEVA",#N/A,FALSE,"Nopat";"FCFCSTAR",#N/A,FALSE,"FCFVAL";"EVAVL",#N/A,FALSE,"EVAVAL";"LEASE",#N/A,FALSE,"OpLease"}</definedName>
    <definedName name="eas_k" localSheetId="28" hidden="1">{"NOPCAPEVA",#N/A,FALSE,"Nopat";"FCFCSTAR",#N/A,FALSE,"FCFVAL";"EVAVL",#N/A,FALSE,"EVAVAL";"LEASE",#N/A,FALSE,"OpLease"}</definedName>
    <definedName name="eas_k" localSheetId="30" hidden="1">{"NOPCAPEVA",#N/A,FALSE,"Nopat";"FCFCSTAR",#N/A,FALSE,"FCFVAL";"EVAVL",#N/A,FALSE,"EVAVAL";"LEASE",#N/A,FALSE,"OpLease"}</definedName>
    <definedName name="eas_k" localSheetId="32" hidden="1">{"NOPCAPEVA",#N/A,FALSE,"Nopat";"FCFCSTAR",#N/A,FALSE,"FCFVAL";"EVAVL",#N/A,FALSE,"EVAVAL";"LEASE",#N/A,FALSE,"OpLease"}</definedName>
    <definedName name="eas_k" localSheetId="34" hidden="1">{"NOPCAPEVA",#N/A,FALSE,"Nopat";"FCFCSTAR",#N/A,FALSE,"FCFVAL";"EVAVL",#N/A,FALSE,"EVAVAL";"LEASE",#N/A,FALSE,"OpLease"}</definedName>
    <definedName name="eas_k" localSheetId="36" hidden="1">{"NOPCAPEVA",#N/A,FALSE,"Nopat";"FCFCSTAR",#N/A,FALSE,"FCFVAL";"EVAVL",#N/A,FALSE,"EVAVAL";"LEASE",#N/A,FALSE,"OpLease"}</definedName>
    <definedName name="eas_k" localSheetId="38" hidden="1">{"NOPCAPEVA",#N/A,FALSE,"Nopat";"FCFCSTAR",#N/A,FALSE,"FCFVAL";"EVAVL",#N/A,FALSE,"EVAVAL";"LEASE",#N/A,FALSE,"OpLease"}</definedName>
    <definedName name="eas_k" hidden="1">{"NOPCAPEVA",#N/A,FALSE,"Nopat";"FCFCSTAR",#N/A,FALSE,"FCFVAL";"EVAVL",#N/A,FALSE,"EVAVAL";"LEASE",#N/A,FALSE,"OpLease"}</definedName>
    <definedName name="EBS">#REF!</definedName>
    <definedName name="ecs" localSheetId="3" hidden="1">{#N/A,#N/A,TRUE,"Proposal";#N/A,#N/A,TRUE,"Assumptions";#N/A,#N/A,TRUE,"Net Income";#N/A,#N/A,TRUE,"Balsheet";#N/A,#N/A,TRUE,"Capex";#N/A,#N/A,TRUE,"Volumes";#N/A,#N/A,TRUE,"Revenues";#N/A,#N/A,TRUE,"Var.Costs";#N/A,#N/A,TRUE,"Personnel";#N/A,#N/A,TRUE,"Other costs";#N/A,#N/A,TRUE,"MKTG and G&amp;A"}</definedName>
    <definedName name="ecs" localSheetId="5" hidden="1">{#N/A,#N/A,TRUE,"Proposal";#N/A,#N/A,TRUE,"Assumptions";#N/A,#N/A,TRUE,"Net Income";#N/A,#N/A,TRUE,"Balsheet";#N/A,#N/A,TRUE,"Capex";#N/A,#N/A,TRUE,"Volumes";#N/A,#N/A,TRUE,"Revenues";#N/A,#N/A,TRUE,"Var.Costs";#N/A,#N/A,TRUE,"Personnel";#N/A,#N/A,TRUE,"Other costs";#N/A,#N/A,TRUE,"MKTG and G&amp;A"}</definedName>
    <definedName name="ecs" localSheetId="8" hidden="1">{#N/A,#N/A,TRUE,"Proposal";#N/A,#N/A,TRUE,"Assumptions";#N/A,#N/A,TRUE,"Net Income";#N/A,#N/A,TRUE,"Balsheet";#N/A,#N/A,TRUE,"Capex";#N/A,#N/A,TRUE,"Volumes";#N/A,#N/A,TRUE,"Revenues";#N/A,#N/A,TRUE,"Var.Costs";#N/A,#N/A,TRUE,"Personnel";#N/A,#N/A,TRUE,"Other costs";#N/A,#N/A,TRUE,"MKTG and G&amp;A"}</definedName>
    <definedName name="ecs" localSheetId="10" hidden="1">{#N/A,#N/A,TRUE,"Proposal";#N/A,#N/A,TRUE,"Assumptions";#N/A,#N/A,TRUE,"Net Income";#N/A,#N/A,TRUE,"Balsheet";#N/A,#N/A,TRUE,"Capex";#N/A,#N/A,TRUE,"Volumes";#N/A,#N/A,TRUE,"Revenues";#N/A,#N/A,TRUE,"Var.Costs";#N/A,#N/A,TRUE,"Personnel";#N/A,#N/A,TRUE,"Other costs";#N/A,#N/A,TRUE,"MKTG and G&amp;A"}</definedName>
    <definedName name="ecs" localSheetId="12" hidden="1">{#N/A,#N/A,TRUE,"Proposal";#N/A,#N/A,TRUE,"Assumptions";#N/A,#N/A,TRUE,"Net Income";#N/A,#N/A,TRUE,"Balsheet";#N/A,#N/A,TRUE,"Capex";#N/A,#N/A,TRUE,"Volumes";#N/A,#N/A,TRUE,"Revenues";#N/A,#N/A,TRUE,"Var.Costs";#N/A,#N/A,TRUE,"Personnel";#N/A,#N/A,TRUE,"Other costs";#N/A,#N/A,TRUE,"MKTG and G&amp;A"}</definedName>
    <definedName name="ecs" localSheetId="14" hidden="1">{#N/A,#N/A,TRUE,"Proposal";#N/A,#N/A,TRUE,"Assumptions";#N/A,#N/A,TRUE,"Net Income";#N/A,#N/A,TRUE,"Balsheet";#N/A,#N/A,TRUE,"Capex";#N/A,#N/A,TRUE,"Volumes";#N/A,#N/A,TRUE,"Revenues";#N/A,#N/A,TRUE,"Var.Costs";#N/A,#N/A,TRUE,"Personnel";#N/A,#N/A,TRUE,"Other costs";#N/A,#N/A,TRUE,"MKTG and G&amp;A"}</definedName>
    <definedName name="ecs" localSheetId="16" hidden="1">{#N/A,#N/A,TRUE,"Proposal";#N/A,#N/A,TRUE,"Assumptions";#N/A,#N/A,TRUE,"Net Income";#N/A,#N/A,TRUE,"Balsheet";#N/A,#N/A,TRUE,"Capex";#N/A,#N/A,TRUE,"Volumes";#N/A,#N/A,TRUE,"Revenues";#N/A,#N/A,TRUE,"Var.Costs";#N/A,#N/A,TRUE,"Personnel";#N/A,#N/A,TRUE,"Other costs";#N/A,#N/A,TRUE,"MKTG and G&amp;A"}</definedName>
    <definedName name="ecs" localSheetId="22" hidden="1">{#N/A,#N/A,TRUE,"Proposal";#N/A,#N/A,TRUE,"Assumptions";#N/A,#N/A,TRUE,"Net Income";#N/A,#N/A,TRUE,"Balsheet";#N/A,#N/A,TRUE,"Capex";#N/A,#N/A,TRUE,"Volumes";#N/A,#N/A,TRUE,"Revenues";#N/A,#N/A,TRUE,"Var.Costs";#N/A,#N/A,TRUE,"Personnel";#N/A,#N/A,TRUE,"Other costs";#N/A,#N/A,TRUE,"MKTG and G&amp;A"}</definedName>
    <definedName name="ecs" localSheetId="24" hidden="1">{#N/A,#N/A,TRUE,"Proposal";#N/A,#N/A,TRUE,"Assumptions";#N/A,#N/A,TRUE,"Net Income";#N/A,#N/A,TRUE,"Balsheet";#N/A,#N/A,TRUE,"Capex";#N/A,#N/A,TRUE,"Volumes";#N/A,#N/A,TRUE,"Revenues";#N/A,#N/A,TRUE,"Var.Costs";#N/A,#N/A,TRUE,"Personnel";#N/A,#N/A,TRUE,"Other costs";#N/A,#N/A,TRUE,"MKTG and G&amp;A"}</definedName>
    <definedName name="ecs" localSheetId="26" hidden="1">{#N/A,#N/A,TRUE,"Proposal";#N/A,#N/A,TRUE,"Assumptions";#N/A,#N/A,TRUE,"Net Income";#N/A,#N/A,TRUE,"Balsheet";#N/A,#N/A,TRUE,"Capex";#N/A,#N/A,TRUE,"Volumes";#N/A,#N/A,TRUE,"Revenues";#N/A,#N/A,TRUE,"Var.Costs";#N/A,#N/A,TRUE,"Personnel";#N/A,#N/A,TRUE,"Other costs";#N/A,#N/A,TRUE,"MKTG and G&amp;A"}</definedName>
    <definedName name="ecs" localSheetId="28" hidden="1">{#N/A,#N/A,TRUE,"Proposal";#N/A,#N/A,TRUE,"Assumptions";#N/A,#N/A,TRUE,"Net Income";#N/A,#N/A,TRUE,"Balsheet";#N/A,#N/A,TRUE,"Capex";#N/A,#N/A,TRUE,"Volumes";#N/A,#N/A,TRUE,"Revenues";#N/A,#N/A,TRUE,"Var.Costs";#N/A,#N/A,TRUE,"Personnel";#N/A,#N/A,TRUE,"Other costs";#N/A,#N/A,TRUE,"MKTG and G&amp;A"}</definedName>
    <definedName name="ecs" localSheetId="30" hidden="1">{#N/A,#N/A,TRUE,"Proposal";#N/A,#N/A,TRUE,"Assumptions";#N/A,#N/A,TRUE,"Net Income";#N/A,#N/A,TRUE,"Balsheet";#N/A,#N/A,TRUE,"Capex";#N/A,#N/A,TRUE,"Volumes";#N/A,#N/A,TRUE,"Revenues";#N/A,#N/A,TRUE,"Var.Costs";#N/A,#N/A,TRUE,"Personnel";#N/A,#N/A,TRUE,"Other costs";#N/A,#N/A,TRUE,"MKTG and G&amp;A"}</definedName>
    <definedName name="ecs" localSheetId="32" hidden="1">{#N/A,#N/A,TRUE,"Proposal";#N/A,#N/A,TRUE,"Assumptions";#N/A,#N/A,TRUE,"Net Income";#N/A,#N/A,TRUE,"Balsheet";#N/A,#N/A,TRUE,"Capex";#N/A,#N/A,TRUE,"Volumes";#N/A,#N/A,TRUE,"Revenues";#N/A,#N/A,TRUE,"Var.Costs";#N/A,#N/A,TRUE,"Personnel";#N/A,#N/A,TRUE,"Other costs";#N/A,#N/A,TRUE,"MKTG and G&amp;A"}</definedName>
    <definedName name="ecs" localSheetId="34" hidden="1">{#N/A,#N/A,TRUE,"Proposal";#N/A,#N/A,TRUE,"Assumptions";#N/A,#N/A,TRUE,"Net Income";#N/A,#N/A,TRUE,"Balsheet";#N/A,#N/A,TRUE,"Capex";#N/A,#N/A,TRUE,"Volumes";#N/A,#N/A,TRUE,"Revenues";#N/A,#N/A,TRUE,"Var.Costs";#N/A,#N/A,TRUE,"Personnel";#N/A,#N/A,TRUE,"Other costs";#N/A,#N/A,TRUE,"MKTG and G&amp;A"}</definedName>
    <definedName name="ecs" localSheetId="36" hidden="1">{#N/A,#N/A,TRUE,"Proposal";#N/A,#N/A,TRUE,"Assumptions";#N/A,#N/A,TRUE,"Net Income";#N/A,#N/A,TRUE,"Balsheet";#N/A,#N/A,TRUE,"Capex";#N/A,#N/A,TRUE,"Volumes";#N/A,#N/A,TRUE,"Revenues";#N/A,#N/A,TRUE,"Var.Costs";#N/A,#N/A,TRUE,"Personnel";#N/A,#N/A,TRUE,"Other costs";#N/A,#N/A,TRUE,"MKTG and G&amp;A"}</definedName>
    <definedName name="ecs" localSheetId="38" hidden="1">{#N/A,#N/A,TRUE,"Proposal";#N/A,#N/A,TRUE,"Assumptions";#N/A,#N/A,TRUE,"Net Income";#N/A,#N/A,TRUE,"Balsheet";#N/A,#N/A,TRUE,"Capex";#N/A,#N/A,TRUE,"Volumes";#N/A,#N/A,TRUE,"Revenues";#N/A,#N/A,TRUE,"Var.Costs";#N/A,#N/A,TRUE,"Personnel";#N/A,#N/A,TRUE,"Other costs";#N/A,#N/A,TRUE,"MKTG and G&amp;A"}</definedName>
    <definedName name="ecs" hidden="1">{#N/A,#N/A,TRUE,"Proposal";#N/A,#N/A,TRUE,"Assumptions";#N/A,#N/A,TRUE,"Net Income";#N/A,#N/A,TRUE,"Balsheet";#N/A,#N/A,TRUE,"Capex";#N/A,#N/A,TRUE,"Volumes";#N/A,#N/A,TRUE,"Revenues";#N/A,#N/A,TRUE,"Var.Costs";#N/A,#N/A,TRUE,"Personnel";#N/A,#N/A,TRUE,"Other costs";#N/A,#N/A,TRUE,"MKTG and G&amp;A"}</definedName>
    <definedName name="ed" localSheetId="3" hidden="1">{"NOPCAPEVA",#N/A,FALSE,"Nopat";"FCFCSTAR",#N/A,FALSE,"FCFVAL";"EVAVL",#N/A,FALSE,"EVAVAL";"LEASE",#N/A,FALSE,"OpLease"}</definedName>
    <definedName name="ed" localSheetId="5" hidden="1">{"NOPCAPEVA",#N/A,FALSE,"Nopat";"FCFCSTAR",#N/A,FALSE,"FCFVAL";"EVAVL",#N/A,FALSE,"EVAVAL";"LEASE",#N/A,FALSE,"OpLease"}</definedName>
    <definedName name="ed" localSheetId="8" hidden="1">{"NOPCAPEVA",#N/A,FALSE,"Nopat";"FCFCSTAR",#N/A,FALSE,"FCFVAL";"EVAVL",#N/A,FALSE,"EVAVAL";"LEASE",#N/A,FALSE,"OpLease"}</definedName>
    <definedName name="ed" localSheetId="10" hidden="1">{"NOPCAPEVA",#N/A,FALSE,"Nopat";"FCFCSTAR",#N/A,FALSE,"FCFVAL";"EVAVL",#N/A,FALSE,"EVAVAL";"LEASE",#N/A,FALSE,"OpLease"}</definedName>
    <definedName name="ed" localSheetId="12" hidden="1">{"NOPCAPEVA",#N/A,FALSE,"Nopat";"FCFCSTAR",#N/A,FALSE,"FCFVAL";"EVAVL",#N/A,FALSE,"EVAVAL";"LEASE",#N/A,FALSE,"OpLease"}</definedName>
    <definedName name="ed" localSheetId="14" hidden="1">{"NOPCAPEVA",#N/A,FALSE,"Nopat";"FCFCSTAR",#N/A,FALSE,"FCFVAL";"EVAVL",#N/A,FALSE,"EVAVAL";"LEASE",#N/A,FALSE,"OpLease"}</definedName>
    <definedName name="ed" localSheetId="16" hidden="1">{"NOPCAPEVA",#N/A,FALSE,"Nopat";"FCFCSTAR",#N/A,FALSE,"FCFVAL";"EVAVL",#N/A,FALSE,"EVAVAL";"LEASE",#N/A,FALSE,"OpLease"}</definedName>
    <definedName name="ed" localSheetId="22" hidden="1">{"NOPCAPEVA",#N/A,FALSE,"Nopat";"FCFCSTAR",#N/A,FALSE,"FCFVAL";"EVAVL",#N/A,FALSE,"EVAVAL";"LEASE",#N/A,FALSE,"OpLease"}</definedName>
    <definedName name="ed" localSheetId="24" hidden="1">{"NOPCAPEVA",#N/A,FALSE,"Nopat";"FCFCSTAR",#N/A,FALSE,"FCFVAL";"EVAVL",#N/A,FALSE,"EVAVAL";"LEASE",#N/A,FALSE,"OpLease"}</definedName>
    <definedName name="ed" localSheetId="26" hidden="1">{"NOPCAPEVA",#N/A,FALSE,"Nopat";"FCFCSTAR",#N/A,FALSE,"FCFVAL";"EVAVL",#N/A,FALSE,"EVAVAL";"LEASE",#N/A,FALSE,"OpLease"}</definedName>
    <definedName name="ed" localSheetId="28" hidden="1">{"NOPCAPEVA",#N/A,FALSE,"Nopat";"FCFCSTAR",#N/A,FALSE,"FCFVAL";"EVAVL",#N/A,FALSE,"EVAVAL";"LEASE",#N/A,FALSE,"OpLease"}</definedName>
    <definedName name="ed" localSheetId="30" hidden="1">{"NOPCAPEVA",#N/A,FALSE,"Nopat";"FCFCSTAR",#N/A,FALSE,"FCFVAL";"EVAVL",#N/A,FALSE,"EVAVAL";"LEASE",#N/A,FALSE,"OpLease"}</definedName>
    <definedName name="ed" localSheetId="32" hidden="1">{"NOPCAPEVA",#N/A,FALSE,"Nopat";"FCFCSTAR",#N/A,FALSE,"FCFVAL";"EVAVL",#N/A,FALSE,"EVAVAL";"LEASE",#N/A,FALSE,"OpLease"}</definedName>
    <definedName name="ed" localSheetId="34" hidden="1">{"NOPCAPEVA",#N/A,FALSE,"Nopat";"FCFCSTAR",#N/A,FALSE,"FCFVAL";"EVAVL",#N/A,FALSE,"EVAVAL";"LEASE",#N/A,FALSE,"OpLease"}</definedName>
    <definedName name="ed" localSheetId="36" hidden="1">{"NOPCAPEVA",#N/A,FALSE,"Nopat";"FCFCSTAR",#N/A,FALSE,"FCFVAL";"EVAVL",#N/A,FALSE,"EVAVAL";"LEASE",#N/A,FALSE,"OpLease"}</definedName>
    <definedName name="ed" localSheetId="38" hidden="1">{"NOPCAPEVA",#N/A,FALSE,"Nopat";"FCFCSTAR",#N/A,FALSE,"FCFVAL";"EVAVL",#N/A,FALSE,"EVAVAL";"LEASE",#N/A,FALSE,"OpLease"}</definedName>
    <definedName name="ed" hidden="1">{"NOPCAPEVA",#N/A,FALSE,"Nopat";"FCFCSTAR",#N/A,FALSE,"FCFVAL";"EVAVL",#N/A,FALSE,"EVAVAL";"LEASE",#N/A,FALSE,"OpLease"}</definedName>
    <definedName name="ed_k" localSheetId="3" hidden="1">{"NOPCAPEVA",#N/A,FALSE,"Nopat";"FCFCSTAR",#N/A,FALSE,"FCFVAL";"EVAVL",#N/A,FALSE,"EVAVAL";"LEASE",#N/A,FALSE,"OpLease"}</definedName>
    <definedName name="ed_k" localSheetId="5" hidden="1">{"NOPCAPEVA",#N/A,FALSE,"Nopat";"FCFCSTAR",#N/A,FALSE,"FCFVAL";"EVAVL",#N/A,FALSE,"EVAVAL";"LEASE",#N/A,FALSE,"OpLease"}</definedName>
    <definedName name="ed_k" localSheetId="8" hidden="1">{"NOPCAPEVA",#N/A,FALSE,"Nopat";"FCFCSTAR",#N/A,FALSE,"FCFVAL";"EVAVL",#N/A,FALSE,"EVAVAL";"LEASE",#N/A,FALSE,"OpLease"}</definedName>
    <definedName name="ed_k" localSheetId="10" hidden="1">{"NOPCAPEVA",#N/A,FALSE,"Nopat";"FCFCSTAR",#N/A,FALSE,"FCFVAL";"EVAVL",#N/A,FALSE,"EVAVAL";"LEASE",#N/A,FALSE,"OpLease"}</definedName>
    <definedName name="ed_k" localSheetId="12" hidden="1">{"NOPCAPEVA",#N/A,FALSE,"Nopat";"FCFCSTAR",#N/A,FALSE,"FCFVAL";"EVAVL",#N/A,FALSE,"EVAVAL";"LEASE",#N/A,FALSE,"OpLease"}</definedName>
    <definedName name="ed_k" localSheetId="14" hidden="1">{"NOPCAPEVA",#N/A,FALSE,"Nopat";"FCFCSTAR",#N/A,FALSE,"FCFVAL";"EVAVL",#N/A,FALSE,"EVAVAL";"LEASE",#N/A,FALSE,"OpLease"}</definedName>
    <definedName name="ed_k" localSheetId="16" hidden="1">{"NOPCAPEVA",#N/A,FALSE,"Nopat";"FCFCSTAR",#N/A,FALSE,"FCFVAL";"EVAVL",#N/A,FALSE,"EVAVAL";"LEASE",#N/A,FALSE,"OpLease"}</definedName>
    <definedName name="ed_k" localSheetId="22" hidden="1">{"NOPCAPEVA",#N/A,FALSE,"Nopat";"FCFCSTAR",#N/A,FALSE,"FCFVAL";"EVAVL",#N/A,FALSE,"EVAVAL";"LEASE",#N/A,FALSE,"OpLease"}</definedName>
    <definedName name="ed_k" localSheetId="24" hidden="1">{"NOPCAPEVA",#N/A,FALSE,"Nopat";"FCFCSTAR",#N/A,FALSE,"FCFVAL";"EVAVL",#N/A,FALSE,"EVAVAL";"LEASE",#N/A,FALSE,"OpLease"}</definedName>
    <definedName name="ed_k" localSheetId="26" hidden="1">{"NOPCAPEVA",#N/A,FALSE,"Nopat";"FCFCSTAR",#N/A,FALSE,"FCFVAL";"EVAVL",#N/A,FALSE,"EVAVAL";"LEASE",#N/A,FALSE,"OpLease"}</definedName>
    <definedName name="ed_k" localSheetId="28" hidden="1">{"NOPCAPEVA",#N/A,FALSE,"Nopat";"FCFCSTAR",#N/A,FALSE,"FCFVAL";"EVAVL",#N/A,FALSE,"EVAVAL";"LEASE",#N/A,FALSE,"OpLease"}</definedName>
    <definedName name="ed_k" localSheetId="30" hidden="1">{"NOPCAPEVA",#N/A,FALSE,"Nopat";"FCFCSTAR",#N/A,FALSE,"FCFVAL";"EVAVL",#N/A,FALSE,"EVAVAL";"LEASE",#N/A,FALSE,"OpLease"}</definedName>
    <definedName name="ed_k" localSheetId="32" hidden="1">{"NOPCAPEVA",#N/A,FALSE,"Nopat";"FCFCSTAR",#N/A,FALSE,"FCFVAL";"EVAVL",#N/A,FALSE,"EVAVAL";"LEASE",#N/A,FALSE,"OpLease"}</definedName>
    <definedName name="ed_k" localSheetId="34" hidden="1">{"NOPCAPEVA",#N/A,FALSE,"Nopat";"FCFCSTAR",#N/A,FALSE,"FCFVAL";"EVAVL",#N/A,FALSE,"EVAVAL";"LEASE",#N/A,FALSE,"OpLease"}</definedName>
    <definedName name="ed_k" localSheetId="36" hidden="1">{"NOPCAPEVA",#N/A,FALSE,"Nopat";"FCFCSTAR",#N/A,FALSE,"FCFVAL";"EVAVL",#N/A,FALSE,"EVAVAL";"LEASE",#N/A,FALSE,"OpLease"}</definedName>
    <definedName name="ed_k" localSheetId="38" hidden="1">{"NOPCAPEVA",#N/A,FALSE,"Nopat";"FCFCSTAR",#N/A,FALSE,"FCFVAL";"EVAVL",#N/A,FALSE,"EVAVAL";"LEASE",#N/A,FALSE,"OpLease"}</definedName>
    <definedName name="ed_k" hidden="1">{"NOPCAPEVA",#N/A,FALSE,"Nopat";"FCFCSTAR",#N/A,FALSE,"FCFVAL";"EVAVL",#N/A,FALSE,"EVAVAL";"LEASE",#N/A,FALSE,"OpLease"}</definedName>
    <definedName name="ee" hidden="1">#REF!</definedName>
    <definedName name="eee" localSheetId="3" hidden="1">{#N/A,#N/A,FALSE,"MAIN";#N/A,#N/A,FALSE,"MK_ASS_B";#N/A,#N/A,FALSE,"MK_ASS_R";#N/A,#N/A,FALSE,"TR_ASS_B";#N/A,#N/A,FALSE,"TR_ASS_R";#N/A,#N/A,FALSE,"ROAMING";#N/A,#N/A,FALSE,"PR_ASS_B";#N/A,#N/A,FALSE,"PR_ASS_R";#N/A,#N/A,FALSE,"PR_ASS_S"}</definedName>
    <definedName name="eee" localSheetId="5" hidden="1">{#N/A,#N/A,FALSE,"MAIN";#N/A,#N/A,FALSE,"MK_ASS_B";#N/A,#N/A,FALSE,"MK_ASS_R";#N/A,#N/A,FALSE,"TR_ASS_B";#N/A,#N/A,FALSE,"TR_ASS_R";#N/A,#N/A,FALSE,"ROAMING";#N/A,#N/A,FALSE,"PR_ASS_B";#N/A,#N/A,FALSE,"PR_ASS_R";#N/A,#N/A,FALSE,"PR_ASS_S"}</definedName>
    <definedName name="eee" localSheetId="8" hidden="1">{#N/A,#N/A,FALSE,"MAIN";#N/A,#N/A,FALSE,"MK_ASS_B";#N/A,#N/A,FALSE,"MK_ASS_R";#N/A,#N/A,FALSE,"TR_ASS_B";#N/A,#N/A,FALSE,"TR_ASS_R";#N/A,#N/A,FALSE,"ROAMING";#N/A,#N/A,FALSE,"PR_ASS_B";#N/A,#N/A,FALSE,"PR_ASS_R";#N/A,#N/A,FALSE,"PR_ASS_S"}</definedName>
    <definedName name="eee" localSheetId="10" hidden="1">{#N/A,#N/A,FALSE,"MAIN";#N/A,#N/A,FALSE,"MK_ASS_B";#N/A,#N/A,FALSE,"MK_ASS_R";#N/A,#N/A,FALSE,"TR_ASS_B";#N/A,#N/A,FALSE,"TR_ASS_R";#N/A,#N/A,FALSE,"ROAMING";#N/A,#N/A,FALSE,"PR_ASS_B";#N/A,#N/A,FALSE,"PR_ASS_R";#N/A,#N/A,FALSE,"PR_ASS_S"}</definedName>
    <definedName name="eee" localSheetId="12" hidden="1">{#N/A,#N/A,FALSE,"MAIN";#N/A,#N/A,FALSE,"MK_ASS_B";#N/A,#N/A,FALSE,"MK_ASS_R";#N/A,#N/A,FALSE,"TR_ASS_B";#N/A,#N/A,FALSE,"TR_ASS_R";#N/A,#N/A,FALSE,"ROAMING";#N/A,#N/A,FALSE,"PR_ASS_B";#N/A,#N/A,FALSE,"PR_ASS_R";#N/A,#N/A,FALSE,"PR_ASS_S"}</definedName>
    <definedName name="eee" localSheetId="14" hidden="1">{#N/A,#N/A,FALSE,"MAIN";#N/A,#N/A,FALSE,"MK_ASS_B";#N/A,#N/A,FALSE,"MK_ASS_R";#N/A,#N/A,FALSE,"TR_ASS_B";#N/A,#N/A,FALSE,"TR_ASS_R";#N/A,#N/A,FALSE,"ROAMING";#N/A,#N/A,FALSE,"PR_ASS_B";#N/A,#N/A,FALSE,"PR_ASS_R";#N/A,#N/A,FALSE,"PR_ASS_S"}</definedName>
    <definedName name="eee" localSheetId="16" hidden="1">{#N/A,#N/A,FALSE,"MAIN";#N/A,#N/A,FALSE,"MK_ASS_B";#N/A,#N/A,FALSE,"MK_ASS_R";#N/A,#N/A,FALSE,"TR_ASS_B";#N/A,#N/A,FALSE,"TR_ASS_R";#N/A,#N/A,FALSE,"ROAMING";#N/A,#N/A,FALSE,"PR_ASS_B";#N/A,#N/A,FALSE,"PR_ASS_R";#N/A,#N/A,FALSE,"PR_ASS_S"}</definedName>
    <definedName name="eee" localSheetId="22" hidden="1">{#N/A,#N/A,FALSE,"MAIN";#N/A,#N/A,FALSE,"MK_ASS_B";#N/A,#N/A,FALSE,"MK_ASS_R";#N/A,#N/A,FALSE,"TR_ASS_B";#N/A,#N/A,FALSE,"TR_ASS_R";#N/A,#N/A,FALSE,"ROAMING";#N/A,#N/A,FALSE,"PR_ASS_B";#N/A,#N/A,FALSE,"PR_ASS_R";#N/A,#N/A,FALSE,"PR_ASS_S"}</definedName>
    <definedName name="eee" localSheetId="24" hidden="1">{#N/A,#N/A,FALSE,"MAIN";#N/A,#N/A,FALSE,"MK_ASS_B";#N/A,#N/A,FALSE,"MK_ASS_R";#N/A,#N/A,FALSE,"TR_ASS_B";#N/A,#N/A,FALSE,"TR_ASS_R";#N/A,#N/A,FALSE,"ROAMING";#N/A,#N/A,FALSE,"PR_ASS_B";#N/A,#N/A,FALSE,"PR_ASS_R";#N/A,#N/A,FALSE,"PR_ASS_S"}</definedName>
    <definedName name="eee" localSheetId="26" hidden="1">{#N/A,#N/A,FALSE,"MAIN";#N/A,#N/A,FALSE,"MK_ASS_B";#N/A,#N/A,FALSE,"MK_ASS_R";#N/A,#N/A,FALSE,"TR_ASS_B";#N/A,#N/A,FALSE,"TR_ASS_R";#N/A,#N/A,FALSE,"ROAMING";#N/A,#N/A,FALSE,"PR_ASS_B";#N/A,#N/A,FALSE,"PR_ASS_R";#N/A,#N/A,FALSE,"PR_ASS_S"}</definedName>
    <definedName name="eee" localSheetId="28" hidden="1">{#N/A,#N/A,FALSE,"MAIN";#N/A,#N/A,FALSE,"MK_ASS_B";#N/A,#N/A,FALSE,"MK_ASS_R";#N/A,#N/A,FALSE,"TR_ASS_B";#N/A,#N/A,FALSE,"TR_ASS_R";#N/A,#N/A,FALSE,"ROAMING";#N/A,#N/A,FALSE,"PR_ASS_B";#N/A,#N/A,FALSE,"PR_ASS_R";#N/A,#N/A,FALSE,"PR_ASS_S"}</definedName>
    <definedName name="eee" localSheetId="30" hidden="1">{#N/A,#N/A,FALSE,"MAIN";#N/A,#N/A,FALSE,"MK_ASS_B";#N/A,#N/A,FALSE,"MK_ASS_R";#N/A,#N/A,FALSE,"TR_ASS_B";#N/A,#N/A,FALSE,"TR_ASS_R";#N/A,#N/A,FALSE,"ROAMING";#N/A,#N/A,FALSE,"PR_ASS_B";#N/A,#N/A,FALSE,"PR_ASS_R";#N/A,#N/A,FALSE,"PR_ASS_S"}</definedName>
    <definedName name="eee" localSheetId="32" hidden="1">{#N/A,#N/A,FALSE,"MAIN";#N/A,#N/A,FALSE,"MK_ASS_B";#N/A,#N/A,FALSE,"MK_ASS_R";#N/A,#N/A,FALSE,"TR_ASS_B";#N/A,#N/A,FALSE,"TR_ASS_R";#N/A,#N/A,FALSE,"ROAMING";#N/A,#N/A,FALSE,"PR_ASS_B";#N/A,#N/A,FALSE,"PR_ASS_R";#N/A,#N/A,FALSE,"PR_ASS_S"}</definedName>
    <definedName name="eee" localSheetId="34" hidden="1">{#N/A,#N/A,FALSE,"MAIN";#N/A,#N/A,FALSE,"MK_ASS_B";#N/A,#N/A,FALSE,"MK_ASS_R";#N/A,#N/A,FALSE,"TR_ASS_B";#N/A,#N/A,FALSE,"TR_ASS_R";#N/A,#N/A,FALSE,"ROAMING";#N/A,#N/A,FALSE,"PR_ASS_B";#N/A,#N/A,FALSE,"PR_ASS_R";#N/A,#N/A,FALSE,"PR_ASS_S"}</definedName>
    <definedName name="eee" localSheetId="36" hidden="1">{#N/A,#N/A,FALSE,"MAIN";#N/A,#N/A,FALSE,"MK_ASS_B";#N/A,#N/A,FALSE,"MK_ASS_R";#N/A,#N/A,FALSE,"TR_ASS_B";#N/A,#N/A,FALSE,"TR_ASS_R";#N/A,#N/A,FALSE,"ROAMING";#N/A,#N/A,FALSE,"PR_ASS_B";#N/A,#N/A,FALSE,"PR_ASS_R";#N/A,#N/A,FALSE,"PR_ASS_S"}</definedName>
    <definedName name="eee" localSheetId="38" hidden="1">{#N/A,#N/A,FALSE,"MAIN";#N/A,#N/A,FALSE,"MK_ASS_B";#N/A,#N/A,FALSE,"MK_ASS_R";#N/A,#N/A,FALSE,"TR_ASS_B";#N/A,#N/A,FALSE,"TR_ASS_R";#N/A,#N/A,FALSE,"ROAMING";#N/A,#N/A,FALSE,"PR_ASS_B";#N/A,#N/A,FALSE,"PR_ASS_R";#N/A,#N/A,FALSE,"PR_ASS_S"}</definedName>
    <definedName name="eee" hidden="1">{#N/A,#N/A,FALSE,"MAIN";#N/A,#N/A,FALSE,"MK_ASS_B";#N/A,#N/A,FALSE,"MK_ASS_R";#N/A,#N/A,FALSE,"TR_ASS_B";#N/A,#N/A,FALSE,"TR_ASS_R";#N/A,#N/A,FALSE,"ROAMING";#N/A,#N/A,FALSE,"PR_ASS_B";#N/A,#N/A,FALSE,"PR_ASS_R";#N/A,#N/A,FALSE,"PR_ASS_S"}</definedName>
    <definedName name="eeeee" localSheetId="3" hidden="1">{#N/A,#N/A,FALSE,"Aging Summary";#N/A,#N/A,FALSE,"Ratio Analysis";#N/A,#N/A,FALSE,"Test 120 Day Accts";#N/A,#N/A,FALSE,"Tickmarks"}</definedName>
    <definedName name="eeeee" localSheetId="5" hidden="1">{#N/A,#N/A,FALSE,"Aging Summary";#N/A,#N/A,FALSE,"Ratio Analysis";#N/A,#N/A,FALSE,"Test 120 Day Accts";#N/A,#N/A,FALSE,"Tickmarks"}</definedName>
    <definedName name="eeeee" localSheetId="8" hidden="1">{#N/A,#N/A,FALSE,"Aging Summary";#N/A,#N/A,FALSE,"Ratio Analysis";#N/A,#N/A,FALSE,"Test 120 Day Accts";#N/A,#N/A,FALSE,"Tickmarks"}</definedName>
    <definedName name="eeeee" localSheetId="10" hidden="1">{#N/A,#N/A,FALSE,"Aging Summary";#N/A,#N/A,FALSE,"Ratio Analysis";#N/A,#N/A,FALSE,"Test 120 Day Accts";#N/A,#N/A,FALSE,"Tickmarks"}</definedName>
    <definedName name="eeeee" localSheetId="12" hidden="1">{#N/A,#N/A,FALSE,"Aging Summary";#N/A,#N/A,FALSE,"Ratio Analysis";#N/A,#N/A,FALSE,"Test 120 Day Accts";#N/A,#N/A,FALSE,"Tickmarks"}</definedName>
    <definedName name="eeeee" localSheetId="14" hidden="1">{#N/A,#N/A,FALSE,"Aging Summary";#N/A,#N/A,FALSE,"Ratio Analysis";#N/A,#N/A,FALSE,"Test 120 Day Accts";#N/A,#N/A,FALSE,"Tickmarks"}</definedName>
    <definedName name="eeeee" localSheetId="16" hidden="1">{#N/A,#N/A,FALSE,"Aging Summary";#N/A,#N/A,FALSE,"Ratio Analysis";#N/A,#N/A,FALSE,"Test 120 Day Accts";#N/A,#N/A,FALSE,"Tickmarks"}</definedName>
    <definedName name="eeeee" localSheetId="22" hidden="1">{#N/A,#N/A,FALSE,"Aging Summary";#N/A,#N/A,FALSE,"Ratio Analysis";#N/A,#N/A,FALSE,"Test 120 Day Accts";#N/A,#N/A,FALSE,"Tickmarks"}</definedName>
    <definedName name="eeeee" localSheetId="24" hidden="1">{#N/A,#N/A,FALSE,"Aging Summary";#N/A,#N/A,FALSE,"Ratio Analysis";#N/A,#N/A,FALSE,"Test 120 Day Accts";#N/A,#N/A,FALSE,"Tickmarks"}</definedName>
    <definedName name="eeeee" localSheetId="26" hidden="1">{#N/A,#N/A,FALSE,"Aging Summary";#N/A,#N/A,FALSE,"Ratio Analysis";#N/A,#N/A,FALSE,"Test 120 Day Accts";#N/A,#N/A,FALSE,"Tickmarks"}</definedName>
    <definedName name="eeeee" localSheetId="28" hidden="1">{#N/A,#N/A,FALSE,"Aging Summary";#N/A,#N/A,FALSE,"Ratio Analysis";#N/A,#N/A,FALSE,"Test 120 Day Accts";#N/A,#N/A,FALSE,"Tickmarks"}</definedName>
    <definedName name="eeeee" localSheetId="30" hidden="1">{#N/A,#N/A,FALSE,"Aging Summary";#N/A,#N/A,FALSE,"Ratio Analysis";#N/A,#N/A,FALSE,"Test 120 Day Accts";#N/A,#N/A,FALSE,"Tickmarks"}</definedName>
    <definedName name="eeeee" localSheetId="32" hidden="1">{#N/A,#N/A,FALSE,"Aging Summary";#N/A,#N/A,FALSE,"Ratio Analysis";#N/A,#N/A,FALSE,"Test 120 Day Accts";#N/A,#N/A,FALSE,"Tickmarks"}</definedName>
    <definedName name="eeeee" localSheetId="34" hidden="1">{#N/A,#N/A,FALSE,"Aging Summary";#N/A,#N/A,FALSE,"Ratio Analysis";#N/A,#N/A,FALSE,"Test 120 Day Accts";#N/A,#N/A,FALSE,"Tickmarks"}</definedName>
    <definedName name="eeeee" localSheetId="36" hidden="1">{#N/A,#N/A,FALSE,"Aging Summary";#N/A,#N/A,FALSE,"Ratio Analysis";#N/A,#N/A,FALSE,"Test 120 Day Accts";#N/A,#N/A,FALSE,"Tickmarks"}</definedName>
    <definedName name="eeeee" localSheetId="38" hidden="1">{#N/A,#N/A,FALSE,"Aging Summary";#N/A,#N/A,FALSE,"Ratio Analysis";#N/A,#N/A,FALSE,"Test 120 Day Accts";#N/A,#N/A,FALSE,"Tickmarks"}</definedName>
    <definedName name="eeeee" hidden="1">{#N/A,#N/A,FALSE,"Aging Summary";#N/A,#N/A,FALSE,"Ratio Analysis";#N/A,#N/A,FALSE,"Test 120 Day Accts";#N/A,#N/A,FALSE,"Tickmarks"}</definedName>
    <definedName name="eeeeee" localSheetId="3" hidden="1">{#N/A,#N/A,FALSE,"MAIN";#N/A,#N/A,FALSE,"MK_ASS_B";#N/A,#N/A,FALSE,"MK_ASS_R";#N/A,#N/A,FALSE,"TR_ASS_B";#N/A,#N/A,FALSE,"TR_ASS_R";#N/A,#N/A,FALSE,"ROAMING";#N/A,#N/A,FALSE,"PR_ASS_B";#N/A,#N/A,FALSE,"PR_ASS_R";#N/A,#N/A,FALSE,"PR_ASS_S"}</definedName>
    <definedName name="eeeeee" localSheetId="5" hidden="1">{#N/A,#N/A,FALSE,"MAIN";#N/A,#N/A,FALSE,"MK_ASS_B";#N/A,#N/A,FALSE,"MK_ASS_R";#N/A,#N/A,FALSE,"TR_ASS_B";#N/A,#N/A,FALSE,"TR_ASS_R";#N/A,#N/A,FALSE,"ROAMING";#N/A,#N/A,FALSE,"PR_ASS_B";#N/A,#N/A,FALSE,"PR_ASS_R";#N/A,#N/A,FALSE,"PR_ASS_S"}</definedName>
    <definedName name="eeeeee" localSheetId="8" hidden="1">{#N/A,#N/A,FALSE,"MAIN";#N/A,#N/A,FALSE,"MK_ASS_B";#N/A,#N/A,FALSE,"MK_ASS_R";#N/A,#N/A,FALSE,"TR_ASS_B";#N/A,#N/A,FALSE,"TR_ASS_R";#N/A,#N/A,FALSE,"ROAMING";#N/A,#N/A,FALSE,"PR_ASS_B";#N/A,#N/A,FALSE,"PR_ASS_R";#N/A,#N/A,FALSE,"PR_ASS_S"}</definedName>
    <definedName name="eeeeee" localSheetId="10" hidden="1">{#N/A,#N/A,FALSE,"MAIN";#N/A,#N/A,FALSE,"MK_ASS_B";#N/A,#N/A,FALSE,"MK_ASS_R";#N/A,#N/A,FALSE,"TR_ASS_B";#N/A,#N/A,FALSE,"TR_ASS_R";#N/A,#N/A,FALSE,"ROAMING";#N/A,#N/A,FALSE,"PR_ASS_B";#N/A,#N/A,FALSE,"PR_ASS_R";#N/A,#N/A,FALSE,"PR_ASS_S"}</definedName>
    <definedName name="eeeeee" localSheetId="12" hidden="1">{#N/A,#N/A,FALSE,"MAIN";#N/A,#N/A,FALSE,"MK_ASS_B";#N/A,#N/A,FALSE,"MK_ASS_R";#N/A,#N/A,FALSE,"TR_ASS_B";#N/A,#N/A,FALSE,"TR_ASS_R";#N/A,#N/A,FALSE,"ROAMING";#N/A,#N/A,FALSE,"PR_ASS_B";#N/A,#N/A,FALSE,"PR_ASS_R";#N/A,#N/A,FALSE,"PR_ASS_S"}</definedName>
    <definedName name="eeeeee" localSheetId="14" hidden="1">{#N/A,#N/A,FALSE,"MAIN";#N/A,#N/A,FALSE,"MK_ASS_B";#N/A,#N/A,FALSE,"MK_ASS_R";#N/A,#N/A,FALSE,"TR_ASS_B";#N/A,#N/A,FALSE,"TR_ASS_R";#N/A,#N/A,FALSE,"ROAMING";#N/A,#N/A,FALSE,"PR_ASS_B";#N/A,#N/A,FALSE,"PR_ASS_R";#N/A,#N/A,FALSE,"PR_ASS_S"}</definedName>
    <definedName name="eeeeee" localSheetId="16" hidden="1">{#N/A,#N/A,FALSE,"MAIN";#N/A,#N/A,FALSE,"MK_ASS_B";#N/A,#N/A,FALSE,"MK_ASS_R";#N/A,#N/A,FALSE,"TR_ASS_B";#N/A,#N/A,FALSE,"TR_ASS_R";#N/A,#N/A,FALSE,"ROAMING";#N/A,#N/A,FALSE,"PR_ASS_B";#N/A,#N/A,FALSE,"PR_ASS_R";#N/A,#N/A,FALSE,"PR_ASS_S"}</definedName>
    <definedName name="eeeeee" localSheetId="22" hidden="1">{#N/A,#N/A,FALSE,"MAIN";#N/A,#N/A,FALSE,"MK_ASS_B";#N/A,#N/A,FALSE,"MK_ASS_R";#N/A,#N/A,FALSE,"TR_ASS_B";#N/A,#N/A,FALSE,"TR_ASS_R";#N/A,#N/A,FALSE,"ROAMING";#N/A,#N/A,FALSE,"PR_ASS_B";#N/A,#N/A,FALSE,"PR_ASS_R";#N/A,#N/A,FALSE,"PR_ASS_S"}</definedName>
    <definedName name="eeeeee" localSheetId="24" hidden="1">{#N/A,#N/A,FALSE,"MAIN";#N/A,#N/A,FALSE,"MK_ASS_B";#N/A,#N/A,FALSE,"MK_ASS_R";#N/A,#N/A,FALSE,"TR_ASS_B";#N/A,#N/A,FALSE,"TR_ASS_R";#N/A,#N/A,FALSE,"ROAMING";#N/A,#N/A,FALSE,"PR_ASS_B";#N/A,#N/A,FALSE,"PR_ASS_R";#N/A,#N/A,FALSE,"PR_ASS_S"}</definedName>
    <definedName name="eeeeee" localSheetId="26" hidden="1">{#N/A,#N/A,FALSE,"MAIN";#N/A,#N/A,FALSE,"MK_ASS_B";#N/A,#N/A,FALSE,"MK_ASS_R";#N/A,#N/A,FALSE,"TR_ASS_B";#N/A,#N/A,FALSE,"TR_ASS_R";#N/A,#N/A,FALSE,"ROAMING";#N/A,#N/A,FALSE,"PR_ASS_B";#N/A,#N/A,FALSE,"PR_ASS_R";#N/A,#N/A,FALSE,"PR_ASS_S"}</definedName>
    <definedName name="eeeeee" localSheetId="28" hidden="1">{#N/A,#N/A,FALSE,"MAIN";#N/A,#N/A,FALSE,"MK_ASS_B";#N/A,#N/A,FALSE,"MK_ASS_R";#N/A,#N/A,FALSE,"TR_ASS_B";#N/A,#N/A,FALSE,"TR_ASS_R";#N/A,#N/A,FALSE,"ROAMING";#N/A,#N/A,FALSE,"PR_ASS_B";#N/A,#N/A,FALSE,"PR_ASS_R";#N/A,#N/A,FALSE,"PR_ASS_S"}</definedName>
    <definedName name="eeeeee" localSheetId="30" hidden="1">{#N/A,#N/A,FALSE,"MAIN";#N/A,#N/A,FALSE,"MK_ASS_B";#N/A,#N/A,FALSE,"MK_ASS_R";#N/A,#N/A,FALSE,"TR_ASS_B";#N/A,#N/A,FALSE,"TR_ASS_R";#N/A,#N/A,FALSE,"ROAMING";#N/A,#N/A,FALSE,"PR_ASS_B";#N/A,#N/A,FALSE,"PR_ASS_R";#N/A,#N/A,FALSE,"PR_ASS_S"}</definedName>
    <definedName name="eeeeee" localSheetId="32" hidden="1">{#N/A,#N/A,FALSE,"MAIN";#N/A,#N/A,FALSE,"MK_ASS_B";#N/A,#N/A,FALSE,"MK_ASS_R";#N/A,#N/A,FALSE,"TR_ASS_B";#N/A,#N/A,FALSE,"TR_ASS_R";#N/A,#N/A,FALSE,"ROAMING";#N/A,#N/A,FALSE,"PR_ASS_B";#N/A,#N/A,FALSE,"PR_ASS_R";#N/A,#N/A,FALSE,"PR_ASS_S"}</definedName>
    <definedName name="eeeeee" localSheetId="34" hidden="1">{#N/A,#N/A,FALSE,"MAIN";#N/A,#N/A,FALSE,"MK_ASS_B";#N/A,#N/A,FALSE,"MK_ASS_R";#N/A,#N/A,FALSE,"TR_ASS_B";#N/A,#N/A,FALSE,"TR_ASS_R";#N/A,#N/A,FALSE,"ROAMING";#N/A,#N/A,FALSE,"PR_ASS_B";#N/A,#N/A,FALSE,"PR_ASS_R";#N/A,#N/A,FALSE,"PR_ASS_S"}</definedName>
    <definedName name="eeeeee" localSheetId="36" hidden="1">{#N/A,#N/A,FALSE,"MAIN";#N/A,#N/A,FALSE,"MK_ASS_B";#N/A,#N/A,FALSE,"MK_ASS_R";#N/A,#N/A,FALSE,"TR_ASS_B";#N/A,#N/A,FALSE,"TR_ASS_R";#N/A,#N/A,FALSE,"ROAMING";#N/A,#N/A,FALSE,"PR_ASS_B";#N/A,#N/A,FALSE,"PR_ASS_R";#N/A,#N/A,FALSE,"PR_ASS_S"}</definedName>
    <definedName name="eeeeee" localSheetId="38" hidden="1">{#N/A,#N/A,FALSE,"MAIN";#N/A,#N/A,FALSE,"MK_ASS_B";#N/A,#N/A,FALSE,"MK_ASS_R";#N/A,#N/A,FALSE,"TR_ASS_B";#N/A,#N/A,FALSE,"TR_ASS_R";#N/A,#N/A,FALSE,"ROAMING";#N/A,#N/A,FALSE,"PR_ASS_B";#N/A,#N/A,FALSE,"PR_ASS_R";#N/A,#N/A,FALSE,"PR_ASS_S"}</definedName>
    <definedName name="eeeeee" hidden="1">{#N/A,#N/A,FALSE,"MAIN";#N/A,#N/A,FALSE,"MK_ASS_B";#N/A,#N/A,FALSE,"MK_ASS_R";#N/A,#N/A,FALSE,"TR_ASS_B";#N/A,#N/A,FALSE,"TR_ASS_R";#N/A,#N/A,FALSE,"ROAMING";#N/A,#N/A,FALSE,"PR_ASS_B";#N/A,#N/A,FALSE,"PR_ASS_R";#N/A,#N/A,FALSE,"PR_ASS_S"}</definedName>
    <definedName name="eeeeeeeeeeeeee" localSheetId="3" hidden="1">{#N/A,#N/A,FALSE,"Colombo";#N/A,#N/A,FALSE,"Colata";#N/A,#N/A,FALSE,"Colombo + Colata"}</definedName>
    <definedName name="eeeeeeeeeeeeee" localSheetId="5" hidden="1">{#N/A,#N/A,FALSE,"Colombo";#N/A,#N/A,FALSE,"Colata";#N/A,#N/A,FALSE,"Colombo + Colata"}</definedName>
    <definedName name="eeeeeeeeeeeeee" localSheetId="8" hidden="1">{#N/A,#N/A,FALSE,"Colombo";#N/A,#N/A,FALSE,"Colata";#N/A,#N/A,FALSE,"Colombo + Colata"}</definedName>
    <definedName name="eeeeeeeeeeeeee" localSheetId="10" hidden="1">{#N/A,#N/A,FALSE,"Colombo";#N/A,#N/A,FALSE,"Colata";#N/A,#N/A,FALSE,"Colombo + Colata"}</definedName>
    <definedName name="eeeeeeeeeeeeee" localSheetId="12" hidden="1">{#N/A,#N/A,FALSE,"Colombo";#N/A,#N/A,FALSE,"Colata";#N/A,#N/A,FALSE,"Colombo + Colata"}</definedName>
    <definedName name="eeeeeeeeeeeeee" localSheetId="14" hidden="1">{#N/A,#N/A,FALSE,"Colombo";#N/A,#N/A,FALSE,"Colata";#N/A,#N/A,FALSE,"Colombo + Colata"}</definedName>
    <definedName name="eeeeeeeeeeeeee" localSheetId="16" hidden="1">{#N/A,#N/A,FALSE,"Colombo";#N/A,#N/A,FALSE,"Colata";#N/A,#N/A,FALSE,"Colombo + Colata"}</definedName>
    <definedName name="eeeeeeeeeeeeee" localSheetId="22" hidden="1">{#N/A,#N/A,FALSE,"Colombo";#N/A,#N/A,FALSE,"Colata";#N/A,#N/A,FALSE,"Colombo + Colata"}</definedName>
    <definedName name="eeeeeeeeeeeeee" localSheetId="24" hidden="1">{#N/A,#N/A,FALSE,"Colombo";#N/A,#N/A,FALSE,"Colata";#N/A,#N/A,FALSE,"Colombo + Colata"}</definedName>
    <definedName name="eeeeeeeeeeeeee" localSheetId="26" hidden="1">{#N/A,#N/A,FALSE,"Colombo";#N/A,#N/A,FALSE,"Colata";#N/A,#N/A,FALSE,"Colombo + Colata"}</definedName>
    <definedName name="eeeeeeeeeeeeee" localSheetId="28" hidden="1">{#N/A,#N/A,FALSE,"Colombo";#N/A,#N/A,FALSE,"Colata";#N/A,#N/A,FALSE,"Colombo + Colata"}</definedName>
    <definedName name="eeeeeeeeeeeeee" localSheetId="30" hidden="1">{#N/A,#N/A,FALSE,"Colombo";#N/A,#N/A,FALSE,"Colata";#N/A,#N/A,FALSE,"Colombo + Colata"}</definedName>
    <definedName name="eeeeeeeeeeeeee" localSheetId="32" hidden="1">{#N/A,#N/A,FALSE,"Colombo";#N/A,#N/A,FALSE,"Colata";#N/A,#N/A,FALSE,"Colombo + Colata"}</definedName>
    <definedName name="eeeeeeeeeeeeee" localSheetId="34" hidden="1">{#N/A,#N/A,FALSE,"Colombo";#N/A,#N/A,FALSE,"Colata";#N/A,#N/A,FALSE,"Colombo + Colata"}</definedName>
    <definedName name="eeeeeeeeeeeeee" localSheetId="36" hidden="1">{#N/A,#N/A,FALSE,"Colombo";#N/A,#N/A,FALSE,"Colata";#N/A,#N/A,FALSE,"Colombo + Colata"}</definedName>
    <definedName name="eeeeeeeeeeeeee" localSheetId="38" hidden="1">{#N/A,#N/A,FALSE,"Colombo";#N/A,#N/A,FALSE,"Colata";#N/A,#N/A,FALSE,"Colombo + Colata"}</definedName>
    <definedName name="eeeeeeeeeeeeee" hidden="1">{#N/A,#N/A,FALSE,"Colombo";#N/A,#N/A,FALSE,"Colata";#N/A,#N/A,FALSE,"Colombo + Colata"}</definedName>
    <definedName name="eeeeeeeeeeeeeeee" localSheetId="3" hidden="1">{#N/A,#N/A,TRUE,"Main Issues";#N/A,#N/A,TRUE,"Income statement ($)"}</definedName>
    <definedName name="eeeeeeeeeeeeeeee" localSheetId="5" hidden="1">{#N/A,#N/A,TRUE,"Main Issues";#N/A,#N/A,TRUE,"Income statement ($)"}</definedName>
    <definedName name="eeeeeeeeeeeeeeee" localSheetId="8" hidden="1">{#N/A,#N/A,TRUE,"Main Issues";#N/A,#N/A,TRUE,"Income statement ($)"}</definedName>
    <definedName name="eeeeeeeeeeeeeeee" localSheetId="10" hidden="1">{#N/A,#N/A,TRUE,"Main Issues";#N/A,#N/A,TRUE,"Income statement ($)"}</definedName>
    <definedName name="eeeeeeeeeeeeeeee" localSheetId="12" hidden="1">{#N/A,#N/A,TRUE,"Main Issues";#N/A,#N/A,TRUE,"Income statement ($)"}</definedName>
    <definedName name="eeeeeeeeeeeeeeee" localSheetId="14" hidden="1">{#N/A,#N/A,TRUE,"Main Issues";#N/A,#N/A,TRUE,"Income statement ($)"}</definedName>
    <definedName name="eeeeeeeeeeeeeeee" localSheetId="16" hidden="1">{#N/A,#N/A,TRUE,"Main Issues";#N/A,#N/A,TRUE,"Income statement ($)"}</definedName>
    <definedName name="eeeeeeeeeeeeeeee" localSheetId="22" hidden="1">{#N/A,#N/A,TRUE,"Main Issues";#N/A,#N/A,TRUE,"Income statement ($)"}</definedName>
    <definedName name="eeeeeeeeeeeeeeee" localSheetId="24" hidden="1">{#N/A,#N/A,TRUE,"Main Issues";#N/A,#N/A,TRUE,"Income statement ($)"}</definedName>
    <definedName name="eeeeeeeeeeeeeeee" localSheetId="26" hidden="1">{#N/A,#N/A,TRUE,"Main Issues";#N/A,#N/A,TRUE,"Income statement ($)"}</definedName>
    <definedName name="eeeeeeeeeeeeeeee" localSheetId="28" hidden="1">{#N/A,#N/A,TRUE,"Main Issues";#N/A,#N/A,TRUE,"Income statement ($)"}</definedName>
    <definedName name="eeeeeeeeeeeeeeee" localSheetId="30" hidden="1">{#N/A,#N/A,TRUE,"Main Issues";#N/A,#N/A,TRUE,"Income statement ($)"}</definedName>
    <definedName name="eeeeeeeeeeeeeeee" localSheetId="32" hidden="1">{#N/A,#N/A,TRUE,"Main Issues";#N/A,#N/A,TRUE,"Income statement ($)"}</definedName>
    <definedName name="eeeeeeeeeeeeeeee" localSheetId="34" hidden="1">{#N/A,#N/A,TRUE,"Main Issues";#N/A,#N/A,TRUE,"Income statement ($)"}</definedName>
    <definedName name="eeeeeeeeeeeeeeee" localSheetId="36" hidden="1">{#N/A,#N/A,TRUE,"Main Issues";#N/A,#N/A,TRUE,"Income statement ($)"}</definedName>
    <definedName name="eeeeeeeeeeeeeeee" localSheetId="38" hidden="1">{#N/A,#N/A,TRUE,"Main Issues";#N/A,#N/A,TRUE,"Income statement ($)"}</definedName>
    <definedName name="eeeeeeeeeeeeeeee" hidden="1">{#N/A,#N/A,TRUE,"Main Issues";#N/A,#N/A,TRUE,"Income statement ($)"}</definedName>
    <definedName name="eeeeeeeeeeeeeeeeeeee" localSheetId="3" hidden="1">{#N/A,#N/A,TRUE,"Main Issues";#N/A,#N/A,TRUE,"Income statement ($)"}</definedName>
    <definedName name="eeeeeeeeeeeeeeeeeeee" localSheetId="5" hidden="1">{#N/A,#N/A,TRUE,"Main Issues";#N/A,#N/A,TRUE,"Income statement ($)"}</definedName>
    <definedName name="eeeeeeeeeeeeeeeeeeee" localSheetId="8" hidden="1">{#N/A,#N/A,TRUE,"Main Issues";#N/A,#N/A,TRUE,"Income statement ($)"}</definedName>
    <definedName name="eeeeeeeeeeeeeeeeeeee" localSheetId="10" hidden="1">{#N/A,#N/A,TRUE,"Main Issues";#N/A,#N/A,TRUE,"Income statement ($)"}</definedName>
    <definedName name="eeeeeeeeeeeeeeeeeeee" localSheetId="12" hidden="1">{#N/A,#N/A,TRUE,"Main Issues";#N/A,#N/A,TRUE,"Income statement ($)"}</definedName>
    <definedName name="eeeeeeeeeeeeeeeeeeee" localSheetId="14" hidden="1">{#N/A,#N/A,TRUE,"Main Issues";#N/A,#N/A,TRUE,"Income statement ($)"}</definedName>
    <definedName name="eeeeeeeeeeeeeeeeeeee" localSheetId="16" hidden="1">{#N/A,#N/A,TRUE,"Main Issues";#N/A,#N/A,TRUE,"Income statement ($)"}</definedName>
    <definedName name="eeeeeeeeeeeeeeeeeeee" localSheetId="22" hidden="1">{#N/A,#N/A,TRUE,"Main Issues";#N/A,#N/A,TRUE,"Income statement ($)"}</definedName>
    <definedName name="eeeeeeeeeeeeeeeeeeee" localSheetId="24" hidden="1">{#N/A,#N/A,TRUE,"Main Issues";#N/A,#N/A,TRUE,"Income statement ($)"}</definedName>
    <definedName name="eeeeeeeeeeeeeeeeeeee" localSheetId="26" hidden="1">{#N/A,#N/A,TRUE,"Main Issues";#N/A,#N/A,TRUE,"Income statement ($)"}</definedName>
    <definedName name="eeeeeeeeeeeeeeeeeeee" localSheetId="28" hidden="1">{#N/A,#N/A,TRUE,"Main Issues";#N/A,#N/A,TRUE,"Income statement ($)"}</definedName>
    <definedName name="eeeeeeeeeeeeeeeeeeee" localSheetId="30" hidden="1">{#N/A,#N/A,TRUE,"Main Issues";#N/A,#N/A,TRUE,"Income statement ($)"}</definedName>
    <definedName name="eeeeeeeeeeeeeeeeeeee" localSheetId="32" hidden="1">{#N/A,#N/A,TRUE,"Main Issues";#N/A,#N/A,TRUE,"Income statement ($)"}</definedName>
    <definedName name="eeeeeeeeeeeeeeeeeeee" localSheetId="34" hidden="1">{#N/A,#N/A,TRUE,"Main Issues";#N/A,#N/A,TRUE,"Income statement ($)"}</definedName>
    <definedName name="eeeeeeeeeeeeeeeeeeee" localSheetId="36" hidden="1">{#N/A,#N/A,TRUE,"Main Issues";#N/A,#N/A,TRUE,"Income statement ($)"}</definedName>
    <definedName name="eeeeeeeeeeeeeeeeeeee" localSheetId="38" hidden="1">{#N/A,#N/A,TRUE,"Main Issues";#N/A,#N/A,TRUE,"Income statement ($)"}</definedName>
    <definedName name="eeeeeeeeeeeeeeeeeeee" hidden="1">{#N/A,#N/A,TRUE,"Main Issues";#N/A,#N/A,TRUE,"Income statement ($)"}</definedName>
    <definedName name="EETable">#REF!</definedName>
    <definedName name="ef" localSheetId="3" hidden="1">{"AnnInc",#N/A,TRUE,"Inc";"QtrInc1",#N/A,TRUE,"Inc";"Balance",#N/A,TRUE,"Bal";"Cflow",#N/A,TRUE,"Cash"}</definedName>
    <definedName name="ef" localSheetId="5" hidden="1">{"AnnInc",#N/A,TRUE,"Inc";"QtrInc1",#N/A,TRUE,"Inc";"Balance",#N/A,TRUE,"Bal";"Cflow",#N/A,TRUE,"Cash"}</definedName>
    <definedName name="ef" localSheetId="8" hidden="1">{"AnnInc",#N/A,TRUE,"Inc";"QtrInc1",#N/A,TRUE,"Inc";"Balance",#N/A,TRUE,"Bal";"Cflow",#N/A,TRUE,"Cash"}</definedName>
    <definedName name="ef" localSheetId="10" hidden="1">{"AnnInc",#N/A,TRUE,"Inc";"QtrInc1",#N/A,TRUE,"Inc";"Balance",#N/A,TRUE,"Bal";"Cflow",#N/A,TRUE,"Cash"}</definedName>
    <definedName name="ef" localSheetId="12" hidden="1">{"AnnInc",#N/A,TRUE,"Inc";"QtrInc1",#N/A,TRUE,"Inc";"Balance",#N/A,TRUE,"Bal";"Cflow",#N/A,TRUE,"Cash"}</definedName>
    <definedName name="ef" localSheetId="14" hidden="1">{"AnnInc",#N/A,TRUE,"Inc";"QtrInc1",#N/A,TRUE,"Inc";"Balance",#N/A,TRUE,"Bal";"Cflow",#N/A,TRUE,"Cash"}</definedName>
    <definedName name="ef" localSheetId="16" hidden="1">{"AnnInc",#N/A,TRUE,"Inc";"QtrInc1",#N/A,TRUE,"Inc";"Balance",#N/A,TRUE,"Bal";"Cflow",#N/A,TRUE,"Cash"}</definedName>
    <definedName name="ef" localSheetId="22" hidden="1">{"AnnInc",#N/A,TRUE,"Inc";"QtrInc1",#N/A,TRUE,"Inc";"Balance",#N/A,TRUE,"Bal";"Cflow",#N/A,TRUE,"Cash"}</definedName>
    <definedName name="ef" localSheetId="24" hidden="1">{"AnnInc",#N/A,TRUE,"Inc";"QtrInc1",#N/A,TRUE,"Inc";"Balance",#N/A,TRUE,"Bal";"Cflow",#N/A,TRUE,"Cash"}</definedName>
    <definedName name="ef" localSheetId="26" hidden="1">{"AnnInc",#N/A,TRUE,"Inc";"QtrInc1",#N/A,TRUE,"Inc";"Balance",#N/A,TRUE,"Bal";"Cflow",#N/A,TRUE,"Cash"}</definedName>
    <definedName name="ef" localSheetId="28" hidden="1">{"AnnInc",#N/A,TRUE,"Inc";"QtrInc1",#N/A,TRUE,"Inc";"Balance",#N/A,TRUE,"Bal";"Cflow",#N/A,TRUE,"Cash"}</definedName>
    <definedName name="ef" localSheetId="30" hidden="1">{"AnnInc",#N/A,TRUE,"Inc";"QtrInc1",#N/A,TRUE,"Inc";"Balance",#N/A,TRUE,"Bal";"Cflow",#N/A,TRUE,"Cash"}</definedName>
    <definedName name="ef" localSheetId="32" hidden="1">{"AnnInc",#N/A,TRUE,"Inc";"QtrInc1",#N/A,TRUE,"Inc";"Balance",#N/A,TRUE,"Bal";"Cflow",#N/A,TRUE,"Cash"}</definedName>
    <definedName name="ef" localSheetId="34" hidden="1">{"AnnInc",#N/A,TRUE,"Inc";"QtrInc1",#N/A,TRUE,"Inc";"Balance",#N/A,TRUE,"Bal";"Cflow",#N/A,TRUE,"Cash"}</definedName>
    <definedName name="ef" localSheetId="36" hidden="1">{"AnnInc",#N/A,TRUE,"Inc";"QtrInc1",#N/A,TRUE,"Inc";"Balance",#N/A,TRUE,"Bal";"Cflow",#N/A,TRUE,"Cash"}</definedName>
    <definedName name="ef" localSheetId="38" hidden="1">{"AnnInc",#N/A,TRUE,"Inc";"QtrInc1",#N/A,TRUE,"Inc";"Balance",#N/A,TRUE,"Bal";"Cflow",#N/A,TRUE,"Cash"}</definedName>
    <definedName name="ef" hidden="1">{"AnnInc",#N/A,TRUE,"Inc";"QtrInc1",#N/A,TRUE,"Inc";"Balance",#N/A,TRUE,"Bal";"Cflow",#N/A,TRUE,"Cash"}</definedName>
    <definedName name="ef_k" localSheetId="3" hidden="1">{"AnnInc",#N/A,TRUE,"Inc";"QtrInc1",#N/A,TRUE,"Inc";"Balance",#N/A,TRUE,"Bal";"Cflow",#N/A,TRUE,"Cash"}</definedName>
    <definedName name="ef_k" localSheetId="5" hidden="1">{"AnnInc",#N/A,TRUE,"Inc";"QtrInc1",#N/A,TRUE,"Inc";"Balance",#N/A,TRUE,"Bal";"Cflow",#N/A,TRUE,"Cash"}</definedName>
    <definedName name="ef_k" localSheetId="8" hidden="1">{"AnnInc",#N/A,TRUE,"Inc";"QtrInc1",#N/A,TRUE,"Inc";"Balance",#N/A,TRUE,"Bal";"Cflow",#N/A,TRUE,"Cash"}</definedName>
    <definedName name="ef_k" localSheetId="10" hidden="1">{"AnnInc",#N/A,TRUE,"Inc";"QtrInc1",#N/A,TRUE,"Inc";"Balance",#N/A,TRUE,"Bal";"Cflow",#N/A,TRUE,"Cash"}</definedName>
    <definedName name="ef_k" localSheetId="12" hidden="1">{"AnnInc",#N/A,TRUE,"Inc";"QtrInc1",#N/A,TRUE,"Inc";"Balance",#N/A,TRUE,"Bal";"Cflow",#N/A,TRUE,"Cash"}</definedName>
    <definedName name="ef_k" localSheetId="14" hidden="1">{"AnnInc",#N/A,TRUE,"Inc";"QtrInc1",#N/A,TRUE,"Inc";"Balance",#N/A,TRUE,"Bal";"Cflow",#N/A,TRUE,"Cash"}</definedName>
    <definedName name="ef_k" localSheetId="16" hidden="1">{"AnnInc",#N/A,TRUE,"Inc";"QtrInc1",#N/A,TRUE,"Inc";"Balance",#N/A,TRUE,"Bal";"Cflow",#N/A,TRUE,"Cash"}</definedName>
    <definedName name="ef_k" localSheetId="22" hidden="1">{"AnnInc",#N/A,TRUE,"Inc";"QtrInc1",#N/A,TRUE,"Inc";"Balance",#N/A,TRUE,"Bal";"Cflow",#N/A,TRUE,"Cash"}</definedName>
    <definedName name="ef_k" localSheetId="24" hidden="1">{"AnnInc",#N/A,TRUE,"Inc";"QtrInc1",#N/A,TRUE,"Inc";"Balance",#N/A,TRUE,"Bal";"Cflow",#N/A,TRUE,"Cash"}</definedName>
    <definedName name="ef_k" localSheetId="26" hidden="1">{"AnnInc",#N/A,TRUE,"Inc";"QtrInc1",#N/A,TRUE,"Inc";"Balance",#N/A,TRUE,"Bal";"Cflow",#N/A,TRUE,"Cash"}</definedName>
    <definedName name="ef_k" localSheetId="28" hidden="1">{"AnnInc",#N/A,TRUE,"Inc";"QtrInc1",#N/A,TRUE,"Inc";"Balance",#N/A,TRUE,"Bal";"Cflow",#N/A,TRUE,"Cash"}</definedName>
    <definedName name="ef_k" localSheetId="30" hidden="1">{"AnnInc",#N/A,TRUE,"Inc";"QtrInc1",#N/A,TRUE,"Inc";"Balance",#N/A,TRUE,"Bal";"Cflow",#N/A,TRUE,"Cash"}</definedName>
    <definedName name="ef_k" localSheetId="32" hidden="1">{"AnnInc",#N/A,TRUE,"Inc";"QtrInc1",#N/A,TRUE,"Inc";"Balance",#N/A,TRUE,"Bal";"Cflow",#N/A,TRUE,"Cash"}</definedName>
    <definedName name="ef_k" localSheetId="34" hidden="1">{"AnnInc",#N/A,TRUE,"Inc";"QtrInc1",#N/A,TRUE,"Inc";"Balance",#N/A,TRUE,"Bal";"Cflow",#N/A,TRUE,"Cash"}</definedName>
    <definedName name="ef_k" localSheetId="36" hidden="1">{"AnnInc",#N/A,TRUE,"Inc";"QtrInc1",#N/A,TRUE,"Inc";"Balance",#N/A,TRUE,"Bal";"Cflow",#N/A,TRUE,"Cash"}</definedName>
    <definedName name="ef_k" localSheetId="38" hidden="1">{"AnnInc",#N/A,TRUE,"Inc";"QtrInc1",#N/A,TRUE,"Inc";"Balance",#N/A,TRUE,"Bal";"Cflow",#N/A,TRUE,"Cash"}</definedName>
    <definedName name="ef_k" hidden="1">{"AnnInc",#N/A,TRUE,"Inc";"QtrInc1",#N/A,TRUE,"Inc";"Balance",#N/A,TRUE,"Bal";"Cflow",#N/A,TRUE,"Cash"}</definedName>
    <definedName name="Efficiency">#REF!</definedName>
    <definedName name="Email">#REF!</definedName>
    <definedName name="End_Bal">#REF!</definedName>
    <definedName name="EndCellDate">#REF!</definedName>
    <definedName name="Entity">#REF!</definedName>
    <definedName name="Entity_no">#REF!</definedName>
    <definedName name="Entries">#REF!</definedName>
    <definedName name="EPMWorkbookOptions_1" hidden="1">"SAEAAB|LCAAAAAAABACF0D0PgjAQBuDdxP/QdIeCJg6Ej0FHDUYGXSscHwGupK2Uny|SYAIOru89l8u9fjS0DelBqkpgQF3boQQwFVmFRUBfOrfcA43C7ca/C1k/hajjTo9UkXEPlTeoLKCl1p3HmDHGNntbyILtHMdlj8s5SUtoOf3i6j|2KlSaYwp0vEqIf4NcgipjjDvAMOeNAp8tw8kdG|DyxDWPMeE9zHIdT3b|5SqFhlRDNuvfwdKbjLB"</definedName>
    <definedName name="EPMWorkbookOptions_2" hidden="1">"PGWzVRvgGHz0sU0gBAAA="</definedName>
    <definedName name="eqw" localSheetId="3" hidden="1">{"NOPCAPEVA",#N/A,FALSE,"Nopat";"FCFCSTAR",#N/A,FALSE,"FCFVAL";"EVAVL",#N/A,FALSE,"EVAVAL";"LEASE",#N/A,FALSE,"OpLease"}</definedName>
    <definedName name="eqw" localSheetId="5" hidden="1">{"NOPCAPEVA",#N/A,FALSE,"Nopat";"FCFCSTAR",#N/A,FALSE,"FCFVAL";"EVAVL",#N/A,FALSE,"EVAVAL";"LEASE",#N/A,FALSE,"OpLease"}</definedName>
    <definedName name="eqw" localSheetId="8" hidden="1">{"NOPCAPEVA",#N/A,FALSE,"Nopat";"FCFCSTAR",#N/A,FALSE,"FCFVAL";"EVAVL",#N/A,FALSE,"EVAVAL";"LEASE",#N/A,FALSE,"OpLease"}</definedName>
    <definedName name="eqw" localSheetId="10" hidden="1">{"NOPCAPEVA",#N/A,FALSE,"Nopat";"FCFCSTAR",#N/A,FALSE,"FCFVAL";"EVAVL",#N/A,FALSE,"EVAVAL";"LEASE",#N/A,FALSE,"OpLease"}</definedName>
    <definedName name="eqw" localSheetId="12" hidden="1">{"NOPCAPEVA",#N/A,FALSE,"Nopat";"FCFCSTAR",#N/A,FALSE,"FCFVAL";"EVAVL",#N/A,FALSE,"EVAVAL";"LEASE",#N/A,FALSE,"OpLease"}</definedName>
    <definedName name="eqw" localSheetId="14" hidden="1">{"NOPCAPEVA",#N/A,FALSE,"Nopat";"FCFCSTAR",#N/A,FALSE,"FCFVAL";"EVAVL",#N/A,FALSE,"EVAVAL";"LEASE",#N/A,FALSE,"OpLease"}</definedName>
    <definedName name="eqw" localSheetId="16" hidden="1">{"NOPCAPEVA",#N/A,FALSE,"Nopat";"FCFCSTAR",#N/A,FALSE,"FCFVAL";"EVAVL",#N/A,FALSE,"EVAVAL";"LEASE",#N/A,FALSE,"OpLease"}</definedName>
    <definedName name="eqw" localSheetId="22" hidden="1">{"NOPCAPEVA",#N/A,FALSE,"Nopat";"FCFCSTAR",#N/A,FALSE,"FCFVAL";"EVAVL",#N/A,FALSE,"EVAVAL";"LEASE",#N/A,FALSE,"OpLease"}</definedName>
    <definedName name="eqw" localSheetId="24" hidden="1">{"NOPCAPEVA",#N/A,FALSE,"Nopat";"FCFCSTAR",#N/A,FALSE,"FCFVAL";"EVAVL",#N/A,FALSE,"EVAVAL";"LEASE",#N/A,FALSE,"OpLease"}</definedName>
    <definedName name="eqw" localSheetId="26" hidden="1">{"NOPCAPEVA",#N/A,FALSE,"Nopat";"FCFCSTAR",#N/A,FALSE,"FCFVAL";"EVAVL",#N/A,FALSE,"EVAVAL";"LEASE",#N/A,FALSE,"OpLease"}</definedName>
    <definedName name="eqw" localSheetId="28" hidden="1">{"NOPCAPEVA",#N/A,FALSE,"Nopat";"FCFCSTAR",#N/A,FALSE,"FCFVAL";"EVAVL",#N/A,FALSE,"EVAVAL";"LEASE",#N/A,FALSE,"OpLease"}</definedName>
    <definedName name="eqw" localSheetId="30" hidden="1">{"NOPCAPEVA",#N/A,FALSE,"Nopat";"FCFCSTAR",#N/A,FALSE,"FCFVAL";"EVAVL",#N/A,FALSE,"EVAVAL";"LEASE",#N/A,FALSE,"OpLease"}</definedName>
    <definedName name="eqw" localSheetId="32" hidden="1">{"NOPCAPEVA",#N/A,FALSE,"Nopat";"FCFCSTAR",#N/A,FALSE,"FCFVAL";"EVAVL",#N/A,FALSE,"EVAVAL";"LEASE",#N/A,FALSE,"OpLease"}</definedName>
    <definedName name="eqw" localSheetId="34" hidden="1">{"NOPCAPEVA",#N/A,FALSE,"Nopat";"FCFCSTAR",#N/A,FALSE,"FCFVAL";"EVAVL",#N/A,FALSE,"EVAVAL";"LEASE",#N/A,FALSE,"OpLease"}</definedName>
    <definedName name="eqw" localSheetId="36" hidden="1">{"NOPCAPEVA",#N/A,FALSE,"Nopat";"FCFCSTAR",#N/A,FALSE,"FCFVAL";"EVAVL",#N/A,FALSE,"EVAVAL";"LEASE",#N/A,FALSE,"OpLease"}</definedName>
    <definedName name="eqw" localSheetId="38" hidden="1">{"NOPCAPEVA",#N/A,FALSE,"Nopat";"FCFCSTAR",#N/A,FALSE,"FCFVAL";"EVAVL",#N/A,FALSE,"EVAVAL";"LEASE",#N/A,FALSE,"OpLease"}</definedName>
    <definedName name="eqw" hidden="1">{"NOPCAPEVA",#N/A,FALSE,"Nopat";"FCFCSTAR",#N/A,FALSE,"FCFVAL";"EVAVL",#N/A,FALSE,"EVAVAL";"LEASE",#N/A,FALSE,"OpLease"}</definedName>
    <definedName name="erg" localSheetId="3" hidden="1">{"NOPCAPEVA",#N/A,FALSE,"Nopat";"FCFCSTAR",#N/A,FALSE,"FCFVAL";"EVAVL",#N/A,FALSE,"EVAVAL";"LEASE",#N/A,FALSE,"OpLease"}</definedName>
    <definedName name="erg" localSheetId="5" hidden="1">{"NOPCAPEVA",#N/A,FALSE,"Nopat";"FCFCSTAR",#N/A,FALSE,"FCFVAL";"EVAVL",#N/A,FALSE,"EVAVAL";"LEASE",#N/A,FALSE,"OpLease"}</definedName>
    <definedName name="erg" localSheetId="8" hidden="1">{"NOPCAPEVA",#N/A,FALSE,"Nopat";"FCFCSTAR",#N/A,FALSE,"FCFVAL";"EVAVL",#N/A,FALSE,"EVAVAL";"LEASE",#N/A,FALSE,"OpLease"}</definedName>
    <definedName name="erg" localSheetId="10" hidden="1">{"NOPCAPEVA",#N/A,FALSE,"Nopat";"FCFCSTAR",#N/A,FALSE,"FCFVAL";"EVAVL",#N/A,FALSE,"EVAVAL";"LEASE",#N/A,FALSE,"OpLease"}</definedName>
    <definedName name="erg" localSheetId="12" hidden="1">{"NOPCAPEVA",#N/A,FALSE,"Nopat";"FCFCSTAR",#N/A,FALSE,"FCFVAL";"EVAVL",#N/A,FALSE,"EVAVAL";"LEASE",#N/A,FALSE,"OpLease"}</definedName>
    <definedName name="erg" localSheetId="14" hidden="1">{"NOPCAPEVA",#N/A,FALSE,"Nopat";"FCFCSTAR",#N/A,FALSE,"FCFVAL";"EVAVL",#N/A,FALSE,"EVAVAL";"LEASE",#N/A,FALSE,"OpLease"}</definedName>
    <definedName name="erg" localSheetId="16" hidden="1">{"NOPCAPEVA",#N/A,FALSE,"Nopat";"FCFCSTAR",#N/A,FALSE,"FCFVAL";"EVAVL",#N/A,FALSE,"EVAVAL";"LEASE",#N/A,FALSE,"OpLease"}</definedName>
    <definedName name="erg" localSheetId="22" hidden="1">{"NOPCAPEVA",#N/A,FALSE,"Nopat";"FCFCSTAR",#N/A,FALSE,"FCFVAL";"EVAVL",#N/A,FALSE,"EVAVAL";"LEASE",#N/A,FALSE,"OpLease"}</definedName>
    <definedName name="erg" localSheetId="24" hidden="1">{"NOPCAPEVA",#N/A,FALSE,"Nopat";"FCFCSTAR",#N/A,FALSE,"FCFVAL";"EVAVL",#N/A,FALSE,"EVAVAL";"LEASE",#N/A,FALSE,"OpLease"}</definedName>
    <definedName name="erg" localSheetId="26" hidden="1">{"NOPCAPEVA",#N/A,FALSE,"Nopat";"FCFCSTAR",#N/A,FALSE,"FCFVAL";"EVAVL",#N/A,FALSE,"EVAVAL";"LEASE",#N/A,FALSE,"OpLease"}</definedName>
    <definedName name="erg" localSheetId="28" hidden="1">{"NOPCAPEVA",#N/A,FALSE,"Nopat";"FCFCSTAR",#N/A,FALSE,"FCFVAL";"EVAVL",#N/A,FALSE,"EVAVAL";"LEASE",#N/A,FALSE,"OpLease"}</definedName>
    <definedName name="erg" localSheetId="30" hidden="1">{"NOPCAPEVA",#N/A,FALSE,"Nopat";"FCFCSTAR",#N/A,FALSE,"FCFVAL";"EVAVL",#N/A,FALSE,"EVAVAL";"LEASE",#N/A,FALSE,"OpLease"}</definedName>
    <definedName name="erg" localSheetId="32" hidden="1">{"NOPCAPEVA",#N/A,FALSE,"Nopat";"FCFCSTAR",#N/A,FALSE,"FCFVAL";"EVAVL",#N/A,FALSE,"EVAVAL";"LEASE",#N/A,FALSE,"OpLease"}</definedName>
    <definedName name="erg" localSheetId="34" hidden="1">{"NOPCAPEVA",#N/A,FALSE,"Nopat";"FCFCSTAR",#N/A,FALSE,"FCFVAL";"EVAVL",#N/A,FALSE,"EVAVAL";"LEASE",#N/A,FALSE,"OpLease"}</definedName>
    <definedName name="erg" localSheetId="36" hidden="1">{"NOPCAPEVA",#N/A,FALSE,"Nopat";"FCFCSTAR",#N/A,FALSE,"FCFVAL";"EVAVL",#N/A,FALSE,"EVAVAL";"LEASE",#N/A,FALSE,"OpLease"}</definedName>
    <definedName name="erg" localSheetId="38" hidden="1">{"NOPCAPEVA",#N/A,FALSE,"Nopat";"FCFCSTAR",#N/A,FALSE,"FCFVAL";"EVAVL",#N/A,FALSE,"EVAVAL";"LEASE",#N/A,FALSE,"OpLease"}</definedName>
    <definedName name="erg" hidden="1">{"NOPCAPEVA",#N/A,FALSE,"Nopat";"FCFCSTAR",#N/A,FALSE,"FCFVAL";"EVAVL",#N/A,FALSE,"EVAVAL";"LEASE",#N/A,FALSE,"OpLease"}</definedName>
    <definedName name="erg_k" localSheetId="3" hidden="1">{"NOPCAPEVA",#N/A,FALSE,"Nopat";"FCFCSTAR",#N/A,FALSE,"FCFVAL";"EVAVL",#N/A,FALSE,"EVAVAL";"LEASE",#N/A,FALSE,"OpLease"}</definedName>
    <definedName name="erg_k" localSheetId="5" hidden="1">{"NOPCAPEVA",#N/A,FALSE,"Nopat";"FCFCSTAR",#N/A,FALSE,"FCFVAL";"EVAVL",#N/A,FALSE,"EVAVAL";"LEASE",#N/A,FALSE,"OpLease"}</definedName>
    <definedName name="erg_k" localSheetId="8" hidden="1">{"NOPCAPEVA",#N/A,FALSE,"Nopat";"FCFCSTAR",#N/A,FALSE,"FCFVAL";"EVAVL",#N/A,FALSE,"EVAVAL";"LEASE",#N/A,FALSE,"OpLease"}</definedName>
    <definedName name="erg_k" localSheetId="10" hidden="1">{"NOPCAPEVA",#N/A,FALSE,"Nopat";"FCFCSTAR",#N/A,FALSE,"FCFVAL";"EVAVL",#N/A,FALSE,"EVAVAL";"LEASE",#N/A,FALSE,"OpLease"}</definedName>
    <definedName name="erg_k" localSheetId="12" hidden="1">{"NOPCAPEVA",#N/A,FALSE,"Nopat";"FCFCSTAR",#N/A,FALSE,"FCFVAL";"EVAVL",#N/A,FALSE,"EVAVAL";"LEASE",#N/A,FALSE,"OpLease"}</definedName>
    <definedName name="erg_k" localSheetId="14" hidden="1">{"NOPCAPEVA",#N/A,FALSE,"Nopat";"FCFCSTAR",#N/A,FALSE,"FCFVAL";"EVAVL",#N/A,FALSE,"EVAVAL";"LEASE",#N/A,FALSE,"OpLease"}</definedName>
    <definedName name="erg_k" localSheetId="16" hidden="1">{"NOPCAPEVA",#N/A,FALSE,"Nopat";"FCFCSTAR",#N/A,FALSE,"FCFVAL";"EVAVL",#N/A,FALSE,"EVAVAL";"LEASE",#N/A,FALSE,"OpLease"}</definedName>
    <definedName name="erg_k" localSheetId="22" hidden="1">{"NOPCAPEVA",#N/A,FALSE,"Nopat";"FCFCSTAR",#N/A,FALSE,"FCFVAL";"EVAVL",#N/A,FALSE,"EVAVAL";"LEASE",#N/A,FALSE,"OpLease"}</definedName>
    <definedName name="erg_k" localSheetId="24" hidden="1">{"NOPCAPEVA",#N/A,FALSE,"Nopat";"FCFCSTAR",#N/A,FALSE,"FCFVAL";"EVAVL",#N/A,FALSE,"EVAVAL";"LEASE",#N/A,FALSE,"OpLease"}</definedName>
    <definedName name="erg_k" localSheetId="26" hidden="1">{"NOPCAPEVA",#N/A,FALSE,"Nopat";"FCFCSTAR",#N/A,FALSE,"FCFVAL";"EVAVL",#N/A,FALSE,"EVAVAL";"LEASE",#N/A,FALSE,"OpLease"}</definedName>
    <definedName name="erg_k" localSheetId="28" hidden="1">{"NOPCAPEVA",#N/A,FALSE,"Nopat";"FCFCSTAR",#N/A,FALSE,"FCFVAL";"EVAVL",#N/A,FALSE,"EVAVAL";"LEASE",#N/A,FALSE,"OpLease"}</definedName>
    <definedName name="erg_k" localSheetId="30" hidden="1">{"NOPCAPEVA",#N/A,FALSE,"Nopat";"FCFCSTAR",#N/A,FALSE,"FCFVAL";"EVAVL",#N/A,FALSE,"EVAVAL";"LEASE",#N/A,FALSE,"OpLease"}</definedName>
    <definedName name="erg_k" localSheetId="32" hidden="1">{"NOPCAPEVA",#N/A,FALSE,"Nopat";"FCFCSTAR",#N/A,FALSE,"FCFVAL";"EVAVL",#N/A,FALSE,"EVAVAL";"LEASE",#N/A,FALSE,"OpLease"}</definedName>
    <definedName name="erg_k" localSheetId="34" hidden="1">{"NOPCAPEVA",#N/A,FALSE,"Nopat";"FCFCSTAR",#N/A,FALSE,"FCFVAL";"EVAVL",#N/A,FALSE,"EVAVAL";"LEASE",#N/A,FALSE,"OpLease"}</definedName>
    <definedName name="erg_k" localSheetId="36" hidden="1">{"NOPCAPEVA",#N/A,FALSE,"Nopat";"FCFCSTAR",#N/A,FALSE,"FCFVAL";"EVAVL",#N/A,FALSE,"EVAVAL";"LEASE",#N/A,FALSE,"OpLease"}</definedName>
    <definedName name="erg_k" localSheetId="38" hidden="1">{"NOPCAPEVA",#N/A,FALSE,"Nopat";"FCFCSTAR",#N/A,FALSE,"FCFVAL";"EVAVL",#N/A,FALSE,"EVAVAL";"LEASE",#N/A,FALSE,"OpLease"}</definedName>
    <definedName name="erg_k" hidden="1">{"NOPCAPEVA",#N/A,FALSE,"Nopat";"FCFCSTAR",#N/A,FALSE,"FCFVAL";"EVAVL",#N/A,FALSE,"EVAVAL";"LEASE",#N/A,FALSE,"OpLease"}</definedName>
    <definedName name="Err_Box_AddSamp">#REF!</definedName>
    <definedName name="Err_Box_Rej">#REF!</definedName>
    <definedName name="Err_CellComments">#REF!</definedName>
    <definedName name="Err_SampErr">#REF!</definedName>
    <definedName name="erttt" localSheetId="3" hidden="1">{#N/A,#N/A,FALSE,"L. Zottola";#N/A,#N/A,FALSE,"M. Ruggi";#N/A,#N/A,FALSE,"M. Valenti";#N/A,#N/A,FALSE,"C. Mazza";#N/A,#N/A,FALSE,"G. Bellinzona";#N/A,#N/A,FALSE,"M. Carletti";#N/A,#N/A,FALSE,"P. Maresca";#N/A,#N/A,FALSE,"L. Tondi";#N/A,#N/A,FALSE,"M. Marani";#N/A,#N/A,FALSE,"R. Ruggerini";#N/A,#N/A,FALSE,"L. Liguori";#N/A,#N/A,FALSE,"D. Battistel"}</definedName>
    <definedName name="erttt" localSheetId="5" hidden="1">{#N/A,#N/A,FALSE,"L. Zottola";#N/A,#N/A,FALSE,"M. Ruggi";#N/A,#N/A,FALSE,"M. Valenti";#N/A,#N/A,FALSE,"C. Mazza";#N/A,#N/A,FALSE,"G. Bellinzona";#N/A,#N/A,FALSE,"M. Carletti";#N/A,#N/A,FALSE,"P. Maresca";#N/A,#N/A,FALSE,"L. Tondi";#N/A,#N/A,FALSE,"M. Marani";#N/A,#N/A,FALSE,"R. Ruggerini";#N/A,#N/A,FALSE,"L. Liguori";#N/A,#N/A,FALSE,"D. Battistel"}</definedName>
    <definedName name="erttt" localSheetId="8" hidden="1">{#N/A,#N/A,FALSE,"L. Zottola";#N/A,#N/A,FALSE,"M. Ruggi";#N/A,#N/A,FALSE,"M. Valenti";#N/A,#N/A,FALSE,"C. Mazza";#N/A,#N/A,FALSE,"G. Bellinzona";#N/A,#N/A,FALSE,"M. Carletti";#N/A,#N/A,FALSE,"P. Maresca";#N/A,#N/A,FALSE,"L. Tondi";#N/A,#N/A,FALSE,"M. Marani";#N/A,#N/A,FALSE,"R. Ruggerini";#N/A,#N/A,FALSE,"L. Liguori";#N/A,#N/A,FALSE,"D. Battistel"}</definedName>
    <definedName name="erttt" localSheetId="10" hidden="1">{#N/A,#N/A,FALSE,"L. Zottola";#N/A,#N/A,FALSE,"M. Ruggi";#N/A,#N/A,FALSE,"M. Valenti";#N/A,#N/A,FALSE,"C. Mazza";#N/A,#N/A,FALSE,"G. Bellinzona";#N/A,#N/A,FALSE,"M. Carletti";#N/A,#N/A,FALSE,"P. Maresca";#N/A,#N/A,FALSE,"L. Tondi";#N/A,#N/A,FALSE,"M. Marani";#N/A,#N/A,FALSE,"R. Ruggerini";#N/A,#N/A,FALSE,"L. Liguori";#N/A,#N/A,FALSE,"D. Battistel"}</definedName>
    <definedName name="erttt" localSheetId="12" hidden="1">{#N/A,#N/A,FALSE,"L. Zottola";#N/A,#N/A,FALSE,"M. Ruggi";#N/A,#N/A,FALSE,"M. Valenti";#N/A,#N/A,FALSE,"C. Mazza";#N/A,#N/A,FALSE,"G. Bellinzona";#N/A,#N/A,FALSE,"M. Carletti";#N/A,#N/A,FALSE,"P. Maresca";#N/A,#N/A,FALSE,"L. Tondi";#N/A,#N/A,FALSE,"M. Marani";#N/A,#N/A,FALSE,"R. Ruggerini";#N/A,#N/A,FALSE,"L. Liguori";#N/A,#N/A,FALSE,"D. Battistel"}</definedName>
    <definedName name="erttt" localSheetId="14" hidden="1">{#N/A,#N/A,FALSE,"L. Zottola";#N/A,#N/A,FALSE,"M. Ruggi";#N/A,#N/A,FALSE,"M. Valenti";#N/A,#N/A,FALSE,"C. Mazza";#N/A,#N/A,FALSE,"G. Bellinzona";#N/A,#N/A,FALSE,"M. Carletti";#N/A,#N/A,FALSE,"P. Maresca";#N/A,#N/A,FALSE,"L. Tondi";#N/A,#N/A,FALSE,"M. Marani";#N/A,#N/A,FALSE,"R. Ruggerini";#N/A,#N/A,FALSE,"L. Liguori";#N/A,#N/A,FALSE,"D. Battistel"}</definedName>
    <definedName name="erttt" localSheetId="16" hidden="1">{#N/A,#N/A,FALSE,"L. Zottola";#N/A,#N/A,FALSE,"M. Ruggi";#N/A,#N/A,FALSE,"M. Valenti";#N/A,#N/A,FALSE,"C. Mazza";#N/A,#N/A,FALSE,"G. Bellinzona";#N/A,#N/A,FALSE,"M. Carletti";#N/A,#N/A,FALSE,"P. Maresca";#N/A,#N/A,FALSE,"L. Tondi";#N/A,#N/A,FALSE,"M. Marani";#N/A,#N/A,FALSE,"R. Ruggerini";#N/A,#N/A,FALSE,"L. Liguori";#N/A,#N/A,FALSE,"D. Battistel"}</definedName>
    <definedName name="erttt" localSheetId="22" hidden="1">{#N/A,#N/A,FALSE,"L. Zottola";#N/A,#N/A,FALSE,"M. Ruggi";#N/A,#N/A,FALSE,"M. Valenti";#N/A,#N/A,FALSE,"C. Mazza";#N/A,#N/A,FALSE,"G. Bellinzona";#N/A,#N/A,FALSE,"M. Carletti";#N/A,#N/A,FALSE,"P. Maresca";#N/A,#N/A,FALSE,"L. Tondi";#N/A,#N/A,FALSE,"M. Marani";#N/A,#N/A,FALSE,"R. Ruggerini";#N/A,#N/A,FALSE,"L. Liguori";#N/A,#N/A,FALSE,"D. Battistel"}</definedName>
    <definedName name="erttt" localSheetId="24" hidden="1">{#N/A,#N/A,FALSE,"L. Zottola";#N/A,#N/A,FALSE,"M. Ruggi";#N/A,#N/A,FALSE,"M. Valenti";#N/A,#N/A,FALSE,"C. Mazza";#N/A,#N/A,FALSE,"G. Bellinzona";#N/A,#N/A,FALSE,"M. Carletti";#N/A,#N/A,FALSE,"P. Maresca";#N/A,#N/A,FALSE,"L. Tondi";#N/A,#N/A,FALSE,"M. Marani";#N/A,#N/A,FALSE,"R. Ruggerini";#N/A,#N/A,FALSE,"L. Liguori";#N/A,#N/A,FALSE,"D. Battistel"}</definedName>
    <definedName name="erttt" localSheetId="26" hidden="1">{#N/A,#N/A,FALSE,"L. Zottola";#N/A,#N/A,FALSE,"M. Ruggi";#N/A,#N/A,FALSE,"M. Valenti";#N/A,#N/A,FALSE,"C. Mazza";#N/A,#N/A,FALSE,"G. Bellinzona";#N/A,#N/A,FALSE,"M. Carletti";#N/A,#N/A,FALSE,"P. Maresca";#N/A,#N/A,FALSE,"L. Tondi";#N/A,#N/A,FALSE,"M. Marani";#N/A,#N/A,FALSE,"R. Ruggerini";#N/A,#N/A,FALSE,"L. Liguori";#N/A,#N/A,FALSE,"D. Battistel"}</definedName>
    <definedName name="erttt" localSheetId="28" hidden="1">{#N/A,#N/A,FALSE,"L. Zottola";#N/A,#N/A,FALSE,"M. Ruggi";#N/A,#N/A,FALSE,"M. Valenti";#N/A,#N/A,FALSE,"C. Mazza";#N/A,#N/A,FALSE,"G. Bellinzona";#N/A,#N/A,FALSE,"M. Carletti";#N/A,#N/A,FALSE,"P. Maresca";#N/A,#N/A,FALSE,"L. Tondi";#N/A,#N/A,FALSE,"M. Marani";#N/A,#N/A,FALSE,"R. Ruggerini";#N/A,#N/A,FALSE,"L. Liguori";#N/A,#N/A,FALSE,"D. Battistel"}</definedName>
    <definedName name="erttt" localSheetId="30" hidden="1">{#N/A,#N/A,FALSE,"L. Zottola";#N/A,#N/A,FALSE,"M. Ruggi";#N/A,#N/A,FALSE,"M. Valenti";#N/A,#N/A,FALSE,"C. Mazza";#N/A,#N/A,FALSE,"G. Bellinzona";#N/A,#N/A,FALSE,"M. Carletti";#N/A,#N/A,FALSE,"P. Maresca";#N/A,#N/A,FALSE,"L. Tondi";#N/A,#N/A,FALSE,"M. Marani";#N/A,#N/A,FALSE,"R. Ruggerini";#N/A,#N/A,FALSE,"L. Liguori";#N/A,#N/A,FALSE,"D. Battistel"}</definedName>
    <definedName name="erttt" localSheetId="32" hidden="1">{#N/A,#N/A,FALSE,"L. Zottola";#N/A,#N/A,FALSE,"M. Ruggi";#N/A,#N/A,FALSE,"M. Valenti";#N/A,#N/A,FALSE,"C. Mazza";#N/A,#N/A,FALSE,"G. Bellinzona";#N/A,#N/A,FALSE,"M. Carletti";#N/A,#N/A,FALSE,"P. Maresca";#N/A,#N/A,FALSE,"L. Tondi";#N/A,#N/A,FALSE,"M. Marani";#N/A,#N/A,FALSE,"R. Ruggerini";#N/A,#N/A,FALSE,"L. Liguori";#N/A,#N/A,FALSE,"D. Battistel"}</definedName>
    <definedName name="erttt" localSheetId="34" hidden="1">{#N/A,#N/A,FALSE,"L. Zottola";#N/A,#N/A,FALSE,"M. Ruggi";#N/A,#N/A,FALSE,"M. Valenti";#N/A,#N/A,FALSE,"C. Mazza";#N/A,#N/A,FALSE,"G. Bellinzona";#N/A,#N/A,FALSE,"M. Carletti";#N/A,#N/A,FALSE,"P. Maresca";#N/A,#N/A,FALSE,"L. Tondi";#N/A,#N/A,FALSE,"M. Marani";#N/A,#N/A,FALSE,"R. Ruggerini";#N/A,#N/A,FALSE,"L. Liguori";#N/A,#N/A,FALSE,"D. Battistel"}</definedName>
    <definedName name="erttt" localSheetId="36" hidden="1">{#N/A,#N/A,FALSE,"L. Zottola";#N/A,#N/A,FALSE,"M. Ruggi";#N/A,#N/A,FALSE,"M. Valenti";#N/A,#N/A,FALSE,"C. Mazza";#N/A,#N/A,FALSE,"G. Bellinzona";#N/A,#N/A,FALSE,"M. Carletti";#N/A,#N/A,FALSE,"P. Maresca";#N/A,#N/A,FALSE,"L. Tondi";#N/A,#N/A,FALSE,"M. Marani";#N/A,#N/A,FALSE,"R. Ruggerini";#N/A,#N/A,FALSE,"L. Liguori";#N/A,#N/A,FALSE,"D. Battistel"}</definedName>
    <definedName name="erttt" localSheetId="38" hidden="1">{#N/A,#N/A,FALSE,"L. Zottola";#N/A,#N/A,FALSE,"M. Ruggi";#N/A,#N/A,FALSE,"M. Valenti";#N/A,#N/A,FALSE,"C. Mazza";#N/A,#N/A,FALSE,"G. Bellinzona";#N/A,#N/A,FALSE,"M. Carletti";#N/A,#N/A,FALSE,"P. Maresca";#N/A,#N/A,FALSE,"L. Tondi";#N/A,#N/A,FALSE,"M. Marani";#N/A,#N/A,FALSE,"R. Ruggerini";#N/A,#N/A,FALSE,"L. Liguori";#N/A,#N/A,FALSE,"D. Battistel"}</definedName>
    <definedName name="erttt" hidden="1">{#N/A,#N/A,FALSE,"L. Zottola";#N/A,#N/A,FALSE,"M. Ruggi";#N/A,#N/A,FALSE,"M. Valenti";#N/A,#N/A,FALSE,"C. Mazza";#N/A,#N/A,FALSE,"G. Bellinzona";#N/A,#N/A,FALSE,"M. Carletti";#N/A,#N/A,FALSE,"P. Maresca";#N/A,#N/A,FALSE,"L. Tondi";#N/A,#N/A,FALSE,"M. Marani";#N/A,#N/A,FALSE,"R. Ruggerini";#N/A,#N/A,FALSE,"L. Liguori";#N/A,#N/A,FALSE,"D. Battistel"}</definedName>
    <definedName name="ERWR" localSheetId="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WR" localSheetId="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WR" localSheetId="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WR"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WR" localSheetId="1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WR" localSheetId="1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WR" localSheetId="1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WR" localSheetId="2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WR" localSheetId="2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WR" localSheetId="2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WR" localSheetId="2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WR" localSheetId="3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WR" localSheetId="3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WR" localSheetId="3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WR" localSheetId="3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WR" localSheetId="3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WR"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V__ALLOWSTOPEXPAND__" hidden="1">1</definedName>
    <definedName name="EV__CVPARAMS__" hidden="1">"Trend!$B$17:$C$38;"</definedName>
    <definedName name="EV__DECIMALSYMBOL__" hidden="1">"."</definedName>
    <definedName name="EV__EXPOPTIONS__" hidden="1">0</definedName>
    <definedName name="EV__LASTREFTIME__" hidden="1">39154.3252893519</definedName>
    <definedName name="EV__LOCKEDCVW__FORECAST" hidden="1">"ACC_ST210,CAT.ForecastEntry,PERIODIC,TotalAdj,PH_Sale,SER_Series,ENT_OH,2006.Total,"</definedName>
    <definedName name="EV__LOCKSTATUS__" hidden="1">4</definedName>
    <definedName name="EV__MAXEXPCOLS__" hidden="1">100</definedName>
    <definedName name="EV__MAXEXPROWS__" hidden="1">1000</definedName>
    <definedName name="EV__MEMORYCVW__" hidden="1">0</definedName>
    <definedName name="EV__WBEVMODE__" hidden="1">1</definedName>
    <definedName name="EV__WBREFOPTIONS__" hidden="1">134217736</definedName>
    <definedName name="EV__WBVERSION__" hidden="1">0</definedName>
    <definedName name="Eval_MR">#REF!</definedName>
    <definedName name="ewa" localSheetId="3" hidden="1">{"NOPCAPEVA",#N/A,FALSE,"Nopat";"FCFCSTAR",#N/A,FALSE,"FCFVAL";"EVAVL",#N/A,FALSE,"EVAVAL";"LEASE",#N/A,FALSE,"OpLease"}</definedName>
    <definedName name="ewa" localSheetId="5" hidden="1">{"NOPCAPEVA",#N/A,FALSE,"Nopat";"FCFCSTAR",#N/A,FALSE,"FCFVAL";"EVAVL",#N/A,FALSE,"EVAVAL";"LEASE",#N/A,FALSE,"OpLease"}</definedName>
    <definedName name="ewa" localSheetId="8" hidden="1">{"NOPCAPEVA",#N/A,FALSE,"Nopat";"FCFCSTAR",#N/A,FALSE,"FCFVAL";"EVAVL",#N/A,FALSE,"EVAVAL";"LEASE",#N/A,FALSE,"OpLease"}</definedName>
    <definedName name="ewa" localSheetId="10" hidden="1">{"NOPCAPEVA",#N/A,FALSE,"Nopat";"FCFCSTAR",#N/A,FALSE,"FCFVAL";"EVAVL",#N/A,FALSE,"EVAVAL";"LEASE",#N/A,FALSE,"OpLease"}</definedName>
    <definedName name="ewa" localSheetId="12" hidden="1">{"NOPCAPEVA",#N/A,FALSE,"Nopat";"FCFCSTAR",#N/A,FALSE,"FCFVAL";"EVAVL",#N/A,FALSE,"EVAVAL";"LEASE",#N/A,FALSE,"OpLease"}</definedName>
    <definedName name="ewa" localSheetId="14" hidden="1">{"NOPCAPEVA",#N/A,FALSE,"Nopat";"FCFCSTAR",#N/A,FALSE,"FCFVAL";"EVAVL",#N/A,FALSE,"EVAVAL";"LEASE",#N/A,FALSE,"OpLease"}</definedName>
    <definedName name="ewa" localSheetId="16" hidden="1">{"NOPCAPEVA",#N/A,FALSE,"Nopat";"FCFCSTAR",#N/A,FALSE,"FCFVAL";"EVAVL",#N/A,FALSE,"EVAVAL";"LEASE",#N/A,FALSE,"OpLease"}</definedName>
    <definedName name="ewa" localSheetId="22" hidden="1">{"NOPCAPEVA",#N/A,FALSE,"Nopat";"FCFCSTAR",#N/A,FALSE,"FCFVAL";"EVAVL",#N/A,FALSE,"EVAVAL";"LEASE",#N/A,FALSE,"OpLease"}</definedName>
    <definedName name="ewa" localSheetId="24" hidden="1">{"NOPCAPEVA",#N/A,FALSE,"Nopat";"FCFCSTAR",#N/A,FALSE,"FCFVAL";"EVAVL",#N/A,FALSE,"EVAVAL";"LEASE",#N/A,FALSE,"OpLease"}</definedName>
    <definedName name="ewa" localSheetId="26" hidden="1">{"NOPCAPEVA",#N/A,FALSE,"Nopat";"FCFCSTAR",#N/A,FALSE,"FCFVAL";"EVAVL",#N/A,FALSE,"EVAVAL";"LEASE",#N/A,FALSE,"OpLease"}</definedName>
    <definedName name="ewa" localSheetId="28" hidden="1">{"NOPCAPEVA",#N/A,FALSE,"Nopat";"FCFCSTAR",#N/A,FALSE,"FCFVAL";"EVAVL",#N/A,FALSE,"EVAVAL";"LEASE",#N/A,FALSE,"OpLease"}</definedName>
    <definedName name="ewa" localSheetId="30" hidden="1">{"NOPCAPEVA",#N/A,FALSE,"Nopat";"FCFCSTAR",#N/A,FALSE,"FCFVAL";"EVAVL",#N/A,FALSE,"EVAVAL";"LEASE",#N/A,FALSE,"OpLease"}</definedName>
    <definedName name="ewa" localSheetId="32" hidden="1">{"NOPCAPEVA",#N/A,FALSE,"Nopat";"FCFCSTAR",#N/A,FALSE,"FCFVAL";"EVAVL",#N/A,FALSE,"EVAVAL";"LEASE",#N/A,FALSE,"OpLease"}</definedName>
    <definedName name="ewa" localSheetId="34" hidden="1">{"NOPCAPEVA",#N/A,FALSE,"Nopat";"FCFCSTAR",#N/A,FALSE,"FCFVAL";"EVAVL",#N/A,FALSE,"EVAVAL";"LEASE",#N/A,FALSE,"OpLease"}</definedName>
    <definedName name="ewa" localSheetId="36" hidden="1">{"NOPCAPEVA",#N/A,FALSE,"Nopat";"FCFCSTAR",#N/A,FALSE,"FCFVAL";"EVAVL",#N/A,FALSE,"EVAVAL";"LEASE",#N/A,FALSE,"OpLease"}</definedName>
    <definedName name="ewa" localSheetId="38" hidden="1">{"NOPCAPEVA",#N/A,FALSE,"Nopat";"FCFCSTAR",#N/A,FALSE,"FCFVAL";"EVAVL",#N/A,FALSE,"EVAVAL";"LEASE",#N/A,FALSE,"OpLease"}</definedName>
    <definedName name="ewa" hidden="1">{"NOPCAPEVA",#N/A,FALSE,"Nopat";"FCFCSTAR",#N/A,FALSE,"FCFVAL";"EVAVL",#N/A,FALSE,"EVAVAL";"LEASE",#N/A,FALSE,"OpLease"}</definedName>
    <definedName name="ewrc" localSheetId="3" hidden="1">{#N/A,#N/A,TRUE,"Proposal";#N/A,#N/A,TRUE,"Assumptions";#N/A,#N/A,TRUE,"Net Income";#N/A,#N/A,TRUE,"Balsheet";#N/A,#N/A,TRUE,"Capex";#N/A,#N/A,TRUE,"Volumes";#N/A,#N/A,TRUE,"Revenues";#N/A,#N/A,TRUE,"Var.Costs";#N/A,#N/A,TRUE,"Personnel";#N/A,#N/A,TRUE,"Other costs";#N/A,#N/A,TRUE,"MKTG and G&amp;A"}</definedName>
    <definedName name="ewrc" localSheetId="5" hidden="1">{#N/A,#N/A,TRUE,"Proposal";#N/A,#N/A,TRUE,"Assumptions";#N/A,#N/A,TRUE,"Net Income";#N/A,#N/A,TRUE,"Balsheet";#N/A,#N/A,TRUE,"Capex";#N/A,#N/A,TRUE,"Volumes";#N/A,#N/A,TRUE,"Revenues";#N/A,#N/A,TRUE,"Var.Costs";#N/A,#N/A,TRUE,"Personnel";#N/A,#N/A,TRUE,"Other costs";#N/A,#N/A,TRUE,"MKTG and G&amp;A"}</definedName>
    <definedName name="ewrc" localSheetId="8" hidden="1">{#N/A,#N/A,TRUE,"Proposal";#N/A,#N/A,TRUE,"Assumptions";#N/A,#N/A,TRUE,"Net Income";#N/A,#N/A,TRUE,"Balsheet";#N/A,#N/A,TRUE,"Capex";#N/A,#N/A,TRUE,"Volumes";#N/A,#N/A,TRUE,"Revenues";#N/A,#N/A,TRUE,"Var.Costs";#N/A,#N/A,TRUE,"Personnel";#N/A,#N/A,TRUE,"Other costs";#N/A,#N/A,TRUE,"MKTG and G&amp;A"}</definedName>
    <definedName name="ewrc" localSheetId="10" hidden="1">{#N/A,#N/A,TRUE,"Proposal";#N/A,#N/A,TRUE,"Assumptions";#N/A,#N/A,TRUE,"Net Income";#N/A,#N/A,TRUE,"Balsheet";#N/A,#N/A,TRUE,"Capex";#N/A,#N/A,TRUE,"Volumes";#N/A,#N/A,TRUE,"Revenues";#N/A,#N/A,TRUE,"Var.Costs";#N/A,#N/A,TRUE,"Personnel";#N/A,#N/A,TRUE,"Other costs";#N/A,#N/A,TRUE,"MKTG and G&amp;A"}</definedName>
    <definedName name="ewrc" localSheetId="12" hidden="1">{#N/A,#N/A,TRUE,"Proposal";#N/A,#N/A,TRUE,"Assumptions";#N/A,#N/A,TRUE,"Net Income";#N/A,#N/A,TRUE,"Balsheet";#N/A,#N/A,TRUE,"Capex";#N/A,#N/A,TRUE,"Volumes";#N/A,#N/A,TRUE,"Revenues";#N/A,#N/A,TRUE,"Var.Costs";#N/A,#N/A,TRUE,"Personnel";#N/A,#N/A,TRUE,"Other costs";#N/A,#N/A,TRUE,"MKTG and G&amp;A"}</definedName>
    <definedName name="ewrc" localSheetId="14" hidden="1">{#N/A,#N/A,TRUE,"Proposal";#N/A,#N/A,TRUE,"Assumptions";#N/A,#N/A,TRUE,"Net Income";#N/A,#N/A,TRUE,"Balsheet";#N/A,#N/A,TRUE,"Capex";#N/A,#N/A,TRUE,"Volumes";#N/A,#N/A,TRUE,"Revenues";#N/A,#N/A,TRUE,"Var.Costs";#N/A,#N/A,TRUE,"Personnel";#N/A,#N/A,TRUE,"Other costs";#N/A,#N/A,TRUE,"MKTG and G&amp;A"}</definedName>
    <definedName name="ewrc" localSheetId="16" hidden="1">{#N/A,#N/A,TRUE,"Proposal";#N/A,#N/A,TRUE,"Assumptions";#N/A,#N/A,TRUE,"Net Income";#N/A,#N/A,TRUE,"Balsheet";#N/A,#N/A,TRUE,"Capex";#N/A,#N/A,TRUE,"Volumes";#N/A,#N/A,TRUE,"Revenues";#N/A,#N/A,TRUE,"Var.Costs";#N/A,#N/A,TRUE,"Personnel";#N/A,#N/A,TRUE,"Other costs";#N/A,#N/A,TRUE,"MKTG and G&amp;A"}</definedName>
    <definedName name="ewrc" localSheetId="22" hidden="1">{#N/A,#N/A,TRUE,"Proposal";#N/A,#N/A,TRUE,"Assumptions";#N/A,#N/A,TRUE,"Net Income";#N/A,#N/A,TRUE,"Balsheet";#N/A,#N/A,TRUE,"Capex";#N/A,#N/A,TRUE,"Volumes";#N/A,#N/A,TRUE,"Revenues";#N/A,#N/A,TRUE,"Var.Costs";#N/A,#N/A,TRUE,"Personnel";#N/A,#N/A,TRUE,"Other costs";#N/A,#N/A,TRUE,"MKTG and G&amp;A"}</definedName>
    <definedName name="ewrc" localSheetId="24" hidden="1">{#N/A,#N/A,TRUE,"Proposal";#N/A,#N/A,TRUE,"Assumptions";#N/A,#N/A,TRUE,"Net Income";#N/A,#N/A,TRUE,"Balsheet";#N/A,#N/A,TRUE,"Capex";#N/A,#N/A,TRUE,"Volumes";#N/A,#N/A,TRUE,"Revenues";#N/A,#N/A,TRUE,"Var.Costs";#N/A,#N/A,TRUE,"Personnel";#N/A,#N/A,TRUE,"Other costs";#N/A,#N/A,TRUE,"MKTG and G&amp;A"}</definedName>
    <definedName name="ewrc" localSheetId="26" hidden="1">{#N/A,#N/A,TRUE,"Proposal";#N/A,#N/A,TRUE,"Assumptions";#N/A,#N/A,TRUE,"Net Income";#N/A,#N/A,TRUE,"Balsheet";#N/A,#N/A,TRUE,"Capex";#N/A,#N/A,TRUE,"Volumes";#N/A,#N/A,TRUE,"Revenues";#N/A,#N/A,TRUE,"Var.Costs";#N/A,#N/A,TRUE,"Personnel";#N/A,#N/A,TRUE,"Other costs";#N/A,#N/A,TRUE,"MKTG and G&amp;A"}</definedName>
    <definedName name="ewrc" localSheetId="28" hidden="1">{#N/A,#N/A,TRUE,"Proposal";#N/A,#N/A,TRUE,"Assumptions";#N/A,#N/A,TRUE,"Net Income";#N/A,#N/A,TRUE,"Balsheet";#N/A,#N/A,TRUE,"Capex";#N/A,#N/A,TRUE,"Volumes";#N/A,#N/A,TRUE,"Revenues";#N/A,#N/A,TRUE,"Var.Costs";#N/A,#N/A,TRUE,"Personnel";#N/A,#N/A,TRUE,"Other costs";#N/A,#N/A,TRUE,"MKTG and G&amp;A"}</definedName>
    <definedName name="ewrc" localSheetId="30" hidden="1">{#N/A,#N/A,TRUE,"Proposal";#N/A,#N/A,TRUE,"Assumptions";#N/A,#N/A,TRUE,"Net Income";#N/A,#N/A,TRUE,"Balsheet";#N/A,#N/A,TRUE,"Capex";#N/A,#N/A,TRUE,"Volumes";#N/A,#N/A,TRUE,"Revenues";#N/A,#N/A,TRUE,"Var.Costs";#N/A,#N/A,TRUE,"Personnel";#N/A,#N/A,TRUE,"Other costs";#N/A,#N/A,TRUE,"MKTG and G&amp;A"}</definedName>
    <definedName name="ewrc" localSheetId="32" hidden="1">{#N/A,#N/A,TRUE,"Proposal";#N/A,#N/A,TRUE,"Assumptions";#N/A,#N/A,TRUE,"Net Income";#N/A,#N/A,TRUE,"Balsheet";#N/A,#N/A,TRUE,"Capex";#N/A,#N/A,TRUE,"Volumes";#N/A,#N/A,TRUE,"Revenues";#N/A,#N/A,TRUE,"Var.Costs";#N/A,#N/A,TRUE,"Personnel";#N/A,#N/A,TRUE,"Other costs";#N/A,#N/A,TRUE,"MKTG and G&amp;A"}</definedName>
    <definedName name="ewrc" localSheetId="34" hidden="1">{#N/A,#N/A,TRUE,"Proposal";#N/A,#N/A,TRUE,"Assumptions";#N/A,#N/A,TRUE,"Net Income";#N/A,#N/A,TRUE,"Balsheet";#N/A,#N/A,TRUE,"Capex";#N/A,#N/A,TRUE,"Volumes";#N/A,#N/A,TRUE,"Revenues";#N/A,#N/A,TRUE,"Var.Costs";#N/A,#N/A,TRUE,"Personnel";#N/A,#N/A,TRUE,"Other costs";#N/A,#N/A,TRUE,"MKTG and G&amp;A"}</definedName>
    <definedName name="ewrc" localSheetId="36" hidden="1">{#N/A,#N/A,TRUE,"Proposal";#N/A,#N/A,TRUE,"Assumptions";#N/A,#N/A,TRUE,"Net Income";#N/A,#N/A,TRUE,"Balsheet";#N/A,#N/A,TRUE,"Capex";#N/A,#N/A,TRUE,"Volumes";#N/A,#N/A,TRUE,"Revenues";#N/A,#N/A,TRUE,"Var.Costs";#N/A,#N/A,TRUE,"Personnel";#N/A,#N/A,TRUE,"Other costs";#N/A,#N/A,TRUE,"MKTG and G&amp;A"}</definedName>
    <definedName name="ewrc" localSheetId="38" hidden="1">{#N/A,#N/A,TRUE,"Proposal";#N/A,#N/A,TRUE,"Assumptions";#N/A,#N/A,TRUE,"Net Income";#N/A,#N/A,TRUE,"Balsheet";#N/A,#N/A,TRUE,"Capex";#N/A,#N/A,TRUE,"Volumes";#N/A,#N/A,TRUE,"Revenues";#N/A,#N/A,TRUE,"Var.Costs";#N/A,#N/A,TRUE,"Personnel";#N/A,#N/A,TRUE,"Other costs";#N/A,#N/A,TRUE,"MKTG and G&amp;A"}</definedName>
    <definedName name="ewrc" hidden="1">{#N/A,#N/A,TRUE,"Proposal";#N/A,#N/A,TRUE,"Assumptions";#N/A,#N/A,TRUE,"Net Income";#N/A,#N/A,TRUE,"Balsheet";#N/A,#N/A,TRUE,"Capex";#N/A,#N/A,TRUE,"Volumes";#N/A,#N/A,TRUE,"Revenues";#N/A,#N/A,TRUE,"Var.Costs";#N/A,#N/A,TRUE,"Personnel";#N/A,#N/A,TRUE,"Other costs";#N/A,#N/A,TRUE,"MKTG and G&amp;A"}</definedName>
    <definedName name="ews" localSheetId="3" hidden="1">{"AnnInc",#N/A,TRUE,"Inc";"QtrInc1",#N/A,TRUE,"Inc";"Balance",#N/A,TRUE,"Bal";"Cflow",#N/A,TRUE,"Cash"}</definedName>
    <definedName name="ews" localSheetId="5" hidden="1">{"AnnInc",#N/A,TRUE,"Inc";"QtrInc1",#N/A,TRUE,"Inc";"Balance",#N/A,TRUE,"Bal";"Cflow",#N/A,TRUE,"Cash"}</definedName>
    <definedName name="ews" localSheetId="8" hidden="1">{"AnnInc",#N/A,TRUE,"Inc";"QtrInc1",#N/A,TRUE,"Inc";"Balance",#N/A,TRUE,"Bal";"Cflow",#N/A,TRUE,"Cash"}</definedName>
    <definedName name="ews" localSheetId="10" hidden="1">{"AnnInc",#N/A,TRUE,"Inc";"QtrInc1",#N/A,TRUE,"Inc";"Balance",#N/A,TRUE,"Bal";"Cflow",#N/A,TRUE,"Cash"}</definedName>
    <definedName name="ews" localSheetId="12" hidden="1">{"AnnInc",#N/A,TRUE,"Inc";"QtrInc1",#N/A,TRUE,"Inc";"Balance",#N/A,TRUE,"Bal";"Cflow",#N/A,TRUE,"Cash"}</definedName>
    <definedName name="ews" localSheetId="14" hidden="1">{"AnnInc",#N/A,TRUE,"Inc";"QtrInc1",#N/A,TRUE,"Inc";"Balance",#N/A,TRUE,"Bal";"Cflow",#N/A,TRUE,"Cash"}</definedName>
    <definedName name="ews" localSheetId="16" hidden="1">{"AnnInc",#N/A,TRUE,"Inc";"QtrInc1",#N/A,TRUE,"Inc";"Balance",#N/A,TRUE,"Bal";"Cflow",#N/A,TRUE,"Cash"}</definedName>
    <definedName name="ews" localSheetId="22" hidden="1">{"AnnInc",#N/A,TRUE,"Inc";"QtrInc1",#N/A,TRUE,"Inc";"Balance",#N/A,TRUE,"Bal";"Cflow",#N/A,TRUE,"Cash"}</definedName>
    <definedName name="ews" localSheetId="24" hidden="1">{"AnnInc",#N/A,TRUE,"Inc";"QtrInc1",#N/A,TRUE,"Inc";"Balance",#N/A,TRUE,"Bal";"Cflow",#N/A,TRUE,"Cash"}</definedName>
    <definedName name="ews" localSheetId="26" hidden="1">{"AnnInc",#N/A,TRUE,"Inc";"QtrInc1",#N/A,TRUE,"Inc";"Balance",#N/A,TRUE,"Bal";"Cflow",#N/A,TRUE,"Cash"}</definedName>
    <definedName name="ews" localSheetId="28" hidden="1">{"AnnInc",#N/A,TRUE,"Inc";"QtrInc1",#N/A,TRUE,"Inc";"Balance",#N/A,TRUE,"Bal";"Cflow",#N/A,TRUE,"Cash"}</definedName>
    <definedName name="ews" localSheetId="30" hidden="1">{"AnnInc",#N/A,TRUE,"Inc";"QtrInc1",#N/A,TRUE,"Inc";"Balance",#N/A,TRUE,"Bal";"Cflow",#N/A,TRUE,"Cash"}</definedName>
    <definedName name="ews" localSheetId="32" hidden="1">{"AnnInc",#N/A,TRUE,"Inc";"QtrInc1",#N/A,TRUE,"Inc";"Balance",#N/A,TRUE,"Bal";"Cflow",#N/A,TRUE,"Cash"}</definedName>
    <definedName name="ews" localSheetId="34" hidden="1">{"AnnInc",#N/A,TRUE,"Inc";"QtrInc1",#N/A,TRUE,"Inc";"Balance",#N/A,TRUE,"Bal";"Cflow",#N/A,TRUE,"Cash"}</definedName>
    <definedName name="ews" localSheetId="36" hidden="1">{"AnnInc",#N/A,TRUE,"Inc";"QtrInc1",#N/A,TRUE,"Inc";"Balance",#N/A,TRUE,"Bal";"Cflow",#N/A,TRUE,"Cash"}</definedName>
    <definedName name="ews" localSheetId="38" hidden="1">{"AnnInc",#N/A,TRUE,"Inc";"QtrInc1",#N/A,TRUE,"Inc";"Balance",#N/A,TRUE,"Bal";"Cflow",#N/A,TRUE,"Cash"}</definedName>
    <definedName name="ews" hidden="1">{"AnnInc",#N/A,TRUE,"Inc";"QtrInc1",#N/A,TRUE,"Inc";"Balance",#N/A,TRUE,"Bal";"Cflow",#N/A,TRUE,"Cash"}</definedName>
    <definedName name="ewye" localSheetId="3" hidden="1">{"NOPCAPEVA",#N/A,FALSE,"Nopat";"FCFCSTAR",#N/A,FALSE,"FCFVAL";"EVAVL",#N/A,FALSE,"EVAVAL";"LEASE",#N/A,FALSE,"OpLease"}</definedName>
    <definedName name="ewye" localSheetId="5" hidden="1">{"NOPCAPEVA",#N/A,FALSE,"Nopat";"FCFCSTAR",#N/A,FALSE,"FCFVAL";"EVAVL",#N/A,FALSE,"EVAVAL";"LEASE",#N/A,FALSE,"OpLease"}</definedName>
    <definedName name="ewye" localSheetId="8" hidden="1">{"NOPCAPEVA",#N/A,FALSE,"Nopat";"FCFCSTAR",#N/A,FALSE,"FCFVAL";"EVAVL",#N/A,FALSE,"EVAVAL";"LEASE",#N/A,FALSE,"OpLease"}</definedName>
    <definedName name="ewye" localSheetId="10" hidden="1">{"NOPCAPEVA",#N/A,FALSE,"Nopat";"FCFCSTAR",#N/A,FALSE,"FCFVAL";"EVAVL",#N/A,FALSE,"EVAVAL";"LEASE",#N/A,FALSE,"OpLease"}</definedName>
    <definedName name="ewye" localSheetId="12" hidden="1">{"NOPCAPEVA",#N/A,FALSE,"Nopat";"FCFCSTAR",#N/A,FALSE,"FCFVAL";"EVAVL",#N/A,FALSE,"EVAVAL";"LEASE",#N/A,FALSE,"OpLease"}</definedName>
    <definedName name="ewye" localSheetId="14" hidden="1">{"NOPCAPEVA",#N/A,FALSE,"Nopat";"FCFCSTAR",#N/A,FALSE,"FCFVAL";"EVAVL",#N/A,FALSE,"EVAVAL";"LEASE",#N/A,FALSE,"OpLease"}</definedName>
    <definedName name="ewye" localSheetId="16" hidden="1">{"NOPCAPEVA",#N/A,FALSE,"Nopat";"FCFCSTAR",#N/A,FALSE,"FCFVAL";"EVAVL",#N/A,FALSE,"EVAVAL";"LEASE",#N/A,FALSE,"OpLease"}</definedName>
    <definedName name="ewye" localSheetId="22" hidden="1">{"NOPCAPEVA",#N/A,FALSE,"Nopat";"FCFCSTAR",#N/A,FALSE,"FCFVAL";"EVAVL",#N/A,FALSE,"EVAVAL";"LEASE",#N/A,FALSE,"OpLease"}</definedName>
    <definedName name="ewye" localSheetId="24" hidden="1">{"NOPCAPEVA",#N/A,FALSE,"Nopat";"FCFCSTAR",#N/A,FALSE,"FCFVAL";"EVAVL",#N/A,FALSE,"EVAVAL";"LEASE",#N/A,FALSE,"OpLease"}</definedName>
    <definedName name="ewye" localSheetId="26" hidden="1">{"NOPCAPEVA",#N/A,FALSE,"Nopat";"FCFCSTAR",#N/A,FALSE,"FCFVAL";"EVAVL",#N/A,FALSE,"EVAVAL";"LEASE",#N/A,FALSE,"OpLease"}</definedName>
    <definedName name="ewye" localSheetId="28" hidden="1">{"NOPCAPEVA",#N/A,FALSE,"Nopat";"FCFCSTAR",#N/A,FALSE,"FCFVAL";"EVAVL",#N/A,FALSE,"EVAVAL";"LEASE",#N/A,FALSE,"OpLease"}</definedName>
    <definedName name="ewye" localSheetId="30" hidden="1">{"NOPCAPEVA",#N/A,FALSE,"Nopat";"FCFCSTAR",#N/A,FALSE,"FCFVAL";"EVAVL",#N/A,FALSE,"EVAVAL";"LEASE",#N/A,FALSE,"OpLease"}</definedName>
    <definedName name="ewye" localSheetId="32" hidden="1">{"NOPCAPEVA",#N/A,FALSE,"Nopat";"FCFCSTAR",#N/A,FALSE,"FCFVAL";"EVAVL",#N/A,FALSE,"EVAVAL";"LEASE",#N/A,FALSE,"OpLease"}</definedName>
    <definedName name="ewye" localSheetId="34" hidden="1">{"NOPCAPEVA",#N/A,FALSE,"Nopat";"FCFCSTAR",#N/A,FALSE,"FCFVAL";"EVAVL",#N/A,FALSE,"EVAVAL";"LEASE",#N/A,FALSE,"OpLease"}</definedName>
    <definedName name="ewye" localSheetId="36" hidden="1">{"NOPCAPEVA",#N/A,FALSE,"Nopat";"FCFCSTAR",#N/A,FALSE,"FCFVAL";"EVAVL",#N/A,FALSE,"EVAVAL";"LEASE",#N/A,FALSE,"OpLease"}</definedName>
    <definedName name="ewye" localSheetId="38" hidden="1">{"NOPCAPEVA",#N/A,FALSE,"Nopat";"FCFCSTAR",#N/A,FALSE,"FCFVAL";"EVAVL",#N/A,FALSE,"EVAVAL";"LEASE",#N/A,FALSE,"OpLease"}</definedName>
    <definedName name="ewye" hidden="1">{"NOPCAPEVA",#N/A,FALSE,"Nopat";"FCFCSTAR",#N/A,FALSE,"FCFVAL";"EVAVL",#N/A,FALSE,"EVAVAL";"LEASE",#N/A,FALSE,"OpLease"}</definedName>
    <definedName name="EX">#REF!</definedName>
    <definedName name="ExecutiveSumary">#REF!</definedName>
    <definedName name="exit101">#REF!</definedName>
    <definedName name="exp_hw">#REF!</definedName>
    <definedName name="exp_lbr">#REF!</definedName>
    <definedName name="exp_msc">#REF!</definedName>
    <definedName name="exp_sw">#REF!</definedName>
    <definedName name="EXPIRIES">#REF!</definedName>
    <definedName name="Extra_Pay">#REF!</definedName>
    <definedName name="FalseValue">#REF!</definedName>
    <definedName name="fas" localSheetId="3" hidden="1">{"NOPCAPEVA",#N/A,FALSE,"Nopat";"FCFCSTAR",#N/A,FALSE,"FCFVAL";"EVAVL",#N/A,FALSE,"EVAVAL";"LEASE",#N/A,FALSE,"OpLease"}</definedName>
    <definedName name="fas" localSheetId="5" hidden="1">{"NOPCAPEVA",#N/A,FALSE,"Nopat";"FCFCSTAR",#N/A,FALSE,"FCFVAL";"EVAVL",#N/A,FALSE,"EVAVAL";"LEASE",#N/A,FALSE,"OpLease"}</definedName>
    <definedName name="fas" localSheetId="8" hidden="1">{"NOPCAPEVA",#N/A,FALSE,"Nopat";"FCFCSTAR",#N/A,FALSE,"FCFVAL";"EVAVL",#N/A,FALSE,"EVAVAL";"LEASE",#N/A,FALSE,"OpLease"}</definedName>
    <definedName name="fas" localSheetId="10" hidden="1">{"NOPCAPEVA",#N/A,FALSE,"Nopat";"FCFCSTAR",#N/A,FALSE,"FCFVAL";"EVAVL",#N/A,FALSE,"EVAVAL";"LEASE",#N/A,FALSE,"OpLease"}</definedName>
    <definedName name="fas" localSheetId="12" hidden="1">{"NOPCAPEVA",#N/A,FALSE,"Nopat";"FCFCSTAR",#N/A,FALSE,"FCFVAL";"EVAVL",#N/A,FALSE,"EVAVAL";"LEASE",#N/A,FALSE,"OpLease"}</definedName>
    <definedName name="fas" localSheetId="14" hidden="1">{"NOPCAPEVA",#N/A,FALSE,"Nopat";"FCFCSTAR",#N/A,FALSE,"FCFVAL";"EVAVL",#N/A,FALSE,"EVAVAL";"LEASE",#N/A,FALSE,"OpLease"}</definedName>
    <definedName name="fas" localSheetId="16" hidden="1">{"NOPCAPEVA",#N/A,FALSE,"Nopat";"FCFCSTAR",#N/A,FALSE,"FCFVAL";"EVAVL",#N/A,FALSE,"EVAVAL";"LEASE",#N/A,FALSE,"OpLease"}</definedName>
    <definedName name="fas" localSheetId="22" hidden="1">{"NOPCAPEVA",#N/A,FALSE,"Nopat";"FCFCSTAR",#N/A,FALSE,"FCFVAL";"EVAVL",#N/A,FALSE,"EVAVAL";"LEASE",#N/A,FALSE,"OpLease"}</definedName>
    <definedName name="fas" localSheetId="24" hidden="1">{"NOPCAPEVA",#N/A,FALSE,"Nopat";"FCFCSTAR",#N/A,FALSE,"FCFVAL";"EVAVL",#N/A,FALSE,"EVAVAL";"LEASE",#N/A,FALSE,"OpLease"}</definedName>
    <definedName name="fas" localSheetId="26" hidden="1">{"NOPCAPEVA",#N/A,FALSE,"Nopat";"FCFCSTAR",#N/A,FALSE,"FCFVAL";"EVAVL",#N/A,FALSE,"EVAVAL";"LEASE",#N/A,FALSE,"OpLease"}</definedName>
    <definedName name="fas" localSheetId="28" hidden="1">{"NOPCAPEVA",#N/A,FALSE,"Nopat";"FCFCSTAR",#N/A,FALSE,"FCFVAL";"EVAVL",#N/A,FALSE,"EVAVAL";"LEASE",#N/A,FALSE,"OpLease"}</definedName>
    <definedName name="fas" localSheetId="30" hidden="1">{"NOPCAPEVA",#N/A,FALSE,"Nopat";"FCFCSTAR",#N/A,FALSE,"FCFVAL";"EVAVL",#N/A,FALSE,"EVAVAL";"LEASE",#N/A,FALSE,"OpLease"}</definedName>
    <definedName name="fas" localSheetId="32" hidden="1">{"NOPCAPEVA",#N/A,FALSE,"Nopat";"FCFCSTAR",#N/A,FALSE,"FCFVAL";"EVAVL",#N/A,FALSE,"EVAVAL";"LEASE",#N/A,FALSE,"OpLease"}</definedName>
    <definedName name="fas" localSheetId="34" hidden="1">{"NOPCAPEVA",#N/A,FALSE,"Nopat";"FCFCSTAR",#N/A,FALSE,"FCFVAL";"EVAVL",#N/A,FALSE,"EVAVAL";"LEASE",#N/A,FALSE,"OpLease"}</definedName>
    <definedName name="fas" localSheetId="36" hidden="1">{"NOPCAPEVA",#N/A,FALSE,"Nopat";"FCFCSTAR",#N/A,FALSE,"FCFVAL";"EVAVL",#N/A,FALSE,"EVAVAL";"LEASE",#N/A,FALSE,"OpLease"}</definedName>
    <definedName name="fas" localSheetId="38" hidden="1">{"NOPCAPEVA",#N/A,FALSE,"Nopat";"FCFCSTAR",#N/A,FALSE,"FCFVAL";"EVAVL",#N/A,FALSE,"EVAVAL";"LEASE",#N/A,FALSE,"OpLease"}</definedName>
    <definedName name="fas" hidden="1">{"NOPCAPEVA",#N/A,FALSE,"Nopat";"FCFCSTAR",#N/A,FALSE,"FCFVAL";"EVAVL",#N/A,FALSE,"EVAVAL";"LEASE",#N/A,FALSE,"OpLease"}</definedName>
    <definedName name="Fasanotti" localSheetId="3" hidden="1">{#N/A,#N/A,TRUE,"Main Issues";#N/A,#N/A,TRUE,"Income statement ($)"}</definedName>
    <definedName name="Fasanotti" localSheetId="5" hidden="1">{#N/A,#N/A,TRUE,"Main Issues";#N/A,#N/A,TRUE,"Income statement ($)"}</definedName>
    <definedName name="Fasanotti" localSheetId="8" hidden="1">{#N/A,#N/A,TRUE,"Main Issues";#N/A,#N/A,TRUE,"Income statement ($)"}</definedName>
    <definedName name="Fasanotti" localSheetId="10" hidden="1">{#N/A,#N/A,TRUE,"Main Issues";#N/A,#N/A,TRUE,"Income statement ($)"}</definedName>
    <definedName name="Fasanotti" localSheetId="12" hidden="1">{#N/A,#N/A,TRUE,"Main Issues";#N/A,#N/A,TRUE,"Income statement ($)"}</definedName>
    <definedName name="Fasanotti" localSheetId="14" hidden="1">{#N/A,#N/A,TRUE,"Main Issues";#N/A,#N/A,TRUE,"Income statement ($)"}</definedName>
    <definedName name="Fasanotti" localSheetId="16" hidden="1">{#N/A,#N/A,TRUE,"Main Issues";#N/A,#N/A,TRUE,"Income statement ($)"}</definedName>
    <definedName name="Fasanotti" localSheetId="22" hidden="1">{#N/A,#N/A,TRUE,"Main Issues";#N/A,#N/A,TRUE,"Income statement ($)"}</definedName>
    <definedName name="Fasanotti" localSheetId="24" hidden="1">{#N/A,#N/A,TRUE,"Main Issues";#N/A,#N/A,TRUE,"Income statement ($)"}</definedName>
    <definedName name="Fasanotti" localSheetId="26" hidden="1">{#N/A,#N/A,TRUE,"Main Issues";#N/A,#N/A,TRUE,"Income statement ($)"}</definedName>
    <definedName name="Fasanotti" localSheetId="28" hidden="1">{#N/A,#N/A,TRUE,"Main Issues";#N/A,#N/A,TRUE,"Income statement ($)"}</definedName>
    <definedName name="Fasanotti" localSheetId="30" hidden="1">{#N/A,#N/A,TRUE,"Main Issues";#N/A,#N/A,TRUE,"Income statement ($)"}</definedName>
    <definedName name="Fasanotti" localSheetId="32" hidden="1">{#N/A,#N/A,TRUE,"Main Issues";#N/A,#N/A,TRUE,"Income statement ($)"}</definedName>
    <definedName name="Fasanotti" localSheetId="34" hidden="1">{#N/A,#N/A,TRUE,"Main Issues";#N/A,#N/A,TRUE,"Income statement ($)"}</definedName>
    <definedName name="Fasanotti" localSheetId="36" hidden="1">{#N/A,#N/A,TRUE,"Main Issues";#N/A,#N/A,TRUE,"Income statement ($)"}</definedName>
    <definedName name="Fasanotti" localSheetId="38" hidden="1">{#N/A,#N/A,TRUE,"Main Issues";#N/A,#N/A,TRUE,"Income statement ($)"}</definedName>
    <definedName name="Fasanotti" hidden="1">{#N/A,#N/A,TRUE,"Main Issues";#N/A,#N/A,TRUE,"Income statement ($)"}</definedName>
    <definedName name="Fax">#REF!</definedName>
    <definedName name="fbvc" localSheetId="3" hidden="1">{"NOPCAPEVA",#N/A,FALSE,"Nopat";"FCFCSTAR",#N/A,FALSE,"FCFVAL";"EVAVL",#N/A,FALSE,"EVAVAL";"LEASE",#N/A,FALSE,"OpLease"}</definedName>
    <definedName name="fbvc" localSheetId="5" hidden="1">{"NOPCAPEVA",#N/A,FALSE,"Nopat";"FCFCSTAR",#N/A,FALSE,"FCFVAL";"EVAVL",#N/A,FALSE,"EVAVAL";"LEASE",#N/A,FALSE,"OpLease"}</definedName>
    <definedName name="fbvc" localSheetId="8" hidden="1">{"NOPCAPEVA",#N/A,FALSE,"Nopat";"FCFCSTAR",#N/A,FALSE,"FCFVAL";"EVAVL",#N/A,FALSE,"EVAVAL";"LEASE",#N/A,FALSE,"OpLease"}</definedName>
    <definedName name="fbvc" localSheetId="10" hidden="1">{"NOPCAPEVA",#N/A,FALSE,"Nopat";"FCFCSTAR",#N/A,FALSE,"FCFVAL";"EVAVL",#N/A,FALSE,"EVAVAL";"LEASE",#N/A,FALSE,"OpLease"}</definedName>
    <definedName name="fbvc" localSheetId="12" hidden="1">{"NOPCAPEVA",#N/A,FALSE,"Nopat";"FCFCSTAR",#N/A,FALSE,"FCFVAL";"EVAVL",#N/A,FALSE,"EVAVAL";"LEASE",#N/A,FALSE,"OpLease"}</definedName>
    <definedName name="fbvc" localSheetId="14" hidden="1">{"NOPCAPEVA",#N/A,FALSE,"Nopat";"FCFCSTAR",#N/A,FALSE,"FCFVAL";"EVAVL",#N/A,FALSE,"EVAVAL";"LEASE",#N/A,FALSE,"OpLease"}</definedName>
    <definedName name="fbvc" localSheetId="16" hidden="1">{"NOPCAPEVA",#N/A,FALSE,"Nopat";"FCFCSTAR",#N/A,FALSE,"FCFVAL";"EVAVL",#N/A,FALSE,"EVAVAL";"LEASE",#N/A,FALSE,"OpLease"}</definedName>
    <definedName name="fbvc" localSheetId="22" hidden="1">{"NOPCAPEVA",#N/A,FALSE,"Nopat";"FCFCSTAR",#N/A,FALSE,"FCFVAL";"EVAVL",#N/A,FALSE,"EVAVAL";"LEASE",#N/A,FALSE,"OpLease"}</definedName>
    <definedName name="fbvc" localSheetId="24" hidden="1">{"NOPCAPEVA",#N/A,FALSE,"Nopat";"FCFCSTAR",#N/A,FALSE,"FCFVAL";"EVAVL",#N/A,FALSE,"EVAVAL";"LEASE",#N/A,FALSE,"OpLease"}</definedName>
    <definedName name="fbvc" localSheetId="26" hidden="1">{"NOPCAPEVA",#N/A,FALSE,"Nopat";"FCFCSTAR",#N/A,FALSE,"FCFVAL";"EVAVL",#N/A,FALSE,"EVAVAL";"LEASE",#N/A,FALSE,"OpLease"}</definedName>
    <definedName name="fbvc" localSheetId="28" hidden="1">{"NOPCAPEVA",#N/A,FALSE,"Nopat";"FCFCSTAR",#N/A,FALSE,"FCFVAL";"EVAVL",#N/A,FALSE,"EVAVAL";"LEASE",#N/A,FALSE,"OpLease"}</definedName>
    <definedName name="fbvc" localSheetId="30" hidden="1">{"NOPCAPEVA",#N/A,FALSE,"Nopat";"FCFCSTAR",#N/A,FALSE,"FCFVAL";"EVAVL",#N/A,FALSE,"EVAVAL";"LEASE",#N/A,FALSE,"OpLease"}</definedName>
    <definedName name="fbvc" localSheetId="32" hidden="1">{"NOPCAPEVA",#N/A,FALSE,"Nopat";"FCFCSTAR",#N/A,FALSE,"FCFVAL";"EVAVL",#N/A,FALSE,"EVAVAL";"LEASE",#N/A,FALSE,"OpLease"}</definedName>
    <definedName name="fbvc" localSheetId="34" hidden="1">{"NOPCAPEVA",#N/A,FALSE,"Nopat";"FCFCSTAR",#N/A,FALSE,"FCFVAL";"EVAVL",#N/A,FALSE,"EVAVAL";"LEASE",#N/A,FALSE,"OpLease"}</definedName>
    <definedName name="fbvc" localSheetId="36" hidden="1">{"NOPCAPEVA",#N/A,FALSE,"Nopat";"FCFCSTAR",#N/A,FALSE,"FCFVAL";"EVAVL",#N/A,FALSE,"EVAVAL";"LEASE",#N/A,FALSE,"OpLease"}</definedName>
    <definedName name="fbvc" localSheetId="38" hidden="1">{"NOPCAPEVA",#N/A,FALSE,"Nopat";"FCFCSTAR",#N/A,FALSE,"FCFVAL";"EVAVL",#N/A,FALSE,"EVAVAL";"LEASE",#N/A,FALSE,"OpLease"}</definedName>
    <definedName name="fbvc" hidden="1">{"NOPCAPEVA",#N/A,FALSE,"Nopat";"FCFCSTAR",#N/A,FALSE,"FCFVAL";"EVAVL",#N/A,FALSE,"EVAVAL";"LEASE",#N/A,FALSE,"OpLease"}</definedName>
    <definedName name="FCode" hidden="1">#REF!</definedName>
    <definedName name="fdase" localSheetId="3" hidden="1">{"NOPCAPEVA",#N/A,FALSE,"Nopat";"FCFCSTAR",#N/A,FALSE,"FCFVAL";"EVAVL",#N/A,FALSE,"EVAVAL";"LEASE",#N/A,FALSE,"OpLease"}</definedName>
    <definedName name="fdase" localSheetId="5" hidden="1">{"NOPCAPEVA",#N/A,FALSE,"Nopat";"FCFCSTAR",#N/A,FALSE,"FCFVAL";"EVAVL",#N/A,FALSE,"EVAVAL";"LEASE",#N/A,FALSE,"OpLease"}</definedName>
    <definedName name="fdase" localSheetId="8" hidden="1">{"NOPCAPEVA",#N/A,FALSE,"Nopat";"FCFCSTAR",#N/A,FALSE,"FCFVAL";"EVAVL",#N/A,FALSE,"EVAVAL";"LEASE",#N/A,FALSE,"OpLease"}</definedName>
    <definedName name="fdase" localSheetId="10" hidden="1">{"NOPCAPEVA",#N/A,FALSE,"Nopat";"FCFCSTAR",#N/A,FALSE,"FCFVAL";"EVAVL",#N/A,FALSE,"EVAVAL";"LEASE",#N/A,FALSE,"OpLease"}</definedName>
    <definedName name="fdase" localSheetId="12" hidden="1">{"NOPCAPEVA",#N/A,FALSE,"Nopat";"FCFCSTAR",#N/A,FALSE,"FCFVAL";"EVAVL",#N/A,FALSE,"EVAVAL";"LEASE",#N/A,FALSE,"OpLease"}</definedName>
    <definedName name="fdase" localSheetId="14" hidden="1">{"NOPCAPEVA",#N/A,FALSE,"Nopat";"FCFCSTAR",#N/A,FALSE,"FCFVAL";"EVAVL",#N/A,FALSE,"EVAVAL";"LEASE",#N/A,FALSE,"OpLease"}</definedName>
    <definedName name="fdase" localSheetId="16" hidden="1">{"NOPCAPEVA",#N/A,FALSE,"Nopat";"FCFCSTAR",#N/A,FALSE,"FCFVAL";"EVAVL",#N/A,FALSE,"EVAVAL";"LEASE",#N/A,FALSE,"OpLease"}</definedName>
    <definedName name="fdase" localSheetId="22" hidden="1">{"NOPCAPEVA",#N/A,FALSE,"Nopat";"FCFCSTAR",#N/A,FALSE,"FCFVAL";"EVAVL",#N/A,FALSE,"EVAVAL";"LEASE",#N/A,FALSE,"OpLease"}</definedName>
    <definedName name="fdase" localSheetId="24" hidden="1">{"NOPCAPEVA",#N/A,FALSE,"Nopat";"FCFCSTAR",#N/A,FALSE,"FCFVAL";"EVAVL",#N/A,FALSE,"EVAVAL";"LEASE",#N/A,FALSE,"OpLease"}</definedName>
    <definedName name="fdase" localSheetId="26" hidden="1">{"NOPCAPEVA",#N/A,FALSE,"Nopat";"FCFCSTAR",#N/A,FALSE,"FCFVAL";"EVAVL",#N/A,FALSE,"EVAVAL";"LEASE",#N/A,FALSE,"OpLease"}</definedName>
    <definedName name="fdase" localSheetId="28" hidden="1">{"NOPCAPEVA",#N/A,FALSE,"Nopat";"FCFCSTAR",#N/A,FALSE,"FCFVAL";"EVAVL",#N/A,FALSE,"EVAVAL";"LEASE",#N/A,FALSE,"OpLease"}</definedName>
    <definedName name="fdase" localSheetId="30" hidden="1">{"NOPCAPEVA",#N/A,FALSE,"Nopat";"FCFCSTAR",#N/A,FALSE,"FCFVAL";"EVAVL",#N/A,FALSE,"EVAVAL";"LEASE",#N/A,FALSE,"OpLease"}</definedName>
    <definedName name="fdase" localSheetId="32" hidden="1">{"NOPCAPEVA",#N/A,FALSE,"Nopat";"FCFCSTAR",#N/A,FALSE,"FCFVAL";"EVAVL",#N/A,FALSE,"EVAVAL";"LEASE",#N/A,FALSE,"OpLease"}</definedName>
    <definedName name="fdase" localSheetId="34" hidden="1">{"NOPCAPEVA",#N/A,FALSE,"Nopat";"FCFCSTAR",#N/A,FALSE,"FCFVAL";"EVAVL",#N/A,FALSE,"EVAVAL";"LEASE",#N/A,FALSE,"OpLease"}</definedName>
    <definedName name="fdase" localSheetId="36" hidden="1">{"NOPCAPEVA",#N/A,FALSE,"Nopat";"FCFCSTAR",#N/A,FALSE,"FCFVAL";"EVAVL",#N/A,FALSE,"EVAVAL";"LEASE",#N/A,FALSE,"OpLease"}</definedName>
    <definedName name="fdase" localSheetId="38" hidden="1">{"NOPCAPEVA",#N/A,FALSE,"Nopat";"FCFCSTAR",#N/A,FALSE,"FCFVAL";"EVAVL",#N/A,FALSE,"EVAVAL";"LEASE",#N/A,FALSE,"OpLease"}</definedName>
    <definedName name="fdase" hidden="1">{"NOPCAPEVA",#N/A,FALSE,"Nopat";"FCFCSTAR",#N/A,FALSE,"FCFVAL";"EVAVL",#N/A,FALSE,"EVAVAL";"LEASE",#N/A,FALSE,"OpLease"}</definedName>
    <definedName name="fdc" localSheetId="3" hidden="1">{"NOPCAPEVA",#N/A,FALSE,"Nopat";"FCFCSTAR",#N/A,FALSE,"FCFVAL";"EVAVL",#N/A,FALSE,"EVAVAL";"LEASE",#N/A,FALSE,"OpLease"}</definedName>
    <definedName name="fdc" localSheetId="5" hidden="1">{"NOPCAPEVA",#N/A,FALSE,"Nopat";"FCFCSTAR",#N/A,FALSE,"FCFVAL";"EVAVL",#N/A,FALSE,"EVAVAL";"LEASE",#N/A,FALSE,"OpLease"}</definedName>
    <definedName name="fdc" localSheetId="8" hidden="1">{"NOPCAPEVA",#N/A,FALSE,"Nopat";"FCFCSTAR",#N/A,FALSE,"FCFVAL";"EVAVL",#N/A,FALSE,"EVAVAL";"LEASE",#N/A,FALSE,"OpLease"}</definedName>
    <definedName name="fdc" localSheetId="10" hidden="1">{"NOPCAPEVA",#N/A,FALSE,"Nopat";"FCFCSTAR",#N/A,FALSE,"FCFVAL";"EVAVL",#N/A,FALSE,"EVAVAL";"LEASE",#N/A,FALSE,"OpLease"}</definedName>
    <definedName name="fdc" localSheetId="12" hidden="1">{"NOPCAPEVA",#N/A,FALSE,"Nopat";"FCFCSTAR",#N/A,FALSE,"FCFVAL";"EVAVL",#N/A,FALSE,"EVAVAL";"LEASE",#N/A,FALSE,"OpLease"}</definedName>
    <definedName name="fdc" localSheetId="14" hidden="1">{"NOPCAPEVA",#N/A,FALSE,"Nopat";"FCFCSTAR",#N/A,FALSE,"FCFVAL";"EVAVL",#N/A,FALSE,"EVAVAL";"LEASE",#N/A,FALSE,"OpLease"}</definedName>
    <definedName name="fdc" localSheetId="16" hidden="1">{"NOPCAPEVA",#N/A,FALSE,"Nopat";"FCFCSTAR",#N/A,FALSE,"FCFVAL";"EVAVL",#N/A,FALSE,"EVAVAL";"LEASE",#N/A,FALSE,"OpLease"}</definedName>
    <definedName name="fdc" localSheetId="22" hidden="1">{"NOPCAPEVA",#N/A,FALSE,"Nopat";"FCFCSTAR",#N/A,FALSE,"FCFVAL";"EVAVL",#N/A,FALSE,"EVAVAL";"LEASE",#N/A,FALSE,"OpLease"}</definedName>
    <definedName name="fdc" localSheetId="24" hidden="1">{"NOPCAPEVA",#N/A,FALSE,"Nopat";"FCFCSTAR",#N/A,FALSE,"FCFVAL";"EVAVL",#N/A,FALSE,"EVAVAL";"LEASE",#N/A,FALSE,"OpLease"}</definedName>
    <definedName name="fdc" localSheetId="26" hidden="1">{"NOPCAPEVA",#N/A,FALSE,"Nopat";"FCFCSTAR",#N/A,FALSE,"FCFVAL";"EVAVL",#N/A,FALSE,"EVAVAL";"LEASE",#N/A,FALSE,"OpLease"}</definedName>
    <definedName name="fdc" localSheetId="28" hidden="1">{"NOPCAPEVA",#N/A,FALSE,"Nopat";"FCFCSTAR",#N/A,FALSE,"FCFVAL";"EVAVL",#N/A,FALSE,"EVAVAL";"LEASE",#N/A,FALSE,"OpLease"}</definedName>
    <definedName name="fdc" localSheetId="30" hidden="1">{"NOPCAPEVA",#N/A,FALSE,"Nopat";"FCFCSTAR",#N/A,FALSE,"FCFVAL";"EVAVL",#N/A,FALSE,"EVAVAL";"LEASE",#N/A,FALSE,"OpLease"}</definedName>
    <definedName name="fdc" localSheetId="32" hidden="1">{"NOPCAPEVA",#N/A,FALSE,"Nopat";"FCFCSTAR",#N/A,FALSE,"FCFVAL";"EVAVL",#N/A,FALSE,"EVAVAL";"LEASE",#N/A,FALSE,"OpLease"}</definedName>
    <definedName name="fdc" localSheetId="34" hidden="1">{"NOPCAPEVA",#N/A,FALSE,"Nopat";"FCFCSTAR",#N/A,FALSE,"FCFVAL";"EVAVL",#N/A,FALSE,"EVAVAL";"LEASE",#N/A,FALSE,"OpLease"}</definedName>
    <definedName name="fdc" localSheetId="36" hidden="1">{"NOPCAPEVA",#N/A,FALSE,"Nopat";"FCFCSTAR",#N/A,FALSE,"FCFVAL";"EVAVL",#N/A,FALSE,"EVAVAL";"LEASE",#N/A,FALSE,"OpLease"}</definedName>
    <definedName name="fdc" localSheetId="38" hidden="1">{"NOPCAPEVA",#N/A,FALSE,"Nopat";"FCFCSTAR",#N/A,FALSE,"FCFVAL";"EVAVL",#N/A,FALSE,"EVAVAL";"LEASE",#N/A,FALSE,"OpLease"}</definedName>
    <definedName name="fdc" hidden="1">{"NOPCAPEVA",#N/A,FALSE,"Nopat";"FCFCSTAR",#N/A,FALSE,"FCFVAL";"EVAVL",#N/A,FALSE,"EVAVAL";"LEASE",#N/A,FALSE,"OpLease"}</definedName>
    <definedName name="fdfsa" localSheetId="3" hidden="1">{#N/A,#N/A,FALSE,"Aging Summary";#N/A,#N/A,FALSE,"Ratio Analysis";#N/A,#N/A,FALSE,"Test 120 Day Accts";#N/A,#N/A,FALSE,"Tickmarks"}</definedName>
    <definedName name="fdfsa" localSheetId="5" hidden="1">{#N/A,#N/A,FALSE,"Aging Summary";#N/A,#N/A,FALSE,"Ratio Analysis";#N/A,#N/A,FALSE,"Test 120 Day Accts";#N/A,#N/A,FALSE,"Tickmarks"}</definedName>
    <definedName name="fdfsa" localSheetId="8" hidden="1">{#N/A,#N/A,FALSE,"Aging Summary";#N/A,#N/A,FALSE,"Ratio Analysis";#N/A,#N/A,FALSE,"Test 120 Day Accts";#N/A,#N/A,FALSE,"Tickmarks"}</definedName>
    <definedName name="fdfsa" localSheetId="10" hidden="1">{#N/A,#N/A,FALSE,"Aging Summary";#N/A,#N/A,FALSE,"Ratio Analysis";#N/A,#N/A,FALSE,"Test 120 Day Accts";#N/A,#N/A,FALSE,"Tickmarks"}</definedName>
    <definedName name="fdfsa" localSheetId="12" hidden="1">{#N/A,#N/A,FALSE,"Aging Summary";#N/A,#N/A,FALSE,"Ratio Analysis";#N/A,#N/A,FALSE,"Test 120 Day Accts";#N/A,#N/A,FALSE,"Tickmarks"}</definedName>
    <definedName name="fdfsa" localSheetId="14" hidden="1">{#N/A,#N/A,FALSE,"Aging Summary";#N/A,#N/A,FALSE,"Ratio Analysis";#N/A,#N/A,FALSE,"Test 120 Day Accts";#N/A,#N/A,FALSE,"Tickmarks"}</definedName>
    <definedName name="fdfsa" localSheetId="16" hidden="1">{#N/A,#N/A,FALSE,"Aging Summary";#N/A,#N/A,FALSE,"Ratio Analysis";#N/A,#N/A,FALSE,"Test 120 Day Accts";#N/A,#N/A,FALSE,"Tickmarks"}</definedName>
    <definedName name="fdfsa" localSheetId="22" hidden="1">{#N/A,#N/A,FALSE,"Aging Summary";#N/A,#N/A,FALSE,"Ratio Analysis";#N/A,#N/A,FALSE,"Test 120 Day Accts";#N/A,#N/A,FALSE,"Tickmarks"}</definedName>
    <definedName name="fdfsa" localSheetId="24" hidden="1">{#N/A,#N/A,FALSE,"Aging Summary";#N/A,#N/A,FALSE,"Ratio Analysis";#N/A,#N/A,FALSE,"Test 120 Day Accts";#N/A,#N/A,FALSE,"Tickmarks"}</definedName>
    <definedName name="fdfsa" localSheetId="26" hidden="1">{#N/A,#N/A,FALSE,"Aging Summary";#N/A,#N/A,FALSE,"Ratio Analysis";#N/A,#N/A,FALSE,"Test 120 Day Accts";#N/A,#N/A,FALSE,"Tickmarks"}</definedName>
    <definedName name="fdfsa" localSheetId="28" hidden="1">{#N/A,#N/A,FALSE,"Aging Summary";#N/A,#N/A,FALSE,"Ratio Analysis";#N/A,#N/A,FALSE,"Test 120 Day Accts";#N/A,#N/A,FALSE,"Tickmarks"}</definedName>
    <definedName name="fdfsa" localSheetId="30" hidden="1">{#N/A,#N/A,FALSE,"Aging Summary";#N/A,#N/A,FALSE,"Ratio Analysis";#N/A,#N/A,FALSE,"Test 120 Day Accts";#N/A,#N/A,FALSE,"Tickmarks"}</definedName>
    <definedName name="fdfsa" localSheetId="32" hidden="1">{#N/A,#N/A,FALSE,"Aging Summary";#N/A,#N/A,FALSE,"Ratio Analysis";#N/A,#N/A,FALSE,"Test 120 Day Accts";#N/A,#N/A,FALSE,"Tickmarks"}</definedName>
    <definedName name="fdfsa" localSheetId="34" hidden="1">{#N/A,#N/A,FALSE,"Aging Summary";#N/A,#N/A,FALSE,"Ratio Analysis";#N/A,#N/A,FALSE,"Test 120 Day Accts";#N/A,#N/A,FALSE,"Tickmarks"}</definedName>
    <definedName name="fdfsa" localSheetId="36" hidden="1">{#N/A,#N/A,FALSE,"Aging Summary";#N/A,#N/A,FALSE,"Ratio Analysis";#N/A,#N/A,FALSE,"Test 120 Day Accts";#N/A,#N/A,FALSE,"Tickmarks"}</definedName>
    <definedName name="fdfsa" localSheetId="38" hidden="1">{#N/A,#N/A,FALSE,"Aging Summary";#N/A,#N/A,FALSE,"Ratio Analysis";#N/A,#N/A,FALSE,"Test 120 Day Accts";#N/A,#N/A,FALSE,"Tickmarks"}</definedName>
    <definedName name="fdfsa" hidden="1">{#N/A,#N/A,FALSE,"Aging Summary";#N/A,#N/A,FALSE,"Ratio Analysis";#N/A,#N/A,FALSE,"Test 120 Day Accts";#N/A,#N/A,FALSE,"Tickmarks"}</definedName>
    <definedName name="fdgdfg">#REF!</definedName>
    <definedName name="fdyhj" localSheetId="3" hidden="1">{"NOPCAPEVA",#N/A,FALSE,"Nopat";"FCFCSTAR",#N/A,FALSE,"FCFVAL";"EVAVL",#N/A,FALSE,"EVAVAL";"LEASE",#N/A,FALSE,"OpLease"}</definedName>
    <definedName name="fdyhj" localSheetId="5" hidden="1">{"NOPCAPEVA",#N/A,FALSE,"Nopat";"FCFCSTAR",#N/A,FALSE,"FCFVAL";"EVAVL",#N/A,FALSE,"EVAVAL";"LEASE",#N/A,FALSE,"OpLease"}</definedName>
    <definedName name="fdyhj" localSheetId="8" hidden="1">{"NOPCAPEVA",#N/A,FALSE,"Nopat";"FCFCSTAR",#N/A,FALSE,"FCFVAL";"EVAVL",#N/A,FALSE,"EVAVAL";"LEASE",#N/A,FALSE,"OpLease"}</definedName>
    <definedName name="fdyhj" localSheetId="10" hidden="1">{"NOPCAPEVA",#N/A,FALSE,"Nopat";"FCFCSTAR",#N/A,FALSE,"FCFVAL";"EVAVL",#N/A,FALSE,"EVAVAL";"LEASE",#N/A,FALSE,"OpLease"}</definedName>
    <definedName name="fdyhj" localSheetId="12" hidden="1">{"NOPCAPEVA",#N/A,FALSE,"Nopat";"FCFCSTAR",#N/A,FALSE,"FCFVAL";"EVAVL",#N/A,FALSE,"EVAVAL";"LEASE",#N/A,FALSE,"OpLease"}</definedName>
    <definedName name="fdyhj" localSheetId="14" hidden="1">{"NOPCAPEVA",#N/A,FALSE,"Nopat";"FCFCSTAR",#N/A,FALSE,"FCFVAL";"EVAVL",#N/A,FALSE,"EVAVAL";"LEASE",#N/A,FALSE,"OpLease"}</definedName>
    <definedName name="fdyhj" localSheetId="16" hidden="1">{"NOPCAPEVA",#N/A,FALSE,"Nopat";"FCFCSTAR",#N/A,FALSE,"FCFVAL";"EVAVL",#N/A,FALSE,"EVAVAL";"LEASE",#N/A,FALSE,"OpLease"}</definedName>
    <definedName name="fdyhj" localSheetId="22" hidden="1">{"NOPCAPEVA",#N/A,FALSE,"Nopat";"FCFCSTAR",#N/A,FALSE,"FCFVAL";"EVAVL",#N/A,FALSE,"EVAVAL";"LEASE",#N/A,FALSE,"OpLease"}</definedName>
    <definedName name="fdyhj" localSheetId="24" hidden="1">{"NOPCAPEVA",#N/A,FALSE,"Nopat";"FCFCSTAR",#N/A,FALSE,"FCFVAL";"EVAVL",#N/A,FALSE,"EVAVAL";"LEASE",#N/A,FALSE,"OpLease"}</definedName>
    <definedName name="fdyhj" localSheetId="26" hidden="1">{"NOPCAPEVA",#N/A,FALSE,"Nopat";"FCFCSTAR",#N/A,FALSE,"FCFVAL";"EVAVL",#N/A,FALSE,"EVAVAL";"LEASE",#N/A,FALSE,"OpLease"}</definedName>
    <definedName name="fdyhj" localSheetId="28" hidden="1">{"NOPCAPEVA",#N/A,FALSE,"Nopat";"FCFCSTAR",#N/A,FALSE,"FCFVAL";"EVAVL",#N/A,FALSE,"EVAVAL";"LEASE",#N/A,FALSE,"OpLease"}</definedName>
    <definedName name="fdyhj" localSheetId="30" hidden="1">{"NOPCAPEVA",#N/A,FALSE,"Nopat";"FCFCSTAR",#N/A,FALSE,"FCFVAL";"EVAVL",#N/A,FALSE,"EVAVAL";"LEASE",#N/A,FALSE,"OpLease"}</definedName>
    <definedName name="fdyhj" localSheetId="32" hidden="1">{"NOPCAPEVA",#N/A,FALSE,"Nopat";"FCFCSTAR",#N/A,FALSE,"FCFVAL";"EVAVL",#N/A,FALSE,"EVAVAL";"LEASE",#N/A,FALSE,"OpLease"}</definedName>
    <definedName name="fdyhj" localSheetId="34" hidden="1">{"NOPCAPEVA",#N/A,FALSE,"Nopat";"FCFCSTAR",#N/A,FALSE,"FCFVAL";"EVAVL",#N/A,FALSE,"EVAVAL";"LEASE",#N/A,FALSE,"OpLease"}</definedName>
    <definedName name="fdyhj" localSheetId="36" hidden="1">{"NOPCAPEVA",#N/A,FALSE,"Nopat";"FCFCSTAR",#N/A,FALSE,"FCFVAL";"EVAVL",#N/A,FALSE,"EVAVAL";"LEASE",#N/A,FALSE,"OpLease"}</definedName>
    <definedName name="fdyhj" localSheetId="38" hidden="1">{"NOPCAPEVA",#N/A,FALSE,"Nopat";"FCFCSTAR",#N/A,FALSE,"FCFVAL";"EVAVL",#N/A,FALSE,"EVAVAL";"LEASE",#N/A,FALSE,"OpLease"}</definedName>
    <definedName name="fdyhj" hidden="1">{"NOPCAPEVA",#N/A,FALSE,"Nopat";"FCFCSTAR",#N/A,FALSE,"FCFVAL";"EVAVL",#N/A,FALSE,"EVAVAL";"LEASE",#N/A,FALSE,"OpLease"}</definedName>
    <definedName name="feb">#REF!</definedName>
    <definedName name="ffer" localSheetId="3" hidden="1">{"NOPCAPEVA",#N/A,FALSE,"Nopat";"FCFCSTAR",#N/A,FALSE,"FCFVAL";"EVAVL",#N/A,FALSE,"EVAVAL";"LEASE",#N/A,FALSE,"OpLease"}</definedName>
    <definedName name="ffer" localSheetId="5" hidden="1">{"NOPCAPEVA",#N/A,FALSE,"Nopat";"FCFCSTAR",#N/A,FALSE,"FCFVAL";"EVAVL",#N/A,FALSE,"EVAVAL";"LEASE",#N/A,FALSE,"OpLease"}</definedName>
    <definedName name="ffer" localSheetId="8" hidden="1">{"NOPCAPEVA",#N/A,FALSE,"Nopat";"FCFCSTAR",#N/A,FALSE,"FCFVAL";"EVAVL",#N/A,FALSE,"EVAVAL";"LEASE",#N/A,FALSE,"OpLease"}</definedName>
    <definedName name="ffer" localSheetId="10" hidden="1">{"NOPCAPEVA",#N/A,FALSE,"Nopat";"FCFCSTAR",#N/A,FALSE,"FCFVAL";"EVAVL",#N/A,FALSE,"EVAVAL";"LEASE",#N/A,FALSE,"OpLease"}</definedName>
    <definedName name="ffer" localSheetId="12" hidden="1">{"NOPCAPEVA",#N/A,FALSE,"Nopat";"FCFCSTAR",#N/A,FALSE,"FCFVAL";"EVAVL",#N/A,FALSE,"EVAVAL";"LEASE",#N/A,FALSE,"OpLease"}</definedName>
    <definedName name="ffer" localSheetId="14" hidden="1">{"NOPCAPEVA",#N/A,FALSE,"Nopat";"FCFCSTAR",#N/A,FALSE,"FCFVAL";"EVAVL",#N/A,FALSE,"EVAVAL";"LEASE",#N/A,FALSE,"OpLease"}</definedName>
    <definedName name="ffer" localSheetId="16" hidden="1">{"NOPCAPEVA",#N/A,FALSE,"Nopat";"FCFCSTAR",#N/A,FALSE,"FCFVAL";"EVAVL",#N/A,FALSE,"EVAVAL";"LEASE",#N/A,FALSE,"OpLease"}</definedName>
    <definedName name="ffer" localSheetId="22" hidden="1">{"NOPCAPEVA",#N/A,FALSE,"Nopat";"FCFCSTAR",#N/A,FALSE,"FCFVAL";"EVAVL",#N/A,FALSE,"EVAVAL";"LEASE",#N/A,FALSE,"OpLease"}</definedName>
    <definedName name="ffer" localSheetId="24" hidden="1">{"NOPCAPEVA",#N/A,FALSE,"Nopat";"FCFCSTAR",#N/A,FALSE,"FCFVAL";"EVAVL",#N/A,FALSE,"EVAVAL";"LEASE",#N/A,FALSE,"OpLease"}</definedName>
    <definedName name="ffer" localSheetId="26" hidden="1">{"NOPCAPEVA",#N/A,FALSE,"Nopat";"FCFCSTAR",#N/A,FALSE,"FCFVAL";"EVAVL",#N/A,FALSE,"EVAVAL";"LEASE",#N/A,FALSE,"OpLease"}</definedName>
    <definedName name="ffer" localSheetId="28" hidden="1">{"NOPCAPEVA",#N/A,FALSE,"Nopat";"FCFCSTAR",#N/A,FALSE,"FCFVAL";"EVAVL",#N/A,FALSE,"EVAVAL";"LEASE",#N/A,FALSE,"OpLease"}</definedName>
    <definedName name="ffer" localSheetId="30" hidden="1">{"NOPCAPEVA",#N/A,FALSE,"Nopat";"FCFCSTAR",#N/A,FALSE,"FCFVAL";"EVAVL",#N/A,FALSE,"EVAVAL";"LEASE",#N/A,FALSE,"OpLease"}</definedName>
    <definedName name="ffer" localSheetId="32" hidden="1">{"NOPCAPEVA",#N/A,FALSE,"Nopat";"FCFCSTAR",#N/A,FALSE,"FCFVAL";"EVAVL",#N/A,FALSE,"EVAVAL";"LEASE",#N/A,FALSE,"OpLease"}</definedName>
    <definedName name="ffer" localSheetId="34" hidden="1">{"NOPCAPEVA",#N/A,FALSE,"Nopat";"FCFCSTAR",#N/A,FALSE,"FCFVAL";"EVAVL",#N/A,FALSE,"EVAVAL";"LEASE",#N/A,FALSE,"OpLease"}</definedName>
    <definedName name="ffer" localSheetId="36" hidden="1">{"NOPCAPEVA",#N/A,FALSE,"Nopat";"FCFCSTAR",#N/A,FALSE,"FCFVAL";"EVAVL",#N/A,FALSE,"EVAVAL";"LEASE",#N/A,FALSE,"OpLease"}</definedName>
    <definedName name="ffer" localSheetId="38" hidden="1">{"NOPCAPEVA",#N/A,FALSE,"Nopat";"FCFCSTAR",#N/A,FALSE,"FCFVAL";"EVAVL",#N/A,FALSE,"EVAVAL";"LEASE",#N/A,FALSE,"OpLease"}</definedName>
    <definedName name="ffer" hidden="1">{"NOPCAPEVA",#N/A,FALSE,"Nopat";"FCFCSTAR",#N/A,FALSE,"FCFVAL";"EVAVL",#N/A,FALSE,"EVAVAL";"LEASE",#N/A,FALSE,"OpLease"}</definedName>
    <definedName name="fff" localSheetId="3" hidden="1">{#N/A,#N/A,FALSE,"MAIN";#N/A,#N/A,FALSE,"MK_ASS_B";#N/A,#N/A,FALSE,"MK_ASS_R";#N/A,#N/A,FALSE,"TR_ASS_B";#N/A,#N/A,FALSE,"TR_ASS_R";#N/A,#N/A,FALSE,"ROAMING";#N/A,#N/A,FALSE,"PR_ASS_B";#N/A,#N/A,FALSE,"PR_ASS_R";#N/A,#N/A,FALSE,"PR_ASS_S"}</definedName>
    <definedName name="fff" localSheetId="5" hidden="1">{#N/A,#N/A,FALSE,"MAIN";#N/A,#N/A,FALSE,"MK_ASS_B";#N/A,#N/A,FALSE,"MK_ASS_R";#N/A,#N/A,FALSE,"TR_ASS_B";#N/A,#N/A,FALSE,"TR_ASS_R";#N/A,#N/A,FALSE,"ROAMING";#N/A,#N/A,FALSE,"PR_ASS_B";#N/A,#N/A,FALSE,"PR_ASS_R";#N/A,#N/A,FALSE,"PR_ASS_S"}</definedName>
    <definedName name="fff" localSheetId="8" hidden="1">{#N/A,#N/A,FALSE,"MAIN";#N/A,#N/A,FALSE,"MK_ASS_B";#N/A,#N/A,FALSE,"MK_ASS_R";#N/A,#N/A,FALSE,"TR_ASS_B";#N/A,#N/A,FALSE,"TR_ASS_R";#N/A,#N/A,FALSE,"ROAMING";#N/A,#N/A,FALSE,"PR_ASS_B";#N/A,#N/A,FALSE,"PR_ASS_R";#N/A,#N/A,FALSE,"PR_ASS_S"}</definedName>
    <definedName name="fff" localSheetId="10" hidden="1">{#N/A,#N/A,FALSE,"MAIN";#N/A,#N/A,FALSE,"MK_ASS_B";#N/A,#N/A,FALSE,"MK_ASS_R";#N/A,#N/A,FALSE,"TR_ASS_B";#N/A,#N/A,FALSE,"TR_ASS_R";#N/A,#N/A,FALSE,"ROAMING";#N/A,#N/A,FALSE,"PR_ASS_B";#N/A,#N/A,FALSE,"PR_ASS_R";#N/A,#N/A,FALSE,"PR_ASS_S"}</definedName>
    <definedName name="fff" localSheetId="12" hidden="1">{#N/A,#N/A,FALSE,"MAIN";#N/A,#N/A,FALSE,"MK_ASS_B";#N/A,#N/A,FALSE,"MK_ASS_R";#N/A,#N/A,FALSE,"TR_ASS_B";#N/A,#N/A,FALSE,"TR_ASS_R";#N/A,#N/A,FALSE,"ROAMING";#N/A,#N/A,FALSE,"PR_ASS_B";#N/A,#N/A,FALSE,"PR_ASS_R";#N/A,#N/A,FALSE,"PR_ASS_S"}</definedName>
    <definedName name="fff" localSheetId="14" hidden="1">{#N/A,#N/A,FALSE,"MAIN";#N/A,#N/A,FALSE,"MK_ASS_B";#N/A,#N/A,FALSE,"MK_ASS_R";#N/A,#N/A,FALSE,"TR_ASS_B";#N/A,#N/A,FALSE,"TR_ASS_R";#N/A,#N/A,FALSE,"ROAMING";#N/A,#N/A,FALSE,"PR_ASS_B";#N/A,#N/A,FALSE,"PR_ASS_R";#N/A,#N/A,FALSE,"PR_ASS_S"}</definedName>
    <definedName name="fff" localSheetId="16" hidden="1">{#N/A,#N/A,FALSE,"MAIN";#N/A,#N/A,FALSE,"MK_ASS_B";#N/A,#N/A,FALSE,"MK_ASS_R";#N/A,#N/A,FALSE,"TR_ASS_B";#N/A,#N/A,FALSE,"TR_ASS_R";#N/A,#N/A,FALSE,"ROAMING";#N/A,#N/A,FALSE,"PR_ASS_B";#N/A,#N/A,FALSE,"PR_ASS_R";#N/A,#N/A,FALSE,"PR_ASS_S"}</definedName>
    <definedName name="fff" localSheetId="22" hidden="1">{#N/A,#N/A,FALSE,"MAIN";#N/A,#N/A,FALSE,"MK_ASS_B";#N/A,#N/A,FALSE,"MK_ASS_R";#N/A,#N/A,FALSE,"TR_ASS_B";#N/A,#N/A,FALSE,"TR_ASS_R";#N/A,#N/A,FALSE,"ROAMING";#N/A,#N/A,FALSE,"PR_ASS_B";#N/A,#N/A,FALSE,"PR_ASS_R";#N/A,#N/A,FALSE,"PR_ASS_S"}</definedName>
    <definedName name="fff" localSheetId="24" hidden="1">{#N/A,#N/A,FALSE,"MAIN";#N/A,#N/A,FALSE,"MK_ASS_B";#N/A,#N/A,FALSE,"MK_ASS_R";#N/A,#N/A,FALSE,"TR_ASS_B";#N/A,#N/A,FALSE,"TR_ASS_R";#N/A,#N/A,FALSE,"ROAMING";#N/A,#N/A,FALSE,"PR_ASS_B";#N/A,#N/A,FALSE,"PR_ASS_R";#N/A,#N/A,FALSE,"PR_ASS_S"}</definedName>
    <definedName name="fff" localSheetId="26" hidden="1">{#N/A,#N/A,FALSE,"MAIN";#N/A,#N/A,FALSE,"MK_ASS_B";#N/A,#N/A,FALSE,"MK_ASS_R";#N/A,#N/A,FALSE,"TR_ASS_B";#N/A,#N/A,FALSE,"TR_ASS_R";#N/A,#N/A,FALSE,"ROAMING";#N/A,#N/A,FALSE,"PR_ASS_B";#N/A,#N/A,FALSE,"PR_ASS_R";#N/A,#N/A,FALSE,"PR_ASS_S"}</definedName>
    <definedName name="fff" localSheetId="28" hidden="1">{#N/A,#N/A,FALSE,"MAIN";#N/A,#N/A,FALSE,"MK_ASS_B";#N/A,#N/A,FALSE,"MK_ASS_R";#N/A,#N/A,FALSE,"TR_ASS_B";#N/A,#N/A,FALSE,"TR_ASS_R";#N/A,#N/A,FALSE,"ROAMING";#N/A,#N/A,FALSE,"PR_ASS_B";#N/A,#N/A,FALSE,"PR_ASS_R";#N/A,#N/A,FALSE,"PR_ASS_S"}</definedName>
    <definedName name="fff" localSheetId="30" hidden="1">{#N/A,#N/A,FALSE,"MAIN";#N/A,#N/A,FALSE,"MK_ASS_B";#N/A,#N/A,FALSE,"MK_ASS_R";#N/A,#N/A,FALSE,"TR_ASS_B";#N/A,#N/A,FALSE,"TR_ASS_R";#N/A,#N/A,FALSE,"ROAMING";#N/A,#N/A,FALSE,"PR_ASS_B";#N/A,#N/A,FALSE,"PR_ASS_R";#N/A,#N/A,FALSE,"PR_ASS_S"}</definedName>
    <definedName name="fff" localSheetId="32" hidden="1">{#N/A,#N/A,FALSE,"MAIN";#N/A,#N/A,FALSE,"MK_ASS_B";#N/A,#N/A,FALSE,"MK_ASS_R";#N/A,#N/A,FALSE,"TR_ASS_B";#N/A,#N/A,FALSE,"TR_ASS_R";#N/A,#N/A,FALSE,"ROAMING";#N/A,#N/A,FALSE,"PR_ASS_B";#N/A,#N/A,FALSE,"PR_ASS_R";#N/A,#N/A,FALSE,"PR_ASS_S"}</definedName>
    <definedName name="fff" localSheetId="34" hidden="1">{#N/A,#N/A,FALSE,"MAIN";#N/A,#N/A,FALSE,"MK_ASS_B";#N/A,#N/A,FALSE,"MK_ASS_R";#N/A,#N/A,FALSE,"TR_ASS_B";#N/A,#N/A,FALSE,"TR_ASS_R";#N/A,#N/A,FALSE,"ROAMING";#N/A,#N/A,FALSE,"PR_ASS_B";#N/A,#N/A,FALSE,"PR_ASS_R";#N/A,#N/A,FALSE,"PR_ASS_S"}</definedName>
    <definedName name="fff" localSheetId="36" hidden="1">{#N/A,#N/A,FALSE,"MAIN";#N/A,#N/A,FALSE,"MK_ASS_B";#N/A,#N/A,FALSE,"MK_ASS_R";#N/A,#N/A,FALSE,"TR_ASS_B";#N/A,#N/A,FALSE,"TR_ASS_R";#N/A,#N/A,FALSE,"ROAMING";#N/A,#N/A,FALSE,"PR_ASS_B";#N/A,#N/A,FALSE,"PR_ASS_R";#N/A,#N/A,FALSE,"PR_ASS_S"}</definedName>
    <definedName name="fff" localSheetId="38" hidden="1">{#N/A,#N/A,FALSE,"MAIN";#N/A,#N/A,FALSE,"MK_ASS_B";#N/A,#N/A,FALSE,"MK_ASS_R";#N/A,#N/A,FALSE,"TR_ASS_B";#N/A,#N/A,FALSE,"TR_ASS_R";#N/A,#N/A,FALSE,"ROAMING";#N/A,#N/A,FALSE,"PR_ASS_B";#N/A,#N/A,FALSE,"PR_ASS_R";#N/A,#N/A,FALSE,"PR_ASS_S"}</definedName>
    <definedName name="fff" hidden="1">{#N/A,#N/A,FALSE,"MAIN";#N/A,#N/A,FALSE,"MK_ASS_B";#N/A,#N/A,FALSE,"MK_ASS_R";#N/A,#N/A,FALSE,"TR_ASS_B";#N/A,#N/A,FALSE,"TR_ASS_R";#N/A,#N/A,FALSE,"ROAMING";#N/A,#N/A,FALSE,"PR_ASS_B";#N/A,#N/A,FALSE,"PR_ASS_R";#N/A,#N/A,FALSE,"PR_ASS_S"}</definedName>
    <definedName name="fffffffff" localSheetId="3" hidden="1">{#N/A,#N/A,TRUE,"Asmp";#N/A,#N/A,TRUE,"CF"}</definedName>
    <definedName name="fffffffff" localSheetId="5" hidden="1">{#N/A,#N/A,TRUE,"Asmp";#N/A,#N/A,TRUE,"CF"}</definedName>
    <definedName name="fffffffff" localSheetId="8" hidden="1">{#N/A,#N/A,TRUE,"Asmp";#N/A,#N/A,TRUE,"CF"}</definedName>
    <definedName name="fffffffff" localSheetId="10" hidden="1">{#N/A,#N/A,TRUE,"Asmp";#N/A,#N/A,TRUE,"CF"}</definedName>
    <definedName name="fffffffff" localSheetId="12" hidden="1">{#N/A,#N/A,TRUE,"Asmp";#N/A,#N/A,TRUE,"CF"}</definedName>
    <definedName name="fffffffff" localSheetId="14" hidden="1">{#N/A,#N/A,TRUE,"Asmp";#N/A,#N/A,TRUE,"CF"}</definedName>
    <definedName name="fffffffff" localSheetId="16" hidden="1">{#N/A,#N/A,TRUE,"Asmp";#N/A,#N/A,TRUE,"CF"}</definedName>
    <definedName name="fffffffff" localSheetId="22" hidden="1">{#N/A,#N/A,TRUE,"Asmp";#N/A,#N/A,TRUE,"CF"}</definedName>
    <definedName name="fffffffff" localSheetId="24" hidden="1">{#N/A,#N/A,TRUE,"Asmp";#N/A,#N/A,TRUE,"CF"}</definedName>
    <definedName name="fffffffff" localSheetId="26" hidden="1">{#N/A,#N/A,TRUE,"Asmp";#N/A,#N/A,TRUE,"CF"}</definedName>
    <definedName name="fffffffff" localSheetId="28" hidden="1">{#N/A,#N/A,TRUE,"Asmp";#N/A,#N/A,TRUE,"CF"}</definedName>
    <definedName name="fffffffff" localSheetId="30" hidden="1">{#N/A,#N/A,TRUE,"Asmp";#N/A,#N/A,TRUE,"CF"}</definedName>
    <definedName name="fffffffff" localSheetId="32" hidden="1">{#N/A,#N/A,TRUE,"Asmp";#N/A,#N/A,TRUE,"CF"}</definedName>
    <definedName name="fffffffff" localSheetId="34" hidden="1">{#N/A,#N/A,TRUE,"Asmp";#N/A,#N/A,TRUE,"CF"}</definedName>
    <definedName name="fffffffff" localSheetId="36" hidden="1">{#N/A,#N/A,TRUE,"Asmp";#N/A,#N/A,TRUE,"CF"}</definedName>
    <definedName name="fffffffff" localSheetId="38" hidden="1">{#N/A,#N/A,TRUE,"Asmp";#N/A,#N/A,TRUE,"CF"}</definedName>
    <definedName name="fffffffff" hidden="1">{#N/A,#N/A,TRUE,"Asmp";#N/A,#N/A,TRUE,"CF"}</definedName>
    <definedName name="fgiju" localSheetId="3"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iju" localSheetId="5"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iju" localSheetId="8"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iju" localSheetId="10"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iju" localSheetId="1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iju" localSheetId="14"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iju" localSheetId="16"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iju" localSheetId="2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iju" localSheetId="24"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iju" localSheetId="26"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iju" localSheetId="28"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iju" localSheetId="30"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iju" localSheetId="3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iju" localSheetId="34"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iju" localSheetId="36"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iju" localSheetId="38"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iju"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jgg"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g"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g"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g"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g"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g"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g"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g"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g"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g"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g"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g"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g"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g"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g"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g"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g"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hgfh">#REF!</definedName>
    <definedName name="Forecast">#REF!</definedName>
    <definedName name="FourFront" localSheetId="3" hidden="1">{#N/A,#N/A,TRUE,"Facility-Input";#N/A,#N/A,TRUE,"Graphs";#N/A,#N/A,TRUE,"TOTAL";#N/A,#N/A,TRUE,"Total Pipes";#N/A,#N/A,TRUE,"Segment 1";#N/A,#N/A,TRUE,"Segment 2";#N/A,#N/A,TRUE,"Segment 3";#N/A,#N/A,TRUE,"Segment 4";#N/A,#N/A,TRUE,"Segment 5";#N/A,#N/A,TRUE,"NGL-Input";#N/A,#N/A,TRUE,"Assums."}</definedName>
    <definedName name="FourFront" localSheetId="5" hidden="1">{#N/A,#N/A,TRUE,"Facility-Input";#N/A,#N/A,TRUE,"Graphs";#N/A,#N/A,TRUE,"TOTAL";#N/A,#N/A,TRUE,"Total Pipes";#N/A,#N/A,TRUE,"Segment 1";#N/A,#N/A,TRUE,"Segment 2";#N/A,#N/A,TRUE,"Segment 3";#N/A,#N/A,TRUE,"Segment 4";#N/A,#N/A,TRUE,"Segment 5";#N/A,#N/A,TRUE,"NGL-Input";#N/A,#N/A,TRUE,"Assums."}</definedName>
    <definedName name="FourFront" localSheetId="8" hidden="1">{#N/A,#N/A,TRUE,"Facility-Input";#N/A,#N/A,TRUE,"Graphs";#N/A,#N/A,TRUE,"TOTAL";#N/A,#N/A,TRUE,"Total Pipes";#N/A,#N/A,TRUE,"Segment 1";#N/A,#N/A,TRUE,"Segment 2";#N/A,#N/A,TRUE,"Segment 3";#N/A,#N/A,TRUE,"Segment 4";#N/A,#N/A,TRUE,"Segment 5";#N/A,#N/A,TRUE,"NGL-Input";#N/A,#N/A,TRUE,"Assums."}</definedName>
    <definedName name="FourFront" localSheetId="10" hidden="1">{#N/A,#N/A,TRUE,"Facility-Input";#N/A,#N/A,TRUE,"Graphs";#N/A,#N/A,TRUE,"TOTAL";#N/A,#N/A,TRUE,"Total Pipes";#N/A,#N/A,TRUE,"Segment 1";#N/A,#N/A,TRUE,"Segment 2";#N/A,#N/A,TRUE,"Segment 3";#N/A,#N/A,TRUE,"Segment 4";#N/A,#N/A,TRUE,"Segment 5";#N/A,#N/A,TRUE,"NGL-Input";#N/A,#N/A,TRUE,"Assums."}</definedName>
    <definedName name="FourFront" localSheetId="12" hidden="1">{#N/A,#N/A,TRUE,"Facility-Input";#N/A,#N/A,TRUE,"Graphs";#N/A,#N/A,TRUE,"TOTAL";#N/A,#N/A,TRUE,"Total Pipes";#N/A,#N/A,TRUE,"Segment 1";#N/A,#N/A,TRUE,"Segment 2";#N/A,#N/A,TRUE,"Segment 3";#N/A,#N/A,TRUE,"Segment 4";#N/A,#N/A,TRUE,"Segment 5";#N/A,#N/A,TRUE,"NGL-Input";#N/A,#N/A,TRUE,"Assums."}</definedName>
    <definedName name="FourFront" localSheetId="14" hidden="1">{#N/A,#N/A,TRUE,"Facility-Input";#N/A,#N/A,TRUE,"Graphs";#N/A,#N/A,TRUE,"TOTAL";#N/A,#N/A,TRUE,"Total Pipes";#N/A,#N/A,TRUE,"Segment 1";#N/A,#N/A,TRUE,"Segment 2";#N/A,#N/A,TRUE,"Segment 3";#N/A,#N/A,TRUE,"Segment 4";#N/A,#N/A,TRUE,"Segment 5";#N/A,#N/A,TRUE,"NGL-Input";#N/A,#N/A,TRUE,"Assums."}</definedName>
    <definedName name="FourFront" localSheetId="16" hidden="1">{#N/A,#N/A,TRUE,"Facility-Input";#N/A,#N/A,TRUE,"Graphs";#N/A,#N/A,TRUE,"TOTAL";#N/A,#N/A,TRUE,"Total Pipes";#N/A,#N/A,TRUE,"Segment 1";#N/A,#N/A,TRUE,"Segment 2";#N/A,#N/A,TRUE,"Segment 3";#N/A,#N/A,TRUE,"Segment 4";#N/A,#N/A,TRUE,"Segment 5";#N/A,#N/A,TRUE,"NGL-Input";#N/A,#N/A,TRUE,"Assums."}</definedName>
    <definedName name="FourFront" localSheetId="22" hidden="1">{#N/A,#N/A,TRUE,"Facility-Input";#N/A,#N/A,TRUE,"Graphs";#N/A,#N/A,TRUE,"TOTAL";#N/A,#N/A,TRUE,"Total Pipes";#N/A,#N/A,TRUE,"Segment 1";#N/A,#N/A,TRUE,"Segment 2";#N/A,#N/A,TRUE,"Segment 3";#N/A,#N/A,TRUE,"Segment 4";#N/A,#N/A,TRUE,"Segment 5";#N/A,#N/A,TRUE,"NGL-Input";#N/A,#N/A,TRUE,"Assums."}</definedName>
    <definedName name="FourFront" localSheetId="24" hidden="1">{#N/A,#N/A,TRUE,"Facility-Input";#N/A,#N/A,TRUE,"Graphs";#N/A,#N/A,TRUE,"TOTAL";#N/A,#N/A,TRUE,"Total Pipes";#N/A,#N/A,TRUE,"Segment 1";#N/A,#N/A,TRUE,"Segment 2";#N/A,#N/A,TRUE,"Segment 3";#N/A,#N/A,TRUE,"Segment 4";#N/A,#N/A,TRUE,"Segment 5";#N/A,#N/A,TRUE,"NGL-Input";#N/A,#N/A,TRUE,"Assums."}</definedName>
    <definedName name="FourFront" localSheetId="26" hidden="1">{#N/A,#N/A,TRUE,"Facility-Input";#N/A,#N/A,TRUE,"Graphs";#N/A,#N/A,TRUE,"TOTAL";#N/A,#N/A,TRUE,"Total Pipes";#N/A,#N/A,TRUE,"Segment 1";#N/A,#N/A,TRUE,"Segment 2";#N/A,#N/A,TRUE,"Segment 3";#N/A,#N/A,TRUE,"Segment 4";#N/A,#N/A,TRUE,"Segment 5";#N/A,#N/A,TRUE,"NGL-Input";#N/A,#N/A,TRUE,"Assums."}</definedName>
    <definedName name="FourFront" localSheetId="28" hidden="1">{#N/A,#N/A,TRUE,"Facility-Input";#N/A,#N/A,TRUE,"Graphs";#N/A,#N/A,TRUE,"TOTAL";#N/A,#N/A,TRUE,"Total Pipes";#N/A,#N/A,TRUE,"Segment 1";#N/A,#N/A,TRUE,"Segment 2";#N/A,#N/A,TRUE,"Segment 3";#N/A,#N/A,TRUE,"Segment 4";#N/A,#N/A,TRUE,"Segment 5";#N/A,#N/A,TRUE,"NGL-Input";#N/A,#N/A,TRUE,"Assums."}</definedName>
    <definedName name="FourFront" localSheetId="30" hidden="1">{#N/A,#N/A,TRUE,"Facility-Input";#N/A,#N/A,TRUE,"Graphs";#N/A,#N/A,TRUE,"TOTAL";#N/A,#N/A,TRUE,"Total Pipes";#N/A,#N/A,TRUE,"Segment 1";#N/A,#N/A,TRUE,"Segment 2";#N/A,#N/A,TRUE,"Segment 3";#N/A,#N/A,TRUE,"Segment 4";#N/A,#N/A,TRUE,"Segment 5";#N/A,#N/A,TRUE,"NGL-Input";#N/A,#N/A,TRUE,"Assums."}</definedName>
    <definedName name="FourFront" localSheetId="32" hidden="1">{#N/A,#N/A,TRUE,"Facility-Input";#N/A,#N/A,TRUE,"Graphs";#N/A,#N/A,TRUE,"TOTAL";#N/A,#N/A,TRUE,"Total Pipes";#N/A,#N/A,TRUE,"Segment 1";#N/A,#N/A,TRUE,"Segment 2";#N/A,#N/A,TRUE,"Segment 3";#N/A,#N/A,TRUE,"Segment 4";#N/A,#N/A,TRUE,"Segment 5";#N/A,#N/A,TRUE,"NGL-Input";#N/A,#N/A,TRUE,"Assums."}</definedName>
    <definedName name="FourFront" localSheetId="34" hidden="1">{#N/A,#N/A,TRUE,"Facility-Input";#N/A,#N/A,TRUE,"Graphs";#N/A,#N/A,TRUE,"TOTAL";#N/A,#N/A,TRUE,"Total Pipes";#N/A,#N/A,TRUE,"Segment 1";#N/A,#N/A,TRUE,"Segment 2";#N/A,#N/A,TRUE,"Segment 3";#N/A,#N/A,TRUE,"Segment 4";#N/A,#N/A,TRUE,"Segment 5";#N/A,#N/A,TRUE,"NGL-Input";#N/A,#N/A,TRUE,"Assums."}</definedName>
    <definedName name="FourFront" localSheetId="36" hidden="1">{#N/A,#N/A,TRUE,"Facility-Input";#N/A,#N/A,TRUE,"Graphs";#N/A,#N/A,TRUE,"TOTAL";#N/A,#N/A,TRUE,"Total Pipes";#N/A,#N/A,TRUE,"Segment 1";#N/A,#N/A,TRUE,"Segment 2";#N/A,#N/A,TRUE,"Segment 3";#N/A,#N/A,TRUE,"Segment 4";#N/A,#N/A,TRUE,"Segment 5";#N/A,#N/A,TRUE,"NGL-Input";#N/A,#N/A,TRUE,"Assums."}</definedName>
    <definedName name="FourFront" localSheetId="38" hidden="1">{#N/A,#N/A,TRUE,"Facility-Input";#N/A,#N/A,TRUE,"Graphs";#N/A,#N/A,TRUE,"TOTAL";#N/A,#N/A,TRUE,"Total Pipes";#N/A,#N/A,TRUE,"Segment 1";#N/A,#N/A,TRUE,"Segment 2";#N/A,#N/A,TRUE,"Segment 3";#N/A,#N/A,TRUE,"Segment 4";#N/A,#N/A,TRUE,"Segment 5";#N/A,#N/A,TRUE,"NGL-Input";#N/A,#N/A,TRUE,"Assums."}</definedName>
    <definedName name="FourFront" hidden="1">{#N/A,#N/A,TRUE,"Facility-Input";#N/A,#N/A,TRUE,"Graphs";#N/A,#N/A,TRUE,"TOTAL";#N/A,#N/A,TRUE,"Total Pipes";#N/A,#N/A,TRUE,"Segment 1";#N/A,#N/A,TRUE,"Segment 2";#N/A,#N/A,TRUE,"Segment 3";#N/A,#N/A,TRUE,"Segment 4";#N/A,#N/A,TRUE,"Segment 5";#N/A,#N/A,TRUE,"NGL-Input";#N/A,#N/A,TRUE,"Assums."}</definedName>
    <definedName name="fr4rd" localSheetId="3" hidden="1">{#N/A,#N/A,TRUE,"Main Issues";#N/A,#N/A,TRUE,"Income statement ($)"}</definedName>
    <definedName name="fr4rd" localSheetId="5" hidden="1">{#N/A,#N/A,TRUE,"Main Issues";#N/A,#N/A,TRUE,"Income statement ($)"}</definedName>
    <definedName name="fr4rd" localSheetId="8" hidden="1">{#N/A,#N/A,TRUE,"Main Issues";#N/A,#N/A,TRUE,"Income statement ($)"}</definedName>
    <definedName name="fr4rd" localSheetId="10" hidden="1">{#N/A,#N/A,TRUE,"Main Issues";#N/A,#N/A,TRUE,"Income statement ($)"}</definedName>
    <definedName name="fr4rd" localSheetId="12" hidden="1">{#N/A,#N/A,TRUE,"Main Issues";#N/A,#N/A,TRUE,"Income statement ($)"}</definedName>
    <definedName name="fr4rd" localSheetId="14" hidden="1">{#N/A,#N/A,TRUE,"Main Issues";#N/A,#N/A,TRUE,"Income statement ($)"}</definedName>
    <definedName name="fr4rd" localSheetId="16" hidden="1">{#N/A,#N/A,TRUE,"Main Issues";#N/A,#N/A,TRUE,"Income statement ($)"}</definedName>
    <definedName name="fr4rd" localSheetId="22" hidden="1">{#N/A,#N/A,TRUE,"Main Issues";#N/A,#N/A,TRUE,"Income statement ($)"}</definedName>
    <definedName name="fr4rd" localSheetId="24" hidden="1">{#N/A,#N/A,TRUE,"Main Issues";#N/A,#N/A,TRUE,"Income statement ($)"}</definedName>
    <definedName name="fr4rd" localSheetId="26" hidden="1">{#N/A,#N/A,TRUE,"Main Issues";#N/A,#N/A,TRUE,"Income statement ($)"}</definedName>
    <definedName name="fr4rd" localSheetId="28" hidden="1">{#N/A,#N/A,TRUE,"Main Issues";#N/A,#N/A,TRUE,"Income statement ($)"}</definedName>
    <definedName name="fr4rd" localSheetId="30" hidden="1">{#N/A,#N/A,TRUE,"Main Issues";#N/A,#N/A,TRUE,"Income statement ($)"}</definedName>
    <definedName name="fr4rd" localSheetId="32" hidden="1">{#N/A,#N/A,TRUE,"Main Issues";#N/A,#N/A,TRUE,"Income statement ($)"}</definedName>
    <definedName name="fr4rd" localSheetId="34" hidden="1">{#N/A,#N/A,TRUE,"Main Issues";#N/A,#N/A,TRUE,"Income statement ($)"}</definedName>
    <definedName name="fr4rd" localSheetId="36" hidden="1">{#N/A,#N/A,TRUE,"Main Issues";#N/A,#N/A,TRUE,"Income statement ($)"}</definedName>
    <definedName name="fr4rd" localSheetId="38" hidden="1">{#N/A,#N/A,TRUE,"Main Issues";#N/A,#N/A,TRUE,"Income statement ($)"}</definedName>
    <definedName name="fr4rd" hidden="1">{#N/A,#N/A,TRUE,"Main Issues";#N/A,#N/A,TRUE,"Income statement ($)"}</definedName>
    <definedName name="FRC">#REF!</definedName>
    <definedName name="freg" localSheetId="3" hidden="1">{"NOPCAPEVA",#N/A,FALSE,"Nopat";"FCFCSTAR",#N/A,FALSE,"FCFVAL";"EVAVL",#N/A,FALSE,"EVAVAL";"LEASE",#N/A,FALSE,"OpLease"}</definedName>
    <definedName name="freg" localSheetId="5" hidden="1">{"NOPCAPEVA",#N/A,FALSE,"Nopat";"FCFCSTAR",#N/A,FALSE,"FCFVAL";"EVAVL",#N/A,FALSE,"EVAVAL";"LEASE",#N/A,FALSE,"OpLease"}</definedName>
    <definedName name="freg" localSheetId="8" hidden="1">{"NOPCAPEVA",#N/A,FALSE,"Nopat";"FCFCSTAR",#N/A,FALSE,"FCFVAL";"EVAVL",#N/A,FALSE,"EVAVAL";"LEASE",#N/A,FALSE,"OpLease"}</definedName>
    <definedName name="freg" localSheetId="10" hidden="1">{"NOPCAPEVA",#N/A,FALSE,"Nopat";"FCFCSTAR",#N/A,FALSE,"FCFVAL";"EVAVL",#N/A,FALSE,"EVAVAL";"LEASE",#N/A,FALSE,"OpLease"}</definedName>
    <definedName name="freg" localSheetId="12" hidden="1">{"NOPCAPEVA",#N/A,FALSE,"Nopat";"FCFCSTAR",#N/A,FALSE,"FCFVAL";"EVAVL",#N/A,FALSE,"EVAVAL";"LEASE",#N/A,FALSE,"OpLease"}</definedName>
    <definedName name="freg" localSheetId="14" hidden="1">{"NOPCAPEVA",#N/A,FALSE,"Nopat";"FCFCSTAR",#N/A,FALSE,"FCFVAL";"EVAVL",#N/A,FALSE,"EVAVAL";"LEASE",#N/A,FALSE,"OpLease"}</definedName>
    <definedName name="freg" localSheetId="16" hidden="1">{"NOPCAPEVA",#N/A,FALSE,"Nopat";"FCFCSTAR",#N/A,FALSE,"FCFVAL";"EVAVL",#N/A,FALSE,"EVAVAL";"LEASE",#N/A,FALSE,"OpLease"}</definedName>
    <definedName name="freg" localSheetId="22" hidden="1">{"NOPCAPEVA",#N/A,FALSE,"Nopat";"FCFCSTAR",#N/A,FALSE,"FCFVAL";"EVAVL",#N/A,FALSE,"EVAVAL";"LEASE",#N/A,FALSE,"OpLease"}</definedName>
    <definedName name="freg" localSheetId="24" hidden="1">{"NOPCAPEVA",#N/A,FALSE,"Nopat";"FCFCSTAR",#N/A,FALSE,"FCFVAL";"EVAVL",#N/A,FALSE,"EVAVAL";"LEASE",#N/A,FALSE,"OpLease"}</definedName>
    <definedName name="freg" localSheetId="26" hidden="1">{"NOPCAPEVA",#N/A,FALSE,"Nopat";"FCFCSTAR",#N/A,FALSE,"FCFVAL";"EVAVL",#N/A,FALSE,"EVAVAL";"LEASE",#N/A,FALSE,"OpLease"}</definedName>
    <definedName name="freg" localSheetId="28" hidden="1">{"NOPCAPEVA",#N/A,FALSE,"Nopat";"FCFCSTAR",#N/A,FALSE,"FCFVAL";"EVAVL",#N/A,FALSE,"EVAVAL";"LEASE",#N/A,FALSE,"OpLease"}</definedName>
    <definedName name="freg" localSheetId="30" hidden="1">{"NOPCAPEVA",#N/A,FALSE,"Nopat";"FCFCSTAR",#N/A,FALSE,"FCFVAL";"EVAVL",#N/A,FALSE,"EVAVAL";"LEASE",#N/A,FALSE,"OpLease"}</definedName>
    <definedName name="freg" localSheetId="32" hidden="1">{"NOPCAPEVA",#N/A,FALSE,"Nopat";"FCFCSTAR",#N/A,FALSE,"FCFVAL";"EVAVL",#N/A,FALSE,"EVAVAL";"LEASE",#N/A,FALSE,"OpLease"}</definedName>
    <definedName name="freg" localSheetId="34" hidden="1">{"NOPCAPEVA",#N/A,FALSE,"Nopat";"FCFCSTAR",#N/A,FALSE,"FCFVAL";"EVAVL",#N/A,FALSE,"EVAVAL";"LEASE",#N/A,FALSE,"OpLease"}</definedName>
    <definedName name="freg" localSheetId="36" hidden="1">{"NOPCAPEVA",#N/A,FALSE,"Nopat";"FCFCSTAR",#N/A,FALSE,"FCFVAL";"EVAVL",#N/A,FALSE,"EVAVAL";"LEASE",#N/A,FALSE,"OpLease"}</definedName>
    <definedName name="freg" localSheetId="38" hidden="1">{"NOPCAPEVA",#N/A,FALSE,"Nopat";"FCFCSTAR",#N/A,FALSE,"FCFVAL";"EVAVL",#N/A,FALSE,"EVAVAL";"LEASE",#N/A,FALSE,"OpLease"}</definedName>
    <definedName name="freg" hidden="1">{"NOPCAPEVA",#N/A,FALSE,"Nopat";"FCFCSTAR",#N/A,FALSE,"FCFVAL";"EVAVL",#N/A,FALSE,"EVAVAL";"LEASE",#N/A,FALSE,"OpLease"}</definedName>
    <definedName name="fsa" localSheetId="3" hidden="1">{"AnnInc",#N/A,TRUE,"Inc";"QtrInc1",#N/A,TRUE,"Inc";"Balance",#N/A,TRUE,"Bal";"Cflow",#N/A,TRUE,"Cash"}</definedName>
    <definedName name="fsa" localSheetId="5" hidden="1">{"AnnInc",#N/A,TRUE,"Inc";"QtrInc1",#N/A,TRUE,"Inc";"Balance",#N/A,TRUE,"Bal";"Cflow",#N/A,TRUE,"Cash"}</definedName>
    <definedName name="fsa" localSheetId="8" hidden="1">{"AnnInc",#N/A,TRUE,"Inc";"QtrInc1",#N/A,TRUE,"Inc";"Balance",#N/A,TRUE,"Bal";"Cflow",#N/A,TRUE,"Cash"}</definedName>
    <definedName name="fsa" localSheetId="10" hidden="1">{"AnnInc",#N/A,TRUE,"Inc";"QtrInc1",#N/A,TRUE,"Inc";"Balance",#N/A,TRUE,"Bal";"Cflow",#N/A,TRUE,"Cash"}</definedName>
    <definedName name="fsa" localSheetId="12" hidden="1">{"AnnInc",#N/A,TRUE,"Inc";"QtrInc1",#N/A,TRUE,"Inc";"Balance",#N/A,TRUE,"Bal";"Cflow",#N/A,TRUE,"Cash"}</definedName>
    <definedName name="fsa" localSheetId="14" hidden="1">{"AnnInc",#N/A,TRUE,"Inc";"QtrInc1",#N/A,TRUE,"Inc";"Balance",#N/A,TRUE,"Bal";"Cflow",#N/A,TRUE,"Cash"}</definedName>
    <definedName name="fsa" localSheetId="16" hidden="1">{"AnnInc",#N/A,TRUE,"Inc";"QtrInc1",#N/A,TRUE,"Inc";"Balance",#N/A,TRUE,"Bal";"Cflow",#N/A,TRUE,"Cash"}</definedName>
    <definedName name="fsa" localSheetId="22" hidden="1">{"AnnInc",#N/A,TRUE,"Inc";"QtrInc1",#N/A,TRUE,"Inc";"Balance",#N/A,TRUE,"Bal";"Cflow",#N/A,TRUE,"Cash"}</definedName>
    <definedName name="fsa" localSheetId="24" hidden="1">{"AnnInc",#N/A,TRUE,"Inc";"QtrInc1",#N/A,TRUE,"Inc";"Balance",#N/A,TRUE,"Bal";"Cflow",#N/A,TRUE,"Cash"}</definedName>
    <definedName name="fsa" localSheetId="26" hidden="1">{"AnnInc",#N/A,TRUE,"Inc";"QtrInc1",#N/A,TRUE,"Inc";"Balance",#N/A,TRUE,"Bal";"Cflow",#N/A,TRUE,"Cash"}</definedName>
    <definedName name="fsa" localSheetId="28" hidden="1">{"AnnInc",#N/A,TRUE,"Inc";"QtrInc1",#N/A,TRUE,"Inc";"Balance",#N/A,TRUE,"Bal";"Cflow",#N/A,TRUE,"Cash"}</definedName>
    <definedName name="fsa" localSheetId="30" hidden="1">{"AnnInc",#N/A,TRUE,"Inc";"QtrInc1",#N/A,TRUE,"Inc";"Balance",#N/A,TRUE,"Bal";"Cflow",#N/A,TRUE,"Cash"}</definedName>
    <definedName name="fsa" localSheetId="32" hidden="1">{"AnnInc",#N/A,TRUE,"Inc";"QtrInc1",#N/A,TRUE,"Inc";"Balance",#N/A,TRUE,"Bal";"Cflow",#N/A,TRUE,"Cash"}</definedName>
    <definedName name="fsa" localSheetId="34" hidden="1">{"AnnInc",#N/A,TRUE,"Inc";"QtrInc1",#N/A,TRUE,"Inc";"Balance",#N/A,TRUE,"Bal";"Cflow",#N/A,TRUE,"Cash"}</definedName>
    <definedName name="fsa" localSheetId="36" hidden="1">{"AnnInc",#N/A,TRUE,"Inc";"QtrInc1",#N/A,TRUE,"Inc";"Balance",#N/A,TRUE,"Bal";"Cflow",#N/A,TRUE,"Cash"}</definedName>
    <definedName name="fsa" localSheetId="38" hidden="1">{"AnnInc",#N/A,TRUE,"Inc";"QtrInc1",#N/A,TRUE,"Inc";"Balance",#N/A,TRUE,"Bal";"Cflow",#N/A,TRUE,"Cash"}</definedName>
    <definedName name="fsa" hidden="1">{"AnnInc",#N/A,TRUE,"Inc";"QtrInc1",#N/A,TRUE,"Inc";"Balance",#N/A,TRUE,"Bal";"Cflow",#N/A,TRUE,"Cash"}</definedName>
    <definedName name="Full_Print">#REF!</definedName>
    <definedName name="FullDayHrs">#REF!</definedName>
    <definedName name="Fx">#REF!</definedName>
    <definedName name="FY07BUS_DAYS">#REF!</definedName>
    <definedName name="FY08BUS_DAYS">#REF!</definedName>
    <definedName name="gaa" localSheetId="3" hidden="1">{"AnnInc",#N/A,TRUE,"Inc";"QtrInc1",#N/A,TRUE,"Inc";"Balance",#N/A,TRUE,"Bal";"Cflow",#N/A,TRUE,"Cash"}</definedName>
    <definedName name="gaa" localSheetId="5" hidden="1">{"AnnInc",#N/A,TRUE,"Inc";"QtrInc1",#N/A,TRUE,"Inc";"Balance",#N/A,TRUE,"Bal";"Cflow",#N/A,TRUE,"Cash"}</definedName>
    <definedName name="gaa" localSheetId="8" hidden="1">{"AnnInc",#N/A,TRUE,"Inc";"QtrInc1",#N/A,TRUE,"Inc";"Balance",#N/A,TRUE,"Bal";"Cflow",#N/A,TRUE,"Cash"}</definedName>
    <definedName name="gaa" localSheetId="10" hidden="1">{"AnnInc",#N/A,TRUE,"Inc";"QtrInc1",#N/A,TRUE,"Inc";"Balance",#N/A,TRUE,"Bal";"Cflow",#N/A,TRUE,"Cash"}</definedName>
    <definedName name="gaa" localSheetId="12" hidden="1">{"AnnInc",#N/A,TRUE,"Inc";"QtrInc1",#N/A,TRUE,"Inc";"Balance",#N/A,TRUE,"Bal";"Cflow",#N/A,TRUE,"Cash"}</definedName>
    <definedName name="gaa" localSheetId="14" hidden="1">{"AnnInc",#N/A,TRUE,"Inc";"QtrInc1",#N/A,TRUE,"Inc";"Balance",#N/A,TRUE,"Bal";"Cflow",#N/A,TRUE,"Cash"}</definedName>
    <definedName name="gaa" localSheetId="16" hidden="1">{"AnnInc",#N/A,TRUE,"Inc";"QtrInc1",#N/A,TRUE,"Inc";"Balance",#N/A,TRUE,"Bal";"Cflow",#N/A,TRUE,"Cash"}</definedName>
    <definedName name="gaa" localSheetId="22" hidden="1">{"AnnInc",#N/A,TRUE,"Inc";"QtrInc1",#N/A,TRUE,"Inc";"Balance",#N/A,TRUE,"Bal";"Cflow",#N/A,TRUE,"Cash"}</definedName>
    <definedName name="gaa" localSheetId="24" hidden="1">{"AnnInc",#N/A,TRUE,"Inc";"QtrInc1",#N/A,TRUE,"Inc";"Balance",#N/A,TRUE,"Bal";"Cflow",#N/A,TRUE,"Cash"}</definedName>
    <definedName name="gaa" localSheetId="26" hidden="1">{"AnnInc",#N/A,TRUE,"Inc";"QtrInc1",#N/A,TRUE,"Inc";"Balance",#N/A,TRUE,"Bal";"Cflow",#N/A,TRUE,"Cash"}</definedName>
    <definedName name="gaa" localSheetId="28" hidden="1">{"AnnInc",#N/A,TRUE,"Inc";"QtrInc1",#N/A,TRUE,"Inc";"Balance",#N/A,TRUE,"Bal";"Cflow",#N/A,TRUE,"Cash"}</definedName>
    <definedName name="gaa" localSheetId="30" hidden="1">{"AnnInc",#N/A,TRUE,"Inc";"QtrInc1",#N/A,TRUE,"Inc";"Balance",#N/A,TRUE,"Bal";"Cflow",#N/A,TRUE,"Cash"}</definedName>
    <definedName name="gaa" localSheetId="32" hidden="1">{"AnnInc",#N/A,TRUE,"Inc";"QtrInc1",#N/A,TRUE,"Inc";"Balance",#N/A,TRUE,"Bal";"Cflow",#N/A,TRUE,"Cash"}</definedName>
    <definedName name="gaa" localSheetId="34" hidden="1">{"AnnInc",#N/A,TRUE,"Inc";"QtrInc1",#N/A,TRUE,"Inc";"Balance",#N/A,TRUE,"Bal";"Cflow",#N/A,TRUE,"Cash"}</definedName>
    <definedName name="gaa" localSheetId="36" hidden="1">{"AnnInc",#N/A,TRUE,"Inc";"QtrInc1",#N/A,TRUE,"Inc";"Balance",#N/A,TRUE,"Bal";"Cflow",#N/A,TRUE,"Cash"}</definedName>
    <definedName name="gaa" localSheetId="38" hidden="1">{"AnnInc",#N/A,TRUE,"Inc";"QtrInc1",#N/A,TRUE,"Inc";"Balance",#N/A,TRUE,"Bal";"Cflow",#N/A,TRUE,"Cash"}</definedName>
    <definedName name="gaa" hidden="1">{"AnnInc",#N/A,TRUE,"Inc";"QtrInc1",#N/A,TRUE,"Inc";"Balance",#N/A,TRUE,"Bal";"Cflow",#N/A,TRUE,"Cash"}</definedName>
    <definedName name="GACC">#REF!</definedName>
    <definedName name="gea" localSheetId="3" hidden="1">{"NOPCAPEVA",#N/A,FALSE,"Nopat";"FCFCSTAR",#N/A,FALSE,"FCFVAL";"EVAVL",#N/A,FALSE,"EVAVAL";"LEASE",#N/A,FALSE,"OpLease"}</definedName>
    <definedName name="gea" localSheetId="5" hidden="1">{"NOPCAPEVA",#N/A,FALSE,"Nopat";"FCFCSTAR",#N/A,FALSE,"FCFVAL";"EVAVL",#N/A,FALSE,"EVAVAL";"LEASE",#N/A,FALSE,"OpLease"}</definedName>
    <definedName name="gea" localSheetId="8" hidden="1">{"NOPCAPEVA",#N/A,FALSE,"Nopat";"FCFCSTAR",#N/A,FALSE,"FCFVAL";"EVAVL",#N/A,FALSE,"EVAVAL";"LEASE",#N/A,FALSE,"OpLease"}</definedName>
    <definedName name="gea" localSheetId="10" hidden="1">{"NOPCAPEVA",#N/A,FALSE,"Nopat";"FCFCSTAR",#N/A,FALSE,"FCFVAL";"EVAVL",#N/A,FALSE,"EVAVAL";"LEASE",#N/A,FALSE,"OpLease"}</definedName>
    <definedName name="gea" localSheetId="12" hidden="1">{"NOPCAPEVA",#N/A,FALSE,"Nopat";"FCFCSTAR",#N/A,FALSE,"FCFVAL";"EVAVL",#N/A,FALSE,"EVAVAL";"LEASE",#N/A,FALSE,"OpLease"}</definedName>
    <definedName name="gea" localSheetId="14" hidden="1">{"NOPCAPEVA",#N/A,FALSE,"Nopat";"FCFCSTAR",#N/A,FALSE,"FCFVAL";"EVAVL",#N/A,FALSE,"EVAVAL";"LEASE",#N/A,FALSE,"OpLease"}</definedName>
    <definedName name="gea" localSheetId="16" hidden="1">{"NOPCAPEVA",#N/A,FALSE,"Nopat";"FCFCSTAR",#N/A,FALSE,"FCFVAL";"EVAVL",#N/A,FALSE,"EVAVAL";"LEASE",#N/A,FALSE,"OpLease"}</definedName>
    <definedName name="gea" localSheetId="22" hidden="1">{"NOPCAPEVA",#N/A,FALSE,"Nopat";"FCFCSTAR",#N/A,FALSE,"FCFVAL";"EVAVL",#N/A,FALSE,"EVAVAL";"LEASE",#N/A,FALSE,"OpLease"}</definedName>
    <definedName name="gea" localSheetId="24" hidden="1">{"NOPCAPEVA",#N/A,FALSE,"Nopat";"FCFCSTAR",#N/A,FALSE,"FCFVAL";"EVAVL",#N/A,FALSE,"EVAVAL";"LEASE",#N/A,FALSE,"OpLease"}</definedName>
    <definedName name="gea" localSheetId="26" hidden="1">{"NOPCAPEVA",#N/A,FALSE,"Nopat";"FCFCSTAR",#N/A,FALSE,"FCFVAL";"EVAVL",#N/A,FALSE,"EVAVAL";"LEASE",#N/A,FALSE,"OpLease"}</definedName>
    <definedName name="gea" localSheetId="28" hidden="1">{"NOPCAPEVA",#N/A,FALSE,"Nopat";"FCFCSTAR",#N/A,FALSE,"FCFVAL";"EVAVL",#N/A,FALSE,"EVAVAL";"LEASE",#N/A,FALSE,"OpLease"}</definedName>
    <definedName name="gea" localSheetId="30" hidden="1">{"NOPCAPEVA",#N/A,FALSE,"Nopat";"FCFCSTAR",#N/A,FALSE,"FCFVAL";"EVAVL",#N/A,FALSE,"EVAVAL";"LEASE",#N/A,FALSE,"OpLease"}</definedName>
    <definedName name="gea" localSheetId="32" hidden="1">{"NOPCAPEVA",#N/A,FALSE,"Nopat";"FCFCSTAR",#N/A,FALSE,"FCFVAL";"EVAVL",#N/A,FALSE,"EVAVAL";"LEASE",#N/A,FALSE,"OpLease"}</definedName>
    <definedName name="gea" localSheetId="34" hidden="1">{"NOPCAPEVA",#N/A,FALSE,"Nopat";"FCFCSTAR",#N/A,FALSE,"FCFVAL";"EVAVL",#N/A,FALSE,"EVAVAL";"LEASE",#N/A,FALSE,"OpLease"}</definedName>
    <definedName name="gea" localSheetId="36" hidden="1">{"NOPCAPEVA",#N/A,FALSE,"Nopat";"FCFCSTAR",#N/A,FALSE,"FCFVAL";"EVAVL",#N/A,FALSE,"EVAVAL";"LEASE",#N/A,FALSE,"OpLease"}</definedName>
    <definedName name="gea" localSheetId="38" hidden="1">{"NOPCAPEVA",#N/A,FALSE,"Nopat";"FCFCSTAR",#N/A,FALSE,"FCFVAL";"EVAVL",#N/A,FALSE,"EVAVAL";"LEASE",#N/A,FALSE,"OpLease"}</definedName>
    <definedName name="gea" hidden="1">{"NOPCAPEVA",#N/A,FALSE,"Nopat";"FCFCSTAR",#N/A,FALSE,"FCFVAL";"EVAVL",#N/A,FALSE,"EVAVAL";"LEASE",#N/A,FALSE,"OpLease"}</definedName>
    <definedName name="geaeadd" localSheetId="3" hidden="1">{"AnnInc",#N/A,TRUE,"Inc";"QtrInc1",#N/A,TRUE,"Inc";"Balance",#N/A,TRUE,"Bal";"Cflow",#N/A,TRUE,"Cash"}</definedName>
    <definedName name="geaeadd" localSheetId="5" hidden="1">{"AnnInc",#N/A,TRUE,"Inc";"QtrInc1",#N/A,TRUE,"Inc";"Balance",#N/A,TRUE,"Bal";"Cflow",#N/A,TRUE,"Cash"}</definedName>
    <definedName name="geaeadd" localSheetId="8" hidden="1">{"AnnInc",#N/A,TRUE,"Inc";"QtrInc1",#N/A,TRUE,"Inc";"Balance",#N/A,TRUE,"Bal";"Cflow",#N/A,TRUE,"Cash"}</definedName>
    <definedName name="geaeadd" localSheetId="10" hidden="1">{"AnnInc",#N/A,TRUE,"Inc";"QtrInc1",#N/A,TRUE,"Inc";"Balance",#N/A,TRUE,"Bal";"Cflow",#N/A,TRUE,"Cash"}</definedName>
    <definedName name="geaeadd" localSheetId="12" hidden="1">{"AnnInc",#N/A,TRUE,"Inc";"QtrInc1",#N/A,TRUE,"Inc";"Balance",#N/A,TRUE,"Bal";"Cflow",#N/A,TRUE,"Cash"}</definedName>
    <definedName name="geaeadd" localSheetId="14" hidden="1">{"AnnInc",#N/A,TRUE,"Inc";"QtrInc1",#N/A,TRUE,"Inc";"Balance",#N/A,TRUE,"Bal";"Cflow",#N/A,TRUE,"Cash"}</definedName>
    <definedName name="geaeadd" localSheetId="16" hidden="1">{"AnnInc",#N/A,TRUE,"Inc";"QtrInc1",#N/A,TRUE,"Inc";"Balance",#N/A,TRUE,"Bal";"Cflow",#N/A,TRUE,"Cash"}</definedName>
    <definedName name="geaeadd" localSheetId="22" hidden="1">{"AnnInc",#N/A,TRUE,"Inc";"QtrInc1",#N/A,TRUE,"Inc";"Balance",#N/A,TRUE,"Bal";"Cflow",#N/A,TRUE,"Cash"}</definedName>
    <definedName name="geaeadd" localSheetId="24" hidden="1">{"AnnInc",#N/A,TRUE,"Inc";"QtrInc1",#N/A,TRUE,"Inc";"Balance",#N/A,TRUE,"Bal";"Cflow",#N/A,TRUE,"Cash"}</definedName>
    <definedName name="geaeadd" localSheetId="26" hidden="1">{"AnnInc",#N/A,TRUE,"Inc";"QtrInc1",#N/A,TRUE,"Inc";"Balance",#N/A,TRUE,"Bal";"Cflow",#N/A,TRUE,"Cash"}</definedName>
    <definedName name="geaeadd" localSheetId="28" hidden="1">{"AnnInc",#N/A,TRUE,"Inc";"QtrInc1",#N/A,TRUE,"Inc";"Balance",#N/A,TRUE,"Bal";"Cflow",#N/A,TRUE,"Cash"}</definedName>
    <definedName name="geaeadd" localSheetId="30" hidden="1">{"AnnInc",#N/A,TRUE,"Inc";"QtrInc1",#N/A,TRUE,"Inc";"Balance",#N/A,TRUE,"Bal";"Cflow",#N/A,TRUE,"Cash"}</definedName>
    <definedName name="geaeadd" localSheetId="32" hidden="1">{"AnnInc",#N/A,TRUE,"Inc";"QtrInc1",#N/A,TRUE,"Inc";"Balance",#N/A,TRUE,"Bal";"Cflow",#N/A,TRUE,"Cash"}</definedName>
    <definedName name="geaeadd" localSheetId="34" hidden="1">{"AnnInc",#N/A,TRUE,"Inc";"QtrInc1",#N/A,TRUE,"Inc";"Balance",#N/A,TRUE,"Bal";"Cflow",#N/A,TRUE,"Cash"}</definedName>
    <definedName name="geaeadd" localSheetId="36" hidden="1">{"AnnInc",#N/A,TRUE,"Inc";"QtrInc1",#N/A,TRUE,"Inc";"Balance",#N/A,TRUE,"Bal";"Cflow",#N/A,TRUE,"Cash"}</definedName>
    <definedName name="geaeadd" localSheetId="38" hidden="1">{"AnnInc",#N/A,TRUE,"Inc";"QtrInc1",#N/A,TRUE,"Inc";"Balance",#N/A,TRUE,"Bal";"Cflow",#N/A,TRUE,"Cash"}</definedName>
    <definedName name="geaeadd" hidden="1">{"AnnInc",#N/A,TRUE,"Inc";"QtrInc1",#N/A,TRUE,"Inc";"Balance",#N/A,TRUE,"Bal";"Cflow",#N/A,TRUE,"Cash"}</definedName>
    <definedName name="geda" localSheetId="3" hidden="1">{"AnnInc",#N/A,TRUE,"Inc";"QtrInc1",#N/A,TRUE,"Inc";"Balance",#N/A,TRUE,"Bal";"Cflow",#N/A,TRUE,"Cash"}</definedName>
    <definedName name="geda" localSheetId="5" hidden="1">{"AnnInc",#N/A,TRUE,"Inc";"QtrInc1",#N/A,TRUE,"Inc";"Balance",#N/A,TRUE,"Bal";"Cflow",#N/A,TRUE,"Cash"}</definedName>
    <definedName name="geda" localSheetId="8" hidden="1">{"AnnInc",#N/A,TRUE,"Inc";"QtrInc1",#N/A,TRUE,"Inc";"Balance",#N/A,TRUE,"Bal";"Cflow",#N/A,TRUE,"Cash"}</definedName>
    <definedName name="geda" localSheetId="10" hidden="1">{"AnnInc",#N/A,TRUE,"Inc";"QtrInc1",#N/A,TRUE,"Inc";"Balance",#N/A,TRUE,"Bal";"Cflow",#N/A,TRUE,"Cash"}</definedName>
    <definedName name="geda" localSheetId="12" hidden="1">{"AnnInc",#N/A,TRUE,"Inc";"QtrInc1",#N/A,TRUE,"Inc";"Balance",#N/A,TRUE,"Bal";"Cflow",#N/A,TRUE,"Cash"}</definedName>
    <definedName name="geda" localSheetId="14" hidden="1">{"AnnInc",#N/A,TRUE,"Inc";"QtrInc1",#N/A,TRUE,"Inc";"Balance",#N/A,TRUE,"Bal";"Cflow",#N/A,TRUE,"Cash"}</definedName>
    <definedName name="geda" localSheetId="16" hidden="1">{"AnnInc",#N/A,TRUE,"Inc";"QtrInc1",#N/A,TRUE,"Inc";"Balance",#N/A,TRUE,"Bal";"Cflow",#N/A,TRUE,"Cash"}</definedName>
    <definedName name="geda" localSheetId="22" hidden="1">{"AnnInc",#N/A,TRUE,"Inc";"QtrInc1",#N/A,TRUE,"Inc";"Balance",#N/A,TRUE,"Bal";"Cflow",#N/A,TRUE,"Cash"}</definedName>
    <definedName name="geda" localSheetId="24" hidden="1">{"AnnInc",#N/A,TRUE,"Inc";"QtrInc1",#N/A,TRUE,"Inc";"Balance",#N/A,TRUE,"Bal";"Cflow",#N/A,TRUE,"Cash"}</definedName>
    <definedName name="geda" localSheetId="26" hidden="1">{"AnnInc",#N/A,TRUE,"Inc";"QtrInc1",#N/A,TRUE,"Inc";"Balance",#N/A,TRUE,"Bal";"Cflow",#N/A,TRUE,"Cash"}</definedName>
    <definedName name="geda" localSheetId="28" hidden="1">{"AnnInc",#N/A,TRUE,"Inc";"QtrInc1",#N/A,TRUE,"Inc";"Balance",#N/A,TRUE,"Bal";"Cflow",#N/A,TRUE,"Cash"}</definedName>
    <definedName name="geda" localSheetId="30" hidden="1">{"AnnInc",#N/A,TRUE,"Inc";"QtrInc1",#N/A,TRUE,"Inc";"Balance",#N/A,TRUE,"Bal";"Cflow",#N/A,TRUE,"Cash"}</definedName>
    <definedName name="geda" localSheetId="32" hidden="1">{"AnnInc",#N/A,TRUE,"Inc";"QtrInc1",#N/A,TRUE,"Inc";"Balance",#N/A,TRUE,"Bal";"Cflow",#N/A,TRUE,"Cash"}</definedName>
    <definedName name="geda" localSheetId="34" hidden="1">{"AnnInc",#N/A,TRUE,"Inc";"QtrInc1",#N/A,TRUE,"Inc";"Balance",#N/A,TRUE,"Bal";"Cflow",#N/A,TRUE,"Cash"}</definedName>
    <definedName name="geda" localSheetId="36" hidden="1">{"AnnInc",#N/A,TRUE,"Inc";"QtrInc1",#N/A,TRUE,"Inc";"Balance",#N/A,TRUE,"Bal";"Cflow",#N/A,TRUE,"Cash"}</definedName>
    <definedName name="geda" localSheetId="38" hidden="1">{"AnnInc",#N/A,TRUE,"Inc";"QtrInc1",#N/A,TRUE,"Inc";"Balance",#N/A,TRUE,"Bal";"Cflow",#N/A,TRUE,"Cash"}</definedName>
    <definedName name="geda" hidden="1">{"AnnInc",#N/A,TRUE,"Inc";"QtrInc1",#N/A,TRUE,"Inc";"Balance",#N/A,TRUE,"Bal";"Cflow",#N/A,TRUE,"Cash"}</definedName>
    <definedName name="Germany">#REF!</definedName>
    <definedName name="gesaa" localSheetId="3" hidden="1">{"NOPCAPEVA",#N/A,FALSE,"Nopat";"FCFCSTAR",#N/A,FALSE,"FCFVAL";"EVAVL",#N/A,FALSE,"EVAVAL";"LEASE",#N/A,FALSE,"OpLease"}</definedName>
    <definedName name="gesaa" localSheetId="5" hidden="1">{"NOPCAPEVA",#N/A,FALSE,"Nopat";"FCFCSTAR",#N/A,FALSE,"FCFVAL";"EVAVL",#N/A,FALSE,"EVAVAL";"LEASE",#N/A,FALSE,"OpLease"}</definedName>
    <definedName name="gesaa" localSheetId="8" hidden="1">{"NOPCAPEVA",#N/A,FALSE,"Nopat";"FCFCSTAR",#N/A,FALSE,"FCFVAL";"EVAVL",#N/A,FALSE,"EVAVAL";"LEASE",#N/A,FALSE,"OpLease"}</definedName>
    <definedName name="gesaa" localSheetId="10" hidden="1">{"NOPCAPEVA",#N/A,FALSE,"Nopat";"FCFCSTAR",#N/A,FALSE,"FCFVAL";"EVAVL",#N/A,FALSE,"EVAVAL";"LEASE",#N/A,FALSE,"OpLease"}</definedName>
    <definedName name="gesaa" localSheetId="12" hidden="1">{"NOPCAPEVA",#N/A,FALSE,"Nopat";"FCFCSTAR",#N/A,FALSE,"FCFVAL";"EVAVL",#N/A,FALSE,"EVAVAL";"LEASE",#N/A,FALSE,"OpLease"}</definedName>
    <definedName name="gesaa" localSheetId="14" hidden="1">{"NOPCAPEVA",#N/A,FALSE,"Nopat";"FCFCSTAR",#N/A,FALSE,"FCFVAL";"EVAVL",#N/A,FALSE,"EVAVAL";"LEASE",#N/A,FALSE,"OpLease"}</definedName>
    <definedName name="gesaa" localSheetId="16" hidden="1">{"NOPCAPEVA",#N/A,FALSE,"Nopat";"FCFCSTAR",#N/A,FALSE,"FCFVAL";"EVAVL",#N/A,FALSE,"EVAVAL";"LEASE",#N/A,FALSE,"OpLease"}</definedName>
    <definedName name="gesaa" localSheetId="22" hidden="1">{"NOPCAPEVA",#N/A,FALSE,"Nopat";"FCFCSTAR",#N/A,FALSE,"FCFVAL";"EVAVL",#N/A,FALSE,"EVAVAL";"LEASE",#N/A,FALSE,"OpLease"}</definedName>
    <definedName name="gesaa" localSheetId="24" hidden="1">{"NOPCAPEVA",#N/A,FALSE,"Nopat";"FCFCSTAR",#N/A,FALSE,"FCFVAL";"EVAVL",#N/A,FALSE,"EVAVAL";"LEASE",#N/A,FALSE,"OpLease"}</definedName>
    <definedName name="gesaa" localSheetId="26" hidden="1">{"NOPCAPEVA",#N/A,FALSE,"Nopat";"FCFCSTAR",#N/A,FALSE,"FCFVAL";"EVAVL",#N/A,FALSE,"EVAVAL";"LEASE",#N/A,FALSE,"OpLease"}</definedName>
    <definedName name="gesaa" localSheetId="28" hidden="1">{"NOPCAPEVA",#N/A,FALSE,"Nopat";"FCFCSTAR",#N/A,FALSE,"FCFVAL";"EVAVL",#N/A,FALSE,"EVAVAL";"LEASE",#N/A,FALSE,"OpLease"}</definedName>
    <definedName name="gesaa" localSheetId="30" hidden="1">{"NOPCAPEVA",#N/A,FALSE,"Nopat";"FCFCSTAR",#N/A,FALSE,"FCFVAL";"EVAVL",#N/A,FALSE,"EVAVAL";"LEASE",#N/A,FALSE,"OpLease"}</definedName>
    <definedName name="gesaa" localSheetId="32" hidden="1">{"NOPCAPEVA",#N/A,FALSE,"Nopat";"FCFCSTAR",#N/A,FALSE,"FCFVAL";"EVAVL",#N/A,FALSE,"EVAVAL";"LEASE",#N/A,FALSE,"OpLease"}</definedName>
    <definedName name="gesaa" localSheetId="34" hidden="1">{"NOPCAPEVA",#N/A,FALSE,"Nopat";"FCFCSTAR",#N/A,FALSE,"FCFVAL";"EVAVL",#N/A,FALSE,"EVAVAL";"LEASE",#N/A,FALSE,"OpLease"}</definedName>
    <definedName name="gesaa" localSheetId="36" hidden="1">{"NOPCAPEVA",#N/A,FALSE,"Nopat";"FCFCSTAR",#N/A,FALSE,"FCFVAL";"EVAVL",#N/A,FALSE,"EVAVAL";"LEASE",#N/A,FALSE,"OpLease"}</definedName>
    <definedName name="gesaa" localSheetId="38" hidden="1">{"NOPCAPEVA",#N/A,FALSE,"Nopat";"FCFCSTAR",#N/A,FALSE,"FCFVAL";"EVAVL",#N/A,FALSE,"EVAVAL";"LEASE",#N/A,FALSE,"OpLease"}</definedName>
    <definedName name="gesaa" hidden="1">{"NOPCAPEVA",#N/A,FALSE,"Nopat";"FCFCSTAR",#N/A,FALSE,"FCFVAL";"EVAVL",#N/A,FALSE,"EVAVAL";"LEASE",#N/A,FALSE,"OpLease"}</definedName>
    <definedName name="gfae" localSheetId="3" hidden="1">{"NOPCAPEVA",#N/A,FALSE,"Nopat";"FCFCSTAR",#N/A,FALSE,"FCFVAL";"EVAVL",#N/A,FALSE,"EVAVAL";"LEASE",#N/A,FALSE,"OpLease"}</definedName>
    <definedName name="gfae" localSheetId="5" hidden="1">{"NOPCAPEVA",#N/A,FALSE,"Nopat";"FCFCSTAR",#N/A,FALSE,"FCFVAL";"EVAVL",#N/A,FALSE,"EVAVAL";"LEASE",#N/A,FALSE,"OpLease"}</definedName>
    <definedName name="gfae" localSheetId="8" hidden="1">{"NOPCAPEVA",#N/A,FALSE,"Nopat";"FCFCSTAR",#N/A,FALSE,"FCFVAL";"EVAVL",#N/A,FALSE,"EVAVAL";"LEASE",#N/A,FALSE,"OpLease"}</definedName>
    <definedName name="gfae" localSheetId="10" hidden="1">{"NOPCAPEVA",#N/A,FALSE,"Nopat";"FCFCSTAR",#N/A,FALSE,"FCFVAL";"EVAVL",#N/A,FALSE,"EVAVAL";"LEASE",#N/A,FALSE,"OpLease"}</definedName>
    <definedName name="gfae" localSheetId="12" hidden="1">{"NOPCAPEVA",#N/A,FALSE,"Nopat";"FCFCSTAR",#N/A,FALSE,"FCFVAL";"EVAVL",#N/A,FALSE,"EVAVAL";"LEASE",#N/A,FALSE,"OpLease"}</definedName>
    <definedName name="gfae" localSheetId="14" hidden="1">{"NOPCAPEVA",#N/A,FALSE,"Nopat";"FCFCSTAR",#N/A,FALSE,"FCFVAL";"EVAVL",#N/A,FALSE,"EVAVAL";"LEASE",#N/A,FALSE,"OpLease"}</definedName>
    <definedName name="gfae" localSheetId="16" hidden="1">{"NOPCAPEVA",#N/A,FALSE,"Nopat";"FCFCSTAR",#N/A,FALSE,"FCFVAL";"EVAVL",#N/A,FALSE,"EVAVAL";"LEASE",#N/A,FALSE,"OpLease"}</definedName>
    <definedName name="gfae" localSheetId="22" hidden="1">{"NOPCAPEVA",#N/A,FALSE,"Nopat";"FCFCSTAR",#N/A,FALSE,"FCFVAL";"EVAVL",#N/A,FALSE,"EVAVAL";"LEASE",#N/A,FALSE,"OpLease"}</definedName>
    <definedName name="gfae" localSheetId="24" hidden="1">{"NOPCAPEVA",#N/A,FALSE,"Nopat";"FCFCSTAR",#N/A,FALSE,"FCFVAL";"EVAVL",#N/A,FALSE,"EVAVAL";"LEASE",#N/A,FALSE,"OpLease"}</definedName>
    <definedName name="gfae" localSheetId="26" hidden="1">{"NOPCAPEVA",#N/A,FALSE,"Nopat";"FCFCSTAR",#N/A,FALSE,"FCFVAL";"EVAVL",#N/A,FALSE,"EVAVAL";"LEASE",#N/A,FALSE,"OpLease"}</definedName>
    <definedName name="gfae" localSheetId="28" hidden="1">{"NOPCAPEVA",#N/A,FALSE,"Nopat";"FCFCSTAR",#N/A,FALSE,"FCFVAL";"EVAVL",#N/A,FALSE,"EVAVAL";"LEASE",#N/A,FALSE,"OpLease"}</definedName>
    <definedName name="gfae" localSheetId="30" hidden="1">{"NOPCAPEVA",#N/A,FALSE,"Nopat";"FCFCSTAR",#N/A,FALSE,"FCFVAL";"EVAVL",#N/A,FALSE,"EVAVAL";"LEASE",#N/A,FALSE,"OpLease"}</definedName>
    <definedName name="gfae" localSheetId="32" hidden="1">{"NOPCAPEVA",#N/A,FALSE,"Nopat";"FCFCSTAR",#N/A,FALSE,"FCFVAL";"EVAVL",#N/A,FALSE,"EVAVAL";"LEASE",#N/A,FALSE,"OpLease"}</definedName>
    <definedName name="gfae" localSheetId="34" hidden="1">{"NOPCAPEVA",#N/A,FALSE,"Nopat";"FCFCSTAR",#N/A,FALSE,"FCFVAL";"EVAVL",#N/A,FALSE,"EVAVAL";"LEASE",#N/A,FALSE,"OpLease"}</definedName>
    <definedName name="gfae" localSheetId="36" hidden="1">{"NOPCAPEVA",#N/A,FALSE,"Nopat";"FCFCSTAR",#N/A,FALSE,"FCFVAL";"EVAVL",#N/A,FALSE,"EVAVAL";"LEASE",#N/A,FALSE,"OpLease"}</definedName>
    <definedName name="gfae" localSheetId="38" hidden="1">{"NOPCAPEVA",#N/A,FALSE,"Nopat";"FCFCSTAR",#N/A,FALSE,"FCFVAL";"EVAVL",#N/A,FALSE,"EVAVAL";"LEASE",#N/A,FALSE,"OpLease"}</definedName>
    <definedName name="gfae" hidden="1">{"NOPCAPEVA",#N/A,FALSE,"Nopat";"FCFCSTAR",#N/A,FALSE,"FCFVAL";"EVAVL",#N/A,FALSE,"EVAVAL";"LEASE",#N/A,FALSE,"OpLease"}</definedName>
    <definedName name="GFC">#REF!</definedName>
    <definedName name="gfs" localSheetId="3" hidden="1">{"NOPCAPEVA",#N/A,FALSE,"Nopat";"FCFCSTAR",#N/A,FALSE,"FCFVAL";"EVAVL",#N/A,FALSE,"EVAVAL";"LEASE",#N/A,FALSE,"OpLease"}</definedName>
    <definedName name="gfs" localSheetId="5" hidden="1">{"NOPCAPEVA",#N/A,FALSE,"Nopat";"FCFCSTAR",#N/A,FALSE,"FCFVAL";"EVAVL",#N/A,FALSE,"EVAVAL";"LEASE",#N/A,FALSE,"OpLease"}</definedName>
    <definedName name="gfs" localSheetId="8" hidden="1">{"NOPCAPEVA",#N/A,FALSE,"Nopat";"FCFCSTAR",#N/A,FALSE,"FCFVAL";"EVAVL",#N/A,FALSE,"EVAVAL";"LEASE",#N/A,FALSE,"OpLease"}</definedName>
    <definedName name="gfs" localSheetId="10" hidden="1">{"NOPCAPEVA",#N/A,FALSE,"Nopat";"FCFCSTAR",#N/A,FALSE,"FCFVAL";"EVAVL",#N/A,FALSE,"EVAVAL";"LEASE",#N/A,FALSE,"OpLease"}</definedName>
    <definedName name="gfs" localSheetId="12" hidden="1">{"NOPCAPEVA",#N/A,FALSE,"Nopat";"FCFCSTAR",#N/A,FALSE,"FCFVAL";"EVAVL",#N/A,FALSE,"EVAVAL";"LEASE",#N/A,FALSE,"OpLease"}</definedName>
    <definedName name="gfs" localSheetId="14" hidden="1">{"NOPCAPEVA",#N/A,FALSE,"Nopat";"FCFCSTAR",#N/A,FALSE,"FCFVAL";"EVAVL",#N/A,FALSE,"EVAVAL";"LEASE",#N/A,FALSE,"OpLease"}</definedName>
    <definedName name="gfs" localSheetId="16" hidden="1">{"NOPCAPEVA",#N/A,FALSE,"Nopat";"FCFCSTAR",#N/A,FALSE,"FCFVAL";"EVAVL",#N/A,FALSE,"EVAVAL";"LEASE",#N/A,FALSE,"OpLease"}</definedName>
    <definedName name="gfs" localSheetId="22" hidden="1">{"NOPCAPEVA",#N/A,FALSE,"Nopat";"FCFCSTAR",#N/A,FALSE,"FCFVAL";"EVAVL",#N/A,FALSE,"EVAVAL";"LEASE",#N/A,FALSE,"OpLease"}</definedName>
    <definedName name="gfs" localSheetId="24" hidden="1">{"NOPCAPEVA",#N/A,FALSE,"Nopat";"FCFCSTAR",#N/A,FALSE,"FCFVAL";"EVAVL",#N/A,FALSE,"EVAVAL";"LEASE",#N/A,FALSE,"OpLease"}</definedName>
    <definedName name="gfs" localSheetId="26" hidden="1">{"NOPCAPEVA",#N/A,FALSE,"Nopat";"FCFCSTAR",#N/A,FALSE,"FCFVAL";"EVAVL",#N/A,FALSE,"EVAVAL";"LEASE",#N/A,FALSE,"OpLease"}</definedName>
    <definedName name="gfs" localSheetId="28" hidden="1">{"NOPCAPEVA",#N/A,FALSE,"Nopat";"FCFCSTAR",#N/A,FALSE,"FCFVAL";"EVAVL",#N/A,FALSE,"EVAVAL";"LEASE",#N/A,FALSE,"OpLease"}</definedName>
    <definedName name="gfs" localSheetId="30" hidden="1">{"NOPCAPEVA",#N/A,FALSE,"Nopat";"FCFCSTAR",#N/A,FALSE,"FCFVAL";"EVAVL",#N/A,FALSE,"EVAVAL";"LEASE",#N/A,FALSE,"OpLease"}</definedName>
    <definedName name="gfs" localSheetId="32" hidden="1">{"NOPCAPEVA",#N/A,FALSE,"Nopat";"FCFCSTAR",#N/A,FALSE,"FCFVAL";"EVAVL",#N/A,FALSE,"EVAVAL";"LEASE",#N/A,FALSE,"OpLease"}</definedName>
    <definedName name="gfs" localSheetId="34" hidden="1">{"NOPCAPEVA",#N/A,FALSE,"Nopat";"FCFCSTAR",#N/A,FALSE,"FCFVAL";"EVAVL",#N/A,FALSE,"EVAVAL";"LEASE",#N/A,FALSE,"OpLease"}</definedName>
    <definedName name="gfs" localSheetId="36" hidden="1">{"NOPCAPEVA",#N/A,FALSE,"Nopat";"FCFCSTAR",#N/A,FALSE,"FCFVAL";"EVAVL",#N/A,FALSE,"EVAVAL";"LEASE",#N/A,FALSE,"OpLease"}</definedName>
    <definedName name="gfs" localSheetId="38" hidden="1">{"NOPCAPEVA",#N/A,FALSE,"Nopat";"FCFCSTAR",#N/A,FALSE,"FCFVAL";"EVAVL",#N/A,FALSE,"EVAVAL";"LEASE",#N/A,FALSE,"OpLease"}</definedName>
    <definedName name="gfs" hidden="1">{"NOPCAPEVA",#N/A,FALSE,"Nopat";"FCFCSTAR",#N/A,FALSE,"FCFVAL";"EVAVL",#N/A,FALSE,"EVAVAL";"LEASE",#N/A,FALSE,"OpLease"}</definedName>
    <definedName name="ggg" localSheetId="3" hidden="1">{"'Set-Out'!$A$1:$H$30"}</definedName>
    <definedName name="ggg" localSheetId="5" hidden="1">{"'Set-Out'!$A$1:$H$30"}</definedName>
    <definedName name="ggg" localSheetId="8" hidden="1">{"'Set-Out'!$A$1:$H$30"}</definedName>
    <definedName name="ggg" localSheetId="10" hidden="1">{"'Set-Out'!$A$1:$H$30"}</definedName>
    <definedName name="ggg" localSheetId="12" hidden="1">{"'Set-Out'!$A$1:$H$30"}</definedName>
    <definedName name="ggg" localSheetId="14" hidden="1">{"'Set-Out'!$A$1:$H$30"}</definedName>
    <definedName name="ggg" localSheetId="16" hidden="1">{"'Set-Out'!$A$1:$H$30"}</definedName>
    <definedName name="ggg" localSheetId="22" hidden="1">{"'Set-Out'!$A$1:$H$30"}</definedName>
    <definedName name="ggg" localSheetId="24" hidden="1">{"'Set-Out'!$A$1:$H$30"}</definedName>
    <definedName name="ggg" localSheetId="26" hidden="1">{"'Set-Out'!$A$1:$H$30"}</definedName>
    <definedName name="ggg" localSheetId="28" hidden="1">{"'Set-Out'!$A$1:$H$30"}</definedName>
    <definedName name="ggg" localSheetId="30" hidden="1">{"'Set-Out'!$A$1:$H$30"}</definedName>
    <definedName name="ggg" localSheetId="32" hidden="1">{"'Set-Out'!$A$1:$H$30"}</definedName>
    <definedName name="ggg" localSheetId="34" hidden="1">{"'Set-Out'!$A$1:$H$30"}</definedName>
    <definedName name="ggg" localSheetId="36" hidden="1">{"'Set-Out'!$A$1:$H$30"}</definedName>
    <definedName name="ggg" localSheetId="38" hidden="1">{"'Set-Out'!$A$1:$H$30"}</definedName>
    <definedName name="ggg" hidden="1">{"'Set-Out'!$A$1:$H$30"}</definedName>
    <definedName name="ggggg" localSheetId="3" hidden="1">{#N/A,#N/A,FALSE,"MK_ASS_B";#N/A,#N/A,FALSE,"MK_ASS_R";#N/A,#N/A,FALSE,"MK_ASS_S";#N/A,#N/A,FALSE,"TR_ASS_B";#N/A,#N/A,FALSE,"TR_ASS_R";#N/A,#N/A,FALSE,"TR_ASS_S";#N/A,#N/A,FALSE,"PR_ASS_B";#N/A,#N/A,FALSE,"PR_ASS_R";#N/A,#N/A,FALSE,"REV_SUM"}</definedName>
    <definedName name="ggggg" localSheetId="5" hidden="1">{#N/A,#N/A,FALSE,"MK_ASS_B";#N/A,#N/A,FALSE,"MK_ASS_R";#N/A,#N/A,FALSE,"MK_ASS_S";#N/A,#N/A,FALSE,"TR_ASS_B";#N/A,#N/A,FALSE,"TR_ASS_R";#N/A,#N/A,FALSE,"TR_ASS_S";#N/A,#N/A,FALSE,"PR_ASS_B";#N/A,#N/A,FALSE,"PR_ASS_R";#N/A,#N/A,FALSE,"REV_SUM"}</definedName>
    <definedName name="ggggg" localSheetId="8" hidden="1">{#N/A,#N/A,FALSE,"MK_ASS_B";#N/A,#N/A,FALSE,"MK_ASS_R";#N/A,#N/A,FALSE,"MK_ASS_S";#N/A,#N/A,FALSE,"TR_ASS_B";#N/A,#N/A,FALSE,"TR_ASS_R";#N/A,#N/A,FALSE,"TR_ASS_S";#N/A,#N/A,FALSE,"PR_ASS_B";#N/A,#N/A,FALSE,"PR_ASS_R";#N/A,#N/A,FALSE,"REV_SUM"}</definedName>
    <definedName name="ggggg" localSheetId="10" hidden="1">{#N/A,#N/A,FALSE,"MK_ASS_B";#N/A,#N/A,FALSE,"MK_ASS_R";#N/A,#N/A,FALSE,"MK_ASS_S";#N/A,#N/A,FALSE,"TR_ASS_B";#N/A,#N/A,FALSE,"TR_ASS_R";#N/A,#N/A,FALSE,"TR_ASS_S";#N/A,#N/A,FALSE,"PR_ASS_B";#N/A,#N/A,FALSE,"PR_ASS_R";#N/A,#N/A,FALSE,"REV_SUM"}</definedName>
    <definedName name="ggggg" localSheetId="12" hidden="1">{#N/A,#N/A,FALSE,"MK_ASS_B";#N/A,#N/A,FALSE,"MK_ASS_R";#N/A,#N/A,FALSE,"MK_ASS_S";#N/A,#N/A,FALSE,"TR_ASS_B";#N/A,#N/A,FALSE,"TR_ASS_R";#N/A,#N/A,FALSE,"TR_ASS_S";#N/A,#N/A,FALSE,"PR_ASS_B";#N/A,#N/A,FALSE,"PR_ASS_R";#N/A,#N/A,FALSE,"REV_SUM"}</definedName>
    <definedName name="ggggg" localSheetId="14" hidden="1">{#N/A,#N/A,FALSE,"MK_ASS_B";#N/A,#N/A,FALSE,"MK_ASS_R";#N/A,#N/A,FALSE,"MK_ASS_S";#N/A,#N/A,FALSE,"TR_ASS_B";#N/A,#N/A,FALSE,"TR_ASS_R";#N/A,#N/A,FALSE,"TR_ASS_S";#N/A,#N/A,FALSE,"PR_ASS_B";#N/A,#N/A,FALSE,"PR_ASS_R";#N/A,#N/A,FALSE,"REV_SUM"}</definedName>
    <definedName name="ggggg" localSheetId="16" hidden="1">{#N/A,#N/A,FALSE,"MK_ASS_B";#N/A,#N/A,FALSE,"MK_ASS_R";#N/A,#N/A,FALSE,"MK_ASS_S";#N/A,#N/A,FALSE,"TR_ASS_B";#N/A,#N/A,FALSE,"TR_ASS_R";#N/A,#N/A,FALSE,"TR_ASS_S";#N/A,#N/A,FALSE,"PR_ASS_B";#N/A,#N/A,FALSE,"PR_ASS_R";#N/A,#N/A,FALSE,"REV_SUM"}</definedName>
    <definedName name="ggggg" localSheetId="22" hidden="1">{#N/A,#N/A,FALSE,"MK_ASS_B";#N/A,#N/A,FALSE,"MK_ASS_R";#N/A,#N/A,FALSE,"MK_ASS_S";#N/A,#N/A,FALSE,"TR_ASS_B";#N/A,#N/A,FALSE,"TR_ASS_R";#N/A,#N/A,FALSE,"TR_ASS_S";#N/A,#N/A,FALSE,"PR_ASS_B";#N/A,#N/A,FALSE,"PR_ASS_R";#N/A,#N/A,FALSE,"REV_SUM"}</definedName>
    <definedName name="ggggg" localSheetId="24" hidden="1">{#N/A,#N/A,FALSE,"MK_ASS_B";#N/A,#N/A,FALSE,"MK_ASS_R";#N/A,#N/A,FALSE,"MK_ASS_S";#N/A,#N/A,FALSE,"TR_ASS_B";#N/A,#N/A,FALSE,"TR_ASS_R";#N/A,#N/A,FALSE,"TR_ASS_S";#N/A,#N/A,FALSE,"PR_ASS_B";#N/A,#N/A,FALSE,"PR_ASS_R";#N/A,#N/A,FALSE,"REV_SUM"}</definedName>
    <definedName name="ggggg" localSheetId="26" hidden="1">{#N/A,#N/A,FALSE,"MK_ASS_B";#N/A,#N/A,FALSE,"MK_ASS_R";#N/A,#N/A,FALSE,"MK_ASS_S";#N/A,#N/A,FALSE,"TR_ASS_B";#N/A,#N/A,FALSE,"TR_ASS_R";#N/A,#N/A,FALSE,"TR_ASS_S";#N/A,#N/A,FALSE,"PR_ASS_B";#N/A,#N/A,FALSE,"PR_ASS_R";#N/A,#N/A,FALSE,"REV_SUM"}</definedName>
    <definedName name="ggggg" localSheetId="28" hidden="1">{#N/A,#N/A,FALSE,"MK_ASS_B";#N/A,#N/A,FALSE,"MK_ASS_R";#N/A,#N/A,FALSE,"MK_ASS_S";#N/A,#N/A,FALSE,"TR_ASS_B";#N/A,#N/A,FALSE,"TR_ASS_R";#N/A,#N/A,FALSE,"TR_ASS_S";#N/A,#N/A,FALSE,"PR_ASS_B";#N/A,#N/A,FALSE,"PR_ASS_R";#N/A,#N/A,FALSE,"REV_SUM"}</definedName>
    <definedName name="ggggg" localSheetId="30" hidden="1">{#N/A,#N/A,FALSE,"MK_ASS_B";#N/A,#N/A,FALSE,"MK_ASS_R";#N/A,#N/A,FALSE,"MK_ASS_S";#N/A,#N/A,FALSE,"TR_ASS_B";#N/A,#N/A,FALSE,"TR_ASS_R";#N/A,#N/A,FALSE,"TR_ASS_S";#N/A,#N/A,FALSE,"PR_ASS_B";#N/A,#N/A,FALSE,"PR_ASS_R";#N/A,#N/A,FALSE,"REV_SUM"}</definedName>
    <definedName name="ggggg" localSheetId="32" hidden="1">{#N/A,#N/A,FALSE,"MK_ASS_B";#N/A,#N/A,FALSE,"MK_ASS_R";#N/A,#N/A,FALSE,"MK_ASS_S";#N/A,#N/A,FALSE,"TR_ASS_B";#N/A,#N/A,FALSE,"TR_ASS_R";#N/A,#N/A,FALSE,"TR_ASS_S";#N/A,#N/A,FALSE,"PR_ASS_B";#N/A,#N/A,FALSE,"PR_ASS_R";#N/A,#N/A,FALSE,"REV_SUM"}</definedName>
    <definedName name="ggggg" localSheetId="34" hidden="1">{#N/A,#N/A,FALSE,"MK_ASS_B";#N/A,#N/A,FALSE,"MK_ASS_R";#N/A,#N/A,FALSE,"MK_ASS_S";#N/A,#N/A,FALSE,"TR_ASS_B";#N/A,#N/A,FALSE,"TR_ASS_R";#N/A,#N/A,FALSE,"TR_ASS_S";#N/A,#N/A,FALSE,"PR_ASS_B";#N/A,#N/A,FALSE,"PR_ASS_R";#N/A,#N/A,FALSE,"REV_SUM"}</definedName>
    <definedName name="ggggg" localSheetId="36" hidden="1">{#N/A,#N/A,FALSE,"MK_ASS_B";#N/A,#N/A,FALSE,"MK_ASS_R";#N/A,#N/A,FALSE,"MK_ASS_S";#N/A,#N/A,FALSE,"TR_ASS_B";#N/A,#N/A,FALSE,"TR_ASS_R";#N/A,#N/A,FALSE,"TR_ASS_S";#N/A,#N/A,FALSE,"PR_ASS_B";#N/A,#N/A,FALSE,"PR_ASS_R";#N/A,#N/A,FALSE,"REV_SUM"}</definedName>
    <definedName name="ggggg" localSheetId="38" hidden="1">{#N/A,#N/A,FALSE,"MK_ASS_B";#N/A,#N/A,FALSE,"MK_ASS_R";#N/A,#N/A,FALSE,"MK_ASS_S";#N/A,#N/A,FALSE,"TR_ASS_B";#N/A,#N/A,FALSE,"TR_ASS_R";#N/A,#N/A,FALSE,"TR_ASS_S";#N/A,#N/A,FALSE,"PR_ASS_B";#N/A,#N/A,FALSE,"PR_ASS_R";#N/A,#N/A,FALSE,"REV_SUM"}</definedName>
    <definedName name="ggggg" hidden="1">{#N/A,#N/A,FALSE,"MK_ASS_B";#N/A,#N/A,FALSE,"MK_ASS_R";#N/A,#N/A,FALSE,"MK_ASS_S";#N/A,#N/A,FALSE,"TR_ASS_B";#N/A,#N/A,FALSE,"TR_ASS_R";#N/A,#N/A,FALSE,"TR_ASS_S";#N/A,#N/A,FALSE,"PR_ASS_B";#N/A,#N/A,FALSE,"PR_ASS_R";#N/A,#N/A,FALSE,"REV_SUM"}</definedName>
    <definedName name="gggggh" localSheetId="3" hidden="1">{"NOPCAPEVA",#N/A,FALSE,"Nopat";"FCFCSTAR",#N/A,FALSE,"FCFVAL";"EVAVL",#N/A,FALSE,"EVAVAL";"LEASE",#N/A,FALSE,"OpLease"}</definedName>
    <definedName name="gggggh" localSheetId="5" hidden="1">{"NOPCAPEVA",#N/A,FALSE,"Nopat";"FCFCSTAR",#N/A,FALSE,"FCFVAL";"EVAVL",#N/A,FALSE,"EVAVAL";"LEASE",#N/A,FALSE,"OpLease"}</definedName>
    <definedName name="gggggh" localSheetId="8" hidden="1">{"NOPCAPEVA",#N/A,FALSE,"Nopat";"FCFCSTAR",#N/A,FALSE,"FCFVAL";"EVAVL",#N/A,FALSE,"EVAVAL";"LEASE",#N/A,FALSE,"OpLease"}</definedName>
    <definedName name="gggggh" localSheetId="10" hidden="1">{"NOPCAPEVA",#N/A,FALSE,"Nopat";"FCFCSTAR",#N/A,FALSE,"FCFVAL";"EVAVL",#N/A,FALSE,"EVAVAL";"LEASE",#N/A,FALSE,"OpLease"}</definedName>
    <definedName name="gggggh" localSheetId="12" hidden="1">{"NOPCAPEVA",#N/A,FALSE,"Nopat";"FCFCSTAR",#N/A,FALSE,"FCFVAL";"EVAVL",#N/A,FALSE,"EVAVAL";"LEASE",#N/A,FALSE,"OpLease"}</definedName>
    <definedName name="gggggh" localSheetId="14" hidden="1">{"NOPCAPEVA",#N/A,FALSE,"Nopat";"FCFCSTAR",#N/A,FALSE,"FCFVAL";"EVAVL",#N/A,FALSE,"EVAVAL";"LEASE",#N/A,FALSE,"OpLease"}</definedName>
    <definedName name="gggggh" localSheetId="16" hidden="1">{"NOPCAPEVA",#N/A,FALSE,"Nopat";"FCFCSTAR",#N/A,FALSE,"FCFVAL";"EVAVL",#N/A,FALSE,"EVAVAL";"LEASE",#N/A,FALSE,"OpLease"}</definedName>
    <definedName name="gggggh" localSheetId="22" hidden="1">{"NOPCAPEVA",#N/A,FALSE,"Nopat";"FCFCSTAR",#N/A,FALSE,"FCFVAL";"EVAVL",#N/A,FALSE,"EVAVAL";"LEASE",#N/A,FALSE,"OpLease"}</definedName>
    <definedName name="gggggh" localSheetId="24" hidden="1">{"NOPCAPEVA",#N/A,FALSE,"Nopat";"FCFCSTAR",#N/A,FALSE,"FCFVAL";"EVAVL",#N/A,FALSE,"EVAVAL";"LEASE",#N/A,FALSE,"OpLease"}</definedName>
    <definedName name="gggggh" localSheetId="26" hidden="1">{"NOPCAPEVA",#N/A,FALSE,"Nopat";"FCFCSTAR",#N/A,FALSE,"FCFVAL";"EVAVL",#N/A,FALSE,"EVAVAL";"LEASE",#N/A,FALSE,"OpLease"}</definedName>
    <definedName name="gggggh" localSheetId="28" hidden="1">{"NOPCAPEVA",#N/A,FALSE,"Nopat";"FCFCSTAR",#N/A,FALSE,"FCFVAL";"EVAVL",#N/A,FALSE,"EVAVAL";"LEASE",#N/A,FALSE,"OpLease"}</definedName>
    <definedName name="gggggh" localSheetId="30" hidden="1">{"NOPCAPEVA",#N/A,FALSE,"Nopat";"FCFCSTAR",#N/A,FALSE,"FCFVAL";"EVAVL",#N/A,FALSE,"EVAVAL";"LEASE",#N/A,FALSE,"OpLease"}</definedName>
    <definedName name="gggggh" localSheetId="32" hidden="1">{"NOPCAPEVA",#N/A,FALSE,"Nopat";"FCFCSTAR",#N/A,FALSE,"FCFVAL";"EVAVL",#N/A,FALSE,"EVAVAL";"LEASE",#N/A,FALSE,"OpLease"}</definedName>
    <definedName name="gggggh" localSheetId="34" hidden="1">{"NOPCAPEVA",#N/A,FALSE,"Nopat";"FCFCSTAR",#N/A,FALSE,"FCFVAL";"EVAVL",#N/A,FALSE,"EVAVAL";"LEASE",#N/A,FALSE,"OpLease"}</definedName>
    <definedName name="gggggh" localSheetId="36" hidden="1">{"NOPCAPEVA",#N/A,FALSE,"Nopat";"FCFCSTAR",#N/A,FALSE,"FCFVAL";"EVAVL",#N/A,FALSE,"EVAVAL";"LEASE",#N/A,FALSE,"OpLease"}</definedName>
    <definedName name="gggggh" localSheetId="38" hidden="1">{"NOPCAPEVA",#N/A,FALSE,"Nopat";"FCFCSTAR",#N/A,FALSE,"FCFVAL";"EVAVL",#N/A,FALSE,"EVAVAL";"LEASE",#N/A,FALSE,"OpLease"}</definedName>
    <definedName name="gggggh" hidden="1">{"NOPCAPEVA",#N/A,FALSE,"Nopat";"FCFCSTAR",#N/A,FALSE,"FCFVAL";"EVAVL",#N/A,FALSE,"EVAVAL";"LEASE",#N/A,FALSE,"OpLease"}</definedName>
    <definedName name="gha" localSheetId="3" hidden="1">{"NOPCAPEVA",#N/A,FALSE,"Nopat";"FCFCSTAR",#N/A,FALSE,"FCFVAL";"EVAVL",#N/A,FALSE,"EVAVAL";"LEASE",#N/A,FALSE,"OpLease"}</definedName>
    <definedName name="gha" localSheetId="5" hidden="1">{"NOPCAPEVA",#N/A,FALSE,"Nopat";"FCFCSTAR",#N/A,FALSE,"FCFVAL";"EVAVL",#N/A,FALSE,"EVAVAL";"LEASE",#N/A,FALSE,"OpLease"}</definedName>
    <definedName name="gha" localSheetId="8" hidden="1">{"NOPCAPEVA",#N/A,FALSE,"Nopat";"FCFCSTAR",#N/A,FALSE,"FCFVAL";"EVAVL",#N/A,FALSE,"EVAVAL";"LEASE",#N/A,FALSE,"OpLease"}</definedName>
    <definedName name="gha" localSheetId="10" hidden="1">{"NOPCAPEVA",#N/A,FALSE,"Nopat";"FCFCSTAR",#N/A,FALSE,"FCFVAL";"EVAVL",#N/A,FALSE,"EVAVAL";"LEASE",#N/A,FALSE,"OpLease"}</definedName>
    <definedName name="gha" localSheetId="12" hidden="1">{"NOPCAPEVA",#N/A,FALSE,"Nopat";"FCFCSTAR",#N/A,FALSE,"FCFVAL";"EVAVL",#N/A,FALSE,"EVAVAL";"LEASE",#N/A,FALSE,"OpLease"}</definedName>
    <definedName name="gha" localSheetId="14" hidden="1">{"NOPCAPEVA",#N/A,FALSE,"Nopat";"FCFCSTAR",#N/A,FALSE,"FCFVAL";"EVAVL",#N/A,FALSE,"EVAVAL";"LEASE",#N/A,FALSE,"OpLease"}</definedName>
    <definedName name="gha" localSheetId="16" hidden="1">{"NOPCAPEVA",#N/A,FALSE,"Nopat";"FCFCSTAR",#N/A,FALSE,"FCFVAL";"EVAVL",#N/A,FALSE,"EVAVAL";"LEASE",#N/A,FALSE,"OpLease"}</definedName>
    <definedName name="gha" localSheetId="22" hidden="1">{"NOPCAPEVA",#N/A,FALSE,"Nopat";"FCFCSTAR",#N/A,FALSE,"FCFVAL";"EVAVL",#N/A,FALSE,"EVAVAL";"LEASE",#N/A,FALSE,"OpLease"}</definedName>
    <definedName name="gha" localSheetId="24" hidden="1">{"NOPCAPEVA",#N/A,FALSE,"Nopat";"FCFCSTAR",#N/A,FALSE,"FCFVAL";"EVAVL",#N/A,FALSE,"EVAVAL";"LEASE",#N/A,FALSE,"OpLease"}</definedName>
    <definedName name="gha" localSheetId="26" hidden="1">{"NOPCAPEVA",#N/A,FALSE,"Nopat";"FCFCSTAR",#N/A,FALSE,"FCFVAL";"EVAVL",#N/A,FALSE,"EVAVAL";"LEASE",#N/A,FALSE,"OpLease"}</definedName>
    <definedName name="gha" localSheetId="28" hidden="1">{"NOPCAPEVA",#N/A,FALSE,"Nopat";"FCFCSTAR",#N/A,FALSE,"FCFVAL";"EVAVL",#N/A,FALSE,"EVAVAL";"LEASE",#N/A,FALSE,"OpLease"}</definedName>
    <definedName name="gha" localSheetId="30" hidden="1">{"NOPCAPEVA",#N/A,FALSE,"Nopat";"FCFCSTAR",#N/A,FALSE,"FCFVAL";"EVAVL",#N/A,FALSE,"EVAVAL";"LEASE",#N/A,FALSE,"OpLease"}</definedName>
    <definedName name="gha" localSheetId="32" hidden="1">{"NOPCAPEVA",#N/A,FALSE,"Nopat";"FCFCSTAR",#N/A,FALSE,"FCFVAL";"EVAVL",#N/A,FALSE,"EVAVAL";"LEASE",#N/A,FALSE,"OpLease"}</definedName>
    <definedName name="gha" localSheetId="34" hidden="1">{"NOPCAPEVA",#N/A,FALSE,"Nopat";"FCFCSTAR",#N/A,FALSE,"FCFVAL";"EVAVL",#N/A,FALSE,"EVAVAL";"LEASE",#N/A,FALSE,"OpLease"}</definedName>
    <definedName name="gha" localSheetId="36" hidden="1">{"NOPCAPEVA",#N/A,FALSE,"Nopat";"FCFCSTAR",#N/A,FALSE,"FCFVAL";"EVAVL",#N/A,FALSE,"EVAVAL";"LEASE",#N/A,FALSE,"OpLease"}</definedName>
    <definedName name="gha" localSheetId="38" hidden="1">{"NOPCAPEVA",#N/A,FALSE,"Nopat";"FCFCSTAR",#N/A,FALSE,"FCFVAL";"EVAVL",#N/A,FALSE,"EVAVAL";"LEASE",#N/A,FALSE,"OpLease"}</definedName>
    <definedName name="gha" hidden="1">{"NOPCAPEVA",#N/A,FALSE,"Nopat";"FCFCSTAR",#N/A,FALSE,"FCFVAL";"EVAVL",#N/A,FALSE,"EVAVAL";"LEASE",#N/A,FALSE,"OpLease"}</definedName>
    <definedName name="GoalState">#REF!</definedName>
    <definedName name="GOTO_MENU">#REF!</definedName>
    <definedName name="grafico" localSheetId="3" hidden="1">{#N/A,#N/A,TRUE,"Main Issues";#N/A,#N/A,TRUE,"Income statement ($)"}</definedName>
    <definedName name="grafico" localSheetId="5" hidden="1">{#N/A,#N/A,TRUE,"Main Issues";#N/A,#N/A,TRUE,"Income statement ($)"}</definedName>
    <definedName name="grafico" localSheetId="8" hidden="1">{#N/A,#N/A,TRUE,"Main Issues";#N/A,#N/A,TRUE,"Income statement ($)"}</definedName>
    <definedName name="grafico" localSheetId="10" hidden="1">{#N/A,#N/A,TRUE,"Main Issues";#N/A,#N/A,TRUE,"Income statement ($)"}</definedName>
    <definedName name="grafico" localSheetId="12" hidden="1">{#N/A,#N/A,TRUE,"Main Issues";#N/A,#N/A,TRUE,"Income statement ($)"}</definedName>
    <definedName name="grafico" localSheetId="14" hidden="1">{#N/A,#N/A,TRUE,"Main Issues";#N/A,#N/A,TRUE,"Income statement ($)"}</definedName>
    <definedName name="grafico" localSheetId="16" hidden="1">{#N/A,#N/A,TRUE,"Main Issues";#N/A,#N/A,TRUE,"Income statement ($)"}</definedName>
    <definedName name="grafico" localSheetId="22" hidden="1">{#N/A,#N/A,TRUE,"Main Issues";#N/A,#N/A,TRUE,"Income statement ($)"}</definedName>
    <definedName name="grafico" localSheetId="24" hidden="1">{#N/A,#N/A,TRUE,"Main Issues";#N/A,#N/A,TRUE,"Income statement ($)"}</definedName>
    <definedName name="grafico" localSheetId="26" hidden="1">{#N/A,#N/A,TRUE,"Main Issues";#N/A,#N/A,TRUE,"Income statement ($)"}</definedName>
    <definedName name="grafico" localSheetId="28" hidden="1">{#N/A,#N/A,TRUE,"Main Issues";#N/A,#N/A,TRUE,"Income statement ($)"}</definedName>
    <definedName name="grafico" localSheetId="30" hidden="1">{#N/A,#N/A,TRUE,"Main Issues";#N/A,#N/A,TRUE,"Income statement ($)"}</definedName>
    <definedName name="grafico" localSheetId="32" hidden="1">{#N/A,#N/A,TRUE,"Main Issues";#N/A,#N/A,TRUE,"Income statement ($)"}</definedName>
    <definedName name="grafico" localSheetId="34" hidden="1">{#N/A,#N/A,TRUE,"Main Issues";#N/A,#N/A,TRUE,"Income statement ($)"}</definedName>
    <definedName name="grafico" localSheetId="36" hidden="1">{#N/A,#N/A,TRUE,"Main Issues";#N/A,#N/A,TRUE,"Income statement ($)"}</definedName>
    <definedName name="grafico" localSheetId="38" hidden="1">{#N/A,#N/A,TRUE,"Main Issues";#N/A,#N/A,TRUE,"Income statement ($)"}</definedName>
    <definedName name="grafico" hidden="1">{#N/A,#N/A,TRUE,"Main Issues";#N/A,#N/A,TRUE,"Income statement ($)"}</definedName>
    <definedName name="GraphicsAct">#REF!</definedName>
    <definedName name="graphs">#REF!</definedName>
    <definedName name="graZ" localSheetId="3" hidden="1">{#N/A,#N/A,TRUE,"Proposal";#N/A,#N/A,TRUE,"Assumptions";#N/A,#N/A,TRUE,"Net Income";#N/A,#N/A,TRUE,"Balsheet";#N/A,#N/A,TRUE,"Capex";#N/A,#N/A,TRUE,"Volumes";#N/A,#N/A,TRUE,"Revenues";#N/A,#N/A,TRUE,"Var.Costs";#N/A,#N/A,TRUE,"Personnel";#N/A,#N/A,TRUE,"Other costs";#N/A,#N/A,TRUE,"MKTG and G&amp;A"}</definedName>
    <definedName name="graZ" localSheetId="5" hidden="1">{#N/A,#N/A,TRUE,"Proposal";#N/A,#N/A,TRUE,"Assumptions";#N/A,#N/A,TRUE,"Net Income";#N/A,#N/A,TRUE,"Balsheet";#N/A,#N/A,TRUE,"Capex";#N/A,#N/A,TRUE,"Volumes";#N/A,#N/A,TRUE,"Revenues";#N/A,#N/A,TRUE,"Var.Costs";#N/A,#N/A,TRUE,"Personnel";#N/A,#N/A,TRUE,"Other costs";#N/A,#N/A,TRUE,"MKTG and G&amp;A"}</definedName>
    <definedName name="graZ" localSheetId="8" hidden="1">{#N/A,#N/A,TRUE,"Proposal";#N/A,#N/A,TRUE,"Assumptions";#N/A,#N/A,TRUE,"Net Income";#N/A,#N/A,TRUE,"Balsheet";#N/A,#N/A,TRUE,"Capex";#N/A,#N/A,TRUE,"Volumes";#N/A,#N/A,TRUE,"Revenues";#N/A,#N/A,TRUE,"Var.Costs";#N/A,#N/A,TRUE,"Personnel";#N/A,#N/A,TRUE,"Other costs";#N/A,#N/A,TRUE,"MKTG and G&amp;A"}</definedName>
    <definedName name="graZ" localSheetId="10" hidden="1">{#N/A,#N/A,TRUE,"Proposal";#N/A,#N/A,TRUE,"Assumptions";#N/A,#N/A,TRUE,"Net Income";#N/A,#N/A,TRUE,"Balsheet";#N/A,#N/A,TRUE,"Capex";#N/A,#N/A,TRUE,"Volumes";#N/A,#N/A,TRUE,"Revenues";#N/A,#N/A,TRUE,"Var.Costs";#N/A,#N/A,TRUE,"Personnel";#N/A,#N/A,TRUE,"Other costs";#N/A,#N/A,TRUE,"MKTG and G&amp;A"}</definedName>
    <definedName name="graZ" localSheetId="12" hidden="1">{#N/A,#N/A,TRUE,"Proposal";#N/A,#N/A,TRUE,"Assumptions";#N/A,#N/A,TRUE,"Net Income";#N/A,#N/A,TRUE,"Balsheet";#N/A,#N/A,TRUE,"Capex";#N/A,#N/A,TRUE,"Volumes";#N/A,#N/A,TRUE,"Revenues";#N/A,#N/A,TRUE,"Var.Costs";#N/A,#N/A,TRUE,"Personnel";#N/A,#N/A,TRUE,"Other costs";#N/A,#N/A,TRUE,"MKTG and G&amp;A"}</definedName>
    <definedName name="graZ" localSheetId="14" hidden="1">{#N/A,#N/A,TRUE,"Proposal";#N/A,#N/A,TRUE,"Assumptions";#N/A,#N/A,TRUE,"Net Income";#N/A,#N/A,TRUE,"Balsheet";#N/A,#N/A,TRUE,"Capex";#N/A,#N/A,TRUE,"Volumes";#N/A,#N/A,TRUE,"Revenues";#N/A,#N/A,TRUE,"Var.Costs";#N/A,#N/A,TRUE,"Personnel";#N/A,#N/A,TRUE,"Other costs";#N/A,#N/A,TRUE,"MKTG and G&amp;A"}</definedName>
    <definedName name="graZ" localSheetId="16" hidden="1">{#N/A,#N/A,TRUE,"Proposal";#N/A,#N/A,TRUE,"Assumptions";#N/A,#N/A,TRUE,"Net Income";#N/A,#N/A,TRUE,"Balsheet";#N/A,#N/A,TRUE,"Capex";#N/A,#N/A,TRUE,"Volumes";#N/A,#N/A,TRUE,"Revenues";#N/A,#N/A,TRUE,"Var.Costs";#N/A,#N/A,TRUE,"Personnel";#N/A,#N/A,TRUE,"Other costs";#N/A,#N/A,TRUE,"MKTG and G&amp;A"}</definedName>
    <definedName name="graZ" localSheetId="22" hidden="1">{#N/A,#N/A,TRUE,"Proposal";#N/A,#N/A,TRUE,"Assumptions";#N/A,#N/A,TRUE,"Net Income";#N/A,#N/A,TRUE,"Balsheet";#N/A,#N/A,TRUE,"Capex";#N/A,#N/A,TRUE,"Volumes";#N/A,#N/A,TRUE,"Revenues";#N/A,#N/A,TRUE,"Var.Costs";#N/A,#N/A,TRUE,"Personnel";#N/A,#N/A,TRUE,"Other costs";#N/A,#N/A,TRUE,"MKTG and G&amp;A"}</definedName>
    <definedName name="graZ" localSheetId="24" hidden="1">{#N/A,#N/A,TRUE,"Proposal";#N/A,#N/A,TRUE,"Assumptions";#N/A,#N/A,TRUE,"Net Income";#N/A,#N/A,TRUE,"Balsheet";#N/A,#N/A,TRUE,"Capex";#N/A,#N/A,TRUE,"Volumes";#N/A,#N/A,TRUE,"Revenues";#N/A,#N/A,TRUE,"Var.Costs";#N/A,#N/A,TRUE,"Personnel";#N/A,#N/A,TRUE,"Other costs";#N/A,#N/A,TRUE,"MKTG and G&amp;A"}</definedName>
    <definedName name="graZ" localSheetId="26" hidden="1">{#N/A,#N/A,TRUE,"Proposal";#N/A,#N/A,TRUE,"Assumptions";#N/A,#N/A,TRUE,"Net Income";#N/A,#N/A,TRUE,"Balsheet";#N/A,#N/A,TRUE,"Capex";#N/A,#N/A,TRUE,"Volumes";#N/A,#N/A,TRUE,"Revenues";#N/A,#N/A,TRUE,"Var.Costs";#N/A,#N/A,TRUE,"Personnel";#N/A,#N/A,TRUE,"Other costs";#N/A,#N/A,TRUE,"MKTG and G&amp;A"}</definedName>
    <definedName name="graZ" localSheetId="28" hidden="1">{#N/A,#N/A,TRUE,"Proposal";#N/A,#N/A,TRUE,"Assumptions";#N/A,#N/A,TRUE,"Net Income";#N/A,#N/A,TRUE,"Balsheet";#N/A,#N/A,TRUE,"Capex";#N/A,#N/A,TRUE,"Volumes";#N/A,#N/A,TRUE,"Revenues";#N/A,#N/A,TRUE,"Var.Costs";#N/A,#N/A,TRUE,"Personnel";#N/A,#N/A,TRUE,"Other costs";#N/A,#N/A,TRUE,"MKTG and G&amp;A"}</definedName>
    <definedName name="graZ" localSheetId="30" hidden="1">{#N/A,#N/A,TRUE,"Proposal";#N/A,#N/A,TRUE,"Assumptions";#N/A,#N/A,TRUE,"Net Income";#N/A,#N/A,TRUE,"Balsheet";#N/A,#N/A,TRUE,"Capex";#N/A,#N/A,TRUE,"Volumes";#N/A,#N/A,TRUE,"Revenues";#N/A,#N/A,TRUE,"Var.Costs";#N/A,#N/A,TRUE,"Personnel";#N/A,#N/A,TRUE,"Other costs";#N/A,#N/A,TRUE,"MKTG and G&amp;A"}</definedName>
    <definedName name="graZ" localSheetId="32" hidden="1">{#N/A,#N/A,TRUE,"Proposal";#N/A,#N/A,TRUE,"Assumptions";#N/A,#N/A,TRUE,"Net Income";#N/A,#N/A,TRUE,"Balsheet";#N/A,#N/A,TRUE,"Capex";#N/A,#N/A,TRUE,"Volumes";#N/A,#N/A,TRUE,"Revenues";#N/A,#N/A,TRUE,"Var.Costs";#N/A,#N/A,TRUE,"Personnel";#N/A,#N/A,TRUE,"Other costs";#N/A,#N/A,TRUE,"MKTG and G&amp;A"}</definedName>
    <definedName name="graZ" localSheetId="34" hidden="1">{#N/A,#N/A,TRUE,"Proposal";#N/A,#N/A,TRUE,"Assumptions";#N/A,#N/A,TRUE,"Net Income";#N/A,#N/A,TRUE,"Balsheet";#N/A,#N/A,TRUE,"Capex";#N/A,#N/A,TRUE,"Volumes";#N/A,#N/A,TRUE,"Revenues";#N/A,#N/A,TRUE,"Var.Costs";#N/A,#N/A,TRUE,"Personnel";#N/A,#N/A,TRUE,"Other costs";#N/A,#N/A,TRUE,"MKTG and G&amp;A"}</definedName>
    <definedName name="graZ" localSheetId="36" hidden="1">{#N/A,#N/A,TRUE,"Proposal";#N/A,#N/A,TRUE,"Assumptions";#N/A,#N/A,TRUE,"Net Income";#N/A,#N/A,TRUE,"Balsheet";#N/A,#N/A,TRUE,"Capex";#N/A,#N/A,TRUE,"Volumes";#N/A,#N/A,TRUE,"Revenues";#N/A,#N/A,TRUE,"Var.Costs";#N/A,#N/A,TRUE,"Personnel";#N/A,#N/A,TRUE,"Other costs";#N/A,#N/A,TRUE,"MKTG and G&amp;A"}</definedName>
    <definedName name="graZ" localSheetId="38" hidden="1">{#N/A,#N/A,TRUE,"Proposal";#N/A,#N/A,TRUE,"Assumptions";#N/A,#N/A,TRUE,"Net Income";#N/A,#N/A,TRUE,"Balsheet";#N/A,#N/A,TRUE,"Capex";#N/A,#N/A,TRUE,"Volumes";#N/A,#N/A,TRUE,"Revenues";#N/A,#N/A,TRUE,"Var.Costs";#N/A,#N/A,TRUE,"Personnel";#N/A,#N/A,TRUE,"Other costs";#N/A,#N/A,TRUE,"MKTG and G&amp;A"}</definedName>
    <definedName name="graZ" hidden="1">{#N/A,#N/A,TRUE,"Proposal";#N/A,#N/A,TRUE,"Assumptions";#N/A,#N/A,TRUE,"Net Income";#N/A,#N/A,TRUE,"Balsheet";#N/A,#N/A,TRUE,"Capex";#N/A,#N/A,TRUE,"Volumes";#N/A,#N/A,TRUE,"Revenues";#N/A,#N/A,TRUE,"Var.Costs";#N/A,#N/A,TRUE,"Personnel";#N/A,#N/A,TRUE,"Other costs";#N/A,#N/A,TRUE,"MKTG and G&amp;A"}</definedName>
    <definedName name="grd" localSheetId="3" hidden="1">{"AnnInc",#N/A,TRUE,"Inc";"QtrInc1",#N/A,TRUE,"Inc";"Balance",#N/A,TRUE,"Bal";"Cflow",#N/A,TRUE,"Cash"}</definedName>
    <definedName name="grd" localSheetId="5" hidden="1">{"AnnInc",#N/A,TRUE,"Inc";"QtrInc1",#N/A,TRUE,"Inc";"Balance",#N/A,TRUE,"Bal";"Cflow",#N/A,TRUE,"Cash"}</definedName>
    <definedName name="grd" localSheetId="8" hidden="1">{"AnnInc",#N/A,TRUE,"Inc";"QtrInc1",#N/A,TRUE,"Inc";"Balance",#N/A,TRUE,"Bal";"Cflow",#N/A,TRUE,"Cash"}</definedName>
    <definedName name="grd" localSheetId="10" hidden="1">{"AnnInc",#N/A,TRUE,"Inc";"QtrInc1",#N/A,TRUE,"Inc";"Balance",#N/A,TRUE,"Bal";"Cflow",#N/A,TRUE,"Cash"}</definedName>
    <definedName name="grd" localSheetId="12" hidden="1">{"AnnInc",#N/A,TRUE,"Inc";"QtrInc1",#N/A,TRUE,"Inc";"Balance",#N/A,TRUE,"Bal";"Cflow",#N/A,TRUE,"Cash"}</definedName>
    <definedName name="grd" localSheetId="14" hidden="1">{"AnnInc",#N/A,TRUE,"Inc";"QtrInc1",#N/A,TRUE,"Inc";"Balance",#N/A,TRUE,"Bal";"Cflow",#N/A,TRUE,"Cash"}</definedName>
    <definedName name="grd" localSheetId="16" hidden="1">{"AnnInc",#N/A,TRUE,"Inc";"QtrInc1",#N/A,TRUE,"Inc";"Balance",#N/A,TRUE,"Bal";"Cflow",#N/A,TRUE,"Cash"}</definedName>
    <definedName name="grd" localSheetId="22" hidden="1">{"AnnInc",#N/A,TRUE,"Inc";"QtrInc1",#N/A,TRUE,"Inc";"Balance",#N/A,TRUE,"Bal";"Cflow",#N/A,TRUE,"Cash"}</definedName>
    <definedName name="grd" localSheetId="24" hidden="1">{"AnnInc",#N/A,TRUE,"Inc";"QtrInc1",#N/A,TRUE,"Inc";"Balance",#N/A,TRUE,"Bal";"Cflow",#N/A,TRUE,"Cash"}</definedName>
    <definedName name="grd" localSheetId="26" hidden="1">{"AnnInc",#N/A,TRUE,"Inc";"QtrInc1",#N/A,TRUE,"Inc";"Balance",#N/A,TRUE,"Bal";"Cflow",#N/A,TRUE,"Cash"}</definedName>
    <definedName name="grd" localSheetId="28" hidden="1">{"AnnInc",#N/A,TRUE,"Inc";"QtrInc1",#N/A,TRUE,"Inc";"Balance",#N/A,TRUE,"Bal";"Cflow",#N/A,TRUE,"Cash"}</definedName>
    <definedName name="grd" localSheetId="30" hidden="1">{"AnnInc",#N/A,TRUE,"Inc";"QtrInc1",#N/A,TRUE,"Inc";"Balance",#N/A,TRUE,"Bal";"Cflow",#N/A,TRUE,"Cash"}</definedName>
    <definedName name="grd" localSheetId="32" hidden="1">{"AnnInc",#N/A,TRUE,"Inc";"QtrInc1",#N/A,TRUE,"Inc";"Balance",#N/A,TRUE,"Bal";"Cflow",#N/A,TRUE,"Cash"}</definedName>
    <definedName name="grd" localSheetId="34" hidden="1">{"AnnInc",#N/A,TRUE,"Inc";"QtrInc1",#N/A,TRUE,"Inc";"Balance",#N/A,TRUE,"Bal";"Cflow",#N/A,TRUE,"Cash"}</definedName>
    <definedName name="grd" localSheetId="36" hidden="1">{"AnnInc",#N/A,TRUE,"Inc";"QtrInc1",#N/A,TRUE,"Inc";"Balance",#N/A,TRUE,"Bal";"Cflow",#N/A,TRUE,"Cash"}</definedName>
    <definedName name="grd" localSheetId="38" hidden="1">{"AnnInc",#N/A,TRUE,"Inc";"QtrInc1",#N/A,TRUE,"Inc";"Balance",#N/A,TRUE,"Bal";"Cflow",#N/A,TRUE,"Cash"}</definedName>
    <definedName name="grd" hidden="1">{"AnnInc",#N/A,TRUE,"Inc";"QtrInc1",#N/A,TRUE,"Inc";"Balance",#N/A,TRUE,"Bal";"Cflow",#N/A,TRUE,"Cash"}</definedName>
    <definedName name="greaedfd" localSheetId="3" hidden="1">{"AnnInc",#N/A,TRUE,"Inc";"QtrInc1",#N/A,TRUE,"Inc";"Balance",#N/A,TRUE,"Bal";"Cflow",#N/A,TRUE,"Cash"}</definedName>
    <definedName name="greaedfd" localSheetId="5" hidden="1">{"AnnInc",#N/A,TRUE,"Inc";"QtrInc1",#N/A,TRUE,"Inc";"Balance",#N/A,TRUE,"Bal";"Cflow",#N/A,TRUE,"Cash"}</definedName>
    <definedName name="greaedfd" localSheetId="8" hidden="1">{"AnnInc",#N/A,TRUE,"Inc";"QtrInc1",#N/A,TRUE,"Inc";"Balance",#N/A,TRUE,"Bal";"Cflow",#N/A,TRUE,"Cash"}</definedName>
    <definedName name="greaedfd" localSheetId="10" hidden="1">{"AnnInc",#N/A,TRUE,"Inc";"QtrInc1",#N/A,TRUE,"Inc";"Balance",#N/A,TRUE,"Bal";"Cflow",#N/A,TRUE,"Cash"}</definedName>
    <definedName name="greaedfd" localSheetId="12" hidden="1">{"AnnInc",#N/A,TRUE,"Inc";"QtrInc1",#N/A,TRUE,"Inc";"Balance",#N/A,TRUE,"Bal";"Cflow",#N/A,TRUE,"Cash"}</definedName>
    <definedName name="greaedfd" localSheetId="14" hidden="1">{"AnnInc",#N/A,TRUE,"Inc";"QtrInc1",#N/A,TRUE,"Inc";"Balance",#N/A,TRUE,"Bal";"Cflow",#N/A,TRUE,"Cash"}</definedName>
    <definedName name="greaedfd" localSheetId="16" hidden="1">{"AnnInc",#N/A,TRUE,"Inc";"QtrInc1",#N/A,TRUE,"Inc";"Balance",#N/A,TRUE,"Bal";"Cflow",#N/A,TRUE,"Cash"}</definedName>
    <definedName name="greaedfd" localSheetId="22" hidden="1">{"AnnInc",#N/A,TRUE,"Inc";"QtrInc1",#N/A,TRUE,"Inc";"Balance",#N/A,TRUE,"Bal";"Cflow",#N/A,TRUE,"Cash"}</definedName>
    <definedName name="greaedfd" localSheetId="24" hidden="1">{"AnnInc",#N/A,TRUE,"Inc";"QtrInc1",#N/A,TRUE,"Inc";"Balance",#N/A,TRUE,"Bal";"Cflow",#N/A,TRUE,"Cash"}</definedName>
    <definedName name="greaedfd" localSheetId="26" hidden="1">{"AnnInc",#N/A,TRUE,"Inc";"QtrInc1",#N/A,TRUE,"Inc";"Balance",#N/A,TRUE,"Bal";"Cflow",#N/A,TRUE,"Cash"}</definedName>
    <definedName name="greaedfd" localSheetId="28" hidden="1">{"AnnInc",#N/A,TRUE,"Inc";"QtrInc1",#N/A,TRUE,"Inc";"Balance",#N/A,TRUE,"Bal";"Cflow",#N/A,TRUE,"Cash"}</definedName>
    <definedName name="greaedfd" localSheetId="30" hidden="1">{"AnnInc",#N/A,TRUE,"Inc";"QtrInc1",#N/A,TRUE,"Inc";"Balance",#N/A,TRUE,"Bal";"Cflow",#N/A,TRUE,"Cash"}</definedName>
    <definedName name="greaedfd" localSheetId="32" hidden="1">{"AnnInc",#N/A,TRUE,"Inc";"QtrInc1",#N/A,TRUE,"Inc";"Balance",#N/A,TRUE,"Bal";"Cflow",#N/A,TRUE,"Cash"}</definedName>
    <definedName name="greaedfd" localSheetId="34" hidden="1">{"AnnInc",#N/A,TRUE,"Inc";"QtrInc1",#N/A,TRUE,"Inc";"Balance",#N/A,TRUE,"Bal";"Cflow",#N/A,TRUE,"Cash"}</definedName>
    <definedName name="greaedfd" localSheetId="36" hidden="1">{"AnnInc",#N/A,TRUE,"Inc";"QtrInc1",#N/A,TRUE,"Inc";"Balance",#N/A,TRUE,"Bal";"Cflow",#N/A,TRUE,"Cash"}</definedName>
    <definedName name="greaedfd" localSheetId="38" hidden="1">{"AnnInc",#N/A,TRUE,"Inc";"QtrInc1",#N/A,TRUE,"Inc";"Balance",#N/A,TRUE,"Bal";"Cflow",#N/A,TRUE,"Cash"}</definedName>
    <definedName name="greaedfd" hidden="1">{"AnnInc",#N/A,TRUE,"Inc";"QtrInc1",#N/A,TRUE,"Inc";"Balance",#N/A,TRUE,"Bal";"Cflow",#N/A,TRUE,"Cash"}</definedName>
    <definedName name="GRIndiaMEAT">#REF!</definedName>
    <definedName name="GroupAct">#REF!</definedName>
    <definedName name="gye" localSheetId="3" hidden="1">{"AnnInc",#N/A,TRUE,"Inc";"QtrInc1",#N/A,TRUE,"Inc";"Balance",#N/A,TRUE,"Bal";"Cflow",#N/A,TRUE,"Cash"}</definedName>
    <definedName name="gye" localSheetId="5" hidden="1">{"AnnInc",#N/A,TRUE,"Inc";"QtrInc1",#N/A,TRUE,"Inc";"Balance",#N/A,TRUE,"Bal";"Cflow",#N/A,TRUE,"Cash"}</definedName>
    <definedName name="gye" localSheetId="8" hidden="1">{"AnnInc",#N/A,TRUE,"Inc";"QtrInc1",#N/A,TRUE,"Inc";"Balance",#N/A,TRUE,"Bal";"Cflow",#N/A,TRUE,"Cash"}</definedName>
    <definedName name="gye" localSheetId="10" hidden="1">{"AnnInc",#N/A,TRUE,"Inc";"QtrInc1",#N/A,TRUE,"Inc";"Balance",#N/A,TRUE,"Bal";"Cflow",#N/A,TRUE,"Cash"}</definedName>
    <definedName name="gye" localSheetId="12" hidden="1">{"AnnInc",#N/A,TRUE,"Inc";"QtrInc1",#N/A,TRUE,"Inc";"Balance",#N/A,TRUE,"Bal";"Cflow",#N/A,TRUE,"Cash"}</definedName>
    <definedName name="gye" localSheetId="14" hidden="1">{"AnnInc",#N/A,TRUE,"Inc";"QtrInc1",#N/A,TRUE,"Inc";"Balance",#N/A,TRUE,"Bal";"Cflow",#N/A,TRUE,"Cash"}</definedName>
    <definedName name="gye" localSheetId="16" hidden="1">{"AnnInc",#N/A,TRUE,"Inc";"QtrInc1",#N/A,TRUE,"Inc";"Balance",#N/A,TRUE,"Bal";"Cflow",#N/A,TRUE,"Cash"}</definedName>
    <definedName name="gye" localSheetId="22" hidden="1">{"AnnInc",#N/A,TRUE,"Inc";"QtrInc1",#N/A,TRUE,"Inc";"Balance",#N/A,TRUE,"Bal";"Cflow",#N/A,TRUE,"Cash"}</definedName>
    <definedName name="gye" localSheetId="24" hidden="1">{"AnnInc",#N/A,TRUE,"Inc";"QtrInc1",#N/A,TRUE,"Inc";"Balance",#N/A,TRUE,"Bal";"Cflow",#N/A,TRUE,"Cash"}</definedName>
    <definedName name="gye" localSheetId="26" hidden="1">{"AnnInc",#N/A,TRUE,"Inc";"QtrInc1",#N/A,TRUE,"Inc";"Balance",#N/A,TRUE,"Bal";"Cflow",#N/A,TRUE,"Cash"}</definedName>
    <definedName name="gye" localSheetId="28" hidden="1">{"AnnInc",#N/A,TRUE,"Inc";"QtrInc1",#N/A,TRUE,"Inc";"Balance",#N/A,TRUE,"Bal";"Cflow",#N/A,TRUE,"Cash"}</definedName>
    <definedName name="gye" localSheetId="30" hidden="1">{"AnnInc",#N/A,TRUE,"Inc";"QtrInc1",#N/A,TRUE,"Inc";"Balance",#N/A,TRUE,"Bal";"Cflow",#N/A,TRUE,"Cash"}</definedName>
    <definedName name="gye" localSheetId="32" hidden="1">{"AnnInc",#N/A,TRUE,"Inc";"QtrInc1",#N/A,TRUE,"Inc";"Balance",#N/A,TRUE,"Bal";"Cflow",#N/A,TRUE,"Cash"}</definedName>
    <definedName name="gye" localSheetId="34" hidden="1">{"AnnInc",#N/A,TRUE,"Inc";"QtrInc1",#N/A,TRUE,"Inc";"Balance",#N/A,TRUE,"Bal";"Cflow",#N/A,TRUE,"Cash"}</definedName>
    <definedName name="gye" localSheetId="36" hidden="1">{"AnnInc",#N/A,TRUE,"Inc";"QtrInc1",#N/A,TRUE,"Inc";"Balance",#N/A,TRUE,"Bal";"Cflow",#N/A,TRUE,"Cash"}</definedName>
    <definedName name="gye" localSheetId="38" hidden="1">{"AnnInc",#N/A,TRUE,"Inc";"QtrInc1",#N/A,TRUE,"Inc";"Balance",#N/A,TRUE,"Bal";"Cflow",#N/A,TRUE,"Cash"}</definedName>
    <definedName name="gye" hidden="1">{"AnnInc",#N/A,TRUE,"Inc";"QtrInc1",#N/A,TRUE,"Inc";"Balance",#N/A,TRUE,"Bal";"Cflow",#N/A,TRUE,"Cash"}</definedName>
    <definedName name="haha" localSheetId="3" hidden="1">{#N/A,#N/A,FALSE,"asset plan";#N/A,#N/A,FALSE,"Mgmt Report";#N/A,#N/A,FALSE,"sensitivities (2)";#N/A,#N/A,FALSE,"sensitivities";#N/A,#N/A,FALSE,"let up 10  Mort";#N/A,#N/A,FALSE,"let up 12 Mort";#N/A,#N/A,FALSE,"Capex";#N/A,#N/A,FALSE,"Capex Cashflow (2)";#N/A,#N/A,FALSE,"Capex Cashflow (3)";#N/A,#N/A,FALSE,"House View";#N/A,#N/A,FALSE,"kpi"}</definedName>
    <definedName name="haha" localSheetId="5" hidden="1">{#N/A,#N/A,FALSE,"asset plan";#N/A,#N/A,FALSE,"Mgmt Report";#N/A,#N/A,FALSE,"sensitivities (2)";#N/A,#N/A,FALSE,"sensitivities";#N/A,#N/A,FALSE,"let up 10  Mort";#N/A,#N/A,FALSE,"let up 12 Mort";#N/A,#N/A,FALSE,"Capex";#N/A,#N/A,FALSE,"Capex Cashflow (2)";#N/A,#N/A,FALSE,"Capex Cashflow (3)";#N/A,#N/A,FALSE,"House View";#N/A,#N/A,FALSE,"kpi"}</definedName>
    <definedName name="haha" localSheetId="8" hidden="1">{#N/A,#N/A,FALSE,"asset plan";#N/A,#N/A,FALSE,"Mgmt Report";#N/A,#N/A,FALSE,"sensitivities (2)";#N/A,#N/A,FALSE,"sensitivities";#N/A,#N/A,FALSE,"let up 10  Mort";#N/A,#N/A,FALSE,"let up 12 Mort";#N/A,#N/A,FALSE,"Capex";#N/A,#N/A,FALSE,"Capex Cashflow (2)";#N/A,#N/A,FALSE,"Capex Cashflow (3)";#N/A,#N/A,FALSE,"House View";#N/A,#N/A,FALSE,"kpi"}</definedName>
    <definedName name="haha" localSheetId="10" hidden="1">{#N/A,#N/A,FALSE,"asset plan";#N/A,#N/A,FALSE,"Mgmt Report";#N/A,#N/A,FALSE,"sensitivities (2)";#N/A,#N/A,FALSE,"sensitivities";#N/A,#N/A,FALSE,"let up 10  Mort";#N/A,#N/A,FALSE,"let up 12 Mort";#N/A,#N/A,FALSE,"Capex";#N/A,#N/A,FALSE,"Capex Cashflow (2)";#N/A,#N/A,FALSE,"Capex Cashflow (3)";#N/A,#N/A,FALSE,"House View";#N/A,#N/A,FALSE,"kpi"}</definedName>
    <definedName name="haha" localSheetId="12" hidden="1">{#N/A,#N/A,FALSE,"asset plan";#N/A,#N/A,FALSE,"Mgmt Report";#N/A,#N/A,FALSE,"sensitivities (2)";#N/A,#N/A,FALSE,"sensitivities";#N/A,#N/A,FALSE,"let up 10  Mort";#N/A,#N/A,FALSE,"let up 12 Mort";#N/A,#N/A,FALSE,"Capex";#N/A,#N/A,FALSE,"Capex Cashflow (2)";#N/A,#N/A,FALSE,"Capex Cashflow (3)";#N/A,#N/A,FALSE,"House View";#N/A,#N/A,FALSE,"kpi"}</definedName>
    <definedName name="haha" localSheetId="14" hidden="1">{#N/A,#N/A,FALSE,"asset plan";#N/A,#N/A,FALSE,"Mgmt Report";#N/A,#N/A,FALSE,"sensitivities (2)";#N/A,#N/A,FALSE,"sensitivities";#N/A,#N/A,FALSE,"let up 10  Mort";#N/A,#N/A,FALSE,"let up 12 Mort";#N/A,#N/A,FALSE,"Capex";#N/A,#N/A,FALSE,"Capex Cashflow (2)";#N/A,#N/A,FALSE,"Capex Cashflow (3)";#N/A,#N/A,FALSE,"House View";#N/A,#N/A,FALSE,"kpi"}</definedName>
    <definedName name="haha" localSheetId="16" hidden="1">{#N/A,#N/A,FALSE,"asset plan";#N/A,#N/A,FALSE,"Mgmt Report";#N/A,#N/A,FALSE,"sensitivities (2)";#N/A,#N/A,FALSE,"sensitivities";#N/A,#N/A,FALSE,"let up 10  Mort";#N/A,#N/A,FALSE,"let up 12 Mort";#N/A,#N/A,FALSE,"Capex";#N/A,#N/A,FALSE,"Capex Cashflow (2)";#N/A,#N/A,FALSE,"Capex Cashflow (3)";#N/A,#N/A,FALSE,"House View";#N/A,#N/A,FALSE,"kpi"}</definedName>
    <definedName name="haha" localSheetId="22" hidden="1">{#N/A,#N/A,FALSE,"asset plan";#N/A,#N/A,FALSE,"Mgmt Report";#N/A,#N/A,FALSE,"sensitivities (2)";#N/A,#N/A,FALSE,"sensitivities";#N/A,#N/A,FALSE,"let up 10  Mort";#N/A,#N/A,FALSE,"let up 12 Mort";#N/A,#N/A,FALSE,"Capex";#N/A,#N/A,FALSE,"Capex Cashflow (2)";#N/A,#N/A,FALSE,"Capex Cashflow (3)";#N/A,#N/A,FALSE,"House View";#N/A,#N/A,FALSE,"kpi"}</definedName>
    <definedName name="haha" localSheetId="40" hidden="1">{#N/A,#N/A,FALSE,"asset plan";#N/A,#N/A,FALSE,"Mgmt Report";#N/A,#N/A,FALSE,"sensitivities (2)";#N/A,#N/A,FALSE,"sensitivities";#N/A,#N/A,FALSE,"let up 10  Mort";#N/A,#N/A,FALSE,"let up 12 Mort";#N/A,#N/A,FALSE,"Capex";#N/A,#N/A,FALSE,"Capex Cashflow (2)";#N/A,#N/A,FALSE,"Capex Cashflow (3)";#N/A,#N/A,FALSE,"House View";#N/A,#N/A,FALSE,"kpi"}</definedName>
    <definedName name="haha" localSheetId="24" hidden="1">{#N/A,#N/A,FALSE,"asset plan";#N/A,#N/A,FALSE,"Mgmt Report";#N/A,#N/A,FALSE,"sensitivities (2)";#N/A,#N/A,FALSE,"sensitivities";#N/A,#N/A,FALSE,"let up 10  Mort";#N/A,#N/A,FALSE,"let up 12 Mort";#N/A,#N/A,FALSE,"Capex";#N/A,#N/A,FALSE,"Capex Cashflow (2)";#N/A,#N/A,FALSE,"Capex Cashflow (3)";#N/A,#N/A,FALSE,"House View";#N/A,#N/A,FALSE,"kpi"}</definedName>
    <definedName name="haha" localSheetId="26" hidden="1">{#N/A,#N/A,FALSE,"asset plan";#N/A,#N/A,FALSE,"Mgmt Report";#N/A,#N/A,FALSE,"sensitivities (2)";#N/A,#N/A,FALSE,"sensitivities";#N/A,#N/A,FALSE,"let up 10  Mort";#N/A,#N/A,FALSE,"let up 12 Mort";#N/A,#N/A,FALSE,"Capex";#N/A,#N/A,FALSE,"Capex Cashflow (2)";#N/A,#N/A,FALSE,"Capex Cashflow (3)";#N/A,#N/A,FALSE,"House View";#N/A,#N/A,FALSE,"kpi"}</definedName>
    <definedName name="haha" localSheetId="28" hidden="1">{#N/A,#N/A,FALSE,"asset plan";#N/A,#N/A,FALSE,"Mgmt Report";#N/A,#N/A,FALSE,"sensitivities (2)";#N/A,#N/A,FALSE,"sensitivities";#N/A,#N/A,FALSE,"let up 10  Mort";#N/A,#N/A,FALSE,"let up 12 Mort";#N/A,#N/A,FALSE,"Capex";#N/A,#N/A,FALSE,"Capex Cashflow (2)";#N/A,#N/A,FALSE,"Capex Cashflow (3)";#N/A,#N/A,FALSE,"House View";#N/A,#N/A,FALSE,"kpi"}</definedName>
    <definedName name="haha" localSheetId="30" hidden="1">{#N/A,#N/A,FALSE,"asset plan";#N/A,#N/A,FALSE,"Mgmt Report";#N/A,#N/A,FALSE,"sensitivities (2)";#N/A,#N/A,FALSE,"sensitivities";#N/A,#N/A,FALSE,"let up 10  Mort";#N/A,#N/A,FALSE,"let up 12 Mort";#N/A,#N/A,FALSE,"Capex";#N/A,#N/A,FALSE,"Capex Cashflow (2)";#N/A,#N/A,FALSE,"Capex Cashflow (3)";#N/A,#N/A,FALSE,"House View";#N/A,#N/A,FALSE,"kpi"}</definedName>
    <definedName name="haha" localSheetId="32" hidden="1">{#N/A,#N/A,FALSE,"asset plan";#N/A,#N/A,FALSE,"Mgmt Report";#N/A,#N/A,FALSE,"sensitivities (2)";#N/A,#N/A,FALSE,"sensitivities";#N/A,#N/A,FALSE,"let up 10  Mort";#N/A,#N/A,FALSE,"let up 12 Mort";#N/A,#N/A,FALSE,"Capex";#N/A,#N/A,FALSE,"Capex Cashflow (2)";#N/A,#N/A,FALSE,"Capex Cashflow (3)";#N/A,#N/A,FALSE,"House View";#N/A,#N/A,FALSE,"kpi"}</definedName>
    <definedName name="haha" localSheetId="34" hidden="1">{#N/A,#N/A,FALSE,"asset plan";#N/A,#N/A,FALSE,"Mgmt Report";#N/A,#N/A,FALSE,"sensitivities (2)";#N/A,#N/A,FALSE,"sensitivities";#N/A,#N/A,FALSE,"let up 10  Mort";#N/A,#N/A,FALSE,"let up 12 Mort";#N/A,#N/A,FALSE,"Capex";#N/A,#N/A,FALSE,"Capex Cashflow (2)";#N/A,#N/A,FALSE,"Capex Cashflow (3)";#N/A,#N/A,FALSE,"House View";#N/A,#N/A,FALSE,"kpi"}</definedName>
    <definedName name="haha" localSheetId="36" hidden="1">{#N/A,#N/A,FALSE,"asset plan";#N/A,#N/A,FALSE,"Mgmt Report";#N/A,#N/A,FALSE,"sensitivities (2)";#N/A,#N/A,FALSE,"sensitivities";#N/A,#N/A,FALSE,"let up 10  Mort";#N/A,#N/A,FALSE,"let up 12 Mort";#N/A,#N/A,FALSE,"Capex";#N/A,#N/A,FALSE,"Capex Cashflow (2)";#N/A,#N/A,FALSE,"Capex Cashflow (3)";#N/A,#N/A,FALSE,"House View";#N/A,#N/A,FALSE,"kpi"}</definedName>
    <definedName name="haha" localSheetId="38" hidden="1">{#N/A,#N/A,FALSE,"asset plan";#N/A,#N/A,FALSE,"Mgmt Report";#N/A,#N/A,FALSE,"sensitivities (2)";#N/A,#N/A,FALSE,"sensitivities";#N/A,#N/A,FALSE,"let up 10  Mort";#N/A,#N/A,FALSE,"let up 12 Mort";#N/A,#N/A,FALSE,"Capex";#N/A,#N/A,FALSE,"Capex Cashflow (2)";#N/A,#N/A,FALSE,"Capex Cashflow (3)";#N/A,#N/A,FALSE,"House View";#N/A,#N/A,FALSE,"kpi"}</definedName>
    <definedName name="haha" hidden="1">{#N/A,#N/A,FALSE,"asset plan";#N/A,#N/A,FALSE,"Mgmt Report";#N/A,#N/A,FALSE,"sensitivities (2)";#N/A,#N/A,FALSE,"sensitivities";#N/A,#N/A,FALSE,"let up 10  Mort";#N/A,#N/A,FALSE,"let up 12 Mort";#N/A,#N/A,FALSE,"Capex";#N/A,#N/A,FALSE,"Capex Cashflow (2)";#N/A,#N/A,FALSE,"Capex Cashflow (3)";#N/A,#N/A,FALSE,"House View";#N/A,#N/A,FALSE,"kpi"}</definedName>
    <definedName name="hdee" localSheetId="3" hidden="1">{"AnnInc",#N/A,TRUE,"Inc";"QtrInc1",#N/A,TRUE,"Inc";"Balance",#N/A,TRUE,"Bal";"Cflow",#N/A,TRUE,"Cash"}</definedName>
    <definedName name="hdee" localSheetId="5" hidden="1">{"AnnInc",#N/A,TRUE,"Inc";"QtrInc1",#N/A,TRUE,"Inc";"Balance",#N/A,TRUE,"Bal";"Cflow",#N/A,TRUE,"Cash"}</definedName>
    <definedName name="hdee" localSheetId="8" hidden="1">{"AnnInc",#N/A,TRUE,"Inc";"QtrInc1",#N/A,TRUE,"Inc";"Balance",#N/A,TRUE,"Bal";"Cflow",#N/A,TRUE,"Cash"}</definedName>
    <definedName name="hdee" localSheetId="10" hidden="1">{"AnnInc",#N/A,TRUE,"Inc";"QtrInc1",#N/A,TRUE,"Inc";"Balance",#N/A,TRUE,"Bal";"Cflow",#N/A,TRUE,"Cash"}</definedName>
    <definedName name="hdee" localSheetId="12" hidden="1">{"AnnInc",#N/A,TRUE,"Inc";"QtrInc1",#N/A,TRUE,"Inc";"Balance",#N/A,TRUE,"Bal";"Cflow",#N/A,TRUE,"Cash"}</definedName>
    <definedName name="hdee" localSheetId="14" hidden="1">{"AnnInc",#N/A,TRUE,"Inc";"QtrInc1",#N/A,TRUE,"Inc";"Balance",#N/A,TRUE,"Bal";"Cflow",#N/A,TRUE,"Cash"}</definedName>
    <definedName name="hdee" localSheetId="16" hidden="1">{"AnnInc",#N/A,TRUE,"Inc";"QtrInc1",#N/A,TRUE,"Inc";"Balance",#N/A,TRUE,"Bal";"Cflow",#N/A,TRUE,"Cash"}</definedName>
    <definedName name="hdee" localSheetId="22" hidden="1">{"AnnInc",#N/A,TRUE,"Inc";"QtrInc1",#N/A,TRUE,"Inc";"Balance",#N/A,TRUE,"Bal";"Cflow",#N/A,TRUE,"Cash"}</definedName>
    <definedName name="hdee" localSheetId="24" hidden="1">{"AnnInc",#N/A,TRUE,"Inc";"QtrInc1",#N/A,TRUE,"Inc";"Balance",#N/A,TRUE,"Bal";"Cflow",#N/A,TRUE,"Cash"}</definedName>
    <definedName name="hdee" localSheetId="26" hidden="1">{"AnnInc",#N/A,TRUE,"Inc";"QtrInc1",#N/A,TRUE,"Inc";"Balance",#N/A,TRUE,"Bal";"Cflow",#N/A,TRUE,"Cash"}</definedName>
    <definedName name="hdee" localSheetId="28" hidden="1">{"AnnInc",#N/A,TRUE,"Inc";"QtrInc1",#N/A,TRUE,"Inc";"Balance",#N/A,TRUE,"Bal";"Cflow",#N/A,TRUE,"Cash"}</definedName>
    <definedName name="hdee" localSheetId="30" hidden="1">{"AnnInc",#N/A,TRUE,"Inc";"QtrInc1",#N/A,TRUE,"Inc";"Balance",#N/A,TRUE,"Bal";"Cflow",#N/A,TRUE,"Cash"}</definedName>
    <definedName name="hdee" localSheetId="32" hidden="1">{"AnnInc",#N/A,TRUE,"Inc";"QtrInc1",#N/A,TRUE,"Inc";"Balance",#N/A,TRUE,"Bal";"Cflow",#N/A,TRUE,"Cash"}</definedName>
    <definedName name="hdee" localSheetId="34" hidden="1">{"AnnInc",#N/A,TRUE,"Inc";"QtrInc1",#N/A,TRUE,"Inc";"Balance",#N/A,TRUE,"Bal";"Cflow",#N/A,TRUE,"Cash"}</definedName>
    <definedName name="hdee" localSheetId="36" hidden="1">{"AnnInc",#N/A,TRUE,"Inc";"QtrInc1",#N/A,TRUE,"Inc";"Balance",#N/A,TRUE,"Bal";"Cflow",#N/A,TRUE,"Cash"}</definedName>
    <definedName name="hdee" localSheetId="38" hidden="1">{"AnnInc",#N/A,TRUE,"Inc";"QtrInc1",#N/A,TRUE,"Inc";"Balance",#N/A,TRUE,"Bal";"Cflow",#N/A,TRUE,"Cash"}</definedName>
    <definedName name="hdee" hidden="1">{"AnnInc",#N/A,TRUE,"Inc";"QtrInc1",#N/A,TRUE,"Inc";"Balance",#N/A,TRUE,"Bal";"Cflow",#N/A,TRUE,"Cash"}</definedName>
    <definedName name="Header_Row">ROW(#REF!)</definedName>
    <definedName name="hes" localSheetId="3" hidden="1">{"NOPCAPEVA",#N/A,FALSE,"Nopat";"FCFCSTAR",#N/A,FALSE,"FCFVAL";"EVAVL",#N/A,FALSE,"EVAVAL";"LEASE",#N/A,FALSE,"OpLease"}</definedName>
    <definedName name="hes" localSheetId="5" hidden="1">{"NOPCAPEVA",#N/A,FALSE,"Nopat";"FCFCSTAR",#N/A,FALSE,"FCFVAL";"EVAVL",#N/A,FALSE,"EVAVAL";"LEASE",#N/A,FALSE,"OpLease"}</definedName>
    <definedName name="hes" localSheetId="8" hidden="1">{"NOPCAPEVA",#N/A,FALSE,"Nopat";"FCFCSTAR",#N/A,FALSE,"FCFVAL";"EVAVL",#N/A,FALSE,"EVAVAL";"LEASE",#N/A,FALSE,"OpLease"}</definedName>
    <definedName name="hes" localSheetId="10" hidden="1">{"NOPCAPEVA",#N/A,FALSE,"Nopat";"FCFCSTAR",#N/A,FALSE,"FCFVAL";"EVAVL",#N/A,FALSE,"EVAVAL";"LEASE",#N/A,FALSE,"OpLease"}</definedName>
    <definedName name="hes" localSheetId="12" hidden="1">{"NOPCAPEVA",#N/A,FALSE,"Nopat";"FCFCSTAR",#N/A,FALSE,"FCFVAL";"EVAVL",#N/A,FALSE,"EVAVAL";"LEASE",#N/A,FALSE,"OpLease"}</definedName>
    <definedName name="hes" localSheetId="14" hidden="1">{"NOPCAPEVA",#N/A,FALSE,"Nopat";"FCFCSTAR",#N/A,FALSE,"FCFVAL";"EVAVL",#N/A,FALSE,"EVAVAL";"LEASE",#N/A,FALSE,"OpLease"}</definedName>
    <definedName name="hes" localSheetId="16" hidden="1">{"NOPCAPEVA",#N/A,FALSE,"Nopat";"FCFCSTAR",#N/A,FALSE,"FCFVAL";"EVAVL",#N/A,FALSE,"EVAVAL";"LEASE",#N/A,FALSE,"OpLease"}</definedName>
    <definedName name="hes" localSheetId="22" hidden="1">{"NOPCAPEVA",#N/A,FALSE,"Nopat";"FCFCSTAR",#N/A,FALSE,"FCFVAL";"EVAVL",#N/A,FALSE,"EVAVAL";"LEASE",#N/A,FALSE,"OpLease"}</definedName>
    <definedName name="hes" localSheetId="24" hidden="1">{"NOPCAPEVA",#N/A,FALSE,"Nopat";"FCFCSTAR",#N/A,FALSE,"FCFVAL";"EVAVL",#N/A,FALSE,"EVAVAL";"LEASE",#N/A,FALSE,"OpLease"}</definedName>
    <definedName name="hes" localSheetId="26" hidden="1">{"NOPCAPEVA",#N/A,FALSE,"Nopat";"FCFCSTAR",#N/A,FALSE,"FCFVAL";"EVAVL",#N/A,FALSE,"EVAVAL";"LEASE",#N/A,FALSE,"OpLease"}</definedName>
    <definedName name="hes" localSheetId="28" hidden="1">{"NOPCAPEVA",#N/A,FALSE,"Nopat";"FCFCSTAR",#N/A,FALSE,"FCFVAL";"EVAVL",#N/A,FALSE,"EVAVAL";"LEASE",#N/A,FALSE,"OpLease"}</definedName>
    <definedName name="hes" localSheetId="30" hidden="1">{"NOPCAPEVA",#N/A,FALSE,"Nopat";"FCFCSTAR",#N/A,FALSE,"FCFVAL";"EVAVL",#N/A,FALSE,"EVAVAL";"LEASE",#N/A,FALSE,"OpLease"}</definedName>
    <definedName name="hes" localSheetId="32" hidden="1">{"NOPCAPEVA",#N/A,FALSE,"Nopat";"FCFCSTAR",#N/A,FALSE,"FCFVAL";"EVAVL",#N/A,FALSE,"EVAVAL";"LEASE",#N/A,FALSE,"OpLease"}</definedName>
    <definedName name="hes" localSheetId="34" hidden="1">{"NOPCAPEVA",#N/A,FALSE,"Nopat";"FCFCSTAR",#N/A,FALSE,"FCFVAL";"EVAVL",#N/A,FALSE,"EVAVAL";"LEASE",#N/A,FALSE,"OpLease"}</definedName>
    <definedName name="hes" localSheetId="36" hidden="1">{"NOPCAPEVA",#N/A,FALSE,"Nopat";"FCFCSTAR",#N/A,FALSE,"FCFVAL";"EVAVL",#N/A,FALSE,"EVAVAL";"LEASE",#N/A,FALSE,"OpLease"}</definedName>
    <definedName name="hes" localSheetId="38" hidden="1">{"NOPCAPEVA",#N/A,FALSE,"Nopat";"FCFCSTAR",#N/A,FALSE,"FCFVAL";"EVAVL",#N/A,FALSE,"EVAVAL";"LEASE",#N/A,FALSE,"OpLease"}</definedName>
    <definedName name="hes" hidden="1">{"NOPCAPEVA",#N/A,FALSE,"Nopat";"FCFCSTAR",#N/A,FALSE,"FCFVAL";"EVAVL",#N/A,FALSE,"EVAVAL";"LEASE",#N/A,FALSE,"OpLease"}</definedName>
    <definedName name="hfea" localSheetId="3" hidden="1">{"NOPCAPEVA",#N/A,FALSE,"Nopat";"FCFCSTAR",#N/A,FALSE,"FCFVAL";"EVAVL",#N/A,FALSE,"EVAVAL";"LEASE",#N/A,FALSE,"OpLease"}</definedName>
    <definedName name="hfea" localSheetId="5" hidden="1">{"NOPCAPEVA",#N/A,FALSE,"Nopat";"FCFCSTAR",#N/A,FALSE,"FCFVAL";"EVAVL",#N/A,FALSE,"EVAVAL";"LEASE",#N/A,FALSE,"OpLease"}</definedName>
    <definedName name="hfea" localSheetId="8" hidden="1">{"NOPCAPEVA",#N/A,FALSE,"Nopat";"FCFCSTAR",#N/A,FALSE,"FCFVAL";"EVAVL",#N/A,FALSE,"EVAVAL";"LEASE",#N/A,FALSE,"OpLease"}</definedName>
    <definedName name="hfea" localSheetId="10" hidden="1">{"NOPCAPEVA",#N/A,FALSE,"Nopat";"FCFCSTAR",#N/A,FALSE,"FCFVAL";"EVAVL",#N/A,FALSE,"EVAVAL";"LEASE",#N/A,FALSE,"OpLease"}</definedName>
    <definedName name="hfea" localSheetId="12" hidden="1">{"NOPCAPEVA",#N/A,FALSE,"Nopat";"FCFCSTAR",#N/A,FALSE,"FCFVAL";"EVAVL",#N/A,FALSE,"EVAVAL";"LEASE",#N/A,FALSE,"OpLease"}</definedName>
    <definedName name="hfea" localSheetId="14" hidden="1">{"NOPCAPEVA",#N/A,FALSE,"Nopat";"FCFCSTAR",#N/A,FALSE,"FCFVAL";"EVAVL",#N/A,FALSE,"EVAVAL";"LEASE",#N/A,FALSE,"OpLease"}</definedName>
    <definedName name="hfea" localSheetId="16" hidden="1">{"NOPCAPEVA",#N/A,FALSE,"Nopat";"FCFCSTAR",#N/A,FALSE,"FCFVAL";"EVAVL",#N/A,FALSE,"EVAVAL";"LEASE",#N/A,FALSE,"OpLease"}</definedName>
    <definedName name="hfea" localSheetId="22" hidden="1">{"NOPCAPEVA",#N/A,FALSE,"Nopat";"FCFCSTAR",#N/A,FALSE,"FCFVAL";"EVAVL",#N/A,FALSE,"EVAVAL";"LEASE",#N/A,FALSE,"OpLease"}</definedName>
    <definedName name="hfea" localSheetId="24" hidden="1">{"NOPCAPEVA",#N/A,FALSE,"Nopat";"FCFCSTAR",#N/A,FALSE,"FCFVAL";"EVAVL",#N/A,FALSE,"EVAVAL";"LEASE",#N/A,FALSE,"OpLease"}</definedName>
    <definedName name="hfea" localSheetId="26" hidden="1">{"NOPCAPEVA",#N/A,FALSE,"Nopat";"FCFCSTAR",#N/A,FALSE,"FCFVAL";"EVAVL",#N/A,FALSE,"EVAVAL";"LEASE",#N/A,FALSE,"OpLease"}</definedName>
    <definedName name="hfea" localSheetId="28" hidden="1">{"NOPCAPEVA",#N/A,FALSE,"Nopat";"FCFCSTAR",#N/A,FALSE,"FCFVAL";"EVAVL",#N/A,FALSE,"EVAVAL";"LEASE",#N/A,FALSE,"OpLease"}</definedName>
    <definedName name="hfea" localSheetId="30" hidden="1">{"NOPCAPEVA",#N/A,FALSE,"Nopat";"FCFCSTAR",#N/A,FALSE,"FCFVAL";"EVAVL",#N/A,FALSE,"EVAVAL";"LEASE",#N/A,FALSE,"OpLease"}</definedName>
    <definedName name="hfea" localSheetId="32" hidden="1">{"NOPCAPEVA",#N/A,FALSE,"Nopat";"FCFCSTAR",#N/A,FALSE,"FCFVAL";"EVAVL",#N/A,FALSE,"EVAVAL";"LEASE",#N/A,FALSE,"OpLease"}</definedName>
    <definedName name="hfea" localSheetId="34" hidden="1">{"NOPCAPEVA",#N/A,FALSE,"Nopat";"FCFCSTAR",#N/A,FALSE,"FCFVAL";"EVAVL",#N/A,FALSE,"EVAVAL";"LEASE",#N/A,FALSE,"OpLease"}</definedName>
    <definedName name="hfea" localSheetId="36" hidden="1">{"NOPCAPEVA",#N/A,FALSE,"Nopat";"FCFCSTAR",#N/A,FALSE,"FCFVAL";"EVAVL",#N/A,FALSE,"EVAVAL";"LEASE",#N/A,FALSE,"OpLease"}</definedName>
    <definedName name="hfea" localSheetId="38" hidden="1">{"NOPCAPEVA",#N/A,FALSE,"Nopat";"FCFCSTAR",#N/A,FALSE,"FCFVAL";"EVAVL",#N/A,FALSE,"EVAVAL";"LEASE",#N/A,FALSE,"OpLease"}</definedName>
    <definedName name="hfea" hidden="1">{"NOPCAPEVA",#N/A,FALSE,"Nopat";"FCFCSTAR",#N/A,FALSE,"FCFVAL";"EVAVL",#N/A,FALSE,"EVAVAL";"LEASE",#N/A,FALSE,"OpLease"}</definedName>
    <definedName name="hfgh" hidden="1">#REF!</definedName>
    <definedName name="hga" localSheetId="3" hidden="1">{"NOPCAPEVA",#N/A,FALSE,"Nopat";"FCFCSTAR",#N/A,FALSE,"FCFVAL";"EVAVL",#N/A,FALSE,"EVAVAL";"LEASE",#N/A,FALSE,"OpLease"}</definedName>
    <definedName name="hga" localSheetId="5" hidden="1">{"NOPCAPEVA",#N/A,FALSE,"Nopat";"FCFCSTAR",#N/A,FALSE,"FCFVAL";"EVAVL",#N/A,FALSE,"EVAVAL";"LEASE",#N/A,FALSE,"OpLease"}</definedName>
    <definedName name="hga" localSheetId="8" hidden="1">{"NOPCAPEVA",#N/A,FALSE,"Nopat";"FCFCSTAR",#N/A,FALSE,"FCFVAL";"EVAVL",#N/A,FALSE,"EVAVAL";"LEASE",#N/A,FALSE,"OpLease"}</definedName>
    <definedName name="hga" localSheetId="10" hidden="1">{"NOPCAPEVA",#N/A,FALSE,"Nopat";"FCFCSTAR",#N/A,FALSE,"FCFVAL";"EVAVL",#N/A,FALSE,"EVAVAL";"LEASE",#N/A,FALSE,"OpLease"}</definedName>
    <definedName name="hga" localSheetId="12" hidden="1">{"NOPCAPEVA",#N/A,FALSE,"Nopat";"FCFCSTAR",#N/A,FALSE,"FCFVAL";"EVAVL",#N/A,FALSE,"EVAVAL";"LEASE",#N/A,FALSE,"OpLease"}</definedName>
    <definedName name="hga" localSheetId="14" hidden="1">{"NOPCAPEVA",#N/A,FALSE,"Nopat";"FCFCSTAR",#N/A,FALSE,"FCFVAL";"EVAVL",#N/A,FALSE,"EVAVAL";"LEASE",#N/A,FALSE,"OpLease"}</definedName>
    <definedName name="hga" localSheetId="16" hidden="1">{"NOPCAPEVA",#N/A,FALSE,"Nopat";"FCFCSTAR",#N/A,FALSE,"FCFVAL";"EVAVL",#N/A,FALSE,"EVAVAL";"LEASE",#N/A,FALSE,"OpLease"}</definedName>
    <definedName name="hga" localSheetId="22" hidden="1">{"NOPCAPEVA",#N/A,FALSE,"Nopat";"FCFCSTAR",#N/A,FALSE,"FCFVAL";"EVAVL",#N/A,FALSE,"EVAVAL";"LEASE",#N/A,FALSE,"OpLease"}</definedName>
    <definedName name="hga" localSheetId="24" hidden="1">{"NOPCAPEVA",#N/A,FALSE,"Nopat";"FCFCSTAR",#N/A,FALSE,"FCFVAL";"EVAVL",#N/A,FALSE,"EVAVAL";"LEASE",#N/A,FALSE,"OpLease"}</definedName>
    <definedName name="hga" localSheetId="26" hidden="1">{"NOPCAPEVA",#N/A,FALSE,"Nopat";"FCFCSTAR",#N/A,FALSE,"FCFVAL";"EVAVL",#N/A,FALSE,"EVAVAL";"LEASE",#N/A,FALSE,"OpLease"}</definedName>
    <definedName name="hga" localSheetId="28" hidden="1">{"NOPCAPEVA",#N/A,FALSE,"Nopat";"FCFCSTAR",#N/A,FALSE,"FCFVAL";"EVAVL",#N/A,FALSE,"EVAVAL";"LEASE",#N/A,FALSE,"OpLease"}</definedName>
    <definedName name="hga" localSheetId="30" hidden="1">{"NOPCAPEVA",#N/A,FALSE,"Nopat";"FCFCSTAR",#N/A,FALSE,"FCFVAL";"EVAVL",#N/A,FALSE,"EVAVAL";"LEASE",#N/A,FALSE,"OpLease"}</definedName>
    <definedName name="hga" localSheetId="32" hidden="1">{"NOPCAPEVA",#N/A,FALSE,"Nopat";"FCFCSTAR",#N/A,FALSE,"FCFVAL";"EVAVL",#N/A,FALSE,"EVAVAL";"LEASE",#N/A,FALSE,"OpLease"}</definedName>
    <definedName name="hga" localSheetId="34" hidden="1">{"NOPCAPEVA",#N/A,FALSE,"Nopat";"FCFCSTAR",#N/A,FALSE,"FCFVAL";"EVAVL",#N/A,FALSE,"EVAVAL";"LEASE",#N/A,FALSE,"OpLease"}</definedName>
    <definedName name="hga" localSheetId="36" hidden="1">{"NOPCAPEVA",#N/A,FALSE,"Nopat";"FCFCSTAR",#N/A,FALSE,"FCFVAL";"EVAVL",#N/A,FALSE,"EVAVAL";"LEASE",#N/A,FALSE,"OpLease"}</definedName>
    <definedName name="hga" localSheetId="38" hidden="1">{"NOPCAPEVA",#N/A,FALSE,"Nopat";"FCFCSTAR",#N/A,FALSE,"FCFVAL";"EVAVL",#N/A,FALSE,"EVAVAL";"LEASE",#N/A,FALSE,"OpLease"}</definedName>
    <definedName name="hga" hidden="1">{"NOPCAPEVA",#N/A,FALSE,"Nopat";"FCFCSTAR",#N/A,FALSE,"FCFVAL";"EVAVL",#N/A,FALSE,"EVAVAL";"LEASE",#N/A,FALSE,"OpLease"}</definedName>
    <definedName name="hgf" localSheetId="3" hidden="1">{#N/A,#N/A,TRUE,"Proposal";#N/A,#N/A,TRUE,"Assumptions";#N/A,#N/A,TRUE,"Net Income";#N/A,#N/A,TRUE,"Balsheet";#N/A,#N/A,TRUE,"Capex";#N/A,#N/A,TRUE,"Volumes";#N/A,#N/A,TRUE,"Revenues";#N/A,#N/A,TRUE,"Var.Costs";#N/A,#N/A,TRUE,"Personnel";#N/A,#N/A,TRUE,"Other costs";#N/A,#N/A,TRUE,"MKTG and G&amp;A"}</definedName>
    <definedName name="hgf" localSheetId="5" hidden="1">{#N/A,#N/A,TRUE,"Proposal";#N/A,#N/A,TRUE,"Assumptions";#N/A,#N/A,TRUE,"Net Income";#N/A,#N/A,TRUE,"Balsheet";#N/A,#N/A,TRUE,"Capex";#N/A,#N/A,TRUE,"Volumes";#N/A,#N/A,TRUE,"Revenues";#N/A,#N/A,TRUE,"Var.Costs";#N/A,#N/A,TRUE,"Personnel";#N/A,#N/A,TRUE,"Other costs";#N/A,#N/A,TRUE,"MKTG and G&amp;A"}</definedName>
    <definedName name="hgf" localSheetId="8" hidden="1">{#N/A,#N/A,TRUE,"Proposal";#N/A,#N/A,TRUE,"Assumptions";#N/A,#N/A,TRUE,"Net Income";#N/A,#N/A,TRUE,"Balsheet";#N/A,#N/A,TRUE,"Capex";#N/A,#N/A,TRUE,"Volumes";#N/A,#N/A,TRUE,"Revenues";#N/A,#N/A,TRUE,"Var.Costs";#N/A,#N/A,TRUE,"Personnel";#N/A,#N/A,TRUE,"Other costs";#N/A,#N/A,TRUE,"MKTG and G&amp;A"}</definedName>
    <definedName name="hgf" localSheetId="10" hidden="1">{#N/A,#N/A,TRUE,"Proposal";#N/A,#N/A,TRUE,"Assumptions";#N/A,#N/A,TRUE,"Net Income";#N/A,#N/A,TRUE,"Balsheet";#N/A,#N/A,TRUE,"Capex";#N/A,#N/A,TRUE,"Volumes";#N/A,#N/A,TRUE,"Revenues";#N/A,#N/A,TRUE,"Var.Costs";#N/A,#N/A,TRUE,"Personnel";#N/A,#N/A,TRUE,"Other costs";#N/A,#N/A,TRUE,"MKTG and G&amp;A"}</definedName>
    <definedName name="hgf" localSheetId="12" hidden="1">{#N/A,#N/A,TRUE,"Proposal";#N/A,#N/A,TRUE,"Assumptions";#N/A,#N/A,TRUE,"Net Income";#N/A,#N/A,TRUE,"Balsheet";#N/A,#N/A,TRUE,"Capex";#N/A,#N/A,TRUE,"Volumes";#N/A,#N/A,TRUE,"Revenues";#N/A,#N/A,TRUE,"Var.Costs";#N/A,#N/A,TRUE,"Personnel";#N/A,#N/A,TRUE,"Other costs";#N/A,#N/A,TRUE,"MKTG and G&amp;A"}</definedName>
    <definedName name="hgf" localSheetId="14" hidden="1">{#N/A,#N/A,TRUE,"Proposal";#N/A,#N/A,TRUE,"Assumptions";#N/A,#N/A,TRUE,"Net Income";#N/A,#N/A,TRUE,"Balsheet";#N/A,#N/A,TRUE,"Capex";#N/A,#N/A,TRUE,"Volumes";#N/A,#N/A,TRUE,"Revenues";#N/A,#N/A,TRUE,"Var.Costs";#N/A,#N/A,TRUE,"Personnel";#N/A,#N/A,TRUE,"Other costs";#N/A,#N/A,TRUE,"MKTG and G&amp;A"}</definedName>
    <definedName name="hgf" localSheetId="16" hidden="1">{#N/A,#N/A,TRUE,"Proposal";#N/A,#N/A,TRUE,"Assumptions";#N/A,#N/A,TRUE,"Net Income";#N/A,#N/A,TRUE,"Balsheet";#N/A,#N/A,TRUE,"Capex";#N/A,#N/A,TRUE,"Volumes";#N/A,#N/A,TRUE,"Revenues";#N/A,#N/A,TRUE,"Var.Costs";#N/A,#N/A,TRUE,"Personnel";#N/A,#N/A,TRUE,"Other costs";#N/A,#N/A,TRUE,"MKTG and G&amp;A"}</definedName>
    <definedName name="hgf" localSheetId="22" hidden="1">{#N/A,#N/A,TRUE,"Proposal";#N/A,#N/A,TRUE,"Assumptions";#N/A,#N/A,TRUE,"Net Income";#N/A,#N/A,TRUE,"Balsheet";#N/A,#N/A,TRUE,"Capex";#N/A,#N/A,TRUE,"Volumes";#N/A,#N/A,TRUE,"Revenues";#N/A,#N/A,TRUE,"Var.Costs";#N/A,#N/A,TRUE,"Personnel";#N/A,#N/A,TRUE,"Other costs";#N/A,#N/A,TRUE,"MKTG and G&amp;A"}</definedName>
    <definedName name="hgf" localSheetId="24" hidden="1">{#N/A,#N/A,TRUE,"Proposal";#N/A,#N/A,TRUE,"Assumptions";#N/A,#N/A,TRUE,"Net Income";#N/A,#N/A,TRUE,"Balsheet";#N/A,#N/A,TRUE,"Capex";#N/A,#N/A,TRUE,"Volumes";#N/A,#N/A,TRUE,"Revenues";#N/A,#N/A,TRUE,"Var.Costs";#N/A,#N/A,TRUE,"Personnel";#N/A,#N/A,TRUE,"Other costs";#N/A,#N/A,TRUE,"MKTG and G&amp;A"}</definedName>
    <definedName name="hgf" localSheetId="26" hidden="1">{#N/A,#N/A,TRUE,"Proposal";#N/A,#N/A,TRUE,"Assumptions";#N/A,#N/A,TRUE,"Net Income";#N/A,#N/A,TRUE,"Balsheet";#N/A,#N/A,TRUE,"Capex";#N/A,#N/A,TRUE,"Volumes";#N/A,#N/A,TRUE,"Revenues";#N/A,#N/A,TRUE,"Var.Costs";#N/A,#N/A,TRUE,"Personnel";#N/A,#N/A,TRUE,"Other costs";#N/A,#N/A,TRUE,"MKTG and G&amp;A"}</definedName>
    <definedName name="hgf" localSheetId="28" hidden="1">{#N/A,#N/A,TRUE,"Proposal";#N/A,#N/A,TRUE,"Assumptions";#N/A,#N/A,TRUE,"Net Income";#N/A,#N/A,TRUE,"Balsheet";#N/A,#N/A,TRUE,"Capex";#N/A,#N/A,TRUE,"Volumes";#N/A,#N/A,TRUE,"Revenues";#N/A,#N/A,TRUE,"Var.Costs";#N/A,#N/A,TRUE,"Personnel";#N/A,#N/A,TRUE,"Other costs";#N/A,#N/A,TRUE,"MKTG and G&amp;A"}</definedName>
    <definedName name="hgf" localSheetId="30" hidden="1">{#N/A,#N/A,TRUE,"Proposal";#N/A,#N/A,TRUE,"Assumptions";#N/A,#N/A,TRUE,"Net Income";#N/A,#N/A,TRUE,"Balsheet";#N/A,#N/A,TRUE,"Capex";#N/A,#N/A,TRUE,"Volumes";#N/A,#N/A,TRUE,"Revenues";#N/A,#N/A,TRUE,"Var.Costs";#N/A,#N/A,TRUE,"Personnel";#N/A,#N/A,TRUE,"Other costs";#N/A,#N/A,TRUE,"MKTG and G&amp;A"}</definedName>
    <definedName name="hgf" localSheetId="32" hidden="1">{#N/A,#N/A,TRUE,"Proposal";#N/A,#N/A,TRUE,"Assumptions";#N/A,#N/A,TRUE,"Net Income";#N/A,#N/A,TRUE,"Balsheet";#N/A,#N/A,TRUE,"Capex";#N/A,#N/A,TRUE,"Volumes";#N/A,#N/A,TRUE,"Revenues";#N/A,#N/A,TRUE,"Var.Costs";#N/A,#N/A,TRUE,"Personnel";#N/A,#N/A,TRUE,"Other costs";#N/A,#N/A,TRUE,"MKTG and G&amp;A"}</definedName>
    <definedName name="hgf" localSheetId="34" hidden="1">{#N/A,#N/A,TRUE,"Proposal";#N/A,#N/A,TRUE,"Assumptions";#N/A,#N/A,TRUE,"Net Income";#N/A,#N/A,TRUE,"Balsheet";#N/A,#N/A,TRUE,"Capex";#N/A,#N/A,TRUE,"Volumes";#N/A,#N/A,TRUE,"Revenues";#N/A,#N/A,TRUE,"Var.Costs";#N/A,#N/A,TRUE,"Personnel";#N/A,#N/A,TRUE,"Other costs";#N/A,#N/A,TRUE,"MKTG and G&amp;A"}</definedName>
    <definedName name="hgf" localSheetId="36" hidden="1">{#N/A,#N/A,TRUE,"Proposal";#N/A,#N/A,TRUE,"Assumptions";#N/A,#N/A,TRUE,"Net Income";#N/A,#N/A,TRUE,"Balsheet";#N/A,#N/A,TRUE,"Capex";#N/A,#N/A,TRUE,"Volumes";#N/A,#N/A,TRUE,"Revenues";#N/A,#N/A,TRUE,"Var.Costs";#N/A,#N/A,TRUE,"Personnel";#N/A,#N/A,TRUE,"Other costs";#N/A,#N/A,TRUE,"MKTG and G&amp;A"}</definedName>
    <definedName name="hgf" localSheetId="38" hidden="1">{#N/A,#N/A,TRUE,"Proposal";#N/A,#N/A,TRUE,"Assumptions";#N/A,#N/A,TRUE,"Net Income";#N/A,#N/A,TRUE,"Balsheet";#N/A,#N/A,TRUE,"Capex";#N/A,#N/A,TRUE,"Volumes";#N/A,#N/A,TRUE,"Revenues";#N/A,#N/A,TRUE,"Var.Costs";#N/A,#N/A,TRUE,"Personnel";#N/A,#N/A,TRUE,"Other costs";#N/A,#N/A,TRUE,"MKTG and G&amp;A"}</definedName>
    <definedName name="hgf" hidden="1">{#N/A,#N/A,TRUE,"Proposal";#N/A,#N/A,TRUE,"Assumptions";#N/A,#N/A,TRUE,"Net Income";#N/A,#N/A,TRUE,"Balsheet";#N/A,#N/A,TRUE,"Capex";#N/A,#N/A,TRUE,"Volumes";#N/A,#N/A,TRUE,"Revenues";#N/A,#N/A,TRUE,"Var.Costs";#N/A,#N/A,TRUE,"Personnel";#N/A,#N/A,TRUE,"Other costs";#N/A,#N/A,TRUE,"MKTG and G&amp;A"}</definedName>
    <definedName name="hgfs" localSheetId="3" hidden="1">{"NOPCAPEVA",#N/A,FALSE,"Nopat";"FCFCSTAR",#N/A,FALSE,"FCFVAL";"EVAVL",#N/A,FALSE,"EVAVAL";"LEASE",#N/A,FALSE,"OpLease"}</definedName>
    <definedName name="hgfs" localSheetId="5" hidden="1">{"NOPCAPEVA",#N/A,FALSE,"Nopat";"FCFCSTAR",#N/A,FALSE,"FCFVAL";"EVAVL",#N/A,FALSE,"EVAVAL";"LEASE",#N/A,FALSE,"OpLease"}</definedName>
    <definedName name="hgfs" localSheetId="8" hidden="1">{"NOPCAPEVA",#N/A,FALSE,"Nopat";"FCFCSTAR",#N/A,FALSE,"FCFVAL";"EVAVL",#N/A,FALSE,"EVAVAL";"LEASE",#N/A,FALSE,"OpLease"}</definedName>
    <definedName name="hgfs" localSheetId="10" hidden="1">{"NOPCAPEVA",#N/A,FALSE,"Nopat";"FCFCSTAR",#N/A,FALSE,"FCFVAL";"EVAVL",#N/A,FALSE,"EVAVAL";"LEASE",#N/A,FALSE,"OpLease"}</definedName>
    <definedName name="hgfs" localSheetId="12" hidden="1">{"NOPCAPEVA",#N/A,FALSE,"Nopat";"FCFCSTAR",#N/A,FALSE,"FCFVAL";"EVAVL",#N/A,FALSE,"EVAVAL";"LEASE",#N/A,FALSE,"OpLease"}</definedName>
    <definedName name="hgfs" localSheetId="14" hidden="1">{"NOPCAPEVA",#N/A,FALSE,"Nopat";"FCFCSTAR",#N/A,FALSE,"FCFVAL";"EVAVL",#N/A,FALSE,"EVAVAL";"LEASE",#N/A,FALSE,"OpLease"}</definedName>
    <definedName name="hgfs" localSheetId="16" hidden="1">{"NOPCAPEVA",#N/A,FALSE,"Nopat";"FCFCSTAR",#N/A,FALSE,"FCFVAL";"EVAVL",#N/A,FALSE,"EVAVAL";"LEASE",#N/A,FALSE,"OpLease"}</definedName>
    <definedName name="hgfs" localSheetId="22" hidden="1">{"NOPCAPEVA",#N/A,FALSE,"Nopat";"FCFCSTAR",#N/A,FALSE,"FCFVAL";"EVAVL",#N/A,FALSE,"EVAVAL";"LEASE",#N/A,FALSE,"OpLease"}</definedName>
    <definedName name="hgfs" localSheetId="24" hidden="1">{"NOPCAPEVA",#N/A,FALSE,"Nopat";"FCFCSTAR",#N/A,FALSE,"FCFVAL";"EVAVL",#N/A,FALSE,"EVAVAL";"LEASE",#N/A,FALSE,"OpLease"}</definedName>
    <definedName name="hgfs" localSheetId="26" hidden="1">{"NOPCAPEVA",#N/A,FALSE,"Nopat";"FCFCSTAR",#N/A,FALSE,"FCFVAL";"EVAVL",#N/A,FALSE,"EVAVAL";"LEASE",#N/A,FALSE,"OpLease"}</definedName>
    <definedName name="hgfs" localSheetId="28" hidden="1">{"NOPCAPEVA",#N/A,FALSE,"Nopat";"FCFCSTAR",#N/A,FALSE,"FCFVAL";"EVAVL",#N/A,FALSE,"EVAVAL";"LEASE",#N/A,FALSE,"OpLease"}</definedName>
    <definedName name="hgfs" localSheetId="30" hidden="1">{"NOPCAPEVA",#N/A,FALSE,"Nopat";"FCFCSTAR",#N/A,FALSE,"FCFVAL";"EVAVL",#N/A,FALSE,"EVAVAL";"LEASE",#N/A,FALSE,"OpLease"}</definedName>
    <definedName name="hgfs" localSheetId="32" hidden="1">{"NOPCAPEVA",#N/A,FALSE,"Nopat";"FCFCSTAR",#N/A,FALSE,"FCFVAL";"EVAVL",#N/A,FALSE,"EVAVAL";"LEASE",#N/A,FALSE,"OpLease"}</definedName>
    <definedName name="hgfs" localSheetId="34" hidden="1">{"NOPCAPEVA",#N/A,FALSE,"Nopat";"FCFCSTAR",#N/A,FALSE,"FCFVAL";"EVAVL",#N/A,FALSE,"EVAVAL";"LEASE",#N/A,FALSE,"OpLease"}</definedName>
    <definedName name="hgfs" localSheetId="36" hidden="1">{"NOPCAPEVA",#N/A,FALSE,"Nopat";"FCFCSTAR",#N/A,FALSE,"FCFVAL";"EVAVL",#N/A,FALSE,"EVAVAL";"LEASE",#N/A,FALSE,"OpLease"}</definedName>
    <definedName name="hgfs" localSheetId="38" hidden="1">{"NOPCAPEVA",#N/A,FALSE,"Nopat";"FCFCSTAR",#N/A,FALSE,"FCFVAL";"EVAVL",#N/A,FALSE,"EVAVAL";"LEASE",#N/A,FALSE,"OpLease"}</definedName>
    <definedName name="hgfs" hidden="1">{"NOPCAPEVA",#N/A,FALSE,"Nopat";"FCFCSTAR",#N/A,FALSE,"FCFVAL";"EVAVL",#N/A,FALSE,"EVAVAL";"LEASE",#N/A,FALSE,"OpLease"}</definedName>
    <definedName name="hghghg" localSheetId="3" hidden="1">{#N/A,#N/A,TRUE,"Main Issues";#N/A,#N/A,TRUE,"Income statement ($)"}</definedName>
    <definedName name="hghghg" localSheetId="5" hidden="1">{#N/A,#N/A,TRUE,"Main Issues";#N/A,#N/A,TRUE,"Income statement ($)"}</definedName>
    <definedName name="hghghg" localSheetId="8" hidden="1">{#N/A,#N/A,TRUE,"Main Issues";#N/A,#N/A,TRUE,"Income statement ($)"}</definedName>
    <definedName name="hghghg" localSheetId="10" hidden="1">{#N/A,#N/A,TRUE,"Main Issues";#N/A,#N/A,TRUE,"Income statement ($)"}</definedName>
    <definedName name="hghghg" localSheetId="12" hidden="1">{#N/A,#N/A,TRUE,"Main Issues";#N/A,#N/A,TRUE,"Income statement ($)"}</definedName>
    <definedName name="hghghg" localSheetId="14" hidden="1">{#N/A,#N/A,TRUE,"Main Issues";#N/A,#N/A,TRUE,"Income statement ($)"}</definedName>
    <definedName name="hghghg" localSheetId="16" hidden="1">{#N/A,#N/A,TRUE,"Main Issues";#N/A,#N/A,TRUE,"Income statement ($)"}</definedName>
    <definedName name="hghghg" localSheetId="22" hidden="1">{#N/A,#N/A,TRUE,"Main Issues";#N/A,#N/A,TRUE,"Income statement ($)"}</definedName>
    <definedName name="hghghg" localSheetId="24" hidden="1">{#N/A,#N/A,TRUE,"Main Issues";#N/A,#N/A,TRUE,"Income statement ($)"}</definedName>
    <definedName name="hghghg" localSheetId="26" hidden="1">{#N/A,#N/A,TRUE,"Main Issues";#N/A,#N/A,TRUE,"Income statement ($)"}</definedName>
    <definedName name="hghghg" localSheetId="28" hidden="1">{#N/A,#N/A,TRUE,"Main Issues";#N/A,#N/A,TRUE,"Income statement ($)"}</definedName>
    <definedName name="hghghg" localSheetId="30" hidden="1">{#N/A,#N/A,TRUE,"Main Issues";#N/A,#N/A,TRUE,"Income statement ($)"}</definedName>
    <definedName name="hghghg" localSheetId="32" hidden="1">{#N/A,#N/A,TRUE,"Main Issues";#N/A,#N/A,TRUE,"Income statement ($)"}</definedName>
    <definedName name="hghghg" localSheetId="34" hidden="1">{#N/A,#N/A,TRUE,"Main Issues";#N/A,#N/A,TRUE,"Income statement ($)"}</definedName>
    <definedName name="hghghg" localSheetId="36" hidden="1">{#N/A,#N/A,TRUE,"Main Issues";#N/A,#N/A,TRUE,"Income statement ($)"}</definedName>
    <definedName name="hghghg" localSheetId="38" hidden="1">{#N/A,#N/A,TRUE,"Main Issues";#N/A,#N/A,TRUE,"Income statement ($)"}</definedName>
    <definedName name="hghghg" hidden="1">{#N/A,#N/A,TRUE,"Main Issues";#N/A,#N/A,TRUE,"Income statement ($)"}</definedName>
    <definedName name="hgr" localSheetId="3" hidden="1">{"NOPCAPEVA",#N/A,FALSE,"Nopat";"FCFCSTAR",#N/A,FALSE,"FCFVAL";"EVAVL",#N/A,FALSE,"EVAVAL";"LEASE",#N/A,FALSE,"OpLease"}</definedName>
    <definedName name="hgr" localSheetId="5" hidden="1">{"NOPCAPEVA",#N/A,FALSE,"Nopat";"FCFCSTAR",#N/A,FALSE,"FCFVAL";"EVAVL",#N/A,FALSE,"EVAVAL";"LEASE",#N/A,FALSE,"OpLease"}</definedName>
    <definedName name="hgr" localSheetId="8" hidden="1">{"NOPCAPEVA",#N/A,FALSE,"Nopat";"FCFCSTAR",#N/A,FALSE,"FCFVAL";"EVAVL",#N/A,FALSE,"EVAVAL";"LEASE",#N/A,FALSE,"OpLease"}</definedName>
    <definedName name="hgr" localSheetId="10" hidden="1">{"NOPCAPEVA",#N/A,FALSE,"Nopat";"FCFCSTAR",#N/A,FALSE,"FCFVAL";"EVAVL",#N/A,FALSE,"EVAVAL";"LEASE",#N/A,FALSE,"OpLease"}</definedName>
    <definedName name="hgr" localSheetId="12" hidden="1">{"NOPCAPEVA",#N/A,FALSE,"Nopat";"FCFCSTAR",#N/A,FALSE,"FCFVAL";"EVAVL",#N/A,FALSE,"EVAVAL";"LEASE",#N/A,FALSE,"OpLease"}</definedName>
    <definedName name="hgr" localSheetId="14" hidden="1">{"NOPCAPEVA",#N/A,FALSE,"Nopat";"FCFCSTAR",#N/A,FALSE,"FCFVAL";"EVAVL",#N/A,FALSE,"EVAVAL";"LEASE",#N/A,FALSE,"OpLease"}</definedName>
    <definedName name="hgr" localSheetId="16" hidden="1">{"NOPCAPEVA",#N/A,FALSE,"Nopat";"FCFCSTAR",#N/A,FALSE,"FCFVAL";"EVAVL",#N/A,FALSE,"EVAVAL";"LEASE",#N/A,FALSE,"OpLease"}</definedName>
    <definedName name="hgr" localSheetId="22" hidden="1">{"NOPCAPEVA",#N/A,FALSE,"Nopat";"FCFCSTAR",#N/A,FALSE,"FCFVAL";"EVAVL",#N/A,FALSE,"EVAVAL";"LEASE",#N/A,FALSE,"OpLease"}</definedName>
    <definedName name="hgr" localSheetId="24" hidden="1">{"NOPCAPEVA",#N/A,FALSE,"Nopat";"FCFCSTAR",#N/A,FALSE,"FCFVAL";"EVAVL",#N/A,FALSE,"EVAVAL";"LEASE",#N/A,FALSE,"OpLease"}</definedName>
    <definedName name="hgr" localSheetId="26" hidden="1">{"NOPCAPEVA",#N/A,FALSE,"Nopat";"FCFCSTAR",#N/A,FALSE,"FCFVAL";"EVAVL",#N/A,FALSE,"EVAVAL";"LEASE",#N/A,FALSE,"OpLease"}</definedName>
    <definedName name="hgr" localSheetId="28" hidden="1">{"NOPCAPEVA",#N/A,FALSE,"Nopat";"FCFCSTAR",#N/A,FALSE,"FCFVAL";"EVAVL",#N/A,FALSE,"EVAVAL";"LEASE",#N/A,FALSE,"OpLease"}</definedName>
    <definedName name="hgr" localSheetId="30" hidden="1">{"NOPCAPEVA",#N/A,FALSE,"Nopat";"FCFCSTAR",#N/A,FALSE,"FCFVAL";"EVAVL",#N/A,FALSE,"EVAVAL";"LEASE",#N/A,FALSE,"OpLease"}</definedName>
    <definedName name="hgr" localSheetId="32" hidden="1">{"NOPCAPEVA",#N/A,FALSE,"Nopat";"FCFCSTAR",#N/A,FALSE,"FCFVAL";"EVAVL",#N/A,FALSE,"EVAVAL";"LEASE",#N/A,FALSE,"OpLease"}</definedName>
    <definedName name="hgr" localSheetId="34" hidden="1">{"NOPCAPEVA",#N/A,FALSE,"Nopat";"FCFCSTAR",#N/A,FALSE,"FCFVAL";"EVAVL",#N/A,FALSE,"EVAVAL";"LEASE",#N/A,FALSE,"OpLease"}</definedName>
    <definedName name="hgr" localSheetId="36" hidden="1">{"NOPCAPEVA",#N/A,FALSE,"Nopat";"FCFCSTAR",#N/A,FALSE,"FCFVAL";"EVAVL",#N/A,FALSE,"EVAVAL";"LEASE",#N/A,FALSE,"OpLease"}</definedName>
    <definedName name="hgr" localSheetId="38" hidden="1">{"NOPCAPEVA",#N/A,FALSE,"Nopat";"FCFCSTAR",#N/A,FALSE,"FCFVAL";"EVAVL",#N/A,FALSE,"EVAVAL";"LEASE",#N/A,FALSE,"OpLease"}</definedName>
    <definedName name="hgr" hidden="1">{"NOPCAPEVA",#N/A,FALSE,"Nopat";"FCFCSTAR",#N/A,FALSE,"FCFVAL";"EVAVL",#N/A,FALSE,"EVAVAL";"LEASE",#N/A,FALSE,"OpLease"}</definedName>
    <definedName name="hgre" localSheetId="3" hidden="1">{"AnnInc",#N/A,TRUE,"Inc";"QtrInc1",#N/A,TRUE,"Inc";"Balance",#N/A,TRUE,"Bal";"Cflow",#N/A,TRUE,"Cash"}</definedName>
    <definedName name="hgre" localSheetId="5" hidden="1">{"AnnInc",#N/A,TRUE,"Inc";"QtrInc1",#N/A,TRUE,"Inc";"Balance",#N/A,TRUE,"Bal";"Cflow",#N/A,TRUE,"Cash"}</definedName>
    <definedName name="hgre" localSheetId="8" hidden="1">{"AnnInc",#N/A,TRUE,"Inc";"QtrInc1",#N/A,TRUE,"Inc";"Balance",#N/A,TRUE,"Bal";"Cflow",#N/A,TRUE,"Cash"}</definedName>
    <definedName name="hgre" localSheetId="10" hidden="1">{"AnnInc",#N/A,TRUE,"Inc";"QtrInc1",#N/A,TRUE,"Inc";"Balance",#N/A,TRUE,"Bal";"Cflow",#N/A,TRUE,"Cash"}</definedName>
    <definedName name="hgre" localSheetId="12" hidden="1">{"AnnInc",#N/A,TRUE,"Inc";"QtrInc1",#N/A,TRUE,"Inc";"Balance",#N/A,TRUE,"Bal";"Cflow",#N/A,TRUE,"Cash"}</definedName>
    <definedName name="hgre" localSheetId="14" hidden="1">{"AnnInc",#N/A,TRUE,"Inc";"QtrInc1",#N/A,TRUE,"Inc";"Balance",#N/A,TRUE,"Bal";"Cflow",#N/A,TRUE,"Cash"}</definedName>
    <definedName name="hgre" localSheetId="16" hidden="1">{"AnnInc",#N/A,TRUE,"Inc";"QtrInc1",#N/A,TRUE,"Inc";"Balance",#N/A,TRUE,"Bal";"Cflow",#N/A,TRUE,"Cash"}</definedName>
    <definedName name="hgre" localSheetId="22" hidden="1">{"AnnInc",#N/A,TRUE,"Inc";"QtrInc1",#N/A,TRUE,"Inc";"Balance",#N/A,TRUE,"Bal";"Cflow",#N/A,TRUE,"Cash"}</definedName>
    <definedName name="hgre" localSheetId="24" hidden="1">{"AnnInc",#N/A,TRUE,"Inc";"QtrInc1",#N/A,TRUE,"Inc";"Balance",#N/A,TRUE,"Bal";"Cflow",#N/A,TRUE,"Cash"}</definedName>
    <definedName name="hgre" localSheetId="26" hidden="1">{"AnnInc",#N/A,TRUE,"Inc";"QtrInc1",#N/A,TRUE,"Inc";"Balance",#N/A,TRUE,"Bal";"Cflow",#N/A,TRUE,"Cash"}</definedName>
    <definedName name="hgre" localSheetId="28" hidden="1">{"AnnInc",#N/A,TRUE,"Inc";"QtrInc1",#N/A,TRUE,"Inc";"Balance",#N/A,TRUE,"Bal";"Cflow",#N/A,TRUE,"Cash"}</definedName>
    <definedName name="hgre" localSheetId="30" hidden="1">{"AnnInc",#N/A,TRUE,"Inc";"QtrInc1",#N/A,TRUE,"Inc";"Balance",#N/A,TRUE,"Bal";"Cflow",#N/A,TRUE,"Cash"}</definedName>
    <definedName name="hgre" localSheetId="32" hidden="1">{"AnnInc",#N/A,TRUE,"Inc";"QtrInc1",#N/A,TRUE,"Inc";"Balance",#N/A,TRUE,"Bal";"Cflow",#N/A,TRUE,"Cash"}</definedName>
    <definedName name="hgre" localSheetId="34" hidden="1">{"AnnInc",#N/A,TRUE,"Inc";"QtrInc1",#N/A,TRUE,"Inc";"Balance",#N/A,TRUE,"Bal";"Cflow",#N/A,TRUE,"Cash"}</definedName>
    <definedName name="hgre" localSheetId="36" hidden="1">{"AnnInc",#N/A,TRUE,"Inc";"QtrInc1",#N/A,TRUE,"Inc";"Balance",#N/A,TRUE,"Bal";"Cflow",#N/A,TRUE,"Cash"}</definedName>
    <definedName name="hgre" localSheetId="38" hidden="1">{"AnnInc",#N/A,TRUE,"Inc";"QtrInc1",#N/A,TRUE,"Inc";"Balance",#N/A,TRUE,"Bal";"Cflow",#N/A,TRUE,"Cash"}</definedName>
    <definedName name="hgre" hidden="1">{"AnnInc",#N/A,TRUE,"Inc";"QtrInc1",#N/A,TRUE,"Inc";"Balance",#N/A,TRUE,"Bal";"Cflow",#N/A,TRUE,"Cash"}</definedName>
    <definedName name="hh" localSheetId="3" hidden="1">{#N/A,#N/A,FALSE,"MAIN";#N/A,#N/A,FALSE,"MK_ASS_B";#N/A,#N/A,FALSE,"MK_ASS_R";#N/A,#N/A,FALSE,"TR_ASS_B";#N/A,#N/A,FALSE,"TR_ASS_R";#N/A,#N/A,FALSE,"ROAMING";#N/A,#N/A,FALSE,"PR_ASS_B";#N/A,#N/A,FALSE,"PR_ASS_R";#N/A,#N/A,FALSE,"PR_ASS_S"}</definedName>
    <definedName name="hh" localSheetId="5" hidden="1">{#N/A,#N/A,FALSE,"MAIN";#N/A,#N/A,FALSE,"MK_ASS_B";#N/A,#N/A,FALSE,"MK_ASS_R";#N/A,#N/A,FALSE,"TR_ASS_B";#N/A,#N/A,FALSE,"TR_ASS_R";#N/A,#N/A,FALSE,"ROAMING";#N/A,#N/A,FALSE,"PR_ASS_B";#N/A,#N/A,FALSE,"PR_ASS_R";#N/A,#N/A,FALSE,"PR_ASS_S"}</definedName>
    <definedName name="hh" localSheetId="8" hidden="1">{#N/A,#N/A,FALSE,"MAIN";#N/A,#N/A,FALSE,"MK_ASS_B";#N/A,#N/A,FALSE,"MK_ASS_R";#N/A,#N/A,FALSE,"TR_ASS_B";#N/A,#N/A,FALSE,"TR_ASS_R";#N/A,#N/A,FALSE,"ROAMING";#N/A,#N/A,FALSE,"PR_ASS_B";#N/A,#N/A,FALSE,"PR_ASS_R";#N/A,#N/A,FALSE,"PR_ASS_S"}</definedName>
    <definedName name="hh" localSheetId="10" hidden="1">{#N/A,#N/A,FALSE,"MAIN";#N/A,#N/A,FALSE,"MK_ASS_B";#N/A,#N/A,FALSE,"MK_ASS_R";#N/A,#N/A,FALSE,"TR_ASS_B";#N/A,#N/A,FALSE,"TR_ASS_R";#N/A,#N/A,FALSE,"ROAMING";#N/A,#N/A,FALSE,"PR_ASS_B";#N/A,#N/A,FALSE,"PR_ASS_R";#N/A,#N/A,FALSE,"PR_ASS_S"}</definedName>
    <definedName name="hh" localSheetId="12" hidden="1">{#N/A,#N/A,FALSE,"MAIN";#N/A,#N/A,FALSE,"MK_ASS_B";#N/A,#N/A,FALSE,"MK_ASS_R";#N/A,#N/A,FALSE,"TR_ASS_B";#N/A,#N/A,FALSE,"TR_ASS_R";#N/A,#N/A,FALSE,"ROAMING";#N/A,#N/A,FALSE,"PR_ASS_B";#N/A,#N/A,FALSE,"PR_ASS_R";#N/A,#N/A,FALSE,"PR_ASS_S"}</definedName>
    <definedName name="hh" localSheetId="14" hidden="1">{#N/A,#N/A,FALSE,"MAIN";#N/A,#N/A,FALSE,"MK_ASS_B";#N/A,#N/A,FALSE,"MK_ASS_R";#N/A,#N/A,FALSE,"TR_ASS_B";#N/A,#N/A,FALSE,"TR_ASS_R";#N/A,#N/A,FALSE,"ROAMING";#N/A,#N/A,FALSE,"PR_ASS_B";#N/A,#N/A,FALSE,"PR_ASS_R";#N/A,#N/A,FALSE,"PR_ASS_S"}</definedName>
    <definedName name="hh" localSheetId="16" hidden="1">{#N/A,#N/A,FALSE,"MAIN";#N/A,#N/A,FALSE,"MK_ASS_B";#N/A,#N/A,FALSE,"MK_ASS_R";#N/A,#N/A,FALSE,"TR_ASS_B";#N/A,#N/A,FALSE,"TR_ASS_R";#N/A,#N/A,FALSE,"ROAMING";#N/A,#N/A,FALSE,"PR_ASS_B";#N/A,#N/A,FALSE,"PR_ASS_R";#N/A,#N/A,FALSE,"PR_ASS_S"}</definedName>
    <definedName name="hh" localSheetId="22" hidden="1">{#N/A,#N/A,FALSE,"MAIN";#N/A,#N/A,FALSE,"MK_ASS_B";#N/A,#N/A,FALSE,"MK_ASS_R";#N/A,#N/A,FALSE,"TR_ASS_B";#N/A,#N/A,FALSE,"TR_ASS_R";#N/A,#N/A,FALSE,"ROAMING";#N/A,#N/A,FALSE,"PR_ASS_B";#N/A,#N/A,FALSE,"PR_ASS_R";#N/A,#N/A,FALSE,"PR_ASS_S"}</definedName>
    <definedName name="hh" localSheetId="24" hidden="1">{#N/A,#N/A,FALSE,"MAIN";#N/A,#N/A,FALSE,"MK_ASS_B";#N/A,#N/A,FALSE,"MK_ASS_R";#N/A,#N/A,FALSE,"TR_ASS_B";#N/A,#N/A,FALSE,"TR_ASS_R";#N/A,#N/A,FALSE,"ROAMING";#N/A,#N/A,FALSE,"PR_ASS_B";#N/A,#N/A,FALSE,"PR_ASS_R";#N/A,#N/A,FALSE,"PR_ASS_S"}</definedName>
    <definedName name="hh" localSheetId="26" hidden="1">{#N/A,#N/A,FALSE,"MAIN";#N/A,#N/A,FALSE,"MK_ASS_B";#N/A,#N/A,FALSE,"MK_ASS_R";#N/A,#N/A,FALSE,"TR_ASS_B";#N/A,#N/A,FALSE,"TR_ASS_R";#N/A,#N/A,FALSE,"ROAMING";#N/A,#N/A,FALSE,"PR_ASS_B";#N/A,#N/A,FALSE,"PR_ASS_R";#N/A,#N/A,FALSE,"PR_ASS_S"}</definedName>
    <definedName name="hh" localSheetId="28" hidden="1">{#N/A,#N/A,FALSE,"MAIN";#N/A,#N/A,FALSE,"MK_ASS_B";#N/A,#N/A,FALSE,"MK_ASS_R";#N/A,#N/A,FALSE,"TR_ASS_B";#N/A,#N/A,FALSE,"TR_ASS_R";#N/A,#N/A,FALSE,"ROAMING";#N/A,#N/A,FALSE,"PR_ASS_B";#N/A,#N/A,FALSE,"PR_ASS_R";#N/A,#N/A,FALSE,"PR_ASS_S"}</definedName>
    <definedName name="hh" localSheetId="30" hidden="1">{#N/A,#N/A,FALSE,"MAIN";#N/A,#N/A,FALSE,"MK_ASS_B";#N/A,#N/A,FALSE,"MK_ASS_R";#N/A,#N/A,FALSE,"TR_ASS_B";#N/A,#N/A,FALSE,"TR_ASS_R";#N/A,#N/A,FALSE,"ROAMING";#N/A,#N/A,FALSE,"PR_ASS_B";#N/A,#N/A,FALSE,"PR_ASS_R";#N/A,#N/A,FALSE,"PR_ASS_S"}</definedName>
    <definedName name="hh" localSheetId="32" hidden="1">{#N/A,#N/A,FALSE,"MAIN";#N/A,#N/A,FALSE,"MK_ASS_B";#N/A,#N/A,FALSE,"MK_ASS_R";#N/A,#N/A,FALSE,"TR_ASS_B";#N/A,#N/A,FALSE,"TR_ASS_R";#N/A,#N/A,FALSE,"ROAMING";#N/A,#N/A,FALSE,"PR_ASS_B";#N/A,#N/A,FALSE,"PR_ASS_R";#N/A,#N/A,FALSE,"PR_ASS_S"}</definedName>
    <definedName name="hh" localSheetId="34" hidden="1">{#N/A,#N/A,FALSE,"MAIN";#N/A,#N/A,FALSE,"MK_ASS_B";#N/A,#N/A,FALSE,"MK_ASS_R";#N/A,#N/A,FALSE,"TR_ASS_B";#N/A,#N/A,FALSE,"TR_ASS_R";#N/A,#N/A,FALSE,"ROAMING";#N/A,#N/A,FALSE,"PR_ASS_B";#N/A,#N/A,FALSE,"PR_ASS_R";#N/A,#N/A,FALSE,"PR_ASS_S"}</definedName>
    <definedName name="hh" localSheetId="36" hidden="1">{#N/A,#N/A,FALSE,"MAIN";#N/A,#N/A,FALSE,"MK_ASS_B";#N/A,#N/A,FALSE,"MK_ASS_R";#N/A,#N/A,FALSE,"TR_ASS_B";#N/A,#N/A,FALSE,"TR_ASS_R";#N/A,#N/A,FALSE,"ROAMING";#N/A,#N/A,FALSE,"PR_ASS_B";#N/A,#N/A,FALSE,"PR_ASS_R";#N/A,#N/A,FALSE,"PR_ASS_S"}</definedName>
    <definedName name="hh" localSheetId="38" hidden="1">{#N/A,#N/A,FALSE,"MAIN";#N/A,#N/A,FALSE,"MK_ASS_B";#N/A,#N/A,FALSE,"MK_ASS_R";#N/A,#N/A,FALSE,"TR_ASS_B";#N/A,#N/A,FALSE,"TR_ASS_R";#N/A,#N/A,FALSE,"ROAMING";#N/A,#N/A,FALSE,"PR_ASS_B";#N/A,#N/A,FALSE,"PR_ASS_R";#N/A,#N/A,FALSE,"PR_ASS_S"}</definedName>
    <definedName name="hh" hidden="1">{#N/A,#N/A,FALSE,"MAIN";#N/A,#N/A,FALSE,"MK_ASS_B";#N/A,#N/A,FALSE,"MK_ASS_R";#N/A,#N/A,FALSE,"TR_ASS_B";#N/A,#N/A,FALSE,"TR_ASS_R";#N/A,#N/A,FALSE,"ROAMING";#N/A,#N/A,FALSE,"PR_ASS_B";#N/A,#N/A,FALSE,"PR_ASS_R";#N/A,#N/A,FALSE,"PR_ASS_S"}</definedName>
    <definedName name="hhh" localSheetId="3" hidden="1">{#N/A,#N/A,FALSE,"asset plan";#N/A,#N/A,FALSE,"Mgmt Report";#N/A,#N/A,FALSE,"sensitivities (2)";#N/A,#N/A,FALSE,"sensitivities";#N/A,#N/A,FALSE,"let up 10  Mort";#N/A,#N/A,FALSE,"let up 12 Mort";#N/A,#N/A,FALSE,"Capex";#N/A,#N/A,FALSE,"Capex Cashflow (2)";#N/A,#N/A,FALSE,"Capex Cashflow (3)";#N/A,#N/A,FALSE,"House View";#N/A,#N/A,FALSE,"kpi"}</definedName>
    <definedName name="hhh" localSheetId="5" hidden="1">{#N/A,#N/A,FALSE,"asset plan";#N/A,#N/A,FALSE,"Mgmt Report";#N/A,#N/A,FALSE,"sensitivities (2)";#N/A,#N/A,FALSE,"sensitivities";#N/A,#N/A,FALSE,"let up 10  Mort";#N/A,#N/A,FALSE,"let up 12 Mort";#N/A,#N/A,FALSE,"Capex";#N/A,#N/A,FALSE,"Capex Cashflow (2)";#N/A,#N/A,FALSE,"Capex Cashflow (3)";#N/A,#N/A,FALSE,"House View";#N/A,#N/A,FALSE,"kpi"}</definedName>
    <definedName name="hhh" localSheetId="8" hidden="1">{#N/A,#N/A,FALSE,"asset plan";#N/A,#N/A,FALSE,"Mgmt Report";#N/A,#N/A,FALSE,"sensitivities (2)";#N/A,#N/A,FALSE,"sensitivities";#N/A,#N/A,FALSE,"let up 10  Mort";#N/A,#N/A,FALSE,"let up 12 Mort";#N/A,#N/A,FALSE,"Capex";#N/A,#N/A,FALSE,"Capex Cashflow (2)";#N/A,#N/A,FALSE,"Capex Cashflow (3)";#N/A,#N/A,FALSE,"House View";#N/A,#N/A,FALSE,"kpi"}</definedName>
    <definedName name="hhh" localSheetId="10" hidden="1">{#N/A,#N/A,FALSE,"asset plan";#N/A,#N/A,FALSE,"Mgmt Report";#N/A,#N/A,FALSE,"sensitivities (2)";#N/A,#N/A,FALSE,"sensitivities";#N/A,#N/A,FALSE,"let up 10  Mort";#N/A,#N/A,FALSE,"let up 12 Mort";#N/A,#N/A,FALSE,"Capex";#N/A,#N/A,FALSE,"Capex Cashflow (2)";#N/A,#N/A,FALSE,"Capex Cashflow (3)";#N/A,#N/A,FALSE,"House View";#N/A,#N/A,FALSE,"kpi"}</definedName>
    <definedName name="hhh" localSheetId="12" hidden="1">{#N/A,#N/A,FALSE,"asset plan";#N/A,#N/A,FALSE,"Mgmt Report";#N/A,#N/A,FALSE,"sensitivities (2)";#N/A,#N/A,FALSE,"sensitivities";#N/A,#N/A,FALSE,"let up 10  Mort";#N/A,#N/A,FALSE,"let up 12 Mort";#N/A,#N/A,FALSE,"Capex";#N/A,#N/A,FALSE,"Capex Cashflow (2)";#N/A,#N/A,FALSE,"Capex Cashflow (3)";#N/A,#N/A,FALSE,"House View";#N/A,#N/A,FALSE,"kpi"}</definedName>
    <definedName name="hhh" localSheetId="14" hidden="1">{#N/A,#N/A,FALSE,"asset plan";#N/A,#N/A,FALSE,"Mgmt Report";#N/A,#N/A,FALSE,"sensitivities (2)";#N/A,#N/A,FALSE,"sensitivities";#N/A,#N/A,FALSE,"let up 10  Mort";#N/A,#N/A,FALSE,"let up 12 Mort";#N/A,#N/A,FALSE,"Capex";#N/A,#N/A,FALSE,"Capex Cashflow (2)";#N/A,#N/A,FALSE,"Capex Cashflow (3)";#N/A,#N/A,FALSE,"House View";#N/A,#N/A,FALSE,"kpi"}</definedName>
    <definedName name="hhh" localSheetId="16" hidden="1">{#N/A,#N/A,FALSE,"asset plan";#N/A,#N/A,FALSE,"Mgmt Report";#N/A,#N/A,FALSE,"sensitivities (2)";#N/A,#N/A,FALSE,"sensitivities";#N/A,#N/A,FALSE,"let up 10  Mort";#N/A,#N/A,FALSE,"let up 12 Mort";#N/A,#N/A,FALSE,"Capex";#N/A,#N/A,FALSE,"Capex Cashflow (2)";#N/A,#N/A,FALSE,"Capex Cashflow (3)";#N/A,#N/A,FALSE,"House View";#N/A,#N/A,FALSE,"kpi"}</definedName>
    <definedName name="hhh" localSheetId="22" hidden="1">{#N/A,#N/A,FALSE,"asset plan";#N/A,#N/A,FALSE,"Mgmt Report";#N/A,#N/A,FALSE,"sensitivities (2)";#N/A,#N/A,FALSE,"sensitivities";#N/A,#N/A,FALSE,"let up 10  Mort";#N/A,#N/A,FALSE,"let up 12 Mort";#N/A,#N/A,FALSE,"Capex";#N/A,#N/A,FALSE,"Capex Cashflow (2)";#N/A,#N/A,FALSE,"Capex Cashflow (3)";#N/A,#N/A,FALSE,"House View";#N/A,#N/A,FALSE,"kpi"}</definedName>
    <definedName name="hhh" localSheetId="40" hidden="1">{#N/A,#N/A,FALSE,"asset plan";#N/A,#N/A,FALSE,"Mgmt Report";#N/A,#N/A,FALSE,"sensitivities (2)";#N/A,#N/A,FALSE,"sensitivities";#N/A,#N/A,FALSE,"let up 10  Mort";#N/A,#N/A,FALSE,"let up 12 Mort";#N/A,#N/A,FALSE,"Capex";#N/A,#N/A,FALSE,"Capex Cashflow (2)";#N/A,#N/A,FALSE,"Capex Cashflow (3)";#N/A,#N/A,FALSE,"House View";#N/A,#N/A,FALSE,"kpi"}</definedName>
    <definedName name="hhh" localSheetId="24" hidden="1">{#N/A,#N/A,FALSE,"asset plan";#N/A,#N/A,FALSE,"Mgmt Report";#N/A,#N/A,FALSE,"sensitivities (2)";#N/A,#N/A,FALSE,"sensitivities";#N/A,#N/A,FALSE,"let up 10  Mort";#N/A,#N/A,FALSE,"let up 12 Mort";#N/A,#N/A,FALSE,"Capex";#N/A,#N/A,FALSE,"Capex Cashflow (2)";#N/A,#N/A,FALSE,"Capex Cashflow (3)";#N/A,#N/A,FALSE,"House View";#N/A,#N/A,FALSE,"kpi"}</definedName>
    <definedName name="hhh" localSheetId="26" hidden="1">{#N/A,#N/A,FALSE,"asset plan";#N/A,#N/A,FALSE,"Mgmt Report";#N/A,#N/A,FALSE,"sensitivities (2)";#N/A,#N/A,FALSE,"sensitivities";#N/A,#N/A,FALSE,"let up 10  Mort";#N/A,#N/A,FALSE,"let up 12 Mort";#N/A,#N/A,FALSE,"Capex";#N/A,#N/A,FALSE,"Capex Cashflow (2)";#N/A,#N/A,FALSE,"Capex Cashflow (3)";#N/A,#N/A,FALSE,"House View";#N/A,#N/A,FALSE,"kpi"}</definedName>
    <definedName name="hhh" localSheetId="28" hidden="1">{#N/A,#N/A,FALSE,"asset plan";#N/A,#N/A,FALSE,"Mgmt Report";#N/A,#N/A,FALSE,"sensitivities (2)";#N/A,#N/A,FALSE,"sensitivities";#N/A,#N/A,FALSE,"let up 10  Mort";#N/A,#N/A,FALSE,"let up 12 Mort";#N/A,#N/A,FALSE,"Capex";#N/A,#N/A,FALSE,"Capex Cashflow (2)";#N/A,#N/A,FALSE,"Capex Cashflow (3)";#N/A,#N/A,FALSE,"House View";#N/A,#N/A,FALSE,"kpi"}</definedName>
    <definedName name="hhh" localSheetId="30" hidden="1">{#N/A,#N/A,FALSE,"asset plan";#N/A,#N/A,FALSE,"Mgmt Report";#N/A,#N/A,FALSE,"sensitivities (2)";#N/A,#N/A,FALSE,"sensitivities";#N/A,#N/A,FALSE,"let up 10  Mort";#N/A,#N/A,FALSE,"let up 12 Mort";#N/A,#N/A,FALSE,"Capex";#N/A,#N/A,FALSE,"Capex Cashflow (2)";#N/A,#N/A,FALSE,"Capex Cashflow (3)";#N/A,#N/A,FALSE,"House View";#N/A,#N/A,FALSE,"kpi"}</definedName>
    <definedName name="hhh" localSheetId="32" hidden="1">{#N/A,#N/A,FALSE,"asset plan";#N/A,#N/A,FALSE,"Mgmt Report";#N/A,#N/A,FALSE,"sensitivities (2)";#N/A,#N/A,FALSE,"sensitivities";#N/A,#N/A,FALSE,"let up 10  Mort";#N/A,#N/A,FALSE,"let up 12 Mort";#N/A,#N/A,FALSE,"Capex";#N/A,#N/A,FALSE,"Capex Cashflow (2)";#N/A,#N/A,FALSE,"Capex Cashflow (3)";#N/A,#N/A,FALSE,"House View";#N/A,#N/A,FALSE,"kpi"}</definedName>
    <definedName name="hhh" localSheetId="34" hidden="1">{#N/A,#N/A,FALSE,"asset plan";#N/A,#N/A,FALSE,"Mgmt Report";#N/A,#N/A,FALSE,"sensitivities (2)";#N/A,#N/A,FALSE,"sensitivities";#N/A,#N/A,FALSE,"let up 10  Mort";#N/A,#N/A,FALSE,"let up 12 Mort";#N/A,#N/A,FALSE,"Capex";#N/A,#N/A,FALSE,"Capex Cashflow (2)";#N/A,#N/A,FALSE,"Capex Cashflow (3)";#N/A,#N/A,FALSE,"House View";#N/A,#N/A,FALSE,"kpi"}</definedName>
    <definedName name="hhh" localSheetId="36" hidden="1">{#N/A,#N/A,FALSE,"asset plan";#N/A,#N/A,FALSE,"Mgmt Report";#N/A,#N/A,FALSE,"sensitivities (2)";#N/A,#N/A,FALSE,"sensitivities";#N/A,#N/A,FALSE,"let up 10  Mort";#N/A,#N/A,FALSE,"let up 12 Mort";#N/A,#N/A,FALSE,"Capex";#N/A,#N/A,FALSE,"Capex Cashflow (2)";#N/A,#N/A,FALSE,"Capex Cashflow (3)";#N/A,#N/A,FALSE,"House View";#N/A,#N/A,FALSE,"kpi"}</definedName>
    <definedName name="hhh" localSheetId="38" hidden="1">{#N/A,#N/A,FALSE,"asset plan";#N/A,#N/A,FALSE,"Mgmt Report";#N/A,#N/A,FALSE,"sensitivities (2)";#N/A,#N/A,FALSE,"sensitivities";#N/A,#N/A,FALSE,"let up 10  Mort";#N/A,#N/A,FALSE,"let up 12 Mort";#N/A,#N/A,FALSE,"Capex";#N/A,#N/A,FALSE,"Capex Cashflow (2)";#N/A,#N/A,FALSE,"Capex Cashflow (3)";#N/A,#N/A,FALSE,"House View";#N/A,#N/A,FALSE,"kpi"}</definedName>
    <definedName name="hhh" hidden="1">{#N/A,#N/A,FALSE,"asset plan";#N/A,#N/A,FALSE,"Mgmt Report";#N/A,#N/A,FALSE,"sensitivities (2)";#N/A,#N/A,FALSE,"sensitivities";#N/A,#N/A,FALSE,"let up 10  Mort";#N/A,#N/A,FALSE,"let up 12 Mort";#N/A,#N/A,FALSE,"Capex";#N/A,#N/A,FALSE,"Capex Cashflow (2)";#N/A,#N/A,FALSE,"Capex Cashflow (3)";#N/A,#N/A,FALSE,"House View";#N/A,#N/A,FALSE,"kpi"}</definedName>
    <definedName name="hhhhhh" hidden="1">#REF!</definedName>
    <definedName name="HIBOR">#REF!</definedName>
    <definedName name="HiddenRows" hidden="1">#REF!</definedName>
    <definedName name="hjkljh"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h"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h"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h"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h"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h"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h"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h"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h"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h"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h"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h"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h"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h"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h"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h"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h"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tsf" localSheetId="3" hidden="1">{"NOPCAPEVA",#N/A,FALSE,"Nopat";"FCFCSTAR",#N/A,FALSE,"FCFVAL";"EVAVL",#N/A,FALSE,"EVAVAL";"LEASE",#N/A,FALSE,"OpLease"}</definedName>
    <definedName name="hjtsf" localSheetId="5" hidden="1">{"NOPCAPEVA",#N/A,FALSE,"Nopat";"FCFCSTAR",#N/A,FALSE,"FCFVAL";"EVAVL",#N/A,FALSE,"EVAVAL";"LEASE",#N/A,FALSE,"OpLease"}</definedName>
    <definedName name="hjtsf" localSheetId="8" hidden="1">{"NOPCAPEVA",#N/A,FALSE,"Nopat";"FCFCSTAR",#N/A,FALSE,"FCFVAL";"EVAVL",#N/A,FALSE,"EVAVAL";"LEASE",#N/A,FALSE,"OpLease"}</definedName>
    <definedName name="hjtsf" localSheetId="10" hidden="1">{"NOPCAPEVA",#N/A,FALSE,"Nopat";"FCFCSTAR",#N/A,FALSE,"FCFVAL";"EVAVL",#N/A,FALSE,"EVAVAL";"LEASE",#N/A,FALSE,"OpLease"}</definedName>
    <definedName name="hjtsf" localSheetId="12" hidden="1">{"NOPCAPEVA",#N/A,FALSE,"Nopat";"FCFCSTAR",#N/A,FALSE,"FCFVAL";"EVAVL",#N/A,FALSE,"EVAVAL";"LEASE",#N/A,FALSE,"OpLease"}</definedName>
    <definedName name="hjtsf" localSheetId="14" hidden="1">{"NOPCAPEVA",#N/A,FALSE,"Nopat";"FCFCSTAR",#N/A,FALSE,"FCFVAL";"EVAVL",#N/A,FALSE,"EVAVAL";"LEASE",#N/A,FALSE,"OpLease"}</definedName>
    <definedName name="hjtsf" localSheetId="16" hidden="1">{"NOPCAPEVA",#N/A,FALSE,"Nopat";"FCFCSTAR",#N/A,FALSE,"FCFVAL";"EVAVL",#N/A,FALSE,"EVAVAL";"LEASE",#N/A,FALSE,"OpLease"}</definedName>
    <definedName name="hjtsf" localSheetId="22" hidden="1">{"NOPCAPEVA",#N/A,FALSE,"Nopat";"FCFCSTAR",#N/A,FALSE,"FCFVAL";"EVAVL",#N/A,FALSE,"EVAVAL";"LEASE",#N/A,FALSE,"OpLease"}</definedName>
    <definedName name="hjtsf" localSheetId="24" hidden="1">{"NOPCAPEVA",#N/A,FALSE,"Nopat";"FCFCSTAR",#N/A,FALSE,"FCFVAL";"EVAVL",#N/A,FALSE,"EVAVAL";"LEASE",#N/A,FALSE,"OpLease"}</definedName>
    <definedName name="hjtsf" localSheetId="26" hidden="1">{"NOPCAPEVA",#N/A,FALSE,"Nopat";"FCFCSTAR",#N/A,FALSE,"FCFVAL";"EVAVL",#N/A,FALSE,"EVAVAL";"LEASE",#N/A,FALSE,"OpLease"}</definedName>
    <definedName name="hjtsf" localSheetId="28" hidden="1">{"NOPCAPEVA",#N/A,FALSE,"Nopat";"FCFCSTAR",#N/A,FALSE,"FCFVAL";"EVAVL",#N/A,FALSE,"EVAVAL";"LEASE",#N/A,FALSE,"OpLease"}</definedName>
    <definedName name="hjtsf" localSheetId="30" hidden="1">{"NOPCAPEVA",#N/A,FALSE,"Nopat";"FCFCSTAR",#N/A,FALSE,"FCFVAL";"EVAVL",#N/A,FALSE,"EVAVAL";"LEASE",#N/A,FALSE,"OpLease"}</definedName>
    <definedName name="hjtsf" localSheetId="32" hidden="1">{"NOPCAPEVA",#N/A,FALSE,"Nopat";"FCFCSTAR",#N/A,FALSE,"FCFVAL";"EVAVL",#N/A,FALSE,"EVAVAL";"LEASE",#N/A,FALSE,"OpLease"}</definedName>
    <definedName name="hjtsf" localSheetId="34" hidden="1">{"NOPCAPEVA",#N/A,FALSE,"Nopat";"FCFCSTAR",#N/A,FALSE,"FCFVAL";"EVAVL",#N/A,FALSE,"EVAVAL";"LEASE",#N/A,FALSE,"OpLease"}</definedName>
    <definedName name="hjtsf" localSheetId="36" hidden="1">{"NOPCAPEVA",#N/A,FALSE,"Nopat";"FCFCSTAR",#N/A,FALSE,"FCFVAL";"EVAVL",#N/A,FALSE,"EVAVAL";"LEASE",#N/A,FALSE,"OpLease"}</definedName>
    <definedName name="hjtsf" localSheetId="38" hidden="1">{"NOPCAPEVA",#N/A,FALSE,"Nopat";"FCFCSTAR",#N/A,FALSE,"FCFVAL";"EVAVL",#N/A,FALSE,"EVAVAL";"LEASE",#N/A,FALSE,"OpLease"}</definedName>
    <definedName name="hjtsf" hidden="1">{"NOPCAPEVA",#N/A,FALSE,"Nopat";"FCFCSTAR",#N/A,FALSE,"FCFVAL";"EVAVL",#N/A,FALSE,"EVAVAL";"LEASE",#N/A,FALSE,"OpLease"}</definedName>
    <definedName name="hngdh" localSheetId="3" hidden="1">{"NOPCAPEVA",#N/A,FALSE,"Nopat";"FCFCSTAR",#N/A,FALSE,"FCFVAL";"EVAVL",#N/A,FALSE,"EVAVAL";"LEASE",#N/A,FALSE,"OpLease"}</definedName>
    <definedName name="hngdh" localSheetId="5" hidden="1">{"NOPCAPEVA",#N/A,FALSE,"Nopat";"FCFCSTAR",#N/A,FALSE,"FCFVAL";"EVAVL",#N/A,FALSE,"EVAVAL";"LEASE",#N/A,FALSE,"OpLease"}</definedName>
    <definedName name="hngdh" localSheetId="8" hidden="1">{"NOPCAPEVA",#N/A,FALSE,"Nopat";"FCFCSTAR",#N/A,FALSE,"FCFVAL";"EVAVL",#N/A,FALSE,"EVAVAL";"LEASE",#N/A,FALSE,"OpLease"}</definedName>
    <definedName name="hngdh" localSheetId="10" hidden="1">{"NOPCAPEVA",#N/A,FALSE,"Nopat";"FCFCSTAR",#N/A,FALSE,"FCFVAL";"EVAVL",#N/A,FALSE,"EVAVAL";"LEASE",#N/A,FALSE,"OpLease"}</definedName>
    <definedName name="hngdh" localSheetId="12" hidden="1">{"NOPCAPEVA",#N/A,FALSE,"Nopat";"FCFCSTAR",#N/A,FALSE,"FCFVAL";"EVAVL",#N/A,FALSE,"EVAVAL";"LEASE",#N/A,FALSE,"OpLease"}</definedName>
    <definedName name="hngdh" localSheetId="14" hidden="1">{"NOPCAPEVA",#N/A,FALSE,"Nopat";"FCFCSTAR",#N/A,FALSE,"FCFVAL";"EVAVL",#N/A,FALSE,"EVAVAL";"LEASE",#N/A,FALSE,"OpLease"}</definedName>
    <definedName name="hngdh" localSheetId="16" hidden="1">{"NOPCAPEVA",#N/A,FALSE,"Nopat";"FCFCSTAR",#N/A,FALSE,"FCFVAL";"EVAVL",#N/A,FALSE,"EVAVAL";"LEASE",#N/A,FALSE,"OpLease"}</definedName>
    <definedName name="hngdh" localSheetId="22" hidden="1">{"NOPCAPEVA",#N/A,FALSE,"Nopat";"FCFCSTAR",#N/A,FALSE,"FCFVAL";"EVAVL",#N/A,FALSE,"EVAVAL";"LEASE",#N/A,FALSE,"OpLease"}</definedName>
    <definedName name="hngdh" localSheetId="24" hidden="1">{"NOPCAPEVA",#N/A,FALSE,"Nopat";"FCFCSTAR",#N/A,FALSE,"FCFVAL";"EVAVL",#N/A,FALSE,"EVAVAL";"LEASE",#N/A,FALSE,"OpLease"}</definedName>
    <definedName name="hngdh" localSheetId="26" hidden="1">{"NOPCAPEVA",#N/A,FALSE,"Nopat";"FCFCSTAR",#N/A,FALSE,"FCFVAL";"EVAVL",#N/A,FALSE,"EVAVAL";"LEASE",#N/A,FALSE,"OpLease"}</definedName>
    <definedName name="hngdh" localSheetId="28" hidden="1">{"NOPCAPEVA",#N/A,FALSE,"Nopat";"FCFCSTAR",#N/A,FALSE,"FCFVAL";"EVAVL",#N/A,FALSE,"EVAVAL";"LEASE",#N/A,FALSE,"OpLease"}</definedName>
    <definedName name="hngdh" localSheetId="30" hidden="1">{"NOPCAPEVA",#N/A,FALSE,"Nopat";"FCFCSTAR",#N/A,FALSE,"FCFVAL";"EVAVL",#N/A,FALSE,"EVAVAL";"LEASE",#N/A,FALSE,"OpLease"}</definedName>
    <definedName name="hngdh" localSheetId="32" hidden="1">{"NOPCAPEVA",#N/A,FALSE,"Nopat";"FCFCSTAR",#N/A,FALSE,"FCFVAL";"EVAVL",#N/A,FALSE,"EVAVAL";"LEASE",#N/A,FALSE,"OpLease"}</definedName>
    <definedName name="hngdh" localSheetId="34" hidden="1">{"NOPCAPEVA",#N/A,FALSE,"Nopat";"FCFCSTAR",#N/A,FALSE,"FCFVAL";"EVAVL",#N/A,FALSE,"EVAVAL";"LEASE",#N/A,FALSE,"OpLease"}</definedName>
    <definedName name="hngdh" localSheetId="36" hidden="1">{"NOPCAPEVA",#N/A,FALSE,"Nopat";"FCFCSTAR",#N/A,FALSE,"FCFVAL";"EVAVL",#N/A,FALSE,"EVAVAL";"LEASE",#N/A,FALSE,"OpLease"}</definedName>
    <definedName name="hngdh" localSheetId="38" hidden="1">{"NOPCAPEVA",#N/A,FALSE,"Nopat";"FCFCSTAR",#N/A,FALSE,"FCFVAL";"EVAVL",#N/A,FALSE,"EVAVAL";"LEASE",#N/A,FALSE,"OpLease"}</definedName>
    <definedName name="hngdh" hidden="1">{"NOPCAPEVA",#N/A,FALSE,"Nopat";"FCFCSTAR",#N/A,FALSE,"FCFVAL";"EVAVL",#N/A,FALSE,"EVAVAL";"LEASE",#N/A,FALSE,"OpLease"}</definedName>
    <definedName name="HolidayMth">#REF!</definedName>
    <definedName name="Holidays">#REF!</definedName>
    <definedName name="hostfee">#REF!</definedName>
    <definedName name="hraiu_bottom">#REF!</definedName>
    <definedName name="hrd" localSheetId="3" hidden="1">{"NOPCAPEVA",#N/A,FALSE,"Nopat";"FCFCSTAR",#N/A,FALSE,"FCFVAL";"EVAVL",#N/A,FALSE,"EVAVAL";"LEASE",#N/A,FALSE,"OpLease"}</definedName>
    <definedName name="hrd" localSheetId="5" hidden="1">{"NOPCAPEVA",#N/A,FALSE,"Nopat";"FCFCSTAR",#N/A,FALSE,"FCFVAL";"EVAVL",#N/A,FALSE,"EVAVAL";"LEASE",#N/A,FALSE,"OpLease"}</definedName>
    <definedName name="hrd" localSheetId="8" hidden="1">{"NOPCAPEVA",#N/A,FALSE,"Nopat";"FCFCSTAR",#N/A,FALSE,"FCFVAL";"EVAVL",#N/A,FALSE,"EVAVAL";"LEASE",#N/A,FALSE,"OpLease"}</definedName>
    <definedName name="hrd" localSheetId="10" hidden="1">{"NOPCAPEVA",#N/A,FALSE,"Nopat";"FCFCSTAR",#N/A,FALSE,"FCFVAL";"EVAVL",#N/A,FALSE,"EVAVAL";"LEASE",#N/A,FALSE,"OpLease"}</definedName>
    <definedName name="hrd" localSheetId="12" hidden="1">{"NOPCAPEVA",#N/A,FALSE,"Nopat";"FCFCSTAR",#N/A,FALSE,"FCFVAL";"EVAVL",#N/A,FALSE,"EVAVAL";"LEASE",#N/A,FALSE,"OpLease"}</definedName>
    <definedName name="hrd" localSheetId="14" hidden="1">{"NOPCAPEVA",#N/A,FALSE,"Nopat";"FCFCSTAR",#N/A,FALSE,"FCFVAL";"EVAVL",#N/A,FALSE,"EVAVAL";"LEASE",#N/A,FALSE,"OpLease"}</definedName>
    <definedName name="hrd" localSheetId="16" hidden="1">{"NOPCAPEVA",#N/A,FALSE,"Nopat";"FCFCSTAR",#N/A,FALSE,"FCFVAL";"EVAVL",#N/A,FALSE,"EVAVAL";"LEASE",#N/A,FALSE,"OpLease"}</definedName>
    <definedName name="hrd" localSheetId="22" hidden="1">{"NOPCAPEVA",#N/A,FALSE,"Nopat";"FCFCSTAR",#N/A,FALSE,"FCFVAL";"EVAVL",#N/A,FALSE,"EVAVAL";"LEASE",#N/A,FALSE,"OpLease"}</definedName>
    <definedName name="hrd" localSheetId="24" hidden="1">{"NOPCAPEVA",#N/A,FALSE,"Nopat";"FCFCSTAR",#N/A,FALSE,"FCFVAL";"EVAVL",#N/A,FALSE,"EVAVAL";"LEASE",#N/A,FALSE,"OpLease"}</definedName>
    <definedName name="hrd" localSheetId="26" hidden="1">{"NOPCAPEVA",#N/A,FALSE,"Nopat";"FCFCSTAR",#N/A,FALSE,"FCFVAL";"EVAVL",#N/A,FALSE,"EVAVAL";"LEASE",#N/A,FALSE,"OpLease"}</definedName>
    <definedName name="hrd" localSheetId="28" hidden="1">{"NOPCAPEVA",#N/A,FALSE,"Nopat";"FCFCSTAR",#N/A,FALSE,"FCFVAL";"EVAVL",#N/A,FALSE,"EVAVAL";"LEASE",#N/A,FALSE,"OpLease"}</definedName>
    <definedName name="hrd" localSheetId="30" hidden="1">{"NOPCAPEVA",#N/A,FALSE,"Nopat";"FCFCSTAR",#N/A,FALSE,"FCFVAL";"EVAVL",#N/A,FALSE,"EVAVAL";"LEASE",#N/A,FALSE,"OpLease"}</definedName>
    <definedName name="hrd" localSheetId="32" hidden="1">{"NOPCAPEVA",#N/A,FALSE,"Nopat";"FCFCSTAR",#N/A,FALSE,"FCFVAL";"EVAVL",#N/A,FALSE,"EVAVAL";"LEASE",#N/A,FALSE,"OpLease"}</definedName>
    <definedName name="hrd" localSheetId="34" hidden="1">{"NOPCAPEVA",#N/A,FALSE,"Nopat";"FCFCSTAR",#N/A,FALSE,"FCFVAL";"EVAVL",#N/A,FALSE,"EVAVAL";"LEASE",#N/A,FALSE,"OpLease"}</definedName>
    <definedName name="hrd" localSheetId="36" hidden="1">{"NOPCAPEVA",#N/A,FALSE,"Nopat";"FCFCSTAR",#N/A,FALSE,"FCFVAL";"EVAVL",#N/A,FALSE,"EVAVAL";"LEASE",#N/A,FALSE,"OpLease"}</definedName>
    <definedName name="hrd" localSheetId="38" hidden="1">{"NOPCAPEVA",#N/A,FALSE,"Nopat";"FCFCSTAR",#N/A,FALSE,"FCFVAL";"EVAVL",#N/A,FALSE,"EVAVAL";"LEASE",#N/A,FALSE,"OpLease"}</definedName>
    <definedName name="hrd" hidden="1">{"NOPCAPEVA",#N/A,FALSE,"Nopat";"FCFCSTAR",#N/A,FALSE,"FCFVAL";"EVAVL",#N/A,FALSE,"EVAVAL";"LEASE",#N/A,FALSE,"OpLease"}</definedName>
    <definedName name="hrea" localSheetId="3" hidden="1">{"NOPCAPEVA",#N/A,FALSE,"Nopat";"FCFCSTAR",#N/A,FALSE,"FCFVAL";"EVAVL",#N/A,FALSE,"EVAVAL";"LEASE",#N/A,FALSE,"OpLease"}</definedName>
    <definedName name="hrea" localSheetId="5" hidden="1">{"NOPCAPEVA",#N/A,FALSE,"Nopat";"FCFCSTAR",#N/A,FALSE,"FCFVAL";"EVAVL",#N/A,FALSE,"EVAVAL";"LEASE",#N/A,FALSE,"OpLease"}</definedName>
    <definedName name="hrea" localSheetId="8" hidden="1">{"NOPCAPEVA",#N/A,FALSE,"Nopat";"FCFCSTAR",#N/A,FALSE,"FCFVAL";"EVAVL",#N/A,FALSE,"EVAVAL";"LEASE",#N/A,FALSE,"OpLease"}</definedName>
    <definedName name="hrea" localSheetId="10" hidden="1">{"NOPCAPEVA",#N/A,FALSE,"Nopat";"FCFCSTAR",#N/A,FALSE,"FCFVAL";"EVAVL",#N/A,FALSE,"EVAVAL";"LEASE",#N/A,FALSE,"OpLease"}</definedName>
    <definedName name="hrea" localSheetId="12" hidden="1">{"NOPCAPEVA",#N/A,FALSE,"Nopat";"FCFCSTAR",#N/A,FALSE,"FCFVAL";"EVAVL",#N/A,FALSE,"EVAVAL";"LEASE",#N/A,FALSE,"OpLease"}</definedName>
    <definedName name="hrea" localSheetId="14" hidden="1">{"NOPCAPEVA",#N/A,FALSE,"Nopat";"FCFCSTAR",#N/A,FALSE,"FCFVAL";"EVAVL",#N/A,FALSE,"EVAVAL";"LEASE",#N/A,FALSE,"OpLease"}</definedName>
    <definedName name="hrea" localSheetId="16" hidden="1">{"NOPCAPEVA",#N/A,FALSE,"Nopat";"FCFCSTAR",#N/A,FALSE,"FCFVAL";"EVAVL",#N/A,FALSE,"EVAVAL";"LEASE",#N/A,FALSE,"OpLease"}</definedName>
    <definedName name="hrea" localSheetId="22" hidden="1">{"NOPCAPEVA",#N/A,FALSE,"Nopat";"FCFCSTAR",#N/A,FALSE,"FCFVAL";"EVAVL",#N/A,FALSE,"EVAVAL";"LEASE",#N/A,FALSE,"OpLease"}</definedName>
    <definedName name="hrea" localSheetId="24" hidden="1">{"NOPCAPEVA",#N/A,FALSE,"Nopat";"FCFCSTAR",#N/A,FALSE,"FCFVAL";"EVAVL",#N/A,FALSE,"EVAVAL";"LEASE",#N/A,FALSE,"OpLease"}</definedName>
    <definedName name="hrea" localSheetId="26" hidden="1">{"NOPCAPEVA",#N/A,FALSE,"Nopat";"FCFCSTAR",#N/A,FALSE,"FCFVAL";"EVAVL",#N/A,FALSE,"EVAVAL";"LEASE",#N/A,FALSE,"OpLease"}</definedName>
    <definedName name="hrea" localSheetId="28" hidden="1">{"NOPCAPEVA",#N/A,FALSE,"Nopat";"FCFCSTAR",#N/A,FALSE,"FCFVAL";"EVAVL",#N/A,FALSE,"EVAVAL";"LEASE",#N/A,FALSE,"OpLease"}</definedName>
    <definedName name="hrea" localSheetId="30" hidden="1">{"NOPCAPEVA",#N/A,FALSE,"Nopat";"FCFCSTAR",#N/A,FALSE,"FCFVAL";"EVAVL",#N/A,FALSE,"EVAVAL";"LEASE",#N/A,FALSE,"OpLease"}</definedName>
    <definedName name="hrea" localSheetId="32" hidden="1">{"NOPCAPEVA",#N/A,FALSE,"Nopat";"FCFCSTAR",#N/A,FALSE,"FCFVAL";"EVAVL",#N/A,FALSE,"EVAVAL";"LEASE",#N/A,FALSE,"OpLease"}</definedName>
    <definedName name="hrea" localSheetId="34" hidden="1">{"NOPCAPEVA",#N/A,FALSE,"Nopat";"FCFCSTAR",#N/A,FALSE,"FCFVAL";"EVAVL",#N/A,FALSE,"EVAVAL";"LEASE",#N/A,FALSE,"OpLease"}</definedName>
    <definedName name="hrea" localSheetId="36" hidden="1">{"NOPCAPEVA",#N/A,FALSE,"Nopat";"FCFCSTAR",#N/A,FALSE,"FCFVAL";"EVAVL",#N/A,FALSE,"EVAVAL";"LEASE",#N/A,FALSE,"OpLease"}</definedName>
    <definedName name="hrea" localSheetId="38" hidden="1">{"NOPCAPEVA",#N/A,FALSE,"Nopat";"FCFCSTAR",#N/A,FALSE,"FCFVAL";"EVAVL",#N/A,FALSE,"EVAVAL";"LEASE",#N/A,FALSE,"OpLease"}</definedName>
    <definedName name="hrea" hidden="1">{"NOPCAPEVA",#N/A,FALSE,"Nopat";"FCFCSTAR",#N/A,FALSE,"FCFVAL";"EVAVL",#N/A,FALSE,"EVAVAL";"LEASE",#N/A,FALSE,"OpLease"}</definedName>
    <definedName name="htd" localSheetId="3" hidden="1">{"NOPCAPEVA",#N/A,FALSE,"Nopat";"FCFCSTAR",#N/A,FALSE,"FCFVAL";"EVAVL",#N/A,FALSE,"EVAVAL";"LEASE",#N/A,FALSE,"OpLease"}</definedName>
    <definedName name="htd" localSheetId="5" hidden="1">{"NOPCAPEVA",#N/A,FALSE,"Nopat";"FCFCSTAR",#N/A,FALSE,"FCFVAL";"EVAVL",#N/A,FALSE,"EVAVAL";"LEASE",#N/A,FALSE,"OpLease"}</definedName>
    <definedName name="htd" localSheetId="8" hidden="1">{"NOPCAPEVA",#N/A,FALSE,"Nopat";"FCFCSTAR",#N/A,FALSE,"FCFVAL";"EVAVL",#N/A,FALSE,"EVAVAL";"LEASE",#N/A,FALSE,"OpLease"}</definedName>
    <definedName name="htd" localSheetId="10" hidden="1">{"NOPCAPEVA",#N/A,FALSE,"Nopat";"FCFCSTAR",#N/A,FALSE,"FCFVAL";"EVAVL",#N/A,FALSE,"EVAVAL";"LEASE",#N/A,FALSE,"OpLease"}</definedName>
    <definedName name="htd" localSheetId="12" hidden="1">{"NOPCAPEVA",#N/A,FALSE,"Nopat";"FCFCSTAR",#N/A,FALSE,"FCFVAL";"EVAVL",#N/A,FALSE,"EVAVAL";"LEASE",#N/A,FALSE,"OpLease"}</definedName>
    <definedName name="htd" localSheetId="14" hidden="1">{"NOPCAPEVA",#N/A,FALSE,"Nopat";"FCFCSTAR",#N/A,FALSE,"FCFVAL";"EVAVL",#N/A,FALSE,"EVAVAL";"LEASE",#N/A,FALSE,"OpLease"}</definedName>
    <definedName name="htd" localSheetId="16" hidden="1">{"NOPCAPEVA",#N/A,FALSE,"Nopat";"FCFCSTAR",#N/A,FALSE,"FCFVAL";"EVAVL",#N/A,FALSE,"EVAVAL";"LEASE",#N/A,FALSE,"OpLease"}</definedName>
    <definedName name="htd" localSheetId="22" hidden="1">{"NOPCAPEVA",#N/A,FALSE,"Nopat";"FCFCSTAR",#N/A,FALSE,"FCFVAL";"EVAVL",#N/A,FALSE,"EVAVAL";"LEASE",#N/A,FALSE,"OpLease"}</definedName>
    <definedName name="htd" localSheetId="24" hidden="1">{"NOPCAPEVA",#N/A,FALSE,"Nopat";"FCFCSTAR",#N/A,FALSE,"FCFVAL";"EVAVL",#N/A,FALSE,"EVAVAL";"LEASE",#N/A,FALSE,"OpLease"}</definedName>
    <definedName name="htd" localSheetId="26" hidden="1">{"NOPCAPEVA",#N/A,FALSE,"Nopat";"FCFCSTAR",#N/A,FALSE,"FCFVAL";"EVAVL",#N/A,FALSE,"EVAVAL";"LEASE",#N/A,FALSE,"OpLease"}</definedName>
    <definedName name="htd" localSheetId="28" hidden="1">{"NOPCAPEVA",#N/A,FALSE,"Nopat";"FCFCSTAR",#N/A,FALSE,"FCFVAL";"EVAVL",#N/A,FALSE,"EVAVAL";"LEASE",#N/A,FALSE,"OpLease"}</definedName>
    <definedName name="htd" localSheetId="30" hidden="1">{"NOPCAPEVA",#N/A,FALSE,"Nopat";"FCFCSTAR",#N/A,FALSE,"FCFVAL";"EVAVL",#N/A,FALSE,"EVAVAL";"LEASE",#N/A,FALSE,"OpLease"}</definedName>
    <definedName name="htd" localSheetId="32" hidden="1">{"NOPCAPEVA",#N/A,FALSE,"Nopat";"FCFCSTAR",#N/A,FALSE,"FCFVAL";"EVAVL",#N/A,FALSE,"EVAVAL";"LEASE",#N/A,FALSE,"OpLease"}</definedName>
    <definedName name="htd" localSheetId="34" hidden="1">{"NOPCAPEVA",#N/A,FALSE,"Nopat";"FCFCSTAR",#N/A,FALSE,"FCFVAL";"EVAVL",#N/A,FALSE,"EVAVAL";"LEASE",#N/A,FALSE,"OpLease"}</definedName>
    <definedName name="htd" localSheetId="36" hidden="1">{"NOPCAPEVA",#N/A,FALSE,"Nopat";"FCFCSTAR",#N/A,FALSE,"FCFVAL";"EVAVL",#N/A,FALSE,"EVAVAL";"LEASE",#N/A,FALSE,"OpLease"}</definedName>
    <definedName name="htd" localSheetId="38" hidden="1">{"NOPCAPEVA",#N/A,FALSE,"Nopat";"FCFCSTAR",#N/A,FALSE,"FCFVAL";"EVAVL",#N/A,FALSE,"EVAVAL";"LEASE",#N/A,FALSE,"OpLease"}</definedName>
    <definedName name="htd" hidden="1">{"NOPCAPEVA",#N/A,FALSE,"Nopat";"FCFCSTAR",#N/A,FALSE,"FCFVAL";"EVAVL",#N/A,FALSE,"EVAVAL";"LEASE",#N/A,FALSE,"OpLease"}</definedName>
    <definedName name="HTML_CodePage" hidden="1">1252</definedName>
    <definedName name="HTML_Control" localSheetId="3" hidden="1">{"'Set-Out'!$A$1:$H$30"}</definedName>
    <definedName name="HTML_Control" localSheetId="5" hidden="1">{"'Set-Out'!$A$1:$H$30"}</definedName>
    <definedName name="HTML_Control" localSheetId="8" hidden="1">{"'Set-Out'!$A$1:$H$30"}</definedName>
    <definedName name="HTML_Control" localSheetId="10" hidden="1">{"'Set-Out'!$A$1:$H$30"}</definedName>
    <definedName name="HTML_Control" localSheetId="12" hidden="1">{"'Set-Out'!$A$1:$H$30"}</definedName>
    <definedName name="HTML_Control" localSheetId="14" hidden="1">{"'Set-Out'!$A$1:$H$30"}</definedName>
    <definedName name="HTML_Control" localSheetId="16" hidden="1">{"'Set-Out'!$A$1:$H$30"}</definedName>
    <definedName name="HTML_Control" localSheetId="22" hidden="1">{"'Set-Out'!$A$1:$H$30"}</definedName>
    <definedName name="HTML_Control" localSheetId="24" hidden="1">{"'Set-Out'!$A$1:$H$30"}</definedName>
    <definedName name="HTML_Control" localSheetId="26" hidden="1">{"'Set-Out'!$A$1:$H$30"}</definedName>
    <definedName name="HTML_Control" localSheetId="28" hidden="1">{"'Set-Out'!$A$1:$H$30"}</definedName>
    <definedName name="HTML_Control" localSheetId="30" hidden="1">{"'Set-Out'!$A$1:$H$30"}</definedName>
    <definedName name="HTML_Control" localSheetId="32" hidden="1">{"'Set-Out'!$A$1:$H$30"}</definedName>
    <definedName name="HTML_Control" localSheetId="34" hidden="1">{"'Set-Out'!$A$1:$H$30"}</definedName>
    <definedName name="HTML_Control" localSheetId="36" hidden="1">{"'Set-Out'!$A$1:$H$30"}</definedName>
    <definedName name="HTML_Control" localSheetId="38" hidden="1">{"'Set-Out'!$A$1:$H$30"}</definedName>
    <definedName name="HTML_Control" hidden="1">{"'Set-Out'!$A$1:$H$30"}</definedName>
    <definedName name="HTML_Description" hidden="1">""</definedName>
    <definedName name="HTML_Email" hidden="1">"clagos@telespcelular.com.br"</definedName>
    <definedName name="HTML_Header" hidden="1">"Valor de Mercado das Ações Telesp Celular"</definedName>
    <definedName name="HTML_LastUpdate" hidden="1">"26/10/98"</definedName>
    <definedName name="HTML_LineAfter" hidden="1">FALSE</definedName>
    <definedName name="HTML_LineBefore" hidden="1">FALSE</definedName>
    <definedName name="HTML_Name" hidden="1">"TELESP CELULAR S/A"</definedName>
    <definedName name="HTML_OBDlg2" hidden="1">TRUE</definedName>
    <definedName name="HTML_OBDlg4" hidden="1">TRUE</definedName>
    <definedName name="HTML_OS" hidden="1">0</definedName>
    <definedName name="HTML_PathFile" hidden="1">"C:\Celular\Planilha\vm.htm"</definedName>
    <definedName name="HTML_Title" hidden="1">"ValorMercado"</definedName>
    <definedName name="htr" localSheetId="3" hidden="1">{"NOPCAPEVA",#N/A,FALSE,"Nopat";"FCFCSTAR",#N/A,FALSE,"FCFVAL";"EVAVL",#N/A,FALSE,"EVAVAL";"LEASE",#N/A,FALSE,"OpLease"}</definedName>
    <definedName name="htr" localSheetId="5" hidden="1">{"NOPCAPEVA",#N/A,FALSE,"Nopat";"FCFCSTAR",#N/A,FALSE,"FCFVAL";"EVAVL",#N/A,FALSE,"EVAVAL";"LEASE",#N/A,FALSE,"OpLease"}</definedName>
    <definedName name="htr" localSheetId="8" hidden="1">{"NOPCAPEVA",#N/A,FALSE,"Nopat";"FCFCSTAR",#N/A,FALSE,"FCFVAL";"EVAVL",#N/A,FALSE,"EVAVAL";"LEASE",#N/A,FALSE,"OpLease"}</definedName>
    <definedName name="htr" localSheetId="10" hidden="1">{"NOPCAPEVA",#N/A,FALSE,"Nopat";"FCFCSTAR",#N/A,FALSE,"FCFVAL";"EVAVL",#N/A,FALSE,"EVAVAL";"LEASE",#N/A,FALSE,"OpLease"}</definedName>
    <definedName name="htr" localSheetId="12" hidden="1">{"NOPCAPEVA",#N/A,FALSE,"Nopat";"FCFCSTAR",#N/A,FALSE,"FCFVAL";"EVAVL",#N/A,FALSE,"EVAVAL";"LEASE",#N/A,FALSE,"OpLease"}</definedName>
    <definedName name="htr" localSheetId="14" hidden="1">{"NOPCAPEVA",#N/A,FALSE,"Nopat";"FCFCSTAR",#N/A,FALSE,"FCFVAL";"EVAVL",#N/A,FALSE,"EVAVAL";"LEASE",#N/A,FALSE,"OpLease"}</definedName>
    <definedName name="htr" localSheetId="16" hidden="1">{"NOPCAPEVA",#N/A,FALSE,"Nopat";"FCFCSTAR",#N/A,FALSE,"FCFVAL";"EVAVL",#N/A,FALSE,"EVAVAL";"LEASE",#N/A,FALSE,"OpLease"}</definedName>
    <definedName name="htr" localSheetId="22" hidden="1">{"NOPCAPEVA",#N/A,FALSE,"Nopat";"FCFCSTAR",#N/A,FALSE,"FCFVAL";"EVAVL",#N/A,FALSE,"EVAVAL";"LEASE",#N/A,FALSE,"OpLease"}</definedName>
    <definedName name="htr" localSheetId="24" hidden="1">{"NOPCAPEVA",#N/A,FALSE,"Nopat";"FCFCSTAR",#N/A,FALSE,"FCFVAL";"EVAVL",#N/A,FALSE,"EVAVAL";"LEASE",#N/A,FALSE,"OpLease"}</definedName>
    <definedName name="htr" localSheetId="26" hidden="1">{"NOPCAPEVA",#N/A,FALSE,"Nopat";"FCFCSTAR",#N/A,FALSE,"FCFVAL";"EVAVL",#N/A,FALSE,"EVAVAL";"LEASE",#N/A,FALSE,"OpLease"}</definedName>
    <definedName name="htr" localSheetId="28" hidden="1">{"NOPCAPEVA",#N/A,FALSE,"Nopat";"FCFCSTAR",#N/A,FALSE,"FCFVAL";"EVAVL",#N/A,FALSE,"EVAVAL";"LEASE",#N/A,FALSE,"OpLease"}</definedName>
    <definedName name="htr" localSheetId="30" hidden="1">{"NOPCAPEVA",#N/A,FALSE,"Nopat";"FCFCSTAR",#N/A,FALSE,"FCFVAL";"EVAVL",#N/A,FALSE,"EVAVAL";"LEASE",#N/A,FALSE,"OpLease"}</definedName>
    <definedName name="htr" localSheetId="32" hidden="1">{"NOPCAPEVA",#N/A,FALSE,"Nopat";"FCFCSTAR",#N/A,FALSE,"FCFVAL";"EVAVL",#N/A,FALSE,"EVAVAL";"LEASE",#N/A,FALSE,"OpLease"}</definedName>
    <definedName name="htr" localSheetId="34" hidden="1">{"NOPCAPEVA",#N/A,FALSE,"Nopat";"FCFCSTAR",#N/A,FALSE,"FCFVAL";"EVAVL",#N/A,FALSE,"EVAVAL";"LEASE",#N/A,FALSE,"OpLease"}</definedName>
    <definedName name="htr" localSheetId="36" hidden="1">{"NOPCAPEVA",#N/A,FALSE,"Nopat";"FCFCSTAR",#N/A,FALSE,"FCFVAL";"EVAVL",#N/A,FALSE,"EVAVAL";"LEASE",#N/A,FALSE,"OpLease"}</definedName>
    <definedName name="htr" localSheetId="38" hidden="1">{"NOPCAPEVA",#N/A,FALSE,"Nopat";"FCFCSTAR",#N/A,FALSE,"FCFVAL";"EVAVL",#N/A,FALSE,"EVAVAL";"LEASE",#N/A,FALSE,"OpLease"}</definedName>
    <definedName name="htr" hidden="1">{"NOPCAPEVA",#N/A,FALSE,"Nopat";"FCFCSTAR",#N/A,FALSE,"FCFVAL";"EVAVL",#N/A,FALSE,"EVAVAL";"LEASE",#N/A,FALSE,"OpLease"}</definedName>
    <definedName name="hvac">#REF!</definedName>
    <definedName name="HWSheet">1</definedName>
    <definedName name="hyrt" localSheetId="3" hidden="1">{"NOPCAPEVA",#N/A,FALSE,"Nopat";"FCFCSTAR",#N/A,FALSE,"FCFVAL";"EVAVL",#N/A,FALSE,"EVAVAL";"LEASE",#N/A,FALSE,"OpLease"}</definedName>
    <definedName name="hyrt" localSheetId="5" hidden="1">{"NOPCAPEVA",#N/A,FALSE,"Nopat";"FCFCSTAR",#N/A,FALSE,"FCFVAL";"EVAVL",#N/A,FALSE,"EVAVAL";"LEASE",#N/A,FALSE,"OpLease"}</definedName>
    <definedName name="hyrt" localSheetId="8" hidden="1">{"NOPCAPEVA",#N/A,FALSE,"Nopat";"FCFCSTAR",#N/A,FALSE,"FCFVAL";"EVAVL",#N/A,FALSE,"EVAVAL";"LEASE",#N/A,FALSE,"OpLease"}</definedName>
    <definedName name="hyrt" localSheetId="10" hidden="1">{"NOPCAPEVA",#N/A,FALSE,"Nopat";"FCFCSTAR",#N/A,FALSE,"FCFVAL";"EVAVL",#N/A,FALSE,"EVAVAL";"LEASE",#N/A,FALSE,"OpLease"}</definedName>
    <definedName name="hyrt" localSheetId="12" hidden="1">{"NOPCAPEVA",#N/A,FALSE,"Nopat";"FCFCSTAR",#N/A,FALSE,"FCFVAL";"EVAVL",#N/A,FALSE,"EVAVAL";"LEASE",#N/A,FALSE,"OpLease"}</definedName>
    <definedName name="hyrt" localSheetId="14" hidden="1">{"NOPCAPEVA",#N/A,FALSE,"Nopat";"FCFCSTAR",#N/A,FALSE,"FCFVAL";"EVAVL",#N/A,FALSE,"EVAVAL";"LEASE",#N/A,FALSE,"OpLease"}</definedName>
    <definedName name="hyrt" localSheetId="16" hidden="1">{"NOPCAPEVA",#N/A,FALSE,"Nopat";"FCFCSTAR",#N/A,FALSE,"FCFVAL";"EVAVL",#N/A,FALSE,"EVAVAL";"LEASE",#N/A,FALSE,"OpLease"}</definedName>
    <definedName name="hyrt" localSheetId="22" hidden="1">{"NOPCAPEVA",#N/A,FALSE,"Nopat";"FCFCSTAR",#N/A,FALSE,"FCFVAL";"EVAVL",#N/A,FALSE,"EVAVAL";"LEASE",#N/A,FALSE,"OpLease"}</definedName>
    <definedName name="hyrt" localSheetId="24" hidden="1">{"NOPCAPEVA",#N/A,FALSE,"Nopat";"FCFCSTAR",#N/A,FALSE,"FCFVAL";"EVAVL",#N/A,FALSE,"EVAVAL";"LEASE",#N/A,FALSE,"OpLease"}</definedName>
    <definedName name="hyrt" localSheetId="26" hidden="1">{"NOPCAPEVA",#N/A,FALSE,"Nopat";"FCFCSTAR",#N/A,FALSE,"FCFVAL";"EVAVL",#N/A,FALSE,"EVAVAL";"LEASE",#N/A,FALSE,"OpLease"}</definedName>
    <definedName name="hyrt" localSheetId="28" hidden="1">{"NOPCAPEVA",#N/A,FALSE,"Nopat";"FCFCSTAR",#N/A,FALSE,"FCFVAL";"EVAVL",#N/A,FALSE,"EVAVAL";"LEASE",#N/A,FALSE,"OpLease"}</definedName>
    <definedName name="hyrt" localSheetId="30" hidden="1">{"NOPCAPEVA",#N/A,FALSE,"Nopat";"FCFCSTAR",#N/A,FALSE,"FCFVAL";"EVAVL",#N/A,FALSE,"EVAVAL";"LEASE",#N/A,FALSE,"OpLease"}</definedName>
    <definedName name="hyrt" localSheetId="32" hidden="1">{"NOPCAPEVA",#N/A,FALSE,"Nopat";"FCFCSTAR",#N/A,FALSE,"FCFVAL";"EVAVL",#N/A,FALSE,"EVAVAL";"LEASE",#N/A,FALSE,"OpLease"}</definedName>
    <definedName name="hyrt" localSheetId="34" hidden="1">{"NOPCAPEVA",#N/A,FALSE,"Nopat";"FCFCSTAR",#N/A,FALSE,"FCFVAL";"EVAVL",#N/A,FALSE,"EVAVAL";"LEASE",#N/A,FALSE,"OpLease"}</definedName>
    <definedName name="hyrt" localSheetId="36" hidden="1">{"NOPCAPEVA",#N/A,FALSE,"Nopat";"FCFCSTAR",#N/A,FALSE,"FCFVAL";"EVAVL",#N/A,FALSE,"EVAVAL";"LEASE",#N/A,FALSE,"OpLease"}</definedName>
    <definedName name="hyrt" localSheetId="38" hidden="1">{"NOPCAPEVA",#N/A,FALSE,"Nopat";"FCFCSTAR",#N/A,FALSE,"FCFVAL";"EVAVL",#N/A,FALSE,"EVAVAL";"LEASE",#N/A,FALSE,"OpLease"}</definedName>
    <definedName name="hyrt" hidden="1">{"NOPCAPEVA",#N/A,FALSE,"Nopat";"FCFCSTAR",#N/A,FALSE,"FCFVAL";"EVAVL",#N/A,FALSE,"EVAVAL";"LEASE",#N/A,FALSE,"OpLease"}</definedName>
    <definedName name="hytes" localSheetId="3" hidden="1">{"NOPCAPEVA",#N/A,FALSE,"Nopat";"FCFCSTAR",#N/A,FALSE,"FCFVAL";"EVAVL",#N/A,FALSE,"EVAVAL";"LEASE",#N/A,FALSE,"OpLease"}</definedName>
    <definedName name="hytes" localSheetId="5" hidden="1">{"NOPCAPEVA",#N/A,FALSE,"Nopat";"FCFCSTAR",#N/A,FALSE,"FCFVAL";"EVAVL",#N/A,FALSE,"EVAVAL";"LEASE",#N/A,FALSE,"OpLease"}</definedName>
    <definedName name="hytes" localSheetId="8" hidden="1">{"NOPCAPEVA",#N/A,FALSE,"Nopat";"FCFCSTAR",#N/A,FALSE,"FCFVAL";"EVAVL",#N/A,FALSE,"EVAVAL";"LEASE",#N/A,FALSE,"OpLease"}</definedName>
    <definedName name="hytes" localSheetId="10" hidden="1">{"NOPCAPEVA",#N/A,FALSE,"Nopat";"FCFCSTAR",#N/A,FALSE,"FCFVAL";"EVAVL",#N/A,FALSE,"EVAVAL";"LEASE",#N/A,FALSE,"OpLease"}</definedName>
    <definedName name="hytes" localSheetId="12" hidden="1">{"NOPCAPEVA",#N/A,FALSE,"Nopat";"FCFCSTAR",#N/A,FALSE,"FCFVAL";"EVAVL",#N/A,FALSE,"EVAVAL";"LEASE",#N/A,FALSE,"OpLease"}</definedName>
    <definedName name="hytes" localSheetId="14" hidden="1">{"NOPCAPEVA",#N/A,FALSE,"Nopat";"FCFCSTAR",#N/A,FALSE,"FCFVAL";"EVAVL",#N/A,FALSE,"EVAVAL";"LEASE",#N/A,FALSE,"OpLease"}</definedName>
    <definedName name="hytes" localSheetId="16" hidden="1">{"NOPCAPEVA",#N/A,FALSE,"Nopat";"FCFCSTAR",#N/A,FALSE,"FCFVAL";"EVAVL",#N/A,FALSE,"EVAVAL";"LEASE",#N/A,FALSE,"OpLease"}</definedName>
    <definedName name="hytes" localSheetId="22" hidden="1">{"NOPCAPEVA",#N/A,FALSE,"Nopat";"FCFCSTAR",#N/A,FALSE,"FCFVAL";"EVAVL",#N/A,FALSE,"EVAVAL";"LEASE",#N/A,FALSE,"OpLease"}</definedName>
    <definedName name="hytes" localSheetId="24" hidden="1">{"NOPCAPEVA",#N/A,FALSE,"Nopat";"FCFCSTAR",#N/A,FALSE,"FCFVAL";"EVAVL",#N/A,FALSE,"EVAVAL";"LEASE",#N/A,FALSE,"OpLease"}</definedName>
    <definedName name="hytes" localSheetId="26" hidden="1">{"NOPCAPEVA",#N/A,FALSE,"Nopat";"FCFCSTAR",#N/A,FALSE,"FCFVAL";"EVAVL",#N/A,FALSE,"EVAVAL";"LEASE",#N/A,FALSE,"OpLease"}</definedName>
    <definedName name="hytes" localSheetId="28" hidden="1">{"NOPCAPEVA",#N/A,FALSE,"Nopat";"FCFCSTAR",#N/A,FALSE,"FCFVAL";"EVAVL",#N/A,FALSE,"EVAVAL";"LEASE",#N/A,FALSE,"OpLease"}</definedName>
    <definedName name="hytes" localSheetId="30" hidden="1">{"NOPCAPEVA",#N/A,FALSE,"Nopat";"FCFCSTAR",#N/A,FALSE,"FCFVAL";"EVAVL",#N/A,FALSE,"EVAVAL";"LEASE",#N/A,FALSE,"OpLease"}</definedName>
    <definedName name="hytes" localSheetId="32" hidden="1">{"NOPCAPEVA",#N/A,FALSE,"Nopat";"FCFCSTAR",#N/A,FALSE,"FCFVAL";"EVAVL",#N/A,FALSE,"EVAVAL";"LEASE",#N/A,FALSE,"OpLease"}</definedName>
    <definedName name="hytes" localSheetId="34" hidden="1">{"NOPCAPEVA",#N/A,FALSE,"Nopat";"FCFCSTAR",#N/A,FALSE,"FCFVAL";"EVAVL",#N/A,FALSE,"EVAVAL";"LEASE",#N/A,FALSE,"OpLease"}</definedName>
    <definedName name="hytes" localSheetId="36" hidden="1">{"NOPCAPEVA",#N/A,FALSE,"Nopat";"FCFCSTAR",#N/A,FALSE,"FCFVAL";"EVAVL",#N/A,FALSE,"EVAVAL";"LEASE",#N/A,FALSE,"OpLease"}</definedName>
    <definedName name="hytes" localSheetId="38" hidden="1">{"NOPCAPEVA",#N/A,FALSE,"Nopat";"FCFCSTAR",#N/A,FALSE,"FCFVAL";"EVAVL",#N/A,FALSE,"EVAVAL";"LEASE",#N/A,FALSE,"OpLease"}</definedName>
    <definedName name="hytes" hidden="1">{"NOPCAPEVA",#N/A,FALSE,"Nopat";"FCFCSTAR",#N/A,FALSE,"FCFVAL";"EVAVL",#N/A,FALSE,"EVAVAL";"LEASE",#N/A,FALSE,"OpLease"}</definedName>
    <definedName name="I">#REF!</definedName>
    <definedName name="Iberoamericana">#REF!</definedName>
    <definedName name="IDAdvCount">#REF!</definedName>
    <definedName name="IDAdvFixedFee">#REF!</definedName>
    <definedName name="IDAdvMRR">#REF!</definedName>
    <definedName name="IDAdvVarSpend">#REF!</definedName>
    <definedName name="IDBaseCount">#REF!</definedName>
    <definedName name="IDBaseMRR">#REF!</definedName>
    <definedName name="IDCoreCount">#REF!</definedName>
    <definedName name="IDCoreMRR">#REF!</definedName>
    <definedName name="IDCRMCount">#REF!</definedName>
    <definedName name="IDCRMMRR">#REF!</definedName>
    <definedName name="IDCustomerCount">#REF!</definedName>
    <definedName name="IDMRR">#REF!</definedName>
    <definedName name="IDN">#REF!</definedName>
    <definedName name="IDOtherMRR">#REF!</definedName>
    <definedName name="IDRooftopCount">#REF!</definedName>
    <definedName name="IDSEOCount">#REF!</definedName>
    <definedName name="IDSEOMRR">#REF!</definedName>
    <definedName name="IDSocialCount">#REF!</definedName>
    <definedName name="IDSocialMRR">#REF!</definedName>
    <definedName name="IFN">#REF!</definedName>
    <definedName name="ikghjf" localSheetId="3" hidden="1">{"NOPCAPEVA",#N/A,FALSE,"Nopat";"FCFCSTAR",#N/A,FALSE,"FCFVAL";"EVAVL",#N/A,FALSE,"EVAVAL";"LEASE",#N/A,FALSE,"OpLease"}</definedName>
    <definedName name="ikghjf" localSheetId="5" hidden="1">{"NOPCAPEVA",#N/A,FALSE,"Nopat";"FCFCSTAR",#N/A,FALSE,"FCFVAL";"EVAVL",#N/A,FALSE,"EVAVAL";"LEASE",#N/A,FALSE,"OpLease"}</definedName>
    <definedName name="ikghjf" localSheetId="8" hidden="1">{"NOPCAPEVA",#N/A,FALSE,"Nopat";"FCFCSTAR",#N/A,FALSE,"FCFVAL";"EVAVL",#N/A,FALSE,"EVAVAL";"LEASE",#N/A,FALSE,"OpLease"}</definedName>
    <definedName name="ikghjf" localSheetId="10" hidden="1">{"NOPCAPEVA",#N/A,FALSE,"Nopat";"FCFCSTAR",#N/A,FALSE,"FCFVAL";"EVAVL",#N/A,FALSE,"EVAVAL";"LEASE",#N/A,FALSE,"OpLease"}</definedName>
    <definedName name="ikghjf" localSheetId="12" hidden="1">{"NOPCAPEVA",#N/A,FALSE,"Nopat";"FCFCSTAR",#N/A,FALSE,"FCFVAL";"EVAVL",#N/A,FALSE,"EVAVAL";"LEASE",#N/A,FALSE,"OpLease"}</definedName>
    <definedName name="ikghjf" localSheetId="14" hidden="1">{"NOPCAPEVA",#N/A,FALSE,"Nopat";"FCFCSTAR",#N/A,FALSE,"FCFVAL";"EVAVL",#N/A,FALSE,"EVAVAL";"LEASE",#N/A,FALSE,"OpLease"}</definedName>
    <definedName name="ikghjf" localSheetId="16" hidden="1">{"NOPCAPEVA",#N/A,FALSE,"Nopat";"FCFCSTAR",#N/A,FALSE,"FCFVAL";"EVAVL",#N/A,FALSE,"EVAVAL";"LEASE",#N/A,FALSE,"OpLease"}</definedName>
    <definedName name="ikghjf" localSheetId="22" hidden="1">{"NOPCAPEVA",#N/A,FALSE,"Nopat";"FCFCSTAR",#N/A,FALSE,"FCFVAL";"EVAVL",#N/A,FALSE,"EVAVAL";"LEASE",#N/A,FALSE,"OpLease"}</definedName>
    <definedName name="ikghjf" localSheetId="24" hidden="1">{"NOPCAPEVA",#N/A,FALSE,"Nopat";"FCFCSTAR",#N/A,FALSE,"FCFVAL";"EVAVL",#N/A,FALSE,"EVAVAL";"LEASE",#N/A,FALSE,"OpLease"}</definedName>
    <definedName name="ikghjf" localSheetId="26" hidden="1">{"NOPCAPEVA",#N/A,FALSE,"Nopat";"FCFCSTAR",#N/A,FALSE,"FCFVAL";"EVAVL",#N/A,FALSE,"EVAVAL";"LEASE",#N/A,FALSE,"OpLease"}</definedName>
    <definedName name="ikghjf" localSheetId="28" hidden="1">{"NOPCAPEVA",#N/A,FALSE,"Nopat";"FCFCSTAR",#N/A,FALSE,"FCFVAL";"EVAVL",#N/A,FALSE,"EVAVAL";"LEASE",#N/A,FALSE,"OpLease"}</definedName>
    <definedName name="ikghjf" localSheetId="30" hidden="1">{"NOPCAPEVA",#N/A,FALSE,"Nopat";"FCFCSTAR",#N/A,FALSE,"FCFVAL";"EVAVL",#N/A,FALSE,"EVAVAL";"LEASE",#N/A,FALSE,"OpLease"}</definedName>
    <definedName name="ikghjf" localSheetId="32" hidden="1">{"NOPCAPEVA",#N/A,FALSE,"Nopat";"FCFCSTAR",#N/A,FALSE,"FCFVAL";"EVAVL",#N/A,FALSE,"EVAVAL";"LEASE",#N/A,FALSE,"OpLease"}</definedName>
    <definedName name="ikghjf" localSheetId="34" hidden="1">{"NOPCAPEVA",#N/A,FALSE,"Nopat";"FCFCSTAR",#N/A,FALSE,"FCFVAL";"EVAVL",#N/A,FALSE,"EVAVAL";"LEASE",#N/A,FALSE,"OpLease"}</definedName>
    <definedName name="ikghjf" localSheetId="36" hidden="1">{"NOPCAPEVA",#N/A,FALSE,"Nopat";"FCFCSTAR",#N/A,FALSE,"FCFVAL";"EVAVL",#N/A,FALSE,"EVAVAL";"LEASE",#N/A,FALSE,"OpLease"}</definedName>
    <definedName name="ikghjf" localSheetId="38" hidden="1">{"NOPCAPEVA",#N/A,FALSE,"Nopat";"FCFCSTAR",#N/A,FALSE,"FCFVAL";"EVAVL",#N/A,FALSE,"EVAVAL";"LEASE",#N/A,FALSE,"OpLease"}</definedName>
    <definedName name="ikghjf" hidden="1">{"NOPCAPEVA",#N/A,FALSE,"Nopat";"FCFCSTAR",#N/A,FALSE,"FCFVAL";"EVAVL",#N/A,FALSE,"EVAVAL";"LEASE",#N/A,FALSE,"OpLease"}</definedName>
    <definedName name="ikut" localSheetId="3" hidden="1">{"NOPCAPEVA",#N/A,FALSE,"Nopat";"FCFCSTAR",#N/A,FALSE,"FCFVAL";"EVAVL",#N/A,FALSE,"EVAVAL";"LEASE",#N/A,FALSE,"OpLease"}</definedName>
    <definedName name="ikut" localSheetId="5" hidden="1">{"NOPCAPEVA",#N/A,FALSE,"Nopat";"FCFCSTAR",#N/A,FALSE,"FCFVAL";"EVAVL",#N/A,FALSE,"EVAVAL";"LEASE",#N/A,FALSE,"OpLease"}</definedName>
    <definedName name="ikut" localSheetId="8" hidden="1">{"NOPCAPEVA",#N/A,FALSE,"Nopat";"FCFCSTAR",#N/A,FALSE,"FCFVAL";"EVAVL",#N/A,FALSE,"EVAVAL";"LEASE",#N/A,FALSE,"OpLease"}</definedName>
    <definedName name="ikut" localSheetId="10" hidden="1">{"NOPCAPEVA",#N/A,FALSE,"Nopat";"FCFCSTAR",#N/A,FALSE,"FCFVAL";"EVAVL",#N/A,FALSE,"EVAVAL";"LEASE",#N/A,FALSE,"OpLease"}</definedName>
    <definedName name="ikut" localSheetId="12" hidden="1">{"NOPCAPEVA",#N/A,FALSE,"Nopat";"FCFCSTAR",#N/A,FALSE,"FCFVAL";"EVAVL",#N/A,FALSE,"EVAVAL";"LEASE",#N/A,FALSE,"OpLease"}</definedName>
    <definedName name="ikut" localSheetId="14" hidden="1">{"NOPCAPEVA",#N/A,FALSE,"Nopat";"FCFCSTAR",#N/A,FALSE,"FCFVAL";"EVAVL",#N/A,FALSE,"EVAVAL";"LEASE",#N/A,FALSE,"OpLease"}</definedName>
    <definedName name="ikut" localSheetId="16" hidden="1">{"NOPCAPEVA",#N/A,FALSE,"Nopat";"FCFCSTAR",#N/A,FALSE,"FCFVAL";"EVAVL",#N/A,FALSE,"EVAVAL";"LEASE",#N/A,FALSE,"OpLease"}</definedName>
    <definedName name="ikut" localSheetId="22" hidden="1">{"NOPCAPEVA",#N/A,FALSE,"Nopat";"FCFCSTAR",#N/A,FALSE,"FCFVAL";"EVAVL",#N/A,FALSE,"EVAVAL";"LEASE",#N/A,FALSE,"OpLease"}</definedName>
    <definedName name="ikut" localSheetId="24" hidden="1">{"NOPCAPEVA",#N/A,FALSE,"Nopat";"FCFCSTAR",#N/A,FALSE,"FCFVAL";"EVAVL",#N/A,FALSE,"EVAVAL";"LEASE",#N/A,FALSE,"OpLease"}</definedName>
    <definedName name="ikut" localSheetId="26" hidden="1">{"NOPCAPEVA",#N/A,FALSE,"Nopat";"FCFCSTAR",#N/A,FALSE,"FCFVAL";"EVAVL",#N/A,FALSE,"EVAVAL";"LEASE",#N/A,FALSE,"OpLease"}</definedName>
    <definedName name="ikut" localSheetId="28" hidden="1">{"NOPCAPEVA",#N/A,FALSE,"Nopat";"FCFCSTAR",#N/A,FALSE,"FCFVAL";"EVAVL",#N/A,FALSE,"EVAVAL";"LEASE",#N/A,FALSE,"OpLease"}</definedName>
    <definedName name="ikut" localSheetId="30" hidden="1">{"NOPCAPEVA",#N/A,FALSE,"Nopat";"FCFCSTAR",#N/A,FALSE,"FCFVAL";"EVAVL",#N/A,FALSE,"EVAVAL";"LEASE",#N/A,FALSE,"OpLease"}</definedName>
    <definedName name="ikut" localSheetId="32" hidden="1">{"NOPCAPEVA",#N/A,FALSE,"Nopat";"FCFCSTAR",#N/A,FALSE,"FCFVAL";"EVAVL",#N/A,FALSE,"EVAVAL";"LEASE",#N/A,FALSE,"OpLease"}</definedName>
    <definedName name="ikut" localSheetId="34" hidden="1">{"NOPCAPEVA",#N/A,FALSE,"Nopat";"FCFCSTAR",#N/A,FALSE,"FCFVAL";"EVAVL",#N/A,FALSE,"EVAVAL";"LEASE",#N/A,FALSE,"OpLease"}</definedName>
    <definedName name="ikut" localSheetId="36" hidden="1">{"NOPCAPEVA",#N/A,FALSE,"Nopat";"FCFCSTAR",#N/A,FALSE,"FCFVAL";"EVAVL",#N/A,FALSE,"EVAVAL";"LEASE",#N/A,FALSE,"OpLease"}</definedName>
    <definedName name="ikut" localSheetId="38" hidden="1">{"NOPCAPEVA",#N/A,FALSE,"Nopat";"FCFCSTAR",#N/A,FALSE,"FCFVAL";"EVAVL",#N/A,FALSE,"EVAVAL";"LEASE",#N/A,FALSE,"OpLease"}</definedName>
    <definedName name="ikut" hidden="1">{"NOPCAPEVA",#N/A,FALSE,"Nopat";"FCFCSTAR",#N/A,FALSE,"FCFVAL";"EVAVL",#N/A,FALSE,"EVAVAL";"LEASE",#N/A,FALSE,"OpLease"}</definedName>
    <definedName name="Impact_DD" hidden="1">#REF!</definedName>
    <definedName name="Impl.Services">#REF!</definedName>
    <definedName name="IncrementalStaff">#REF!</definedName>
    <definedName name="IndiaMEA">#REF!</definedName>
    <definedName name="IndOpt1">#REF!</definedName>
    <definedName name="IndOpt2">#REF!</definedName>
    <definedName name="IndOpt3">#REF!</definedName>
    <definedName name="IndOpt4">#REF!</definedName>
    <definedName name="InPSR">#REF!</definedName>
    <definedName name="Int">#REF!</definedName>
    <definedName name="Interactive_Dept">#REF!</definedName>
    <definedName name="Interest_Rate">#REF!</definedName>
    <definedName name="InvestID1">#REF!</definedName>
    <definedName name="io" localSheetId="3" hidden="1">{"NOPCAPEVA",#N/A,FALSE,"Nopat";"FCFCSTAR",#N/A,FALSE,"FCFVAL";"EVAVL",#N/A,FALSE,"EVAVAL";"LEASE",#N/A,FALSE,"OpLease"}</definedName>
    <definedName name="io" localSheetId="5" hidden="1">{"NOPCAPEVA",#N/A,FALSE,"Nopat";"FCFCSTAR",#N/A,FALSE,"FCFVAL";"EVAVL",#N/A,FALSE,"EVAVAL";"LEASE",#N/A,FALSE,"OpLease"}</definedName>
    <definedName name="io" localSheetId="8" hidden="1">{"NOPCAPEVA",#N/A,FALSE,"Nopat";"FCFCSTAR",#N/A,FALSE,"FCFVAL";"EVAVL",#N/A,FALSE,"EVAVAL";"LEASE",#N/A,FALSE,"OpLease"}</definedName>
    <definedName name="io" localSheetId="10" hidden="1">{"NOPCAPEVA",#N/A,FALSE,"Nopat";"FCFCSTAR",#N/A,FALSE,"FCFVAL";"EVAVL",#N/A,FALSE,"EVAVAL";"LEASE",#N/A,FALSE,"OpLease"}</definedName>
    <definedName name="io" localSheetId="12" hidden="1">{"NOPCAPEVA",#N/A,FALSE,"Nopat";"FCFCSTAR",#N/A,FALSE,"FCFVAL";"EVAVL",#N/A,FALSE,"EVAVAL";"LEASE",#N/A,FALSE,"OpLease"}</definedName>
    <definedName name="io" localSheetId="14" hidden="1">{"NOPCAPEVA",#N/A,FALSE,"Nopat";"FCFCSTAR",#N/A,FALSE,"FCFVAL";"EVAVL",#N/A,FALSE,"EVAVAL";"LEASE",#N/A,FALSE,"OpLease"}</definedName>
    <definedName name="io" localSheetId="16" hidden="1">{"NOPCAPEVA",#N/A,FALSE,"Nopat";"FCFCSTAR",#N/A,FALSE,"FCFVAL";"EVAVL",#N/A,FALSE,"EVAVAL";"LEASE",#N/A,FALSE,"OpLease"}</definedName>
    <definedName name="io" localSheetId="22" hidden="1">{"NOPCAPEVA",#N/A,FALSE,"Nopat";"FCFCSTAR",#N/A,FALSE,"FCFVAL";"EVAVL",#N/A,FALSE,"EVAVAL";"LEASE",#N/A,FALSE,"OpLease"}</definedName>
    <definedName name="io" localSheetId="24" hidden="1">{"NOPCAPEVA",#N/A,FALSE,"Nopat";"FCFCSTAR",#N/A,FALSE,"FCFVAL";"EVAVL",#N/A,FALSE,"EVAVAL";"LEASE",#N/A,FALSE,"OpLease"}</definedName>
    <definedName name="io" localSheetId="26" hidden="1">{"NOPCAPEVA",#N/A,FALSE,"Nopat";"FCFCSTAR",#N/A,FALSE,"FCFVAL";"EVAVL",#N/A,FALSE,"EVAVAL";"LEASE",#N/A,FALSE,"OpLease"}</definedName>
    <definedName name="io" localSheetId="28" hidden="1">{"NOPCAPEVA",#N/A,FALSE,"Nopat";"FCFCSTAR",#N/A,FALSE,"FCFVAL";"EVAVL",#N/A,FALSE,"EVAVAL";"LEASE",#N/A,FALSE,"OpLease"}</definedName>
    <definedName name="io" localSheetId="30" hidden="1">{"NOPCAPEVA",#N/A,FALSE,"Nopat";"FCFCSTAR",#N/A,FALSE,"FCFVAL";"EVAVL",#N/A,FALSE,"EVAVAL";"LEASE",#N/A,FALSE,"OpLease"}</definedName>
    <definedName name="io" localSheetId="32" hidden="1">{"NOPCAPEVA",#N/A,FALSE,"Nopat";"FCFCSTAR",#N/A,FALSE,"FCFVAL";"EVAVL",#N/A,FALSE,"EVAVAL";"LEASE",#N/A,FALSE,"OpLease"}</definedName>
    <definedName name="io" localSheetId="34" hidden="1">{"NOPCAPEVA",#N/A,FALSE,"Nopat";"FCFCSTAR",#N/A,FALSE,"FCFVAL";"EVAVL",#N/A,FALSE,"EVAVAL";"LEASE",#N/A,FALSE,"OpLease"}</definedName>
    <definedName name="io" localSheetId="36" hidden="1">{"NOPCAPEVA",#N/A,FALSE,"Nopat";"FCFCSTAR",#N/A,FALSE,"FCFVAL";"EVAVL",#N/A,FALSE,"EVAVAL";"LEASE",#N/A,FALSE,"OpLease"}</definedName>
    <definedName name="io" localSheetId="38" hidden="1">{"NOPCAPEVA",#N/A,FALSE,"Nopat";"FCFCSTAR",#N/A,FALSE,"FCFVAL";"EVAVL",#N/A,FALSE,"EVAVAL";"LEASE",#N/A,FALSE,"OpLease"}</definedName>
    <definedName name="io" hidden="1">{"NOPCAPEVA",#N/A,FALSE,"Nopat";"FCFCSTAR",#N/A,FALSE,"FCFVAL";"EVAVL",#N/A,FALSE,"EVAVAL";"LEASE",#N/A,FALSE,"OpLease"}</definedName>
    <definedName name="ipo" localSheetId="3" hidden="1">{"'MBU CUR MONTH (isg_sr)'!$A$1:$O$41"}</definedName>
    <definedName name="ipo" localSheetId="5" hidden="1">{"'MBU CUR MONTH (isg_sr)'!$A$1:$O$41"}</definedName>
    <definedName name="ipo" localSheetId="8" hidden="1">{"'MBU CUR MONTH (isg_sr)'!$A$1:$O$41"}</definedName>
    <definedName name="ipo" localSheetId="10" hidden="1">{"'MBU CUR MONTH (isg_sr)'!$A$1:$O$41"}</definedName>
    <definedName name="ipo" localSheetId="12" hidden="1">{"'MBU CUR MONTH (isg_sr)'!$A$1:$O$41"}</definedName>
    <definedName name="ipo" localSheetId="14" hidden="1">{"'MBU CUR MONTH (isg_sr)'!$A$1:$O$41"}</definedName>
    <definedName name="ipo" localSheetId="16" hidden="1">{"'MBU CUR MONTH (isg_sr)'!$A$1:$O$41"}</definedName>
    <definedName name="ipo" localSheetId="22" hidden="1">{"'MBU CUR MONTH (isg_sr)'!$A$1:$O$41"}</definedName>
    <definedName name="ipo" localSheetId="24" hidden="1">{"'MBU CUR MONTH (isg_sr)'!$A$1:$O$41"}</definedName>
    <definedName name="ipo" localSheetId="26" hidden="1">{"'MBU CUR MONTH (isg_sr)'!$A$1:$O$41"}</definedName>
    <definedName name="ipo" localSheetId="28" hidden="1">{"'MBU CUR MONTH (isg_sr)'!$A$1:$O$41"}</definedName>
    <definedName name="ipo" localSheetId="30" hidden="1">{"'MBU CUR MONTH (isg_sr)'!$A$1:$O$41"}</definedName>
    <definedName name="ipo" localSheetId="32" hidden="1">{"'MBU CUR MONTH (isg_sr)'!$A$1:$O$41"}</definedName>
    <definedName name="ipo" localSheetId="34" hidden="1">{"'MBU CUR MONTH (isg_sr)'!$A$1:$O$41"}</definedName>
    <definedName name="ipo" localSheetId="36" hidden="1">{"'MBU CUR MONTH (isg_sr)'!$A$1:$O$41"}</definedName>
    <definedName name="ipo" localSheetId="38" hidden="1">{"'MBU CUR MONTH (isg_sr)'!$A$1:$O$41"}</definedName>
    <definedName name="ipo" hidden="1">{"'MBU CUR MONTH (isg_sr)'!$A$1:$O$41"}</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ODE_INTEREST_PENALTIES" hidden="1">"c15741"</definedName>
    <definedName name="IQ_ACCOUNTING_FFIEC" hidden="1">"c13054"</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"c68"</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 hidden="1">"c1349"</definedName>
    <definedName name="IQ_BV_SHARE" hidden="1">"c100"</definedName>
    <definedName name="IQ_BV_STDDEV_EST_REUT" hidden="1">"c5408"</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Y" hidden="1">"c102"</definedName>
    <definedName name="IQ_CAL_Y_EST" hidden="1">"c6797"</definedName>
    <definedName name="IQ_CAL_Y_EST_CIQ" hidden="1">"c6809"</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PCT_REV" hidden="1">"c19144"</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_CIQ" hidden="1">"c4566"</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HIGH_EST" hidden="1">"c4166"</definedName>
    <definedName name="IQ_CASH_OPER_LOW_EST" hidden="1">"c4244"</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H">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ID_QUICK_MATCH" hidden="1">"c16227"</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MER_LIAB_ACCEPTANCES_OUT_FFIEC" hidden="1">"c12835"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FF_LASTCLOSE_TARGET_PRICE" hidden="1">"c1854"</definedName>
    <definedName name="IQ_DIFF_LASTCLOSE_TARGET_PRICE_CIQ" hidden="1">"c4767"</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_CIQ" hidden="1">"c4803"</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_CIQ" hidden="1">"c4811"</definedName>
    <definedName name="IQ_DISTRIBUTABLE_CASH_SHARES_BASIC" hidden="1">"c16189"</definedName>
    <definedName name="IQ_DISTRIBUTABLE_CASH_SHARES_DILUTED" hidden="1">"c16190"</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ROWTH_1" hidden="1">"c157"</definedName>
    <definedName name="IQ_EBIT_GROWTH_2" hidden="1">"c161"</definedName>
    <definedName name="IQ_EBIT_HOMEBUILDING_SALES" hidden="1">"c15815"</definedName>
    <definedName name="IQ_EBIT_INT" hidden="1">"c360"</definedName>
    <definedName name="IQ_EBIT_MARGIN" hidden="1">"c359"</definedName>
    <definedName name="IQ_EBIT_NET_INT" hidden="1">"c360"</definedName>
    <definedName name="IQ_EBIT_OVER_IE" hidden="1">"c1369"</definedName>
    <definedName name="IQ_EBIT_SBC_ACT_OR_EST_CIQ" hidden="1">"c4841"</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CIQ" hidden="1">"c5060"</definedName>
    <definedName name="IQ_EBITDA_CAPEX" hidden="1">"c19143"</definedName>
    <definedName name="IQ_EBITDA_CAPEX_INT" hidden="1">"c368"</definedName>
    <definedName name="IQ_EBITDA_CAPEX_NET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XCL_SBC" hidden="1">"c3081"</definedName>
    <definedName name="IQ_EBITDA_GROWTH_1" hidden="1">"c156"</definedName>
    <definedName name="IQ_EBITDA_GROWTH_2" hidden="1">"c160"</definedName>
    <definedName name="IQ_EBITDA_HIGH_EST" hidden="1">"c370"</definedName>
    <definedName name="IQ_EBITDA_HIGH_EST_CIQ" hidden="1">"c3624"</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MARGIN" hidden="1">"c372"</definedName>
    <definedName name="IQ_EBITDA_MEDIAN_EST" hidden="1">"c1663"</definedName>
    <definedName name="IQ_EBITDA_MEDIAN_EST_CIQ" hidden="1">"c3623"</definedName>
    <definedName name="IQ_EBITDA_NET_INT" hidden="1">"c373"</definedName>
    <definedName name="IQ_EBITDA_NO_EST" hidden="1">"c267"</definedName>
    <definedName name="IQ_EBITDA_NUM_EST" hidden="1">"c374"</definedName>
    <definedName name="IQ_EBITDA_NUM_EST_CIQ" hidden="1">"c3626"</definedName>
    <definedName name="IQ_EBITDA_OVER_TOTAL_IE" hidden="1">"c1371"</definedName>
    <definedName name="IQ_EBITDA_SBC_ACT_OR_EST_CIQ" hidden="1">"c4862"</definedName>
    <definedName name="IQ_EBITDA_STDDEV_EST" hidden="1">"c375"</definedName>
    <definedName name="IQ_EBITDA_STDDEV_EST_CIQ" hidden="1">"c3627"</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HOMEBUILDING_SALES" hidden="1">"c15816"</definedName>
    <definedName name="IQ_EBT_INCL_MARGIN" hidden="1">"c387"</definedName>
    <definedName name="IQ_EBT_INS" hidden="1">"c388"</definedName>
    <definedName name="IQ_EBT_RE" hidden="1">"c6215"</definedName>
    <definedName name="IQ_EBT_REIT" hidden="1">"c389"</definedName>
    <definedName name="IQ_EBT_SBC_ACT_OR_EST_CIQ" hidden="1">"c4875"</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"c15615"</definedName>
    <definedName name="IQ_ECS_NUM_SHAREHOLDERS_OTHER_ABS" hidden="1">"c15632"</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P" hidden="1">"c8880"</definedName>
    <definedName name="IQ_EPS_AP_ABS" hidden="1">"c8899"</definedName>
    <definedName name="IQ_EPS_EST" hidden="1">"c399"</definedName>
    <definedName name="IQ_EPS_EST_1" hidden="1">"c189"</definedName>
    <definedName name="IQ_EPS_EST_CIQ" hidden="1">"c4994"</definedName>
    <definedName name="IQ_EPS_GW_ACT_OR_EST_CIQ" hidden="1">"c5066"</definedName>
    <definedName name="IQ_EPS_GW_EST" hidden="1">"c1737"</definedName>
    <definedName name="IQ_EPS_GW_EST_CIQ" hidden="1">"c4723"</definedName>
    <definedName name="IQ_EPS_GW_HIGH_EST" hidden="1">"c1739"</definedName>
    <definedName name="IQ_EPS_GW_HIGH_EST_CIQ" hidden="1">"c4725"</definedName>
    <definedName name="IQ_EPS_GW_LOW_EST" hidden="1">"c1740"</definedName>
    <definedName name="IQ_EPS_GW_LOW_EST_CIQ" hidden="1">"c4726"</definedName>
    <definedName name="IQ_EPS_GW_MEDIAN_EST" hidden="1">"c1738"</definedName>
    <definedName name="IQ_EPS_GW_MEDIAN_EST_CIQ" hidden="1">"c4724"</definedName>
    <definedName name="IQ_EPS_GW_NUM_EST" hidden="1">"c1741"</definedName>
    <definedName name="IQ_EPS_GW_NUM_EST_CIQ" hidden="1">"c4727"</definedName>
    <definedName name="IQ_EPS_GW_STDDEV_EST" hidden="1">"c1742"</definedName>
    <definedName name="IQ_EPS_GW_STDDEV_EST_CIQ" hidden="1">"c4728"</definedName>
    <definedName name="IQ_EPS_HIGH_EST" hidden="1">"c400"</definedName>
    <definedName name="IQ_EPS_HIGH_EST_CIQ" hidden="1">"c4995"</definedName>
    <definedName name="IQ_EPS_LOW_EST" hidden="1">"c401"</definedName>
    <definedName name="IQ_EPS_LOW_EST_CIQ" hidden="1">"c4996"</definedName>
    <definedName name="IQ_EPS_MEDIAN_EST" hidden="1">"c1661"</definedName>
    <definedName name="IQ_EPS_MEDIAN_EST_CIQ" hidden="1">"c4997"</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CIQ" hidden="1">"c4667"</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REPORT_ACT_OR_EST_CIQ" hidden="1">"c5067"</definedName>
    <definedName name="IQ_EPS_REPORTED_EST" hidden="1">"c1744"</definedName>
    <definedName name="IQ_EPS_REPORTED_EST_CIQ" hidden="1">"c4730"</definedName>
    <definedName name="IQ_EPS_REPORTED_HIGH_EST" hidden="1">"c1746"</definedName>
    <definedName name="IQ_EPS_REPORTED_HIGH_EST_CIQ" hidden="1">"c4732"</definedName>
    <definedName name="IQ_EPS_REPORTED_LOW_EST" hidden="1">"c1747"</definedName>
    <definedName name="IQ_EPS_REPORTED_LOW_EST_CIQ" hidden="1">"c4733"</definedName>
    <definedName name="IQ_EPS_REPORTED_MEDIAN_EST" hidden="1">"c1745"</definedName>
    <definedName name="IQ_EPS_REPORTED_MEDIAN_EST_CIQ" hidden="1">"c4731"</definedName>
    <definedName name="IQ_EPS_REPORTED_NUM_EST" hidden="1">"c1748"</definedName>
    <definedName name="IQ_EPS_REPORTED_NUM_EST_CIQ" hidden="1">"c4734"</definedName>
    <definedName name="IQ_EPS_REPORTED_STDDEV_EST" hidden="1">"c1749"</definedName>
    <definedName name="IQ_EPS_REPORTED_STDDEV_EST_CIQ" hidden="1">"c4735"</definedName>
    <definedName name="IQ_EPS_SBC_ACT_OR_EST_CIQ" hidden="1">"c4901"</definedName>
    <definedName name="IQ_EPS_SBC_GW_ACT_OR_EST_CIQ" hidden="1">"c4905"</definedName>
    <definedName name="IQ_EPS_STDDEV_EST" hidden="1">"c403"</definedName>
    <definedName name="IQ_EPS_STDDEV_EST_CIQ" hidden="1">"c4993"</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T_ACT_BV_REUT" hidden="1">"c5409"</definedName>
    <definedName name="IQ_EST_ACT_EPS" hidden="1">"c1648"</definedName>
    <definedName name="IQ_EST_ACT_EPS_GW" hidden="1">"c1743"</definedName>
    <definedName name="IQ_EST_ACT_EPS_GW_CIQ" hidden="1">"c4729"</definedName>
    <definedName name="IQ_EST_ACT_EPS_NORM" hidden="1">"c2232"</definedName>
    <definedName name="IQ_EST_ACT_EPS_NORM_CIQ" hidden="1">"c4673"</definedName>
    <definedName name="IQ_EST_ACT_EPS_REPORTED" hidden="1">"c1750"</definedName>
    <definedName name="IQ_EST_ACT_EPS_REPORTED_CIQ" hidden="1">"c4736"</definedName>
    <definedName name="IQ_EST_ACT_FFO_REUT" hidden="1">"c3843"</definedName>
    <definedName name="IQ_EST_BV_DIFF_REUT" hidden="1">"c5433"</definedName>
    <definedName name="IQ_EST_BV_SURPRISE_PERCENT_REUT" hidden="1">"c5434"</definedName>
    <definedName name="IQ_EST_CURRENCY" hidden="1">"c2140"</definedName>
    <definedName name="IQ_EST_CURRENCY_CIQ" hidden="1">"c4769"</definedName>
    <definedName name="IQ_EST_DATE" hidden="1">"c1634"</definedName>
    <definedName name="IQ_EST_DATE_CIQ" hidden="1">"c4770"</definedName>
    <definedName name="IQ_EST_EPS_DIFF" hidden="1">"c1864"</definedName>
    <definedName name="IQ_EST_EPS_GROWTH_1YR" hidden="1">"c1636"</definedName>
    <definedName name="IQ_EST_EPS_GROWTH_1YR_CIQ" hidden="1">"c3628"</definedName>
    <definedName name="IQ_EST_EPS_GROWTH_2YR" hidden="1">"c1637"</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W_DIFF" hidden="1">"c1891"</definedName>
    <definedName name="IQ_EST_EPS_GW_DIFF_CIQ" hidden="1">"c4761"</definedName>
    <definedName name="IQ_EST_EPS_GW_SURPRISE_PERCENT" hidden="1">"c1892"</definedName>
    <definedName name="IQ_EST_EPS_GW_SURPRISE_PERCENT_CIQ" hidden="1">"c4762"</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SURPRISE_PERCENT" hidden="1">"c1894"</definedName>
    <definedName name="IQ_EST_EPS_REPORT_SURPRISE_PERCENT_CIQ" hidden="1">"c4764"</definedName>
    <definedName name="IQ_EST_EPS_SURPRISE" hidden="1">"c1635"</definedName>
    <definedName name="IQ_EST_FAIR_VALUE_MORT_SERVICING_ASSETS_FFIEC" hidden="1">"c12956"</definedName>
    <definedName name="IQ_EST_FFO_DIFF_REUT" hidden="1">"c3890"</definedName>
    <definedName name="IQ_EST_FFO_SURPRISE_PERCENT_REUT" hidden="1">"c3891"</definedName>
    <definedName name="IQ_EST_FOOTNOTE" hidden="1">"c4540"</definedName>
    <definedName name="IQ_EST_FOOTNOTE_CIQ" hidden="1">"c12022"</definedName>
    <definedName name="IQ_EST_NUM_BUY_REUT" hidden="1">"c3869"</definedName>
    <definedName name="IQ_EST_NUM_HOLD_REUT" hidden="1">"c3871"</definedName>
    <definedName name="IQ_EST_NUM_OUTPERFORM_REUT" hidden="1">"c3870"</definedName>
    <definedName name="IQ_EST_NUM_SELL_REUT" hidden="1">"c3873"</definedName>
    <definedName name="IQ_EST_NUM_UNDERPERFORM_REUT" hidden="1">"c3872"</definedName>
    <definedName name="IQ_EST_REV_GROWTH_1YR" hidden="1">"c1638"</definedName>
    <definedName name="IQ_EST_REV_GROWTH_2YR" hidden="1">"c1639"</definedName>
    <definedName name="IQ_EST_REV_GROWTH_Q_1YR" hidden="1">"c1640"</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EMAIL" hidden="1">"c19162"</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XCEL_DATA_METHOD" hidden="1">"c16229"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CODE_" hidden="1">100</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PURCHASED_RELATED" hidden="1">"c19132"</definedName>
    <definedName name="IQ_FEDFUNDS_SOLD" hidden="1">"c2256"</definedName>
    <definedName name="IQ_FEDFUNDS_SOLD_RELATED" hidden="1">"c19130"</definedName>
    <definedName name="IQ_FEES_COMMISSIONS_BROKERAGE_FFIEC" hidden="1">"c13005"</definedName>
    <definedName name="IQ_FEES_OTHER_INCOME" hidden="1">"c15257"</definedName>
    <definedName name="IQ_FFO" hidden="1">"c1574"</definedName>
    <definedName name="IQ_FFO_ADJ_ACT_OR_EST_CIQ" hidden="1">"c4960"</definedName>
    <definedName name="IQ_FFO_DILUTED" hidden="1">"c16186"</definedName>
    <definedName name="IQ_FFO_EST" hidden="1">"c418"</definedName>
    <definedName name="IQ_FFO_EST_REUT" hidden="1">"c3837"</definedName>
    <definedName name="IQ_FFO_HIGH_EST" hidden="1">"c419"</definedName>
    <definedName name="IQ_FFO_HIGH_EST_REUT" hidden="1">"c3839"</definedName>
    <definedName name="IQ_FFO_LOW_EST" hidden="1">"c420"</definedName>
    <definedName name="IQ_FFO_LOW_EST_REUT" hidden="1">"c3840"</definedName>
    <definedName name="IQ_FFO_MEDIAN_EST_REUT" hidden="1">"c3838"</definedName>
    <definedName name="IQ_FFO_NO_EST" hidden="1">"c276"</definedName>
    <definedName name="IQ_FFO_NUM_EST" hidden="1">"c421"</definedName>
    <definedName name="IQ_FFO_NUM_EST_REUT" hidden="1">"c3841"</definedName>
    <definedName name="IQ_FFO_PAYOUT_RATIO" hidden="1">"c3492"</definedName>
    <definedName name="IQ_FFO_PER_SHARE_BASIC" hidden="1">"c8867"</definedName>
    <definedName name="IQ_FFO_PER_SHARE_DILUTED" hidden="1">"c8868"</definedName>
    <definedName name="IQ_FFO_SHARE_ACT_OR_EST_CIQ" hidden="1">"c4971"</definedName>
    <definedName name="IQ_FFO_SHARES_BASIC" hidden="1">"c16185"</definedName>
    <definedName name="IQ_FFO_SHARES_DILUTED" hidden="1">"c16187"</definedName>
    <definedName name="IQ_FFO_STDDEV_EST" hidden="1">"c422"</definedName>
    <definedName name="IQ_FFO_STDDEV_EST_REUT" hidden="1">"c3842"</definedName>
    <definedName name="IQ_FFO_TOTAL_REVENUE" hidden="1">"c16060"</definedName>
    <definedName name="IQ_FH">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Y" hidden="1">"c441"</definedName>
    <definedName name="IQ_FISCAL_Y_EST" hidden="1">"c6795"</definedName>
    <definedName name="IQ_FISCAL_Y_EST_CIQ" hidden="1">"c6807"</definedName>
    <definedName name="IQ_FIVE_PERCENT_AMOUNT" hidden="1">"c240"</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 hidden="1">"c225"</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Q">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1000</definedName>
    <definedName name="IQ_FY_DATE" hidden="1">"IQ_FY_DATE"</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PRICE" hidden="1">"c545"</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AL_AMOUNT" hidden="1">"c236"</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S_NET" hidden="1">"c1407"</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"c151"</definedName>
    <definedName name="IQ_LAST_EBITDA_MARGIN" hidden="1">"c150"</definedName>
    <definedName name="IQ_LAST_GROSS_MARGIN" hidden="1">"c149"</definedName>
    <definedName name="IQ_LAST_NET_INC_MARGIN" hidden="1">"c152"</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CORE_FUNDING_FFIEC" hidden="1">"c13339"</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HIGH_EST" hidden="1">"c4460"</definedName>
    <definedName name="IQ_MAINT_CAPEX_LOW_EST" hidden="1">"c4461"</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MOTION_EXPENSE" hidden="1">"c16035"</definedName>
    <definedName name="IQ_MARKTCAP" hidden="1">"c258"</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TM_ADJ" hidden="1">"c16000"</definedName>
    <definedName name="IQ_MULTI_RES_PROPERTIES_TRADING_DOM_FFIEC" hidden="1">"c12930"</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TUAL_FUND_LIST" hidden="1">"c19092"</definedName>
    <definedName name="IQ_NAMES_REVISION_DATE_" hidden="1">41666.7099189815</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RE" hidden="1">"c15996"</definedName>
    <definedName name="IQ_NAV_SHARE_RE" hidden="1">"c16011"</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NONINTEREST_INC_EXP_INTERNATIONAL_OPS_FFIEC" hidden="1">"c15387"</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FFIEC" hidden="1">"c13034"</definedName>
    <definedName name="IQ_NI_MARGIN" hidden="1">"c794"</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_CIQ" hidden="1">"c5012"</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FLOAT" hidden="1">"c227"</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OPERATING_INC_AVG_ASSETS_FFIEC" hidden="1">"c13365"</definedName>
    <definedName name="IQ_PRETAX_RETURN_ASSETS_FDIC" hidden="1">"c6731"</definedName>
    <definedName name="IQ_PREV_MONTHLY_FACTOR" hidden="1">"c8973"</definedName>
    <definedName name="IQ_PREV_MONTHLY_FACTOR_DATE" hidden="1">"c8974"</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DATE" hidden="1">"c1069"</definedName>
    <definedName name="IQ_PRICEDATETIME" hidden="1">"IQ_PRICEDATETIME"</definedName>
    <definedName name="IQ_PRICING_DATE" hidden="1">"c1613"</definedName>
    <definedName name="IQ_PRIMARY_EST_CONSOLIDATION" hidden="1">"c16246"</definedName>
    <definedName name="IQ_PRIMARY_EST_CONSOLIDATION_CIQ" hidden="1">"c16247"</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RATIO" hidden="1">"c1086"</definedName>
    <definedName name="IQ_RATE_COMP_GROWTH_DOMESTIC" hidden="1">"c1087"</definedName>
    <definedName name="IQ_RATE_COMP_GROWTH_FOREIGN" hidden="1">"c1088"</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_CIQ" hidden="1">"c5045"</definedName>
    <definedName name="IQ_RECURRING_PROFIT_SHARE_ACT_OR_EST_CIQ" hidden="1">"c5046"</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_CIQ" hidden="1">"c5059"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1" hidden="1">"c190"</definedName>
    <definedName name="IQ_REVENUE_EST_CIQ" hidden="1">"c3616"</definedName>
    <definedName name="IQ_REVENUE_GROWTH_1" hidden="1">"c155"</definedName>
    <definedName name="IQ_REVENUE_GROWTH_2" hidden="1">"c159"</definedName>
    <definedName name="IQ_REVENUE_HIGH_EST" hidden="1">"c1127"</definedName>
    <definedName name="IQ_REVENUE_HIGH_EST_CIQ" hidden="1">"c3618"</definedName>
    <definedName name="IQ_REVENUE_LOW_EST" hidden="1">"c1128"</definedName>
    <definedName name="IQ_REVENUE_LOW_EST_CIQ" hidden="1">"c3619"</definedName>
    <definedName name="IQ_REVENUE_MEDIAN_EST" hidden="1">"c1662"</definedName>
    <definedName name="IQ_REVENUE_MEDIAN_EST_CIQ" hidden="1">"c3617"</definedName>
    <definedName name="IQ_REVENUE_NO_EST" hidden="1">"c263"</definedName>
    <definedName name="IQ_REVENUE_NUM_EST" hidden="1">"c1129"</definedName>
    <definedName name="IQ_REVENUE_NUM_EST_CIQ" hidden="1">"c3620"</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39854.4214583333</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POSITIONS_FFIEC" hidden="1">"c12859"</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NTHETIC_STRUCTURED_PRODUCTS_AVAIL_SALE_FFIEC" hidden="1">"c15264"</definedName>
    <definedName name="IQ_SYNTHETIC_STRUCTURED_PRODUCTS_FFIEC" hidden="1">"c15261"</definedName>
    <definedName name="IQ_TANGIBLE_EQUITY_ASSETS_FFIEC" hidden="1">"c13346"</definedName>
    <definedName name="IQ_TANGIBLE_TIER_1_LEVERAGE_FFIEC" hidden="1">"c13345"</definedName>
    <definedName name="IQ_TARGET_PRICE_NUM" hidden="1">"c1653"</definedName>
    <definedName name="IQ_TARGET_PRICE_NUM_CIQ" hidden="1">"c4661"</definedName>
    <definedName name="IQ_TARGET_PRICE_STDDEV" hidden="1">"c1654"</definedName>
    <definedName name="IQ_TARGET_PRICE_STDDEV_CIQ" hidden="1">"c4662"</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THAN_100K_FDIC" hidden="1">"c6465"</definedName>
    <definedName name="IQ_TIME_DEPOSITS_MORE_100K_OTHER_INSTITUTIONS_FFIEC" hidden="1">"c12954"</definedName>
    <definedName name="IQ_TIME_DEPOSITS_MORE_THAN_100K_FDIC" hidden="1">"c6470"</definedName>
    <definedName name="IQ_TIME_DEPOSITS_TOTAL_DEPOSITS" hidden="1">"c15723"</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NTAL_REVENUE" hidden="1">"c16022"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AL" hidden="1">"c1308"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PIRED_DATE" hidden="1">"c2412"</definedName>
    <definedName name="IQ_TR_GROSS_OFFERING_AMT" hidden="1">"c2262"</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DA" hidden="1">"c2303"</definedName>
    <definedName name="IQ_TR_IMPLIED_EV_EBITDA_FINAL" hidden="1">"c16251"</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TOCK_CONSID_PCT_FINAL" hidden="1">"c16270"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A6" hidden="1">"$A$7:$A$260"</definedName>
    <definedName name="IQRAB49" hidden="1">"$AB$50:$AB$729"</definedName>
    <definedName name="IQRAC49" hidden="1">"$AC$50:$AC$729"</definedName>
    <definedName name="IQRAC9" hidden="1">"$AC$10:$AC$262"</definedName>
    <definedName name="IQRAD49" hidden="1">"$AD$50:$AD$729"</definedName>
    <definedName name="IQRAD8" hidden="1">"$AD$9:$AD$260"</definedName>
    <definedName name="IQRAD9" hidden="1">"$AD$10:$AD$263"</definedName>
    <definedName name="IQRAE8" hidden="1">"$AE$9:$AE$260"</definedName>
    <definedName name="IQRAE9" hidden="1">"$AE$10:$AE$263"</definedName>
    <definedName name="IQRAF8" hidden="1">"$AF$9:$AF$260"</definedName>
    <definedName name="IQRAF9" hidden="1">"$AF$10:$AF$263"</definedName>
    <definedName name="IQRAG9" hidden="1">"$AG$10:$AG$261"</definedName>
    <definedName name="IQRAH8" hidden="1">"$AH$9:$AH$765"</definedName>
    <definedName name="IQRAH9" hidden="1">"$AH$10:$AH$772"</definedName>
    <definedName name="IQRAI8" hidden="1">"$AI$9:$AI$765"</definedName>
    <definedName name="IQRAI9" hidden="1">"$AI$10:$AI$772"</definedName>
    <definedName name="IQRAJ8" hidden="1">"$AJ$9:$AJ$765"</definedName>
    <definedName name="IQRAJ9" hidden="1">"$AJ$10:$AJ$772"</definedName>
    <definedName name="IQRAK9" hidden="1">"$AK$10:$AK$767"</definedName>
    <definedName name="IQRAL9" hidden="1">"$AL$10:$AL$764"</definedName>
    <definedName name="IQRAM9" hidden="1">"$AM$10:$AM$763"</definedName>
    <definedName name="IQRAN9" hidden="1">"$AN$10:$AN$779"</definedName>
    <definedName name="IQRAO9" hidden="1">"$AO$10:$AO$12"</definedName>
    <definedName name="IQRAP9" hidden="1">"$AP$10:$AP$12"</definedName>
    <definedName name="IQRAQ9" hidden="1">"$AQ$10:$AQ$12"</definedName>
    <definedName name="IQRAR9" hidden="1">"$AR$10:$AR$2413"</definedName>
    <definedName name="IQRAS9" hidden="1">"$AS$10:$AS$431"</definedName>
    <definedName name="IQRAT9" hidden="1">"$AT$10:$AT$431"</definedName>
    <definedName name="IQRAU10" hidden="1">"$AU$11:$AU$982"</definedName>
    <definedName name="IQRAU9" hidden="1">"$AU$10:$AU$261"</definedName>
    <definedName name="IQRAV10" hidden="1">"$AV$11:$AV$982"</definedName>
    <definedName name="IQRAV9" hidden="1">"$AV$10:$AV$261"</definedName>
    <definedName name="IQRAW10" hidden="1">"$AW$11:$AW$982"</definedName>
    <definedName name="IQRAW9" hidden="1">"$AW$10:$AW$261"</definedName>
    <definedName name="IQRAX9" hidden="1">"$AX$10"</definedName>
    <definedName name="IQRAY36" hidden="1">"$AY$37"</definedName>
    <definedName name="IQRAY9" hidden="1">"$AY$10:$AY$762"</definedName>
    <definedName name="IQRAZ9" hidden="1">"$AZ$10:$AZ$762"</definedName>
    <definedName name="IQRB16" hidden="1">"$B$17:$B$270"</definedName>
    <definedName name="IQRB18" hidden="1">"$B$19:$B$272"</definedName>
    <definedName name="IQRB21" hidden="1">"$B$22:$B$275"</definedName>
    <definedName name="IQRB5" hidden="1">"$B$6:$B$1265"</definedName>
    <definedName name="IQRBA9" hidden="1">"$BA$10:$BA$762"</definedName>
    <definedName name="IQRBF9" hidden="1">"$BF$10:$BF$431"</definedName>
    <definedName name="IQRBJ9" hidden="1">"$BJ$10:$BJ$431"</definedName>
    <definedName name="IQRC5" hidden="1">"$C$6:$C$3783"</definedName>
    <definedName name="IQRD16" hidden="1">"$D$17:$D$270"</definedName>
    <definedName name="IQRD18" hidden="1">"$D$19:$D$272"</definedName>
    <definedName name="IQRD21" hidden="1">"$D$22:$D$275"</definedName>
    <definedName name="IQRD3" hidden="1">"$D$4:$D$2630"</definedName>
    <definedName name="IQRE3" hidden="1">"$E$4:$E$2630"</definedName>
    <definedName name="IQRETACQ2" hidden="1">"c2895"</definedName>
    <definedName name="IQRETAIL2" hidden="1">"c2903"</definedName>
    <definedName name="IQRF3" hidden="1">"$F$4:$F$2628"</definedName>
    <definedName name="IQRG3" hidden="1">"$G$4:$G$2628"</definedName>
    <definedName name="IQRJ16" hidden="1">"$J$17:$J$270"</definedName>
    <definedName name="IQRJ18" hidden="1">"$J$19:$J$272"</definedName>
    <definedName name="IQRJ21" hidden="1">"$J$22:$J$275"</definedName>
    <definedName name="IQRJ8" hidden="1">"$J$9"</definedName>
    <definedName name="IQRM7" hidden="1">"$M$8:$M$211"</definedName>
    <definedName name="IQRO16" hidden="1">"$O$17:$O$270"</definedName>
    <definedName name="IQRO18" hidden="1">"$O$19:$O$272"</definedName>
    <definedName name="IQRO21" hidden="1">"$O$22:$O$275"</definedName>
    <definedName name="IQRP4" hidden="1">"$P$5"</definedName>
    <definedName name="IQRQ4" hidden="1">"$Q$5"</definedName>
    <definedName name="IQRR4" hidden="1">"$R$5:$R$258"</definedName>
    <definedName name="IQRR7" hidden="1">"$R$8:$R$512"</definedName>
    <definedName name="IQRR8" hidden="1">"$R$9:$R$514"</definedName>
    <definedName name="IQRS4" hidden="1">"$S$5"</definedName>
    <definedName name="IQRS8" hidden="1">"$S$9:$S$514"</definedName>
    <definedName name="IQRT7" hidden="1">"$T$8:$T$211"</definedName>
    <definedName name="IQRT8" hidden="1">"$T$9:$T$514"</definedName>
    <definedName name="IQRTradingAD9" hidden="1">#REF!</definedName>
    <definedName name="IQRTradingAE9" hidden="1">#REF!</definedName>
    <definedName name="IQRTradingAF9" hidden="1">#REF!</definedName>
    <definedName name="IQRTradingAH9" hidden="1">#REF!</definedName>
    <definedName name="IQRTradingAI9" hidden="1">#REF!</definedName>
    <definedName name="IQRTradingAJ9" hidden="1">#REF!</definedName>
    <definedName name="IQRU7" hidden="1">"$U$8:$U$510"</definedName>
    <definedName name="IQRU9" hidden="1">"$U$10:$U$262"</definedName>
    <definedName name="IQRV9" hidden="1">"$V$10:$V$262"</definedName>
    <definedName name="IQRW9" hidden="1">"$W$10:$W$262"</definedName>
    <definedName name="IQSCompsScrubbedFwdHcoded2F6" hidden="1">"$F$7:$F$169"</definedName>
    <definedName name="IQXDIV" hidden="1">"c2203"</definedName>
    <definedName name="IR">#REF!</definedName>
    <definedName name="iruyt" localSheetId="3" hidden="1">{"AnnInc",#N/A,TRUE,"Inc";"QtrInc1",#N/A,TRUE,"Inc";"Balance",#N/A,TRUE,"Bal";"Cflow",#N/A,TRUE,"Cash"}</definedName>
    <definedName name="iruyt" localSheetId="5" hidden="1">{"AnnInc",#N/A,TRUE,"Inc";"QtrInc1",#N/A,TRUE,"Inc";"Balance",#N/A,TRUE,"Bal";"Cflow",#N/A,TRUE,"Cash"}</definedName>
    <definedName name="iruyt" localSheetId="8" hidden="1">{"AnnInc",#N/A,TRUE,"Inc";"QtrInc1",#N/A,TRUE,"Inc";"Balance",#N/A,TRUE,"Bal";"Cflow",#N/A,TRUE,"Cash"}</definedName>
    <definedName name="iruyt" localSheetId="10" hidden="1">{"AnnInc",#N/A,TRUE,"Inc";"QtrInc1",#N/A,TRUE,"Inc";"Balance",#N/A,TRUE,"Bal";"Cflow",#N/A,TRUE,"Cash"}</definedName>
    <definedName name="iruyt" localSheetId="12" hidden="1">{"AnnInc",#N/A,TRUE,"Inc";"QtrInc1",#N/A,TRUE,"Inc";"Balance",#N/A,TRUE,"Bal";"Cflow",#N/A,TRUE,"Cash"}</definedName>
    <definedName name="iruyt" localSheetId="14" hidden="1">{"AnnInc",#N/A,TRUE,"Inc";"QtrInc1",#N/A,TRUE,"Inc";"Balance",#N/A,TRUE,"Bal";"Cflow",#N/A,TRUE,"Cash"}</definedName>
    <definedName name="iruyt" localSheetId="16" hidden="1">{"AnnInc",#N/A,TRUE,"Inc";"QtrInc1",#N/A,TRUE,"Inc";"Balance",#N/A,TRUE,"Bal";"Cflow",#N/A,TRUE,"Cash"}</definedName>
    <definedName name="iruyt" localSheetId="22" hidden="1">{"AnnInc",#N/A,TRUE,"Inc";"QtrInc1",#N/A,TRUE,"Inc";"Balance",#N/A,TRUE,"Bal";"Cflow",#N/A,TRUE,"Cash"}</definedName>
    <definedName name="iruyt" localSheetId="24" hidden="1">{"AnnInc",#N/A,TRUE,"Inc";"QtrInc1",#N/A,TRUE,"Inc";"Balance",#N/A,TRUE,"Bal";"Cflow",#N/A,TRUE,"Cash"}</definedName>
    <definedName name="iruyt" localSheetId="26" hidden="1">{"AnnInc",#N/A,TRUE,"Inc";"QtrInc1",#N/A,TRUE,"Inc";"Balance",#N/A,TRUE,"Bal";"Cflow",#N/A,TRUE,"Cash"}</definedName>
    <definedName name="iruyt" localSheetId="28" hidden="1">{"AnnInc",#N/A,TRUE,"Inc";"QtrInc1",#N/A,TRUE,"Inc";"Balance",#N/A,TRUE,"Bal";"Cflow",#N/A,TRUE,"Cash"}</definedName>
    <definedName name="iruyt" localSheetId="30" hidden="1">{"AnnInc",#N/A,TRUE,"Inc";"QtrInc1",#N/A,TRUE,"Inc";"Balance",#N/A,TRUE,"Bal";"Cflow",#N/A,TRUE,"Cash"}</definedName>
    <definedName name="iruyt" localSheetId="32" hidden="1">{"AnnInc",#N/A,TRUE,"Inc";"QtrInc1",#N/A,TRUE,"Inc";"Balance",#N/A,TRUE,"Bal";"Cflow",#N/A,TRUE,"Cash"}</definedName>
    <definedName name="iruyt" localSheetId="34" hidden="1">{"AnnInc",#N/A,TRUE,"Inc";"QtrInc1",#N/A,TRUE,"Inc";"Balance",#N/A,TRUE,"Bal";"Cflow",#N/A,TRUE,"Cash"}</definedName>
    <definedName name="iruyt" localSheetId="36" hidden="1">{"AnnInc",#N/A,TRUE,"Inc";"QtrInc1",#N/A,TRUE,"Inc";"Balance",#N/A,TRUE,"Bal";"Cflow",#N/A,TRUE,"Cash"}</definedName>
    <definedName name="iruyt" localSheetId="38" hidden="1">{"AnnInc",#N/A,TRUE,"Inc";"QtrInc1",#N/A,TRUE,"Inc";"Balance",#N/A,TRUE,"Bal";"Cflow",#N/A,TRUE,"Cash"}</definedName>
    <definedName name="iruyt" hidden="1">{"AnnInc",#N/A,TRUE,"Inc";"QtrInc1",#N/A,TRUE,"Inc";"Balance",#N/A,TRUE,"Bal";"Cflow",#N/A,TRUE,"Cash"}</definedName>
    <definedName name="Issue_Status">#REF!</definedName>
    <definedName name="IssueList">#REF!</definedName>
    <definedName name="issues_display">#REF!</definedName>
    <definedName name="ITZ" localSheetId="3" hidden="1">{#N/A,#N/A,FALSE,"bs_cons";#N/A,#N/A,FALSE,"bs_grup";#N/A,#N/A,FALSE,"bs_umpl";#N/A,#N/A,FALSE,"bs_bim";#N/A,#N/A,FALSE,"bs_bdb";#N/A,#N/A,FALSE,"bs_mq32";#N/A,#N/A,FALSE,"bs_bsrl"}</definedName>
    <definedName name="ITZ" localSheetId="5" hidden="1">{#N/A,#N/A,FALSE,"bs_cons";#N/A,#N/A,FALSE,"bs_grup";#N/A,#N/A,FALSE,"bs_umpl";#N/A,#N/A,FALSE,"bs_bim";#N/A,#N/A,FALSE,"bs_bdb";#N/A,#N/A,FALSE,"bs_mq32";#N/A,#N/A,FALSE,"bs_bsrl"}</definedName>
    <definedName name="ITZ" localSheetId="8" hidden="1">{#N/A,#N/A,FALSE,"bs_cons";#N/A,#N/A,FALSE,"bs_grup";#N/A,#N/A,FALSE,"bs_umpl";#N/A,#N/A,FALSE,"bs_bim";#N/A,#N/A,FALSE,"bs_bdb";#N/A,#N/A,FALSE,"bs_mq32";#N/A,#N/A,FALSE,"bs_bsrl"}</definedName>
    <definedName name="ITZ" localSheetId="10" hidden="1">{#N/A,#N/A,FALSE,"bs_cons";#N/A,#N/A,FALSE,"bs_grup";#N/A,#N/A,FALSE,"bs_umpl";#N/A,#N/A,FALSE,"bs_bim";#N/A,#N/A,FALSE,"bs_bdb";#N/A,#N/A,FALSE,"bs_mq32";#N/A,#N/A,FALSE,"bs_bsrl"}</definedName>
    <definedName name="ITZ" localSheetId="12" hidden="1">{#N/A,#N/A,FALSE,"bs_cons";#N/A,#N/A,FALSE,"bs_grup";#N/A,#N/A,FALSE,"bs_umpl";#N/A,#N/A,FALSE,"bs_bim";#N/A,#N/A,FALSE,"bs_bdb";#N/A,#N/A,FALSE,"bs_mq32";#N/A,#N/A,FALSE,"bs_bsrl"}</definedName>
    <definedName name="ITZ" localSheetId="14" hidden="1">{#N/A,#N/A,FALSE,"bs_cons";#N/A,#N/A,FALSE,"bs_grup";#N/A,#N/A,FALSE,"bs_umpl";#N/A,#N/A,FALSE,"bs_bim";#N/A,#N/A,FALSE,"bs_bdb";#N/A,#N/A,FALSE,"bs_mq32";#N/A,#N/A,FALSE,"bs_bsrl"}</definedName>
    <definedName name="ITZ" localSheetId="16" hidden="1">{#N/A,#N/A,FALSE,"bs_cons";#N/A,#N/A,FALSE,"bs_grup";#N/A,#N/A,FALSE,"bs_umpl";#N/A,#N/A,FALSE,"bs_bim";#N/A,#N/A,FALSE,"bs_bdb";#N/A,#N/A,FALSE,"bs_mq32";#N/A,#N/A,FALSE,"bs_bsrl"}</definedName>
    <definedName name="ITZ" localSheetId="22" hidden="1">{#N/A,#N/A,FALSE,"bs_cons";#N/A,#N/A,FALSE,"bs_grup";#N/A,#N/A,FALSE,"bs_umpl";#N/A,#N/A,FALSE,"bs_bim";#N/A,#N/A,FALSE,"bs_bdb";#N/A,#N/A,FALSE,"bs_mq32";#N/A,#N/A,FALSE,"bs_bsrl"}</definedName>
    <definedName name="ITZ" localSheetId="24" hidden="1">{#N/A,#N/A,FALSE,"bs_cons";#N/A,#N/A,FALSE,"bs_grup";#N/A,#N/A,FALSE,"bs_umpl";#N/A,#N/A,FALSE,"bs_bim";#N/A,#N/A,FALSE,"bs_bdb";#N/A,#N/A,FALSE,"bs_mq32";#N/A,#N/A,FALSE,"bs_bsrl"}</definedName>
    <definedName name="ITZ" localSheetId="26" hidden="1">{#N/A,#N/A,FALSE,"bs_cons";#N/A,#N/A,FALSE,"bs_grup";#N/A,#N/A,FALSE,"bs_umpl";#N/A,#N/A,FALSE,"bs_bim";#N/A,#N/A,FALSE,"bs_bdb";#N/A,#N/A,FALSE,"bs_mq32";#N/A,#N/A,FALSE,"bs_bsrl"}</definedName>
    <definedName name="ITZ" localSheetId="28" hidden="1">{#N/A,#N/A,FALSE,"bs_cons";#N/A,#N/A,FALSE,"bs_grup";#N/A,#N/A,FALSE,"bs_umpl";#N/A,#N/A,FALSE,"bs_bim";#N/A,#N/A,FALSE,"bs_bdb";#N/A,#N/A,FALSE,"bs_mq32";#N/A,#N/A,FALSE,"bs_bsrl"}</definedName>
    <definedName name="ITZ" localSheetId="30" hidden="1">{#N/A,#N/A,FALSE,"bs_cons";#N/A,#N/A,FALSE,"bs_grup";#N/A,#N/A,FALSE,"bs_umpl";#N/A,#N/A,FALSE,"bs_bim";#N/A,#N/A,FALSE,"bs_bdb";#N/A,#N/A,FALSE,"bs_mq32";#N/A,#N/A,FALSE,"bs_bsrl"}</definedName>
    <definedName name="ITZ" localSheetId="32" hidden="1">{#N/A,#N/A,FALSE,"bs_cons";#N/A,#N/A,FALSE,"bs_grup";#N/A,#N/A,FALSE,"bs_umpl";#N/A,#N/A,FALSE,"bs_bim";#N/A,#N/A,FALSE,"bs_bdb";#N/A,#N/A,FALSE,"bs_mq32";#N/A,#N/A,FALSE,"bs_bsrl"}</definedName>
    <definedName name="ITZ" localSheetId="34" hidden="1">{#N/A,#N/A,FALSE,"bs_cons";#N/A,#N/A,FALSE,"bs_grup";#N/A,#N/A,FALSE,"bs_umpl";#N/A,#N/A,FALSE,"bs_bim";#N/A,#N/A,FALSE,"bs_bdb";#N/A,#N/A,FALSE,"bs_mq32";#N/A,#N/A,FALSE,"bs_bsrl"}</definedName>
    <definedName name="ITZ" localSheetId="36" hidden="1">{#N/A,#N/A,FALSE,"bs_cons";#N/A,#N/A,FALSE,"bs_grup";#N/A,#N/A,FALSE,"bs_umpl";#N/A,#N/A,FALSE,"bs_bim";#N/A,#N/A,FALSE,"bs_bdb";#N/A,#N/A,FALSE,"bs_mq32";#N/A,#N/A,FALSE,"bs_bsrl"}</definedName>
    <definedName name="ITZ" localSheetId="38" hidden="1">{#N/A,#N/A,FALSE,"bs_cons";#N/A,#N/A,FALSE,"bs_grup";#N/A,#N/A,FALSE,"bs_umpl";#N/A,#N/A,FALSE,"bs_bim";#N/A,#N/A,FALSE,"bs_bdb";#N/A,#N/A,FALSE,"bs_mq32";#N/A,#N/A,FALSE,"bs_bsrl"}</definedName>
    <definedName name="ITZ" hidden="1">{#N/A,#N/A,FALSE,"bs_cons";#N/A,#N/A,FALSE,"bs_grup";#N/A,#N/A,FALSE,"bs_umpl";#N/A,#N/A,FALSE,"bs_bim";#N/A,#N/A,FALSE,"bs_bdb";#N/A,#N/A,FALSE,"bs_mq32";#N/A,#N/A,FALSE,"bs_bsrl"}</definedName>
    <definedName name="iuy">#REF!</definedName>
    <definedName name="Jan">#REF!</definedName>
    <definedName name="jfas" localSheetId="3" hidden="1">{"NOPCAPEVA",#N/A,FALSE,"Nopat";"FCFCSTAR",#N/A,FALSE,"FCFVAL";"EVAVL",#N/A,FALSE,"EVAVAL";"LEASE",#N/A,FALSE,"OpLease"}</definedName>
    <definedName name="jfas" localSheetId="5" hidden="1">{"NOPCAPEVA",#N/A,FALSE,"Nopat";"FCFCSTAR",#N/A,FALSE,"FCFVAL";"EVAVL",#N/A,FALSE,"EVAVAL";"LEASE",#N/A,FALSE,"OpLease"}</definedName>
    <definedName name="jfas" localSheetId="8" hidden="1">{"NOPCAPEVA",#N/A,FALSE,"Nopat";"FCFCSTAR",#N/A,FALSE,"FCFVAL";"EVAVL",#N/A,FALSE,"EVAVAL";"LEASE",#N/A,FALSE,"OpLease"}</definedName>
    <definedName name="jfas" localSheetId="10" hidden="1">{"NOPCAPEVA",#N/A,FALSE,"Nopat";"FCFCSTAR",#N/A,FALSE,"FCFVAL";"EVAVL",#N/A,FALSE,"EVAVAL";"LEASE",#N/A,FALSE,"OpLease"}</definedName>
    <definedName name="jfas" localSheetId="12" hidden="1">{"NOPCAPEVA",#N/A,FALSE,"Nopat";"FCFCSTAR",#N/A,FALSE,"FCFVAL";"EVAVL",#N/A,FALSE,"EVAVAL";"LEASE",#N/A,FALSE,"OpLease"}</definedName>
    <definedName name="jfas" localSheetId="14" hidden="1">{"NOPCAPEVA",#N/A,FALSE,"Nopat";"FCFCSTAR",#N/A,FALSE,"FCFVAL";"EVAVL",#N/A,FALSE,"EVAVAL";"LEASE",#N/A,FALSE,"OpLease"}</definedName>
    <definedName name="jfas" localSheetId="16" hidden="1">{"NOPCAPEVA",#N/A,FALSE,"Nopat";"FCFCSTAR",#N/A,FALSE,"FCFVAL";"EVAVL",#N/A,FALSE,"EVAVAL";"LEASE",#N/A,FALSE,"OpLease"}</definedName>
    <definedName name="jfas" localSheetId="22" hidden="1">{"NOPCAPEVA",#N/A,FALSE,"Nopat";"FCFCSTAR",#N/A,FALSE,"FCFVAL";"EVAVL",#N/A,FALSE,"EVAVAL";"LEASE",#N/A,FALSE,"OpLease"}</definedName>
    <definedName name="jfas" localSheetId="24" hidden="1">{"NOPCAPEVA",#N/A,FALSE,"Nopat";"FCFCSTAR",#N/A,FALSE,"FCFVAL";"EVAVL",#N/A,FALSE,"EVAVAL";"LEASE",#N/A,FALSE,"OpLease"}</definedName>
    <definedName name="jfas" localSheetId="26" hidden="1">{"NOPCAPEVA",#N/A,FALSE,"Nopat";"FCFCSTAR",#N/A,FALSE,"FCFVAL";"EVAVL",#N/A,FALSE,"EVAVAL";"LEASE",#N/A,FALSE,"OpLease"}</definedName>
    <definedName name="jfas" localSheetId="28" hidden="1">{"NOPCAPEVA",#N/A,FALSE,"Nopat";"FCFCSTAR",#N/A,FALSE,"FCFVAL";"EVAVL",#N/A,FALSE,"EVAVAL";"LEASE",#N/A,FALSE,"OpLease"}</definedName>
    <definedName name="jfas" localSheetId="30" hidden="1">{"NOPCAPEVA",#N/A,FALSE,"Nopat";"FCFCSTAR",#N/A,FALSE,"FCFVAL";"EVAVL",#N/A,FALSE,"EVAVAL";"LEASE",#N/A,FALSE,"OpLease"}</definedName>
    <definedName name="jfas" localSheetId="32" hidden="1">{"NOPCAPEVA",#N/A,FALSE,"Nopat";"FCFCSTAR",#N/A,FALSE,"FCFVAL";"EVAVL",#N/A,FALSE,"EVAVAL";"LEASE",#N/A,FALSE,"OpLease"}</definedName>
    <definedName name="jfas" localSheetId="34" hidden="1">{"NOPCAPEVA",#N/A,FALSE,"Nopat";"FCFCSTAR",#N/A,FALSE,"FCFVAL";"EVAVL",#N/A,FALSE,"EVAVAL";"LEASE",#N/A,FALSE,"OpLease"}</definedName>
    <definedName name="jfas" localSheetId="36" hidden="1">{"NOPCAPEVA",#N/A,FALSE,"Nopat";"FCFCSTAR",#N/A,FALSE,"FCFVAL";"EVAVL",#N/A,FALSE,"EVAVAL";"LEASE",#N/A,FALSE,"OpLease"}</definedName>
    <definedName name="jfas" localSheetId="38" hidden="1">{"NOPCAPEVA",#N/A,FALSE,"Nopat";"FCFCSTAR",#N/A,FALSE,"FCFVAL";"EVAVL",#N/A,FALSE,"EVAVAL";"LEASE",#N/A,FALSE,"OpLease"}</definedName>
    <definedName name="jfas" hidden="1">{"NOPCAPEVA",#N/A,FALSE,"Nopat";"FCFCSTAR",#N/A,FALSE,"FCFVAL";"EVAVL",#N/A,FALSE,"EVAVAL";"LEASE",#N/A,FALSE,"OpLease"}</definedName>
    <definedName name="jfda" localSheetId="3" hidden="1">{"NOPCAPEVA",#N/A,FALSE,"Nopat";"FCFCSTAR",#N/A,FALSE,"FCFVAL";"EVAVL",#N/A,FALSE,"EVAVAL";"LEASE",#N/A,FALSE,"OpLease"}</definedName>
    <definedName name="jfda" localSheetId="5" hidden="1">{"NOPCAPEVA",#N/A,FALSE,"Nopat";"FCFCSTAR",#N/A,FALSE,"FCFVAL";"EVAVL",#N/A,FALSE,"EVAVAL";"LEASE",#N/A,FALSE,"OpLease"}</definedName>
    <definedName name="jfda" localSheetId="8" hidden="1">{"NOPCAPEVA",#N/A,FALSE,"Nopat";"FCFCSTAR",#N/A,FALSE,"FCFVAL";"EVAVL",#N/A,FALSE,"EVAVAL";"LEASE",#N/A,FALSE,"OpLease"}</definedName>
    <definedName name="jfda" localSheetId="10" hidden="1">{"NOPCAPEVA",#N/A,FALSE,"Nopat";"FCFCSTAR",#N/A,FALSE,"FCFVAL";"EVAVL",#N/A,FALSE,"EVAVAL";"LEASE",#N/A,FALSE,"OpLease"}</definedName>
    <definedName name="jfda" localSheetId="12" hidden="1">{"NOPCAPEVA",#N/A,FALSE,"Nopat";"FCFCSTAR",#N/A,FALSE,"FCFVAL";"EVAVL",#N/A,FALSE,"EVAVAL";"LEASE",#N/A,FALSE,"OpLease"}</definedName>
    <definedName name="jfda" localSheetId="14" hidden="1">{"NOPCAPEVA",#N/A,FALSE,"Nopat";"FCFCSTAR",#N/A,FALSE,"FCFVAL";"EVAVL",#N/A,FALSE,"EVAVAL";"LEASE",#N/A,FALSE,"OpLease"}</definedName>
    <definedName name="jfda" localSheetId="16" hidden="1">{"NOPCAPEVA",#N/A,FALSE,"Nopat";"FCFCSTAR",#N/A,FALSE,"FCFVAL";"EVAVL",#N/A,FALSE,"EVAVAL";"LEASE",#N/A,FALSE,"OpLease"}</definedName>
    <definedName name="jfda" localSheetId="22" hidden="1">{"NOPCAPEVA",#N/A,FALSE,"Nopat";"FCFCSTAR",#N/A,FALSE,"FCFVAL";"EVAVL",#N/A,FALSE,"EVAVAL";"LEASE",#N/A,FALSE,"OpLease"}</definedName>
    <definedName name="jfda" localSheetId="24" hidden="1">{"NOPCAPEVA",#N/A,FALSE,"Nopat";"FCFCSTAR",#N/A,FALSE,"FCFVAL";"EVAVL",#N/A,FALSE,"EVAVAL";"LEASE",#N/A,FALSE,"OpLease"}</definedName>
    <definedName name="jfda" localSheetId="26" hidden="1">{"NOPCAPEVA",#N/A,FALSE,"Nopat";"FCFCSTAR",#N/A,FALSE,"FCFVAL";"EVAVL",#N/A,FALSE,"EVAVAL";"LEASE",#N/A,FALSE,"OpLease"}</definedName>
    <definedName name="jfda" localSheetId="28" hidden="1">{"NOPCAPEVA",#N/A,FALSE,"Nopat";"FCFCSTAR",#N/A,FALSE,"FCFVAL";"EVAVL",#N/A,FALSE,"EVAVAL";"LEASE",#N/A,FALSE,"OpLease"}</definedName>
    <definedName name="jfda" localSheetId="30" hidden="1">{"NOPCAPEVA",#N/A,FALSE,"Nopat";"FCFCSTAR",#N/A,FALSE,"FCFVAL";"EVAVL",#N/A,FALSE,"EVAVAL";"LEASE",#N/A,FALSE,"OpLease"}</definedName>
    <definedName name="jfda" localSheetId="32" hidden="1">{"NOPCAPEVA",#N/A,FALSE,"Nopat";"FCFCSTAR",#N/A,FALSE,"FCFVAL";"EVAVL",#N/A,FALSE,"EVAVAL";"LEASE",#N/A,FALSE,"OpLease"}</definedName>
    <definedName name="jfda" localSheetId="34" hidden="1">{"NOPCAPEVA",#N/A,FALSE,"Nopat";"FCFCSTAR",#N/A,FALSE,"FCFVAL";"EVAVL",#N/A,FALSE,"EVAVAL";"LEASE",#N/A,FALSE,"OpLease"}</definedName>
    <definedName name="jfda" localSheetId="36" hidden="1">{"NOPCAPEVA",#N/A,FALSE,"Nopat";"FCFCSTAR",#N/A,FALSE,"FCFVAL";"EVAVL",#N/A,FALSE,"EVAVAL";"LEASE",#N/A,FALSE,"OpLease"}</definedName>
    <definedName name="jfda" localSheetId="38" hidden="1">{"NOPCAPEVA",#N/A,FALSE,"Nopat";"FCFCSTAR",#N/A,FALSE,"FCFVAL";"EVAVL",#N/A,FALSE,"EVAVAL";"LEASE",#N/A,FALSE,"OpLease"}</definedName>
    <definedName name="jfda" hidden="1">{"NOPCAPEVA",#N/A,FALSE,"Nopat";"FCFCSTAR",#N/A,FALSE,"FCFVAL";"EVAVL",#N/A,FALSE,"EVAVAL";"LEASE",#N/A,FALSE,"OpLease"}</definedName>
    <definedName name="jfie" localSheetId="3" hidden="1">{"NOPCAPEVA",#N/A,FALSE,"Nopat";"FCFCSTAR",#N/A,FALSE,"FCFVAL";"EVAVL",#N/A,FALSE,"EVAVAL";"LEASE",#N/A,FALSE,"OpLease"}</definedName>
    <definedName name="jfie" localSheetId="5" hidden="1">{"NOPCAPEVA",#N/A,FALSE,"Nopat";"FCFCSTAR",#N/A,FALSE,"FCFVAL";"EVAVL",#N/A,FALSE,"EVAVAL";"LEASE",#N/A,FALSE,"OpLease"}</definedName>
    <definedName name="jfie" localSheetId="8" hidden="1">{"NOPCAPEVA",#N/A,FALSE,"Nopat";"FCFCSTAR",#N/A,FALSE,"FCFVAL";"EVAVL",#N/A,FALSE,"EVAVAL";"LEASE",#N/A,FALSE,"OpLease"}</definedName>
    <definedName name="jfie" localSheetId="10" hidden="1">{"NOPCAPEVA",#N/A,FALSE,"Nopat";"FCFCSTAR",#N/A,FALSE,"FCFVAL";"EVAVL",#N/A,FALSE,"EVAVAL";"LEASE",#N/A,FALSE,"OpLease"}</definedName>
    <definedName name="jfie" localSheetId="12" hidden="1">{"NOPCAPEVA",#N/A,FALSE,"Nopat";"FCFCSTAR",#N/A,FALSE,"FCFVAL";"EVAVL",#N/A,FALSE,"EVAVAL";"LEASE",#N/A,FALSE,"OpLease"}</definedName>
    <definedName name="jfie" localSheetId="14" hidden="1">{"NOPCAPEVA",#N/A,FALSE,"Nopat";"FCFCSTAR",#N/A,FALSE,"FCFVAL";"EVAVL",#N/A,FALSE,"EVAVAL";"LEASE",#N/A,FALSE,"OpLease"}</definedName>
    <definedName name="jfie" localSheetId="16" hidden="1">{"NOPCAPEVA",#N/A,FALSE,"Nopat";"FCFCSTAR",#N/A,FALSE,"FCFVAL";"EVAVL",#N/A,FALSE,"EVAVAL";"LEASE",#N/A,FALSE,"OpLease"}</definedName>
    <definedName name="jfie" localSheetId="22" hidden="1">{"NOPCAPEVA",#N/A,FALSE,"Nopat";"FCFCSTAR",#N/A,FALSE,"FCFVAL";"EVAVL",#N/A,FALSE,"EVAVAL";"LEASE",#N/A,FALSE,"OpLease"}</definedName>
    <definedName name="jfie" localSheetId="24" hidden="1">{"NOPCAPEVA",#N/A,FALSE,"Nopat";"FCFCSTAR",#N/A,FALSE,"FCFVAL";"EVAVL",#N/A,FALSE,"EVAVAL";"LEASE",#N/A,FALSE,"OpLease"}</definedName>
    <definedName name="jfie" localSheetId="26" hidden="1">{"NOPCAPEVA",#N/A,FALSE,"Nopat";"FCFCSTAR",#N/A,FALSE,"FCFVAL";"EVAVL",#N/A,FALSE,"EVAVAL";"LEASE",#N/A,FALSE,"OpLease"}</definedName>
    <definedName name="jfie" localSheetId="28" hidden="1">{"NOPCAPEVA",#N/A,FALSE,"Nopat";"FCFCSTAR",#N/A,FALSE,"FCFVAL";"EVAVL",#N/A,FALSE,"EVAVAL";"LEASE",#N/A,FALSE,"OpLease"}</definedName>
    <definedName name="jfie" localSheetId="30" hidden="1">{"NOPCAPEVA",#N/A,FALSE,"Nopat";"FCFCSTAR",#N/A,FALSE,"FCFVAL";"EVAVL",#N/A,FALSE,"EVAVAL";"LEASE",#N/A,FALSE,"OpLease"}</definedName>
    <definedName name="jfie" localSheetId="32" hidden="1">{"NOPCAPEVA",#N/A,FALSE,"Nopat";"FCFCSTAR",#N/A,FALSE,"FCFVAL";"EVAVL",#N/A,FALSE,"EVAVAL";"LEASE",#N/A,FALSE,"OpLease"}</definedName>
    <definedName name="jfie" localSheetId="34" hidden="1">{"NOPCAPEVA",#N/A,FALSE,"Nopat";"FCFCSTAR",#N/A,FALSE,"FCFVAL";"EVAVL",#N/A,FALSE,"EVAVAL";"LEASE",#N/A,FALSE,"OpLease"}</definedName>
    <definedName name="jfie" localSheetId="36" hidden="1">{"NOPCAPEVA",#N/A,FALSE,"Nopat";"FCFCSTAR",#N/A,FALSE,"FCFVAL";"EVAVL",#N/A,FALSE,"EVAVAL";"LEASE",#N/A,FALSE,"OpLease"}</definedName>
    <definedName name="jfie" localSheetId="38" hidden="1">{"NOPCAPEVA",#N/A,FALSE,"Nopat";"FCFCSTAR",#N/A,FALSE,"FCFVAL";"EVAVL",#N/A,FALSE,"EVAVAL";"LEASE",#N/A,FALSE,"OpLease"}</definedName>
    <definedName name="jfie" hidden="1">{"NOPCAPEVA",#N/A,FALSE,"Nopat";"FCFCSTAR",#N/A,FALSE,"FCFVAL";"EVAVL",#N/A,FALSE,"EVAVAL";"LEASE",#N/A,FALSE,"OpLease"}</definedName>
    <definedName name="jgfs" localSheetId="3" hidden="1">{"AnnInc",#N/A,TRUE,"Inc";"QtrInc1",#N/A,TRUE,"Inc";"Balance",#N/A,TRUE,"Bal";"Cflow",#N/A,TRUE,"Cash"}</definedName>
    <definedName name="jgfs" localSheetId="5" hidden="1">{"AnnInc",#N/A,TRUE,"Inc";"QtrInc1",#N/A,TRUE,"Inc";"Balance",#N/A,TRUE,"Bal";"Cflow",#N/A,TRUE,"Cash"}</definedName>
    <definedName name="jgfs" localSheetId="8" hidden="1">{"AnnInc",#N/A,TRUE,"Inc";"QtrInc1",#N/A,TRUE,"Inc";"Balance",#N/A,TRUE,"Bal";"Cflow",#N/A,TRUE,"Cash"}</definedName>
    <definedName name="jgfs" localSheetId="10" hidden="1">{"AnnInc",#N/A,TRUE,"Inc";"QtrInc1",#N/A,TRUE,"Inc";"Balance",#N/A,TRUE,"Bal";"Cflow",#N/A,TRUE,"Cash"}</definedName>
    <definedName name="jgfs" localSheetId="12" hidden="1">{"AnnInc",#N/A,TRUE,"Inc";"QtrInc1",#N/A,TRUE,"Inc";"Balance",#N/A,TRUE,"Bal";"Cflow",#N/A,TRUE,"Cash"}</definedName>
    <definedName name="jgfs" localSheetId="14" hidden="1">{"AnnInc",#N/A,TRUE,"Inc";"QtrInc1",#N/A,TRUE,"Inc";"Balance",#N/A,TRUE,"Bal";"Cflow",#N/A,TRUE,"Cash"}</definedName>
    <definedName name="jgfs" localSheetId="16" hidden="1">{"AnnInc",#N/A,TRUE,"Inc";"QtrInc1",#N/A,TRUE,"Inc";"Balance",#N/A,TRUE,"Bal";"Cflow",#N/A,TRUE,"Cash"}</definedName>
    <definedName name="jgfs" localSheetId="22" hidden="1">{"AnnInc",#N/A,TRUE,"Inc";"QtrInc1",#N/A,TRUE,"Inc";"Balance",#N/A,TRUE,"Bal";"Cflow",#N/A,TRUE,"Cash"}</definedName>
    <definedName name="jgfs" localSheetId="24" hidden="1">{"AnnInc",#N/A,TRUE,"Inc";"QtrInc1",#N/A,TRUE,"Inc";"Balance",#N/A,TRUE,"Bal";"Cflow",#N/A,TRUE,"Cash"}</definedName>
    <definedName name="jgfs" localSheetId="26" hidden="1">{"AnnInc",#N/A,TRUE,"Inc";"QtrInc1",#N/A,TRUE,"Inc";"Balance",#N/A,TRUE,"Bal";"Cflow",#N/A,TRUE,"Cash"}</definedName>
    <definedName name="jgfs" localSheetId="28" hidden="1">{"AnnInc",#N/A,TRUE,"Inc";"QtrInc1",#N/A,TRUE,"Inc";"Balance",#N/A,TRUE,"Bal";"Cflow",#N/A,TRUE,"Cash"}</definedName>
    <definedName name="jgfs" localSheetId="30" hidden="1">{"AnnInc",#N/A,TRUE,"Inc";"QtrInc1",#N/A,TRUE,"Inc";"Balance",#N/A,TRUE,"Bal";"Cflow",#N/A,TRUE,"Cash"}</definedName>
    <definedName name="jgfs" localSheetId="32" hidden="1">{"AnnInc",#N/A,TRUE,"Inc";"QtrInc1",#N/A,TRUE,"Inc";"Balance",#N/A,TRUE,"Bal";"Cflow",#N/A,TRUE,"Cash"}</definedName>
    <definedName name="jgfs" localSheetId="34" hidden="1">{"AnnInc",#N/A,TRUE,"Inc";"QtrInc1",#N/A,TRUE,"Inc";"Balance",#N/A,TRUE,"Bal";"Cflow",#N/A,TRUE,"Cash"}</definedName>
    <definedName name="jgfs" localSheetId="36" hidden="1">{"AnnInc",#N/A,TRUE,"Inc";"QtrInc1",#N/A,TRUE,"Inc";"Balance",#N/A,TRUE,"Bal";"Cflow",#N/A,TRUE,"Cash"}</definedName>
    <definedName name="jgfs" localSheetId="38" hidden="1">{"AnnInc",#N/A,TRUE,"Inc";"QtrInc1",#N/A,TRUE,"Inc";"Balance",#N/A,TRUE,"Bal";"Cflow",#N/A,TRUE,"Cash"}</definedName>
    <definedName name="jgfs" hidden="1">{"AnnInc",#N/A,TRUE,"Inc";"QtrInc1",#N/A,TRUE,"Inc";"Balance",#N/A,TRUE,"Bal";"Cflow",#N/A,TRUE,"Cash"}</definedName>
    <definedName name="jhgjuy" localSheetId="3" hidden="1">{"AnnInc",#N/A,TRUE,"Inc";"QtrInc1",#N/A,TRUE,"Inc";"Balance",#N/A,TRUE,"Bal";"Cflow",#N/A,TRUE,"Cash"}</definedName>
    <definedName name="jhgjuy" localSheetId="5" hidden="1">{"AnnInc",#N/A,TRUE,"Inc";"QtrInc1",#N/A,TRUE,"Inc";"Balance",#N/A,TRUE,"Bal";"Cflow",#N/A,TRUE,"Cash"}</definedName>
    <definedName name="jhgjuy" localSheetId="8" hidden="1">{"AnnInc",#N/A,TRUE,"Inc";"QtrInc1",#N/A,TRUE,"Inc";"Balance",#N/A,TRUE,"Bal";"Cflow",#N/A,TRUE,"Cash"}</definedName>
    <definedName name="jhgjuy" localSheetId="10" hidden="1">{"AnnInc",#N/A,TRUE,"Inc";"QtrInc1",#N/A,TRUE,"Inc";"Balance",#N/A,TRUE,"Bal";"Cflow",#N/A,TRUE,"Cash"}</definedName>
    <definedName name="jhgjuy" localSheetId="12" hidden="1">{"AnnInc",#N/A,TRUE,"Inc";"QtrInc1",#N/A,TRUE,"Inc";"Balance",#N/A,TRUE,"Bal";"Cflow",#N/A,TRUE,"Cash"}</definedName>
    <definedName name="jhgjuy" localSheetId="14" hidden="1">{"AnnInc",#N/A,TRUE,"Inc";"QtrInc1",#N/A,TRUE,"Inc";"Balance",#N/A,TRUE,"Bal";"Cflow",#N/A,TRUE,"Cash"}</definedName>
    <definedName name="jhgjuy" localSheetId="16" hidden="1">{"AnnInc",#N/A,TRUE,"Inc";"QtrInc1",#N/A,TRUE,"Inc";"Balance",#N/A,TRUE,"Bal";"Cflow",#N/A,TRUE,"Cash"}</definedName>
    <definedName name="jhgjuy" localSheetId="22" hidden="1">{"AnnInc",#N/A,TRUE,"Inc";"QtrInc1",#N/A,TRUE,"Inc";"Balance",#N/A,TRUE,"Bal";"Cflow",#N/A,TRUE,"Cash"}</definedName>
    <definedName name="jhgjuy" localSheetId="24" hidden="1">{"AnnInc",#N/A,TRUE,"Inc";"QtrInc1",#N/A,TRUE,"Inc";"Balance",#N/A,TRUE,"Bal";"Cflow",#N/A,TRUE,"Cash"}</definedName>
    <definedName name="jhgjuy" localSheetId="26" hidden="1">{"AnnInc",#N/A,TRUE,"Inc";"QtrInc1",#N/A,TRUE,"Inc";"Balance",#N/A,TRUE,"Bal";"Cflow",#N/A,TRUE,"Cash"}</definedName>
    <definedName name="jhgjuy" localSheetId="28" hidden="1">{"AnnInc",#N/A,TRUE,"Inc";"QtrInc1",#N/A,TRUE,"Inc";"Balance",#N/A,TRUE,"Bal";"Cflow",#N/A,TRUE,"Cash"}</definedName>
    <definedName name="jhgjuy" localSheetId="30" hidden="1">{"AnnInc",#N/A,TRUE,"Inc";"QtrInc1",#N/A,TRUE,"Inc";"Balance",#N/A,TRUE,"Bal";"Cflow",#N/A,TRUE,"Cash"}</definedName>
    <definedName name="jhgjuy" localSheetId="32" hidden="1">{"AnnInc",#N/A,TRUE,"Inc";"QtrInc1",#N/A,TRUE,"Inc";"Balance",#N/A,TRUE,"Bal";"Cflow",#N/A,TRUE,"Cash"}</definedName>
    <definedName name="jhgjuy" localSheetId="34" hidden="1">{"AnnInc",#N/A,TRUE,"Inc";"QtrInc1",#N/A,TRUE,"Inc";"Balance",#N/A,TRUE,"Bal";"Cflow",#N/A,TRUE,"Cash"}</definedName>
    <definedName name="jhgjuy" localSheetId="36" hidden="1">{"AnnInc",#N/A,TRUE,"Inc";"QtrInc1",#N/A,TRUE,"Inc";"Balance",#N/A,TRUE,"Bal";"Cflow",#N/A,TRUE,"Cash"}</definedName>
    <definedName name="jhgjuy" localSheetId="38" hidden="1">{"AnnInc",#N/A,TRUE,"Inc";"QtrInc1",#N/A,TRUE,"Inc";"Balance",#N/A,TRUE,"Bal";"Cflow",#N/A,TRUE,"Cash"}</definedName>
    <definedName name="jhgjuy" hidden="1">{"AnnInc",#N/A,TRUE,"Inc";"QtrInc1",#N/A,TRUE,"Inc";"Balance",#N/A,TRUE,"Bal";"Cflow",#N/A,TRUE,"Cash"}</definedName>
    <definedName name="jjj" localSheetId="3" hidden="1">{#N/A,#N/A,FALSE,"MK_ASS_B";#N/A,#N/A,FALSE,"MK_ASS_R";#N/A,#N/A,FALSE,"MK_ASS_S";#N/A,#N/A,FALSE,"TR_ASS_B";#N/A,#N/A,FALSE,"TR_ASS_R";#N/A,#N/A,FALSE,"TR_ASS_S";#N/A,#N/A,FALSE,"PR_ASS_B";#N/A,#N/A,FALSE,"PR_ASS_R";#N/A,#N/A,FALSE,"REV_SUM"}</definedName>
    <definedName name="jjj" localSheetId="5" hidden="1">{#N/A,#N/A,FALSE,"MK_ASS_B";#N/A,#N/A,FALSE,"MK_ASS_R";#N/A,#N/A,FALSE,"MK_ASS_S";#N/A,#N/A,FALSE,"TR_ASS_B";#N/A,#N/A,FALSE,"TR_ASS_R";#N/A,#N/A,FALSE,"TR_ASS_S";#N/A,#N/A,FALSE,"PR_ASS_B";#N/A,#N/A,FALSE,"PR_ASS_R";#N/A,#N/A,FALSE,"REV_SUM"}</definedName>
    <definedName name="jjj" localSheetId="8" hidden="1">{#N/A,#N/A,FALSE,"MK_ASS_B";#N/A,#N/A,FALSE,"MK_ASS_R";#N/A,#N/A,FALSE,"MK_ASS_S";#N/A,#N/A,FALSE,"TR_ASS_B";#N/A,#N/A,FALSE,"TR_ASS_R";#N/A,#N/A,FALSE,"TR_ASS_S";#N/A,#N/A,FALSE,"PR_ASS_B";#N/A,#N/A,FALSE,"PR_ASS_R";#N/A,#N/A,FALSE,"REV_SUM"}</definedName>
    <definedName name="jjj" localSheetId="10" hidden="1">{#N/A,#N/A,FALSE,"MK_ASS_B";#N/A,#N/A,FALSE,"MK_ASS_R";#N/A,#N/A,FALSE,"MK_ASS_S";#N/A,#N/A,FALSE,"TR_ASS_B";#N/A,#N/A,FALSE,"TR_ASS_R";#N/A,#N/A,FALSE,"TR_ASS_S";#N/A,#N/A,FALSE,"PR_ASS_B";#N/A,#N/A,FALSE,"PR_ASS_R";#N/A,#N/A,FALSE,"REV_SUM"}</definedName>
    <definedName name="jjj" localSheetId="12" hidden="1">{#N/A,#N/A,FALSE,"MK_ASS_B";#N/A,#N/A,FALSE,"MK_ASS_R";#N/A,#N/A,FALSE,"MK_ASS_S";#N/A,#N/A,FALSE,"TR_ASS_B";#N/A,#N/A,FALSE,"TR_ASS_R";#N/A,#N/A,FALSE,"TR_ASS_S";#N/A,#N/A,FALSE,"PR_ASS_B";#N/A,#N/A,FALSE,"PR_ASS_R";#N/A,#N/A,FALSE,"REV_SUM"}</definedName>
    <definedName name="jjj" localSheetId="14" hidden="1">{#N/A,#N/A,FALSE,"MK_ASS_B";#N/A,#N/A,FALSE,"MK_ASS_R";#N/A,#N/A,FALSE,"MK_ASS_S";#N/A,#N/A,FALSE,"TR_ASS_B";#N/A,#N/A,FALSE,"TR_ASS_R";#N/A,#N/A,FALSE,"TR_ASS_S";#N/A,#N/A,FALSE,"PR_ASS_B";#N/A,#N/A,FALSE,"PR_ASS_R";#N/A,#N/A,FALSE,"REV_SUM"}</definedName>
    <definedName name="jjj" localSheetId="16" hidden="1">{#N/A,#N/A,FALSE,"MK_ASS_B";#N/A,#N/A,FALSE,"MK_ASS_R";#N/A,#N/A,FALSE,"MK_ASS_S";#N/A,#N/A,FALSE,"TR_ASS_B";#N/A,#N/A,FALSE,"TR_ASS_R";#N/A,#N/A,FALSE,"TR_ASS_S";#N/A,#N/A,FALSE,"PR_ASS_B";#N/A,#N/A,FALSE,"PR_ASS_R";#N/A,#N/A,FALSE,"REV_SUM"}</definedName>
    <definedName name="jjj" localSheetId="22" hidden="1">{#N/A,#N/A,FALSE,"MK_ASS_B";#N/A,#N/A,FALSE,"MK_ASS_R";#N/A,#N/A,FALSE,"MK_ASS_S";#N/A,#N/A,FALSE,"TR_ASS_B";#N/A,#N/A,FALSE,"TR_ASS_R";#N/A,#N/A,FALSE,"TR_ASS_S";#N/A,#N/A,FALSE,"PR_ASS_B";#N/A,#N/A,FALSE,"PR_ASS_R";#N/A,#N/A,FALSE,"REV_SUM"}</definedName>
    <definedName name="jjj" localSheetId="24" hidden="1">{#N/A,#N/A,FALSE,"MK_ASS_B";#N/A,#N/A,FALSE,"MK_ASS_R";#N/A,#N/A,FALSE,"MK_ASS_S";#N/A,#N/A,FALSE,"TR_ASS_B";#N/A,#N/A,FALSE,"TR_ASS_R";#N/A,#N/A,FALSE,"TR_ASS_S";#N/A,#N/A,FALSE,"PR_ASS_B";#N/A,#N/A,FALSE,"PR_ASS_R";#N/A,#N/A,FALSE,"REV_SUM"}</definedName>
    <definedName name="jjj" localSheetId="26" hidden="1">{#N/A,#N/A,FALSE,"MK_ASS_B";#N/A,#N/A,FALSE,"MK_ASS_R";#N/A,#N/A,FALSE,"MK_ASS_S";#N/A,#N/A,FALSE,"TR_ASS_B";#N/A,#N/A,FALSE,"TR_ASS_R";#N/A,#N/A,FALSE,"TR_ASS_S";#N/A,#N/A,FALSE,"PR_ASS_B";#N/A,#N/A,FALSE,"PR_ASS_R";#N/A,#N/A,FALSE,"REV_SUM"}</definedName>
    <definedName name="jjj" localSheetId="28" hidden="1">{#N/A,#N/A,FALSE,"MK_ASS_B";#N/A,#N/A,FALSE,"MK_ASS_R";#N/A,#N/A,FALSE,"MK_ASS_S";#N/A,#N/A,FALSE,"TR_ASS_B";#N/A,#N/A,FALSE,"TR_ASS_R";#N/A,#N/A,FALSE,"TR_ASS_S";#N/A,#N/A,FALSE,"PR_ASS_B";#N/A,#N/A,FALSE,"PR_ASS_R";#N/A,#N/A,FALSE,"REV_SUM"}</definedName>
    <definedName name="jjj" localSheetId="30" hidden="1">{#N/A,#N/A,FALSE,"MK_ASS_B";#N/A,#N/A,FALSE,"MK_ASS_R";#N/A,#N/A,FALSE,"MK_ASS_S";#N/A,#N/A,FALSE,"TR_ASS_B";#N/A,#N/A,FALSE,"TR_ASS_R";#N/A,#N/A,FALSE,"TR_ASS_S";#N/A,#N/A,FALSE,"PR_ASS_B";#N/A,#N/A,FALSE,"PR_ASS_R";#N/A,#N/A,FALSE,"REV_SUM"}</definedName>
    <definedName name="jjj" localSheetId="32" hidden="1">{#N/A,#N/A,FALSE,"MK_ASS_B";#N/A,#N/A,FALSE,"MK_ASS_R";#N/A,#N/A,FALSE,"MK_ASS_S";#N/A,#N/A,FALSE,"TR_ASS_B";#N/A,#N/A,FALSE,"TR_ASS_R";#N/A,#N/A,FALSE,"TR_ASS_S";#N/A,#N/A,FALSE,"PR_ASS_B";#N/A,#N/A,FALSE,"PR_ASS_R";#N/A,#N/A,FALSE,"REV_SUM"}</definedName>
    <definedName name="jjj" localSheetId="34" hidden="1">{#N/A,#N/A,FALSE,"MK_ASS_B";#N/A,#N/A,FALSE,"MK_ASS_R";#N/A,#N/A,FALSE,"MK_ASS_S";#N/A,#N/A,FALSE,"TR_ASS_B";#N/A,#N/A,FALSE,"TR_ASS_R";#N/A,#N/A,FALSE,"TR_ASS_S";#N/A,#N/A,FALSE,"PR_ASS_B";#N/A,#N/A,FALSE,"PR_ASS_R";#N/A,#N/A,FALSE,"REV_SUM"}</definedName>
    <definedName name="jjj" localSheetId="36" hidden="1">{#N/A,#N/A,FALSE,"MK_ASS_B";#N/A,#N/A,FALSE,"MK_ASS_R";#N/A,#N/A,FALSE,"MK_ASS_S";#N/A,#N/A,FALSE,"TR_ASS_B";#N/A,#N/A,FALSE,"TR_ASS_R";#N/A,#N/A,FALSE,"TR_ASS_S";#N/A,#N/A,FALSE,"PR_ASS_B";#N/A,#N/A,FALSE,"PR_ASS_R";#N/A,#N/A,FALSE,"REV_SUM"}</definedName>
    <definedName name="jjj" localSheetId="38" hidden="1">{#N/A,#N/A,FALSE,"MK_ASS_B";#N/A,#N/A,FALSE,"MK_ASS_R";#N/A,#N/A,FALSE,"MK_ASS_S";#N/A,#N/A,FALSE,"TR_ASS_B";#N/A,#N/A,FALSE,"TR_ASS_R";#N/A,#N/A,FALSE,"TR_ASS_S";#N/A,#N/A,FALSE,"PR_ASS_B";#N/A,#N/A,FALSE,"PR_ASS_R";#N/A,#N/A,FALSE,"REV_SUM"}</definedName>
    <definedName name="jjj" hidden="1">{#N/A,#N/A,FALSE,"MK_ASS_B";#N/A,#N/A,FALSE,"MK_ASS_R";#N/A,#N/A,FALSE,"MK_ASS_S";#N/A,#N/A,FALSE,"TR_ASS_B";#N/A,#N/A,FALSE,"TR_ASS_R";#N/A,#N/A,FALSE,"TR_ASS_S";#N/A,#N/A,FALSE,"PR_ASS_B";#N/A,#N/A,FALSE,"PR_ASS_R";#N/A,#N/A,FALSE,"REV_SUM"}</definedName>
    <definedName name="jkjkj" hidden="1">#REF!</definedName>
    <definedName name="jrd" localSheetId="3" hidden="1">{"NOPCAPEVA",#N/A,FALSE,"Nopat";"FCFCSTAR",#N/A,FALSE,"FCFVAL";"EVAVL",#N/A,FALSE,"EVAVAL";"LEASE",#N/A,FALSE,"OpLease"}</definedName>
    <definedName name="jrd" localSheetId="5" hidden="1">{"NOPCAPEVA",#N/A,FALSE,"Nopat";"FCFCSTAR",#N/A,FALSE,"FCFVAL";"EVAVL",#N/A,FALSE,"EVAVAL";"LEASE",#N/A,FALSE,"OpLease"}</definedName>
    <definedName name="jrd" localSheetId="8" hidden="1">{"NOPCAPEVA",#N/A,FALSE,"Nopat";"FCFCSTAR",#N/A,FALSE,"FCFVAL";"EVAVL",#N/A,FALSE,"EVAVAL";"LEASE",#N/A,FALSE,"OpLease"}</definedName>
    <definedName name="jrd" localSheetId="10" hidden="1">{"NOPCAPEVA",#N/A,FALSE,"Nopat";"FCFCSTAR",#N/A,FALSE,"FCFVAL";"EVAVL",#N/A,FALSE,"EVAVAL";"LEASE",#N/A,FALSE,"OpLease"}</definedName>
    <definedName name="jrd" localSheetId="12" hidden="1">{"NOPCAPEVA",#N/A,FALSE,"Nopat";"FCFCSTAR",#N/A,FALSE,"FCFVAL";"EVAVL",#N/A,FALSE,"EVAVAL";"LEASE",#N/A,FALSE,"OpLease"}</definedName>
    <definedName name="jrd" localSheetId="14" hidden="1">{"NOPCAPEVA",#N/A,FALSE,"Nopat";"FCFCSTAR",#N/A,FALSE,"FCFVAL";"EVAVL",#N/A,FALSE,"EVAVAL";"LEASE",#N/A,FALSE,"OpLease"}</definedName>
    <definedName name="jrd" localSheetId="16" hidden="1">{"NOPCAPEVA",#N/A,FALSE,"Nopat";"FCFCSTAR",#N/A,FALSE,"FCFVAL";"EVAVL",#N/A,FALSE,"EVAVAL";"LEASE",#N/A,FALSE,"OpLease"}</definedName>
    <definedName name="jrd" localSheetId="22" hidden="1">{"NOPCAPEVA",#N/A,FALSE,"Nopat";"FCFCSTAR",#N/A,FALSE,"FCFVAL";"EVAVL",#N/A,FALSE,"EVAVAL";"LEASE",#N/A,FALSE,"OpLease"}</definedName>
    <definedName name="jrd" localSheetId="24" hidden="1">{"NOPCAPEVA",#N/A,FALSE,"Nopat";"FCFCSTAR",#N/A,FALSE,"FCFVAL";"EVAVL",#N/A,FALSE,"EVAVAL";"LEASE",#N/A,FALSE,"OpLease"}</definedName>
    <definedName name="jrd" localSheetId="26" hidden="1">{"NOPCAPEVA",#N/A,FALSE,"Nopat";"FCFCSTAR",#N/A,FALSE,"FCFVAL";"EVAVL",#N/A,FALSE,"EVAVAL";"LEASE",#N/A,FALSE,"OpLease"}</definedName>
    <definedName name="jrd" localSheetId="28" hidden="1">{"NOPCAPEVA",#N/A,FALSE,"Nopat";"FCFCSTAR",#N/A,FALSE,"FCFVAL";"EVAVL",#N/A,FALSE,"EVAVAL";"LEASE",#N/A,FALSE,"OpLease"}</definedName>
    <definedName name="jrd" localSheetId="30" hidden="1">{"NOPCAPEVA",#N/A,FALSE,"Nopat";"FCFCSTAR",#N/A,FALSE,"FCFVAL";"EVAVL",#N/A,FALSE,"EVAVAL";"LEASE",#N/A,FALSE,"OpLease"}</definedName>
    <definedName name="jrd" localSheetId="32" hidden="1">{"NOPCAPEVA",#N/A,FALSE,"Nopat";"FCFCSTAR",#N/A,FALSE,"FCFVAL";"EVAVL",#N/A,FALSE,"EVAVAL";"LEASE",#N/A,FALSE,"OpLease"}</definedName>
    <definedName name="jrd" localSheetId="34" hidden="1">{"NOPCAPEVA",#N/A,FALSE,"Nopat";"FCFCSTAR",#N/A,FALSE,"FCFVAL";"EVAVL",#N/A,FALSE,"EVAVAL";"LEASE",#N/A,FALSE,"OpLease"}</definedName>
    <definedName name="jrd" localSheetId="36" hidden="1">{"NOPCAPEVA",#N/A,FALSE,"Nopat";"FCFCSTAR",#N/A,FALSE,"FCFVAL";"EVAVL",#N/A,FALSE,"EVAVAL";"LEASE",#N/A,FALSE,"OpLease"}</definedName>
    <definedName name="jrd" localSheetId="38" hidden="1">{"NOPCAPEVA",#N/A,FALSE,"Nopat";"FCFCSTAR",#N/A,FALSE,"FCFVAL";"EVAVL",#N/A,FALSE,"EVAVAL";"LEASE",#N/A,FALSE,"OpLease"}</definedName>
    <definedName name="jrd" hidden="1">{"NOPCAPEVA",#N/A,FALSE,"Nopat";"FCFCSTAR",#N/A,FALSE,"FCFVAL";"EVAVL",#N/A,FALSE,"EVAVAL";"LEASE",#N/A,FALSE,"OpLease"}</definedName>
    <definedName name="js"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r" localSheetId="3" hidden="1">{"NOPCAPEVA",#N/A,FALSE,"Nopat";"FCFCSTAR",#N/A,FALSE,"FCFVAL";"EVAVL",#N/A,FALSE,"EVAVAL";"LEASE",#N/A,FALSE,"OpLease"}</definedName>
    <definedName name="jsr" localSheetId="5" hidden="1">{"NOPCAPEVA",#N/A,FALSE,"Nopat";"FCFCSTAR",#N/A,FALSE,"FCFVAL";"EVAVL",#N/A,FALSE,"EVAVAL";"LEASE",#N/A,FALSE,"OpLease"}</definedName>
    <definedName name="jsr" localSheetId="8" hidden="1">{"NOPCAPEVA",#N/A,FALSE,"Nopat";"FCFCSTAR",#N/A,FALSE,"FCFVAL";"EVAVL",#N/A,FALSE,"EVAVAL";"LEASE",#N/A,FALSE,"OpLease"}</definedName>
    <definedName name="jsr" localSheetId="10" hidden="1">{"NOPCAPEVA",#N/A,FALSE,"Nopat";"FCFCSTAR",#N/A,FALSE,"FCFVAL";"EVAVL",#N/A,FALSE,"EVAVAL";"LEASE",#N/A,FALSE,"OpLease"}</definedName>
    <definedName name="jsr" localSheetId="12" hidden="1">{"NOPCAPEVA",#N/A,FALSE,"Nopat";"FCFCSTAR",#N/A,FALSE,"FCFVAL";"EVAVL",#N/A,FALSE,"EVAVAL";"LEASE",#N/A,FALSE,"OpLease"}</definedName>
    <definedName name="jsr" localSheetId="14" hidden="1">{"NOPCAPEVA",#N/A,FALSE,"Nopat";"FCFCSTAR",#N/A,FALSE,"FCFVAL";"EVAVL",#N/A,FALSE,"EVAVAL";"LEASE",#N/A,FALSE,"OpLease"}</definedName>
    <definedName name="jsr" localSheetId="16" hidden="1">{"NOPCAPEVA",#N/A,FALSE,"Nopat";"FCFCSTAR",#N/A,FALSE,"FCFVAL";"EVAVL",#N/A,FALSE,"EVAVAL";"LEASE",#N/A,FALSE,"OpLease"}</definedName>
    <definedName name="jsr" localSheetId="22" hidden="1">{"NOPCAPEVA",#N/A,FALSE,"Nopat";"FCFCSTAR",#N/A,FALSE,"FCFVAL";"EVAVL",#N/A,FALSE,"EVAVAL";"LEASE",#N/A,FALSE,"OpLease"}</definedName>
    <definedName name="jsr" localSheetId="24" hidden="1">{"NOPCAPEVA",#N/A,FALSE,"Nopat";"FCFCSTAR",#N/A,FALSE,"FCFVAL";"EVAVL",#N/A,FALSE,"EVAVAL";"LEASE",#N/A,FALSE,"OpLease"}</definedName>
    <definedName name="jsr" localSheetId="26" hidden="1">{"NOPCAPEVA",#N/A,FALSE,"Nopat";"FCFCSTAR",#N/A,FALSE,"FCFVAL";"EVAVL",#N/A,FALSE,"EVAVAL";"LEASE",#N/A,FALSE,"OpLease"}</definedName>
    <definedName name="jsr" localSheetId="28" hidden="1">{"NOPCAPEVA",#N/A,FALSE,"Nopat";"FCFCSTAR",#N/A,FALSE,"FCFVAL";"EVAVL",#N/A,FALSE,"EVAVAL";"LEASE",#N/A,FALSE,"OpLease"}</definedName>
    <definedName name="jsr" localSheetId="30" hidden="1">{"NOPCAPEVA",#N/A,FALSE,"Nopat";"FCFCSTAR",#N/A,FALSE,"FCFVAL";"EVAVL",#N/A,FALSE,"EVAVAL";"LEASE",#N/A,FALSE,"OpLease"}</definedName>
    <definedName name="jsr" localSheetId="32" hidden="1">{"NOPCAPEVA",#N/A,FALSE,"Nopat";"FCFCSTAR",#N/A,FALSE,"FCFVAL";"EVAVL",#N/A,FALSE,"EVAVAL";"LEASE",#N/A,FALSE,"OpLease"}</definedName>
    <definedName name="jsr" localSheetId="34" hidden="1">{"NOPCAPEVA",#N/A,FALSE,"Nopat";"FCFCSTAR",#N/A,FALSE,"FCFVAL";"EVAVL",#N/A,FALSE,"EVAVAL";"LEASE",#N/A,FALSE,"OpLease"}</definedName>
    <definedName name="jsr" localSheetId="36" hidden="1">{"NOPCAPEVA",#N/A,FALSE,"Nopat";"FCFCSTAR",#N/A,FALSE,"FCFVAL";"EVAVL",#N/A,FALSE,"EVAVAL";"LEASE",#N/A,FALSE,"OpLease"}</definedName>
    <definedName name="jsr" localSheetId="38" hidden="1">{"NOPCAPEVA",#N/A,FALSE,"Nopat";"FCFCSTAR",#N/A,FALSE,"FCFVAL";"EVAVL",#N/A,FALSE,"EVAVAL";"LEASE",#N/A,FALSE,"OpLease"}</definedName>
    <definedName name="jsr" hidden="1">{"NOPCAPEVA",#N/A,FALSE,"Nopat";"FCFCSTAR",#N/A,FALSE,"FCFVAL";"EVAVL",#N/A,FALSE,"EVAVAL";"LEASE",#N/A,FALSE,"OpLease"}</definedName>
    <definedName name="junk"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t" localSheetId="3" hidden="1">{"NOPCAPEVA",#N/A,FALSE,"Nopat";"FCFCSTAR",#N/A,FALSE,"FCFVAL";"EVAVL",#N/A,FALSE,"EVAVAL";"LEASE",#N/A,FALSE,"OpLease"}</definedName>
    <definedName name="jut" localSheetId="5" hidden="1">{"NOPCAPEVA",#N/A,FALSE,"Nopat";"FCFCSTAR",#N/A,FALSE,"FCFVAL";"EVAVL",#N/A,FALSE,"EVAVAL";"LEASE",#N/A,FALSE,"OpLease"}</definedName>
    <definedName name="jut" localSheetId="8" hidden="1">{"NOPCAPEVA",#N/A,FALSE,"Nopat";"FCFCSTAR",#N/A,FALSE,"FCFVAL";"EVAVL",#N/A,FALSE,"EVAVAL";"LEASE",#N/A,FALSE,"OpLease"}</definedName>
    <definedName name="jut" localSheetId="10" hidden="1">{"NOPCAPEVA",#N/A,FALSE,"Nopat";"FCFCSTAR",#N/A,FALSE,"FCFVAL";"EVAVL",#N/A,FALSE,"EVAVAL";"LEASE",#N/A,FALSE,"OpLease"}</definedName>
    <definedName name="jut" localSheetId="12" hidden="1">{"NOPCAPEVA",#N/A,FALSE,"Nopat";"FCFCSTAR",#N/A,FALSE,"FCFVAL";"EVAVL",#N/A,FALSE,"EVAVAL";"LEASE",#N/A,FALSE,"OpLease"}</definedName>
    <definedName name="jut" localSheetId="14" hidden="1">{"NOPCAPEVA",#N/A,FALSE,"Nopat";"FCFCSTAR",#N/A,FALSE,"FCFVAL";"EVAVL",#N/A,FALSE,"EVAVAL";"LEASE",#N/A,FALSE,"OpLease"}</definedName>
    <definedName name="jut" localSheetId="16" hidden="1">{"NOPCAPEVA",#N/A,FALSE,"Nopat";"FCFCSTAR",#N/A,FALSE,"FCFVAL";"EVAVL",#N/A,FALSE,"EVAVAL";"LEASE",#N/A,FALSE,"OpLease"}</definedName>
    <definedName name="jut" localSheetId="22" hidden="1">{"NOPCAPEVA",#N/A,FALSE,"Nopat";"FCFCSTAR",#N/A,FALSE,"FCFVAL";"EVAVL",#N/A,FALSE,"EVAVAL";"LEASE",#N/A,FALSE,"OpLease"}</definedName>
    <definedName name="jut" localSheetId="24" hidden="1">{"NOPCAPEVA",#N/A,FALSE,"Nopat";"FCFCSTAR",#N/A,FALSE,"FCFVAL";"EVAVL",#N/A,FALSE,"EVAVAL";"LEASE",#N/A,FALSE,"OpLease"}</definedName>
    <definedName name="jut" localSheetId="26" hidden="1">{"NOPCAPEVA",#N/A,FALSE,"Nopat";"FCFCSTAR",#N/A,FALSE,"FCFVAL";"EVAVL",#N/A,FALSE,"EVAVAL";"LEASE",#N/A,FALSE,"OpLease"}</definedName>
    <definedName name="jut" localSheetId="28" hidden="1">{"NOPCAPEVA",#N/A,FALSE,"Nopat";"FCFCSTAR",#N/A,FALSE,"FCFVAL";"EVAVL",#N/A,FALSE,"EVAVAL";"LEASE",#N/A,FALSE,"OpLease"}</definedName>
    <definedName name="jut" localSheetId="30" hidden="1">{"NOPCAPEVA",#N/A,FALSE,"Nopat";"FCFCSTAR",#N/A,FALSE,"FCFVAL";"EVAVL",#N/A,FALSE,"EVAVAL";"LEASE",#N/A,FALSE,"OpLease"}</definedName>
    <definedName name="jut" localSheetId="32" hidden="1">{"NOPCAPEVA",#N/A,FALSE,"Nopat";"FCFCSTAR",#N/A,FALSE,"FCFVAL";"EVAVL",#N/A,FALSE,"EVAVAL";"LEASE",#N/A,FALSE,"OpLease"}</definedName>
    <definedName name="jut" localSheetId="34" hidden="1">{"NOPCAPEVA",#N/A,FALSE,"Nopat";"FCFCSTAR",#N/A,FALSE,"FCFVAL";"EVAVL",#N/A,FALSE,"EVAVAL";"LEASE",#N/A,FALSE,"OpLease"}</definedName>
    <definedName name="jut" localSheetId="36" hidden="1">{"NOPCAPEVA",#N/A,FALSE,"Nopat";"FCFCSTAR",#N/A,FALSE,"FCFVAL";"EVAVL",#N/A,FALSE,"EVAVAL";"LEASE",#N/A,FALSE,"OpLease"}</definedName>
    <definedName name="jut" localSheetId="38" hidden="1">{"NOPCAPEVA",#N/A,FALSE,"Nopat";"FCFCSTAR",#N/A,FALSE,"FCFVAL";"EVAVL",#N/A,FALSE,"EVAVAL";"LEASE",#N/A,FALSE,"OpLease"}</definedName>
    <definedName name="jut" hidden="1">{"NOPCAPEVA",#N/A,FALSE,"Nopat";"FCFCSTAR",#N/A,FALSE,"FCFVAL";"EVAVL",#N/A,FALSE,"EVAVAL";"LEASE",#N/A,FALSE,"OpLease"}</definedName>
    <definedName name="jyte" localSheetId="3" hidden="1">{"NOPCAPEVA",#N/A,FALSE,"Nopat";"FCFCSTAR",#N/A,FALSE,"FCFVAL";"EVAVL",#N/A,FALSE,"EVAVAL";"LEASE",#N/A,FALSE,"OpLease"}</definedName>
    <definedName name="jyte" localSheetId="5" hidden="1">{"NOPCAPEVA",#N/A,FALSE,"Nopat";"FCFCSTAR",#N/A,FALSE,"FCFVAL";"EVAVL",#N/A,FALSE,"EVAVAL";"LEASE",#N/A,FALSE,"OpLease"}</definedName>
    <definedName name="jyte" localSheetId="8" hidden="1">{"NOPCAPEVA",#N/A,FALSE,"Nopat";"FCFCSTAR",#N/A,FALSE,"FCFVAL";"EVAVL",#N/A,FALSE,"EVAVAL";"LEASE",#N/A,FALSE,"OpLease"}</definedName>
    <definedName name="jyte" localSheetId="10" hidden="1">{"NOPCAPEVA",#N/A,FALSE,"Nopat";"FCFCSTAR",#N/A,FALSE,"FCFVAL";"EVAVL",#N/A,FALSE,"EVAVAL";"LEASE",#N/A,FALSE,"OpLease"}</definedName>
    <definedName name="jyte" localSheetId="12" hidden="1">{"NOPCAPEVA",#N/A,FALSE,"Nopat";"FCFCSTAR",#N/A,FALSE,"FCFVAL";"EVAVL",#N/A,FALSE,"EVAVAL";"LEASE",#N/A,FALSE,"OpLease"}</definedName>
    <definedName name="jyte" localSheetId="14" hidden="1">{"NOPCAPEVA",#N/A,FALSE,"Nopat";"FCFCSTAR",#N/A,FALSE,"FCFVAL";"EVAVL",#N/A,FALSE,"EVAVAL";"LEASE",#N/A,FALSE,"OpLease"}</definedName>
    <definedName name="jyte" localSheetId="16" hidden="1">{"NOPCAPEVA",#N/A,FALSE,"Nopat";"FCFCSTAR",#N/A,FALSE,"FCFVAL";"EVAVL",#N/A,FALSE,"EVAVAL";"LEASE",#N/A,FALSE,"OpLease"}</definedName>
    <definedName name="jyte" localSheetId="22" hidden="1">{"NOPCAPEVA",#N/A,FALSE,"Nopat";"FCFCSTAR",#N/A,FALSE,"FCFVAL";"EVAVL",#N/A,FALSE,"EVAVAL";"LEASE",#N/A,FALSE,"OpLease"}</definedName>
    <definedName name="jyte" localSheetId="24" hidden="1">{"NOPCAPEVA",#N/A,FALSE,"Nopat";"FCFCSTAR",#N/A,FALSE,"FCFVAL";"EVAVL",#N/A,FALSE,"EVAVAL";"LEASE",#N/A,FALSE,"OpLease"}</definedName>
    <definedName name="jyte" localSheetId="26" hidden="1">{"NOPCAPEVA",#N/A,FALSE,"Nopat";"FCFCSTAR",#N/A,FALSE,"FCFVAL";"EVAVL",#N/A,FALSE,"EVAVAL";"LEASE",#N/A,FALSE,"OpLease"}</definedName>
    <definedName name="jyte" localSheetId="28" hidden="1">{"NOPCAPEVA",#N/A,FALSE,"Nopat";"FCFCSTAR",#N/A,FALSE,"FCFVAL";"EVAVL",#N/A,FALSE,"EVAVAL";"LEASE",#N/A,FALSE,"OpLease"}</definedName>
    <definedName name="jyte" localSheetId="30" hidden="1">{"NOPCAPEVA",#N/A,FALSE,"Nopat";"FCFCSTAR",#N/A,FALSE,"FCFVAL";"EVAVL",#N/A,FALSE,"EVAVAL";"LEASE",#N/A,FALSE,"OpLease"}</definedName>
    <definedName name="jyte" localSheetId="32" hidden="1">{"NOPCAPEVA",#N/A,FALSE,"Nopat";"FCFCSTAR",#N/A,FALSE,"FCFVAL";"EVAVL",#N/A,FALSE,"EVAVAL";"LEASE",#N/A,FALSE,"OpLease"}</definedName>
    <definedName name="jyte" localSheetId="34" hidden="1">{"NOPCAPEVA",#N/A,FALSE,"Nopat";"FCFCSTAR",#N/A,FALSE,"FCFVAL";"EVAVL",#N/A,FALSE,"EVAVAL";"LEASE",#N/A,FALSE,"OpLease"}</definedName>
    <definedName name="jyte" localSheetId="36" hidden="1">{"NOPCAPEVA",#N/A,FALSE,"Nopat";"FCFCSTAR",#N/A,FALSE,"FCFVAL";"EVAVL",#N/A,FALSE,"EVAVAL";"LEASE",#N/A,FALSE,"OpLease"}</definedName>
    <definedName name="jyte" localSheetId="38" hidden="1">{"NOPCAPEVA",#N/A,FALSE,"Nopat";"FCFCSTAR",#N/A,FALSE,"FCFVAL";"EVAVL",#N/A,FALSE,"EVAVAL";"LEASE",#N/A,FALSE,"OpLease"}</definedName>
    <definedName name="jyte" hidden="1">{"NOPCAPEVA",#N/A,FALSE,"Nopat";"FCFCSTAR",#N/A,FALSE,"FCFVAL";"EVAVL",#N/A,FALSE,"EVAVAL";"LEASE",#N/A,FALSE,"OpLease"}</definedName>
    <definedName name="k" localSheetId="3"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localSheetId="5"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localSheetId="8"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localSheetId="1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localSheetId="1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localSheetId="14"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localSheetId="16"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localSheetId="2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localSheetId="4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localSheetId="24"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localSheetId="26"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localSheetId="28"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localSheetId="3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localSheetId="3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localSheetId="34"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localSheetId="36"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localSheetId="38"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2___PARKEDCVW__" hidden="1">"FINANCIALS;A=CK00100TOT;C=ACTUAL;R=LC;UA=D_TOP;E=P500231;UB=TPTOP;UC=F_FISICO;T=2004.DEC;F=PERIODIC;"</definedName>
    <definedName name="K2_ISWBINITED" hidden="1">TRUE</definedName>
    <definedName name="K2_WBEVMODE" hidden="1">-1</definedName>
    <definedName name="K2_WBHASINITMODE" hidden="1">1</definedName>
    <definedName name="KeyDeliverables">#REF!</definedName>
    <definedName name="kfhg" localSheetId="3" hidden="1">{"NOPCAPEVA",#N/A,FALSE,"Nopat";"FCFCSTAR",#N/A,FALSE,"FCFVAL";"EVAVL",#N/A,FALSE,"EVAVAL";"LEASE",#N/A,FALSE,"OpLease"}</definedName>
    <definedName name="kfhg" localSheetId="5" hidden="1">{"NOPCAPEVA",#N/A,FALSE,"Nopat";"FCFCSTAR",#N/A,FALSE,"FCFVAL";"EVAVL",#N/A,FALSE,"EVAVAL";"LEASE",#N/A,FALSE,"OpLease"}</definedName>
    <definedName name="kfhg" localSheetId="8" hidden="1">{"NOPCAPEVA",#N/A,FALSE,"Nopat";"FCFCSTAR",#N/A,FALSE,"FCFVAL";"EVAVL",#N/A,FALSE,"EVAVAL";"LEASE",#N/A,FALSE,"OpLease"}</definedName>
    <definedName name="kfhg" localSheetId="10" hidden="1">{"NOPCAPEVA",#N/A,FALSE,"Nopat";"FCFCSTAR",#N/A,FALSE,"FCFVAL";"EVAVL",#N/A,FALSE,"EVAVAL";"LEASE",#N/A,FALSE,"OpLease"}</definedName>
    <definedName name="kfhg" localSheetId="12" hidden="1">{"NOPCAPEVA",#N/A,FALSE,"Nopat";"FCFCSTAR",#N/A,FALSE,"FCFVAL";"EVAVL",#N/A,FALSE,"EVAVAL";"LEASE",#N/A,FALSE,"OpLease"}</definedName>
    <definedName name="kfhg" localSheetId="14" hidden="1">{"NOPCAPEVA",#N/A,FALSE,"Nopat";"FCFCSTAR",#N/A,FALSE,"FCFVAL";"EVAVL",#N/A,FALSE,"EVAVAL";"LEASE",#N/A,FALSE,"OpLease"}</definedName>
    <definedName name="kfhg" localSheetId="16" hidden="1">{"NOPCAPEVA",#N/A,FALSE,"Nopat";"FCFCSTAR",#N/A,FALSE,"FCFVAL";"EVAVL",#N/A,FALSE,"EVAVAL";"LEASE",#N/A,FALSE,"OpLease"}</definedName>
    <definedName name="kfhg" localSheetId="22" hidden="1">{"NOPCAPEVA",#N/A,FALSE,"Nopat";"FCFCSTAR",#N/A,FALSE,"FCFVAL";"EVAVL",#N/A,FALSE,"EVAVAL";"LEASE",#N/A,FALSE,"OpLease"}</definedName>
    <definedName name="kfhg" localSheetId="24" hidden="1">{"NOPCAPEVA",#N/A,FALSE,"Nopat";"FCFCSTAR",#N/A,FALSE,"FCFVAL";"EVAVL",#N/A,FALSE,"EVAVAL";"LEASE",#N/A,FALSE,"OpLease"}</definedName>
    <definedName name="kfhg" localSheetId="26" hidden="1">{"NOPCAPEVA",#N/A,FALSE,"Nopat";"FCFCSTAR",#N/A,FALSE,"FCFVAL";"EVAVL",#N/A,FALSE,"EVAVAL";"LEASE",#N/A,FALSE,"OpLease"}</definedName>
    <definedName name="kfhg" localSheetId="28" hidden="1">{"NOPCAPEVA",#N/A,FALSE,"Nopat";"FCFCSTAR",#N/A,FALSE,"FCFVAL";"EVAVL",#N/A,FALSE,"EVAVAL";"LEASE",#N/A,FALSE,"OpLease"}</definedName>
    <definedName name="kfhg" localSheetId="30" hidden="1">{"NOPCAPEVA",#N/A,FALSE,"Nopat";"FCFCSTAR",#N/A,FALSE,"FCFVAL";"EVAVL",#N/A,FALSE,"EVAVAL";"LEASE",#N/A,FALSE,"OpLease"}</definedName>
    <definedName name="kfhg" localSheetId="32" hidden="1">{"NOPCAPEVA",#N/A,FALSE,"Nopat";"FCFCSTAR",#N/A,FALSE,"FCFVAL";"EVAVL",#N/A,FALSE,"EVAVAL";"LEASE",#N/A,FALSE,"OpLease"}</definedName>
    <definedName name="kfhg" localSheetId="34" hidden="1">{"NOPCAPEVA",#N/A,FALSE,"Nopat";"FCFCSTAR",#N/A,FALSE,"FCFVAL";"EVAVL",#N/A,FALSE,"EVAVAL";"LEASE",#N/A,FALSE,"OpLease"}</definedName>
    <definedName name="kfhg" localSheetId="36" hidden="1">{"NOPCAPEVA",#N/A,FALSE,"Nopat";"FCFCSTAR",#N/A,FALSE,"FCFVAL";"EVAVL",#N/A,FALSE,"EVAVAL";"LEASE",#N/A,FALSE,"OpLease"}</definedName>
    <definedName name="kfhg" localSheetId="38" hidden="1">{"NOPCAPEVA",#N/A,FALSE,"Nopat";"FCFCSTAR",#N/A,FALSE,"FCFVAL";"EVAVL",#N/A,FALSE,"EVAVAL";"LEASE",#N/A,FALSE,"OpLease"}</definedName>
    <definedName name="kfhg" hidden="1">{"NOPCAPEVA",#N/A,FALSE,"Nopat";"FCFCSTAR",#N/A,FALSE,"FCFVAL";"EVAVL",#N/A,FALSE,"EVAVAL";"LEASE",#N/A,FALSE,"OpLease"}</definedName>
    <definedName name="khj" localSheetId="3" hidden="1">{"NOPCAPEVA",#N/A,FALSE,"Nopat";"FCFCSTAR",#N/A,FALSE,"FCFVAL";"EVAVL",#N/A,FALSE,"EVAVAL";"LEASE",#N/A,FALSE,"OpLease"}</definedName>
    <definedName name="khj" localSheetId="5" hidden="1">{"NOPCAPEVA",#N/A,FALSE,"Nopat";"FCFCSTAR",#N/A,FALSE,"FCFVAL";"EVAVL",#N/A,FALSE,"EVAVAL";"LEASE",#N/A,FALSE,"OpLease"}</definedName>
    <definedName name="khj" localSheetId="8" hidden="1">{"NOPCAPEVA",#N/A,FALSE,"Nopat";"FCFCSTAR",#N/A,FALSE,"FCFVAL";"EVAVL",#N/A,FALSE,"EVAVAL";"LEASE",#N/A,FALSE,"OpLease"}</definedName>
    <definedName name="khj" localSheetId="10" hidden="1">{"NOPCAPEVA",#N/A,FALSE,"Nopat";"FCFCSTAR",#N/A,FALSE,"FCFVAL";"EVAVL",#N/A,FALSE,"EVAVAL";"LEASE",#N/A,FALSE,"OpLease"}</definedName>
    <definedName name="khj" localSheetId="12" hidden="1">{"NOPCAPEVA",#N/A,FALSE,"Nopat";"FCFCSTAR",#N/A,FALSE,"FCFVAL";"EVAVL",#N/A,FALSE,"EVAVAL";"LEASE",#N/A,FALSE,"OpLease"}</definedName>
    <definedName name="khj" localSheetId="14" hidden="1">{"NOPCAPEVA",#N/A,FALSE,"Nopat";"FCFCSTAR",#N/A,FALSE,"FCFVAL";"EVAVL",#N/A,FALSE,"EVAVAL";"LEASE",#N/A,FALSE,"OpLease"}</definedName>
    <definedName name="khj" localSheetId="16" hidden="1">{"NOPCAPEVA",#N/A,FALSE,"Nopat";"FCFCSTAR",#N/A,FALSE,"FCFVAL";"EVAVL",#N/A,FALSE,"EVAVAL";"LEASE",#N/A,FALSE,"OpLease"}</definedName>
    <definedName name="khj" localSheetId="22" hidden="1">{"NOPCAPEVA",#N/A,FALSE,"Nopat";"FCFCSTAR",#N/A,FALSE,"FCFVAL";"EVAVL",#N/A,FALSE,"EVAVAL";"LEASE",#N/A,FALSE,"OpLease"}</definedName>
    <definedName name="khj" localSheetId="24" hidden="1">{"NOPCAPEVA",#N/A,FALSE,"Nopat";"FCFCSTAR",#N/A,FALSE,"FCFVAL";"EVAVL",#N/A,FALSE,"EVAVAL";"LEASE",#N/A,FALSE,"OpLease"}</definedName>
    <definedName name="khj" localSheetId="26" hidden="1">{"NOPCAPEVA",#N/A,FALSE,"Nopat";"FCFCSTAR",#N/A,FALSE,"FCFVAL";"EVAVL",#N/A,FALSE,"EVAVAL";"LEASE",#N/A,FALSE,"OpLease"}</definedName>
    <definedName name="khj" localSheetId="28" hidden="1">{"NOPCAPEVA",#N/A,FALSE,"Nopat";"FCFCSTAR",#N/A,FALSE,"FCFVAL";"EVAVL",#N/A,FALSE,"EVAVAL";"LEASE",#N/A,FALSE,"OpLease"}</definedName>
    <definedName name="khj" localSheetId="30" hidden="1">{"NOPCAPEVA",#N/A,FALSE,"Nopat";"FCFCSTAR",#N/A,FALSE,"FCFVAL";"EVAVL",#N/A,FALSE,"EVAVAL";"LEASE",#N/A,FALSE,"OpLease"}</definedName>
    <definedName name="khj" localSheetId="32" hidden="1">{"NOPCAPEVA",#N/A,FALSE,"Nopat";"FCFCSTAR",#N/A,FALSE,"FCFVAL";"EVAVL",#N/A,FALSE,"EVAVAL";"LEASE",#N/A,FALSE,"OpLease"}</definedName>
    <definedName name="khj" localSheetId="34" hidden="1">{"NOPCAPEVA",#N/A,FALSE,"Nopat";"FCFCSTAR",#N/A,FALSE,"FCFVAL";"EVAVL",#N/A,FALSE,"EVAVAL";"LEASE",#N/A,FALSE,"OpLease"}</definedName>
    <definedName name="khj" localSheetId="36" hidden="1">{"NOPCAPEVA",#N/A,FALSE,"Nopat";"FCFCSTAR",#N/A,FALSE,"FCFVAL";"EVAVL",#N/A,FALSE,"EVAVAL";"LEASE",#N/A,FALSE,"OpLease"}</definedName>
    <definedName name="khj" localSheetId="38" hidden="1">{"NOPCAPEVA",#N/A,FALSE,"Nopat";"FCFCSTAR",#N/A,FALSE,"FCFVAL";"EVAVL",#N/A,FALSE,"EVAVAL";"LEASE",#N/A,FALSE,"OpLease"}</definedName>
    <definedName name="khj" hidden="1">{"NOPCAPEVA",#N/A,FALSE,"Nopat";"FCFCSTAR",#N/A,FALSE,"FCFVAL";"EVAVL",#N/A,FALSE,"EVAVAL";"LEASE",#N/A,FALSE,"OpLease"}</definedName>
    <definedName name="kiut" localSheetId="3" hidden="1">{"AnnInc",#N/A,TRUE,"Inc";"QtrInc1",#N/A,TRUE,"Inc";"Balance",#N/A,TRUE,"Bal";"Cflow",#N/A,TRUE,"Cash"}</definedName>
    <definedName name="kiut" localSheetId="5" hidden="1">{"AnnInc",#N/A,TRUE,"Inc";"QtrInc1",#N/A,TRUE,"Inc";"Balance",#N/A,TRUE,"Bal";"Cflow",#N/A,TRUE,"Cash"}</definedName>
    <definedName name="kiut" localSheetId="8" hidden="1">{"AnnInc",#N/A,TRUE,"Inc";"QtrInc1",#N/A,TRUE,"Inc";"Balance",#N/A,TRUE,"Bal";"Cflow",#N/A,TRUE,"Cash"}</definedName>
    <definedName name="kiut" localSheetId="10" hidden="1">{"AnnInc",#N/A,TRUE,"Inc";"QtrInc1",#N/A,TRUE,"Inc";"Balance",#N/A,TRUE,"Bal";"Cflow",#N/A,TRUE,"Cash"}</definedName>
    <definedName name="kiut" localSheetId="12" hidden="1">{"AnnInc",#N/A,TRUE,"Inc";"QtrInc1",#N/A,TRUE,"Inc";"Balance",#N/A,TRUE,"Bal";"Cflow",#N/A,TRUE,"Cash"}</definedName>
    <definedName name="kiut" localSheetId="14" hidden="1">{"AnnInc",#N/A,TRUE,"Inc";"QtrInc1",#N/A,TRUE,"Inc";"Balance",#N/A,TRUE,"Bal";"Cflow",#N/A,TRUE,"Cash"}</definedName>
    <definedName name="kiut" localSheetId="16" hidden="1">{"AnnInc",#N/A,TRUE,"Inc";"QtrInc1",#N/A,TRUE,"Inc";"Balance",#N/A,TRUE,"Bal";"Cflow",#N/A,TRUE,"Cash"}</definedName>
    <definedName name="kiut" localSheetId="22" hidden="1">{"AnnInc",#N/A,TRUE,"Inc";"QtrInc1",#N/A,TRUE,"Inc";"Balance",#N/A,TRUE,"Bal";"Cflow",#N/A,TRUE,"Cash"}</definedName>
    <definedName name="kiut" localSheetId="24" hidden="1">{"AnnInc",#N/A,TRUE,"Inc";"QtrInc1",#N/A,TRUE,"Inc";"Balance",#N/A,TRUE,"Bal";"Cflow",#N/A,TRUE,"Cash"}</definedName>
    <definedName name="kiut" localSheetId="26" hidden="1">{"AnnInc",#N/A,TRUE,"Inc";"QtrInc1",#N/A,TRUE,"Inc";"Balance",#N/A,TRUE,"Bal";"Cflow",#N/A,TRUE,"Cash"}</definedName>
    <definedName name="kiut" localSheetId="28" hidden="1">{"AnnInc",#N/A,TRUE,"Inc";"QtrInc1",#N/A,TRUE,"Inc";"Balance",#N/A,TRUE,"Bal";"Cflow",#N/A,TRUE,"Cash"}</definedName>
    <definedName name="kiut" localSheetId="30" hidden="1">{"AnnInc",#N/A,TRUE,"Inc";"QtrInc1",#N/A,TRUE,"Inc";"Balance",#N/A,TRUE,"Bal";"Cflow",#N/A,TRUE,"Cash"}</definedName>
    <definedName name="kiut" localSheetId="32" hidden="1">{"AnnInc",#N/A,TRUE,"Inc";"QtrInc1",#N/A,TRUE,"Inc";"Balance",#N/A,TRUE,"Bal";"Cflow",#N/A,TRUE,"Cash"}</definedName>
    <definedName name="kiut" localSheetId="34" hidden="1">{"AnnInc",#N/A,TRUE,"Inc";"QtrInc1",#N/A,TRUE,"Inc";"Balance",#N/A,TRUE,"Bal";"Cflow",#N/A,TRUE,"Cash"}</definedName>
    <definedName name="kiut" localSheetId="36" hidden="1">{"AnnInc",#N/A,TRUE,"Inc";"QtrInc1",#N/A,TRUE,"Inc";"Balance",#N/A,TRUE,"Bal";"Cflow",#N/A,TRUE,"Cash"}</definedName>
    <definedName name="kiut" localSheetId="38" hidden="1">{"AnnInc",#N/A,TRUE,"Inc";"QtrInc1",#N/A,TRUE,"Inc";"Balance",#N/A,TRUE,"Bal";"Cflow",#N/A,TRUE,"Cash"}</definedName>
    <definedName name="kiut" hidden="1">{"AnnInc",#N/A,TRUE,"Inc";"QtrInc1",#N/A,TRUE,"Inc";"Balance",#N/A,TRUE,"Bal";"Cflow",#N/A,TRUE,"Cash"}</definedName>
    <definedName name="kiuu" localSheetId="3" hidden="1">{"AnnInc",#N/A,TRUE,"Inc";"QtrInc1",#N/A,TRUE,"Inc";"Balance",#N/A,TRUE,"Bal";"Cflow",#N/A,TRUE,"Cash"}</definedName>
    <definedName name="kiuu" localSheetId="5" hidden="1">{"AnnInc",#N/A,TRUE,"Inc";"QtrInc1",#N/A,TRUE,"Inc";"Balance",#N/A,TRUE,"Bal";"Cflow",#N/A,TRUE,"Cash"}</definedName>
    <definedName name="kiuu" localSheetId="8" hidden="1">{"AnnInc",#N/A,TRUE,"Inc";"QtrInc1",#N/A,TRUE,"Inc";"Balance",#N/A,TRUE,"Bal";"Cflow",#N/A,TRUE,"Cash"}</definedName>
    <definedName name="kiuu" localSheetId="10" hidden="1">{"AnnInc",#N/A,TRUE,"Inc";"QtrInc1",#N/A,TRUE,"Inc";"Balance",#N/A,TRUE,"Bal";"Cflow",#N/A,TRUE,"Cash"}</definedName>
    <definedName name="kiuu" localSheetId="12" hidden="1">{"AnnInc",#N/A,TRUE,"Inc";"QtrInc1",#N/A,TRUE,"Inc";"Balance",#N/A,TRUE,"Bal";"Cflow",#N/A,TRUE,"Cash"}</definedName>
    <definedName name="kiuu" localSheetId="14" hidden="1">{"AnnInc",#N/A,TRUE,"Inc";"QtrInc1",#N/A,TRUE,"Inc";"Balance",#N/A,TRUE,"Bal";"Cflow",#N/A,TRUE,"Cash"}</definedName>
    <definedName name="kiuu" localSheetId="16" hidden="1">{"AnnInc",#N/A,TRUE,"Inc";"QtrInc1",#N/A,TRUE,"Inc";"Balance",#N/A,TRUE,"Bal";"Cflow",#N/A,TRUE,"Cash"}</definedName>
    <definedName name="kiuu" localSheetId="22" hidden="1">{"AnnInc",#N/A,TRUE,"Inc";"QtrInc1",#N/A,TRUE,"Inc";"Balance",#N/A,TRUE,"Bal";"Cflow",#N/A,TRUE,"Cash"}</definedName>
    <definedName name="kiuu" localSheetId="24" hidden="1">{"AnnInc",#N/A,TRUE,"Inc";"QtrInc1",#N/A,TRUE,"Inc";"Balance",#N/A,TRUE,"Bal";"Cflow",#N/A,TRUE,"Cash"}</definedName>
    <definedName name="kiuu" localSheetId="26" hidden="1">{"AnnInc",#N/A,TRUE,"Inc";"QtrInc1",#N/A,TRUE,"Inc";"Balance",#N/A,TRUE,"Bal";"Cflow",#N/A,TRUE,"Cash"}</definedName>
    <definedName name="kiuu" localSheetId="28" hidden="1">{"AnnInc",#N/A,TRUE,"Inc";"QtrInc1",#N/A,TRUE,"Inc";"Balance",#N/A,TRUE,"Bal";"Cflow",#N/A,TRUE,"Cash"}</definedName>
    <definedName name="kiuu" localSheetId="30" hidden="1">{"AnnInc",#N/A,TRUE,"Inc";"QtrInc1",#N/A,TRUE,"Inc";"Balance",#N/A,TRUE,"Bal";"Cflow",#N/A,TRUE,"Cash"}</definedName>
    <definedName name="kiuu" localSheetId="32" hidden="1">{"AnnInc",#N/A,TRUE,"Inc";"QtrInc1",#N/A,TRUE,"Inc";"Balance",#N/A,TRUE,"Bal";"Cflow",#N/A,TRUE,"Cash"}</definedName>
    <definedName name="kiuu" localSheetId="34" hidden="1">{"AnnInc",#N/A,TRUE,"Inc";"QtrInc1",#N/A,TRUE,"Inc";"Balance",#N/A,TRUE,"Bal";"Cflow",#N/A,TRUE,"Cash"}</definedName>
    <definedName name="kiuu" localSheetId="36" hidden="1">{"AnnInc",#N/A,TRUE,"Inc";"QtrInc1",#N/A,TRUE,"Inc";"Balance",#N/A,TRUE,"Bal";"Cflow",#N/A,TRUE,"Cash"}</definedName>
    <definedName name="kiuu" localSheetId="38" hidden="1">{"AnnInc",#N/A,TRUE,"Inc";"QtrInc1",#N/A,TRUE,"Inc";"Balance",#N/A,TRUE,"Bal";"Cflow",#N/A,TRUE,"Cash"}</definedName>
    <definedName name="kiuu" hidden="1">{"AnnInc",#N/A,TRUE,"Inc";"QtrInc1",#N/A,TRUE,"Inc";"Balance",#N/A,TRUE,"Bal";"Cflow",#N/A,TRUE,"Cash"}</definedName>
    <definedName name="kjh" localSheetId="3" hidden="1">{"NOPCAPEVA",#N/A,FALSE,"Nopat";"FCFCSTAR",#N/A,FALSE,"FCFVAL";"EVAVL",#N/A,FALSE,"EVAVAL";"LEASE",#N/A,FALSE,"OpLease"}</definedName>
    <definedName name="kjh" localSheetId="5" hidden="1">{"NOPCAPEVA",#N/A,FALSE,"Nopat";"FCFCSTAR",#N/A,FALSE,"FCFVAL";"EVAVL",#N/A,FALSE,"EVAVAL";"LEASE",#N/A,FALSE,"OpLease"}</definedName>
    <definedName name="kjh" localSheetId="8" hidden="1">{"NOPCAPEVA",#N/A,FALSE,"Nopat";"FCFCSTAR",#N/A,FALSE,"FCFVAL";"EVAVL",#N/A,FALSE,"EVAVAL";"LEASE",#N/A,FALSE,"OpLease"}</definedName>
    <definedName name="kjh" localSheetId="10" hidden="1">{"NOPCAPEVA",#N/A,FALSE,"Nopat";"FCFCSTAR",#N/A,FALSE,"FCFVAL";"EVAVL",#N/A,FALSE,"EVAVAL";"LEASE",#N/A,FALSE,"OpLease"}</definedName>
    <definedName name="kjh" localSheetId="12" hidden="1">{"NOPCAPEVA",#N/A,FALSE,"Nopat";"FCFCSTAR",#N/A,FALSE,"FCFVAL";"EVAVL",#N/A,FALSE,"EVAVAL";"LEASE",#N/A,FALSE,"OpLease"}</definedName>
    <definedName name="kjh" localSheetId="14" hidden="1">{"NOPCAPEVA",#N/A,FALSE,"Nopat";"FCFCSTAR",#N/A,FALSE,"FCFVAL";"EVAVL",#N/A,FALSE,"EVAVAL";"LEASE",#N/A,FALSE,"OpLease"}</definedName>
    <definedName name="kjh" localSheetId="16" hidden="1">{"NOPCAPEVA",#N/A,FALSE,"Nopat";"FCFCSTAR",#N/A,FALSE,"FCFVAL";"EVAVL",#N/A,FALSE,"EVAVAL";"LEASE",#N/A,FALSE,"OpLease"}</definedName>
    <definedName name="kjh" localSheetId="22" hidden="1">{"NOPCAPEVA",#N/A,FALSE,"Nopat";"FCFCSTAR",#N/A,FALSE,"FCFVAL";"EVAVL",#N/A,FALSE,"EVAVAL";"LEASE",#N/A,FALSE,"OpLease"}</definedName>
    <definedName name="kjh" localSheetId="24" hidden="1">{"NOPCAPEVA",#N/A,FALSE,"Nopat";"FCFCSTAR",#N/A,FALSE,"FCFVAL";"EVAVL",#N/A,FALSE,"EVAVAL";"LEASE",#N/A,FALSE,"OpLease"}</definedName>
    <definedName name="kjh" localSheetId="26" hidden="1">{"NOPCAPEVA",#N/A,FALSE,"Nopat";"FCFCSTAR",#N/A,FALSE,"FCFVAL";"EVAVL",#N/A,FALSE,"EVAVAL";"LEASE",#N/A,FALSE,"OpLease"}</definedName>
    <definedName name="kjh" localSheetId="28" hidden="1">{"NOPCAPEVA",#N/A,FALSE,"Nopat";"FCFCSTAR",#N/A,FALSE,"FCFVAL";"EVAVL",#N/A,FALSE,"EVAVAL";"LEASE",#N/A,FALSE,"OpLease"}</definedName>
    <definedName name="kjh" localSheetId="30" hidden="1">{"NOPCAPEVA",#N/A,FALSE,"Nopat";"FCFCSTAR",#N/A,FALSE,"FCFVAL";"EVAVL",#N/A,FALSE,"EVAVAL";"LEASE",#N/A,FALSE,"OpLease"}</definedName>
    <definedName name="kjh" localSheetId="32" hidden="1">{"NOPCAPEVA",#N/A,FALSE,"Nopat";"FCFCSTAR",#N/A,FALSE,"FCFVAL";"EVAVL",#N/A,FALSE,"EVAVAL";"LEASE",#N/A,FALSE,"OpLease"}</definedName>
    <definedName name="kjh" localSheetId="34" hidden="1">{"NOPCAPEVA",#N/A,FALSE,"Nopat";"FCFCSTAR",#N/A,FALSE,"FCFVAL";"EVAVL",#N/A,FALSE,"EVAVAL";"LEASE",#N/A,FALSE,"OpLease"}</definedName>
    <definedName name="kjh" localSheetId="36" hidden="1">{"NOPCAPEVA",#N/A,FALSE,"Nopat";"FCFCSTAR",#N/A,FALSE,"FCFVAL";"EVAVL",#N/A,FALSE,"EVAVAL";"LEASE",#N/A,FALSE,"OpLease"}</definedName>
    <definedName name="kjh" localSheetId="38" hidden="1">{"NOPCAPEVA",#N/A,FALSE,"Nopat";"FCFCSTAR",#N/A,FALSE,"FCFVAL";"EVAVL",#N/A,FALSE,"EVAVAL";"LEASE",#N/A,FALSE,"OpLease"}</definedName>
    <definedName name="kjh" hidden="1">{"NOPCAPEVA",#N/A,FALSE,"Nopat";"FCFCSTAR",#N/A,FALSE,"FCFVAL";"EVAVL",#N/A,FALSE,"EVAVAL";"LEASE",#N/A,FALSE,"OpLease"}</definedName>
    <definedName name="kkkk" localSheetId="3" hidden="1">{#N/A,#N/A,FALSE,"MK_ASS_B";#N/A,#N/A,FALSE,"MK_ASS_R";#N/A,#N/A,FALSE,"MK_ASS_S";#N/A,#N/A,FALSE,"TR_ASS_B";#N/A,#N/A,FALSE,"TR_ASS_R";#N/A,#N/A,FALSE,"TR_ASS_S";#N/A,#N/A,FALSE,"PR_ASS_B";#N/A,#N/A,FALSE,"PR_ASS_R";#N/A,#N/A,FALSE,"REV_SUM"}</definedName>
    <definedName name="kkkk" localSheetId="5" hidden="1">{#N/A,#N/A,FALSE,"MK_ASS_B";#N/A,#N/A,FALSE,"MK_ASS_R";#N/A,#N/A,FALSE,"MK_ASS_S";#N/A,#N/A,FALSE,"TR_ASS_B";#N/A,#N/A,FALSE,"TR_ASS_R";#N/A,#N/A,FALSE,"TR_ASS_S";#N/A,#N/A,FALSE,"PR_ASS_B";#N/A,#N/A,FALSE,"PR_ASS_R";#N/A,#N/A,FALSE,"REV_SUM"}</definedName>
    <definedName name="kkkk" localSheetId="8" hidden="1">{#N/A,#N/A,FALSE,"MK_ASS_B";#N/A,#N/A,FALSE,"MK_ASS_R";#N/A,#N/A,FALSE,"MK_ASS_S";#N/A,#N/A,FALSE,"TR_ASS_B";#N/A,#N/A,FALSE,"TR_ASS_R";#N/A,#N/A,FALSE,"TR_ASS_S";#N/A,#N/A,FALSE,"PR_ASS_B";#N/A,#N/A,FALSE,"PR_ASS_R";#N/A,#N/A,FALSE,"REV_SUM"}</definedName>
    <definedName name="kkkk" localSheetId="10" hidden="1">{#N/A,#N/A,FALSE,"MK_ASS_B";#N/A,#N/A,FALSE,"MK_ASS_R";#N/A,#N/A,FALSE,"MK_ASS_S";#N/A,#N/A,FALSE,"TR_ASS_B";#N/A,#N/A,FALSE,"TR_ASS_R";#N/A,#N/A,FALSE,"TR_ASS_S";#N/A,#N/A,FALSE,"PR_ASS_B";#N/A,#N/A,FALSE,"PR_ASS_R";#N/A,#N/A,FALSE,"REV_SUM"}</definedName>
    <definedName name="kkkk" localSheetId="12" hidden="1">{#N/A,#N/A,FALSE,"MK_ASS_B";#N/A,#N/A,FALSE,"MK_ASS_R";#N/A,#N/A,FALSE,"MK_ASS_S";#N/A,#N/A,FALSE,"TR_ASS_B";#N/A,#N/A,FALSE,"TR_ASS_R";#N/A,#N/A,FALSE,"TR_ASS_S";#N/A,#N/A,FALSE,"PR_ASS_B";#N/A,#N/A,FALSE,"PR_ASS_R";#N/A,#N/A,FALSE,"REV_SUM"}</definedName>
    <definedName name="kkkk" localSheetId="14" hidden="1">{#N/A,#N/A,FALSE,"MK_ASS_B";#N/A,#N/A,FALSE,"MK_ASS_R";#N/A,#N/A,FALSE,"MK_ASS_S";#N/A,#N/A,FALSE,"TR_ASS_B";#N/A,#N/A,FALSE,"TR_ASS_R";#N/A,#N/A,FALSE,"TR_ASS_S";#N/A,#N/A,FALSE,"PR_ASS_B";#N/A,#N/A,FALSE,"PR_ASS_R";#N/A,#N/A,FALSE,"REV_SUM"}</definedName>
    <definedName name="kkkk" localSheetId="16" hidden="1">{#N/A,#N/A,FALSE,"MK_ASS_B";#N/A,#N/A,FALSE,"MK_ASS_R";#N/A,#N/A,FALSE,"MK_ASS_S";#N/A,#N/A,FALSE,"TR_ASS_B";#N/A,#N/A,FALSE,"TR_ASS_R";#N/A,#N/A,FALSE,"TR_ASS_S";#N/A,#N/A,FALSE,"PR_ASS_B";#N/A,#N/A,FALSE,"PR_ASS_R";#N/A,#N/A,FALSE,"REV_SUM"}</definedName>
    <definedName name="kkkk" localSheetId="22" hidden="1">{#N/A,#N/A,FALSE,"MK_ASS_B";#N/A,#N/A,FALSE,"MK_ASS_R";#N/A,#N/A,FALSE,"MK_ASS_S";#N/A,#N/A,FALSE,"TR_ASS_B";#N/A,#N/A,FALSE,"TR_ASS_R";#N/A,#N/A,FALSE,"TR_ASS_S";#N/A,#N/A,FALSE,"PR_ASS_B";#N/A,#N/A,FALSE,"PR_ASS_R";#N/A,#N/A,FALSE,"REV_SUM"}</definedName>
    <definedName name="kkkk" localSheetId="24" hidden="1">{#N/A,#N/A,FALSE,"MK_ASS_B";#N/A,#N/A,FALSE,"MK_ASS_R";#N/A,#N/A,FALSE,"MK_ASS_S";#N/A,#N/A,FALSE,"TR_ASS_B";#N/A,#N/A,FALSE,"TR_ASS_R";#N/A,#N/A,FALSE,"TR_ASS_S";#N/A,#N/A,FALSE,"PR_ASS_B";#N/A,#N/A,FALSE,"PR_ASS_R";#N/A,#N/A,FALSE,"REV_SUM"}</definedName>
    <definedName name="kkkk" localSheetId="26" hidden="1">{#N/A,#N/A,FALSE,"MK_ASS_B";#N/A,#N/A,FALSE,"MK_ASS_R";#N/A,#N/A,FALSE,"MK_ASS_S";#N/A,#N/A,FALSE,"TR_ASS_B";#N/A,#N/A,FALSE,"TR_ASS_R";#N/A,#N/A,FALSE,"TR_ASS_S";#N/A,#N/A,FALSE,"PR_ASS_B";#N/A,#N/A,FALSE,"PR_ASS_R";#N/A,#N/A,FALSE,"REV_SUM"}</definedName>
    <definedName name="kkkk" localSheetId="28" hidden="1">{#N/A,#N/A,FALSE,"MK_ASS_B";#N/A,#N/A,FALSE,"MK_ASS_R";#N/A,#N/A,FALSE,"MK_ASS_S";#N/A,#N/A,FALSE,"TR_ASS_B";#N/A,#N/A,FALSE,"TR_ASS_R";#N/A,#N/A,FALSE,"TR_ASS_S";#N/A,#N/A,FALSE,"PR_ASS_B";#N/A,#N/A,FALSE,"PR_ASS_R";#N/A,#N/A,FALSE,"REV_SUM"}</definedName>
    <definedName name="kkkk" localSheetId="30" hidden="1">{#N/A,#N/A,FALSE,"MK_ASS_B";#N/A,#N/A,FALSE,"MK_ASS_R";#N/A,#N/A,FALSE,"MK_ASS_S";#N/A,#N/A,FALSE,"TR_ASS_B";#N/A,#N/A,FALSE,"TR_ASS_R";#N/A,#N/A,FALSE,"TR_ASS_S";#N/A,#N/A,FALSE,"PR_ASS_B";#N/A,#N/A,FALSE,"PR_ASS_R";#N/A,#N/A,FALSE,"REV_SUM"}</definedName>
    <definedName name="kkkk" localSheetId="32" hidden="1">{#N/A,#N/A,FALSE,"MK_ASS_B";#N/A,#N/A,FALSE,"MK_ASS_R";#N/A,#N/A,FALSE,"MK_ASS_S";#N/A,#N/A,FALSE,"TR_ASS_B";#N/A,#N/A,FALSE,"TR_ASS_R";#N/A,#N/A,FALSE,"TR_ASS_S";#N/A,#N/A,FALSE,"PR_ASS_B";#N/A,#N/A,FALSE,"PR_ASS_R";#N/A,#N/A,FALSE,"REV_SUM"}</definedName>
    <definedName name="kkkk" localSheetId="34" hidden="1">{#N/A,#N/A,FALSE,"MK_ASS_B";#N/A,#N/A,FALSE,"MK_ASS_R";#N/A,#N/A,FALSE,"MK_ASS_S";#N/A,#N/A,FALSE,"TR_ASS_B";#N/A,#N/A,FALSE,"TR_ASS_R";#N/A,#N/A,FALSE,"TR_ASS_S";#N/A,#N/A,FALSE,"PR_ASS_B";#N/A,#N/A,FALSE,"PR_ASS_R";#N/A,#N/A,FALSE,"REV_SUM"}</definedName>
    <definedName name="kkkk" localSheetId="36" hidden="1">{#N/A,#N/A,FALSE,"MK_ASS_B";#N/A,#N/A,FALSE,"MK_ASS_R";#N/A,#N/A,FALSE,"MK_ASS_S";#N/A,#N/A,FALSE,"TR_ASS_B";#N/A,#N/A,FALSE,"TR_ASS_R";#N/A,#N/A,FALSE,"TR_ASS_S";#N/A,#N/A,FALSE,"PR_ASS_B";#N/A,#N/A,FALSE,"PR_ASS_R";#N/A,#N/A,FALSE,"REV_SUM"}</definedName>
    <definedName name="kkkk" localSheetId="38" hidden="1">{#N/A,#N/A,FALSE,"MK_ASS_B";#N/A,#N/A,FALSE,"MK_ASS_R";#N/A,#N/A,FALSE,"MK_ASS_S";#N/A,#N/A,FALSE,"TR_ASS_B";#N/A,#N/A,FALSE,"TR_ASS_R";#N/A,#N/A,FALSE,"TR_ASS_S";#N/A,#N/A,FALSE,"PR_ASS_B";#N/A,#N/A,FALSE,"PR_ASS_R";#N/A,#N/A,FALSE,"REV_SUM"}</definedName>
    <definedName name="kkkk" hidden="1">{#N/A,#N/A,FALSE,"MK_ASS_B";#N/A,#N/A,FALSE,"MK_ASS_R";#N/A,#N/A,FALSE,"MK_ASS_S";#N/A,#N/A,FALSE,"TR_ASS_B";#N/A,#N/A,FALSE,"TR_ASS_R";#N/A,#N/A,FALSE,"TR_ASS_S";#N/A,#N/A,FALSE,"PR_ASS_B";#N/A,#N/A,FALSE,"PR_ASS_R";#N/A,#N/A,FALSE,"REV_SUM"}</definedName>
    <definedName name="ktf" localSheetId="3" hidden="1">{"NOPCAPEVA",#N/A,FALSE,"Nopat";"FCFCSTAR",#N/A,FALSE,"FCFVAL";"EVAVL",#N/A,FALSE,"EVAVAL";"LEASE",#N/A,FALSE,"OpLease"}</definedName>
    <definedName name="ktf" localSheetId="5" hidden="1">{"NOPCAPEVA",#N/A,FALSE,"Nopat";"FCFCSTAR",#N/A,FALSE,"FCFVAL";"EVAVL",#N/A,FALSE,"EVAVAL";"LEASE",#N/A,FALSE,"OpLease"}</definedName>
    <definedName name="ktf" localSheetId="8" hidden="1">{"NOPCAPEVA",#N/A,FALSE,"Nopat";"FCFCSTAR",#N/A,FALSE,"FCFVAL";"EVAVL",#N/A,FALSE,"EVAVAL";"LEASE",#N/A,FALSE,"OpLease"}</definedName>
    <definedName name="ktf" localSheetId="10" hidden="1">{"NOPCAPEVA",#N/A,FALSE,"Nopat";"FCFCSTAR",#N/A,FALSE,"FCFVAL";"EVAVL",#N/A,FALSE,"EVAVAL";"LEASE",#N/A,FALSE,"OpLease"}</definedName>
    <definedName name="ktf" localSheetId="12" hidden="1">{"NOPCAPEVA",#N/A,FALSE,"Nopat";"FCFCSTAR",#N/A,FALSE,"FCFVAL";"EVAVL",#N/A,FALSE,"EVAVAL";"LEASE",#N/A,FALSE,"OpLease"}</definedName>
    <definedName name="ktf" localSheetId="14" hidden="1">{"NOPCAPEVA",#N/A,FALSE,"Nopat";"FCFCSTAR",#N/A,FALSE,"FCFVAL";"EVAVL",#N/A,FALSE,"EVAVAL";"LEASE",#N/A,FALSE,"OpLease"}</definedName>
    <definedName name="ktf" localSheetId="16" hidden="1">{"NOPCAPEVA",#N/A,FALSE,"Nopat";"FCFCSTAR",#N/A,FALSE,"FCFVAL";"EVAVL",#N/A,FALSE,"EVAVAL";"LEASE",#N/A,FALSE,"OpLease"}</definedName>
    <definedName name="ktf" localSheetId="22" hidden="1">{"NOPCAPEVA",#N/A,FALSE,"Nopat";"FCFCSTAR",#N/A,FALSE,"FCFVAL";"EVAVL",#N/A,FALSE,"EVAVAL";"LEASE",#N/A,FALSE,"OpLease"}</definedName>
    <definedName name="ktf" localSheetId="24" hidden="1">{"NOPCAPEVA",#N/A,FALSE,"Nopat";"FCFCSTAR",#N/A,FALSE,"FCFVAL";"EVAVL",#N/A,FALSE,"EVAVAL";"LEASE",#N/A,FALSE,"OpLease"}</definedName>
    <definedName name="ktf" localSheetId="26" hidden="1">{"NOPCAPEVA",#N/A,FALSE,"Nopat";"FCFCSTAR",#N/A,FALSE,"FCFVAL";"EVAVL",#N/A,FALSE,"EVAVAL";"LEASE",#N/A,FALSE,"OpLease"}</definedName>
    <definedName name="ktf" localSheetId="28" hidden="1">{"NOPCAPEVA",#N/A,FALSE,"Nopat";"FCFCSTAR",#N/A,FALSE,"FCFVAL";"EVAVL",#N/A,FALSE,"EVAVAL";"LEASE",#N/A,FALSE,"OpLease"}</definedName>
    <definedName name="ktf" localSheetId="30" hidden="1">{"NOPCAPEVA",#N/A,FALSE,"Nopat";"FCFCSTAR",#N/A,FALSE,"FCFVAL";"EVAVL",#N/A,FALSE,"EVAVAL";"LEASE",#N/A,FALSE,"OpLease"}</definedName>
    <definedName name="ktf" localSheetId="32" hidden="1">{"NOPCAPEVA",#N/A,FALSE,"Nopat";"FCFCSTAR",#N/A,FALSE,"FCFVAL";"EVAVL",#N/A,FALSE,"EVAVAL";"LEASE",#N/A,FALSE,"OpLease"}</definedName>
    <definedName name="ktf" localSheetId="34" hidden="1">{"NOPCAPEVA",#N/A,FALSE,"Nopat";"FCFCSTAR",#N/A,FALSE,"FCFVAL";"EVAVL",#N/A,FALSE,"EVAVAL";"LEASE",#N/A,FALSE,"OpLease"}</definedName>
    <definedName name="ktf" localSheetId="36" hidden="1">{"NOPCAPEVA",#N/A,FALSE,"Nopat";"FCFCSTAR",#N/A,FALSE,"FCFVAL";"EVAVL",#N/A,FALSE,"EVAVAL";"LEASE",#N/A,FALSE,"OpLease"}</definedName>
    <definedName name="ktf" localSheetId="38" hidden="1">{"NOPCAPEVA",#N/A,FALSE,"Nopat";"FCFCSTAR",#N/A,FALSE,"FCFVAL";"EVAVL",#N/A,FALSE,"EVAVAL";"LEASE",#N/A,FALSE,"OpLease"}</definedName>
    <definedName name="ktf" hidden="1">{"NOPCAPEVA",#N/A,FALSE,"Nopat";"FCFCSTAR",#N/A,FALSE,"FCFVAL";"EVAVL",#N/A,FALSE,"EVAVAL";"LEASE",#N/A,FALSE,"OpLease"}</definedName>
    <definedName name="kyg" localSheetId="3" hidden="1">{"NOPCAPEVA",#N/A,FALSE,"Nopat";"FCFCSTAR",#N/A,FALSE,"FCFVAL";"EVAVL",#N/A,FALSE,"EVAVAL";"LEASE",#N/A,FALSE,"OpLease"}</definedName>
    <definedName name="kyg" localSheetId="5" hidden="1">{"NOPCAPEVA",#N/A,FALSE,"Nopat";"FCFCSTAR",#N/A,FALSE,"FCFVAL";"EVAVL",#N/A,FALSE,"EVAVAL";"LEASE",#N/A,FALSE,"OpLease"}</definedName>
    <definedName name="kyg" localSheetId="8" hidden="1">{"NOPCAPEVA",#N/A,FALSE,"Nopat";"FCFCSTAR",#N/A,FALSE,"FCFVAL";"EVAVL",#N/A,FALSE,"EVAVAL";"LEASE",#N/A,FALSE,"OpLease"}</definedName>
    <definedName name="kyg" localSheetId="10" hidden="1">{"NOPCAPEVA",#N/A,FALSE,"Nopat";"FCFCSTAR",#N/A,FALSE,"FCFVAL";"EVAVL",#N/A,FALSE,"EVAVAL";"LEASE",#N/A,FALSE,"OpLease"}</definedName>
    <definedName name="kyg" localSheetId="12" hidden="1">{"NOPCAPEVA",#N/A,FALSE,"Nopat";"FCFCSTAR",#N/A,FALSE,"FCFVAL";"EVAVL",#N/A,FALSE,"EVAVAL";"LEASE",#N/A,FALSE,"OpLease"}</definedName>
    <definedName name="kyg" localSheetId="14" hidden="1">{"NOPCAPEVA",#N/A,FALSE,"Nopat";"FCFCSTAR",#N/A,FALSE,"FCFVAL";"EVAVL",#N/A,FALSE,"EVAVAL";"LEASE",#N/A,FALSE,"OpLease"}</definedName>
    <definedName name="kyg" localSheetId="16" hidden="1">{"NOPCAPEVA",#N/A,FALSE,"Nopat";"FCFCSTAR",#N/A,FALSE,"FCFVAL";"EVAVL",#N/A,FALSE,"EVAVAL";"LEASE",#N/A,FALSE,"OpLease"}</definedName>
    <definedName name="kyg" localSheetId="22" hidden="1">{"NOPCAPEVA",#N/A,FALSE,"Nopat";"FCFCSTAR",#N/A,FALSE,"FCFVAL";"EVAVL",#N/A,FALSE,"EVAVAL";"LEASE",#N/A,FALSE,"OpLease"}</definedName>
    <definedName name="kyg" localSheetId="24" hidden="1">{"NOPCAPEVA",#N/A,FALSE,"Nopat";"FCFCSTAR",#N/A,FALSE,"FCFVAL";"EVAVL",#N/A,FALSE,"EVAVAL";"LEASE",#N/A,FALSE,"OpLease"}</definedName>
    <definedName name="kyg" localSheetId="26" hidden="1">{"NOPCAPEVA",#N/A,FALSE,"Nopat";"FCFCSTAR",#N/A,FALSE,"FCFVAL";"EVAVL",#N/A,FALSE,"EVAVAL";"LEASE",#N/A,FALSE,"OpLease"}</definedName>
    <definedName name="kyg" localSheetId="28" hidden="1">{"NOPCAPEVA",#N/A,FALSE,"Nopat";"FCFCSTAR",#N/A,FALSE,"FCFVAL";"EVAVL",#N/A,FALSE,"EVAVAL";"LEASE",#N/A,FALSE,"OpLease"}</definedName>
    <definedName name="kyg" localSheetId="30" hidden="1">{"NOPCAPEVA",#N/A,FALSE,"Nopat";"FCFCSTAR",#N/A,FALSE,"FCFVAL";"EVAVL",#N/A,FALSE,"EVAVAL";"LEASE",#N/A,FALSE,"OpLease"}</definedName>
    <definedName name="kyg" localSheetId="32" hidden="1">{"NOPCAPEVA",#N/A,FALSE,"Nopat";"FCFCSTAR",#N/A,FALSE,"FCFVAL";"EVAVL",#N/A,FALSE,"EVAVAL";"LEASE",#N/A,FALSE,"OpLease"}</definedName>
    <definedName name="kyg" localSheetId="34" hidden="1">{"NOPCAPEVA",#N/A,FALSE,"Nopat";"FCFCSTAR",#N/A,FALSE,"FCFVAL";"EVAVL",#N/A,FALSE,"EVAVAL";"LEASE",#N/A,FALSE,"OpLease"}</definedName>
    <definedName name="kyg" localSheetId="36" hidden="1">{"NOPCAPEVA",#N/A,FALSE,"Nopat";"FCFCSTAR",#N/A,FALSE,"FCFVAL";"EVAVL",#N/A,FALSE,"EVAVAL";"LEASE",#N/A,FALSE,"OpLease"}</definedName>
    <definedName name="kyg" localSheetId="38" hidden="1">{"NOPCAPEVA",#N/A,FALSE,"Nopat";"FCFCSTAR",#N/A,FALSE,"FCFVAL";"EVAVL",#N/A,FALSE,"EVAVAL";"LEASE",#N/A,FALSE,"OpLease"}</definedName>
    <definedName name="kyg" hidden="1">{"NOPCAPEVA",#N/A,FALSE,"Nopat";"FCFCSTAR",#N/A,FALSE,"FCFVAL";"EVAVL",#N/A,FALSE,"EVAVAL";"LEASE",#N/A,FALSE,"OpLease"}</definedName>
    <definedName name="Last_Row">#REF!</definedName>
    <definedName name="Last_year">#REF!</definedName>
    <definedName name="Level">#REF!</definedName>
    <definedName name="LIBOR">#REF!</definedName>
    <definedName name="License">#REF!</definedName>
    <definedName name="lih" localSheetId="3" hidden="1">{"NOPCAPEVA",#N/A,FALSE,"Nopat";"FCFCSTAR",#N/A,FALSE,"FCFVAL";"EVAVL",#N/A,FALSE,"EVAVAL";"LEASE",#N/A,FALSE,"OpLease"}</definedName>
    <definedName name="lih" localSheetId="5" hidden="1">{"NOPCAPEVA",#N/A,FALSE,"Nopat";"FCFCSTAR",#N/A,FALSE,"FCFVAL";"EVAVL",#N/A,FALSE,"EVAVAL";"LEASE",#N/A,FALSE,"OpLease"}</definedName>
    <definedName name="lih" localSheetId="8" hidden="1">{"NOPCAPEVA",#N/A,FALSE,"Nopat";"FCFCSTAR",#N/A,FALSE,"FCFVAL";"EVAVL",#N/A,FALSE,"EVAVAL";"LEASE",#N/A,FALSE,"OpLease"}</definedName>
    <definedName name="lih" localSheetId="10" hidden="1">{"NOPCAPEVA",#N/A,FALSE,"Nopat";"FCFCSTAR",#N/A,FALSE,"FCFVAL";"EVAVL",#N/A,FALSE,"EVAVAL";"LEASE",#N/A,FALSE,"OpLease"}</definedName>
    <definedName name="lih" localSheetId="12" hidden="1">{"NOPCAPEVA",#N/A,FALSE,"Nopat";"FCFCSTAR",#N/A,FALSE,"FCFVAL";"EVAVL",#N/A,FALSE,"EVAVAL";"LEASE",#N/A,FALSE,"OpLease"}</definedName>
    <definedName name="lih" localSheetId="14" hidden="1">{"NOPCAPEVA",#N/A,FALSE,"Nopat";"FCFCSTAR",#N/A,FALSE,"FCFVAL";"EVAVL",#N/A,FALSE,"EVAVAL";"LEASE",#N/A,FALSE,"OpLease"}</definedName>
    <definedName name="lih" localSheetId="16" hidden="1">{"NOPCAPEVA",#N/A,FALSE,"Nopat";"FCFCSTAR",#N/A,FALSE,"FCFVAL";"EVAVL",#N/A,FALSE,"EVAVAL";"LEASE",#N/A,FALSE,"OpLease"}</definedName>
    <definedName name="lih" localSheetId="22" hidden="1">{"NOPCAPEVA",#N/A,FALSE,"Nopat";"FCFCSTAR",#N/A,FALSE,"FCFVAL";"EVAVL",#N/A,FALSE,"EVAVAL";"LEASE",#N/A,FALSE,"OpLease"}</definedName>
    <definedName name="lih" localSheetId="24" hidden="1">{"NOPCAPEVA",#N/A,FALSE,"Nopat";"FCFCSTAR",#N/A,FALSE,"FCFVAL";"EVAVL",#N/A,FALSE,"EVAVAL";"LEASE",#N/A,FALSE,"OpLease"}</definedName>
    <definedName name="lih" localSheetId="26" hidden="1">{"NOPCAPEVA",#N/A,FALSE,"Nopat";"FCFCSTAR",#N/A,FALSE,"FCFVAL";"EVAVL",#N/A,FALSE,"EVAVAL";"LEASE",#N/A,FALSE,"OpLease"}</definedName>
    <definedName name="lih" localSheetId="28" hidden="1">{"NOPCAPEVA",#N/A,FALSE,"Nopat";"FCFCSTAR",#N/A,FALSE,"FCFVAL";"EVAVL",#N/A,FALSE,"EVAVAL";"LEASE",#N/A,FALSE,"OpLease"}</definedName>
    <definedName name="lih" localSheetId="30" hidden="1">{"NOPCAPEVA",#N/A,FALSE,"Nopat";"FCFCSTAR",#N/A,FALSE,"FCFVAL";"EVAVL",#N/A,FALSE,"EVAVAL";"LEASE",#N/A,FALSE,"OpLease"}</definedName>
    <definedName name="lih" localSheetId="32" hidden="1">{"NOPCAPEVA",#N/A,FALSE,"Nopat";"FCFCSTAR",#N/A,FALSE,"FCFVAL";"EVAVL",#N/A,FALSE,"EVAVAL";"LEASE",#N/A,FALSE,"OpLease"}</definedName>
    <definedName name="lih" localSheetId="34" hidden="1">{"NOPCAPEVA",#N/A,FALSE,"Nopat";"FCFCSTAR",#N/A,FALSE,"FCFVAL";"EVAVL",#N/A,FALSE,"EVAVAL";"LEASE",#N/A,FALSE,"OpLease"}</definedName>
    <definedName name="lih" localSheetId="36" hidden="1">{"NOPCAPEVA",#N/A,FALSE,"Nopat";"FCFCSTAR",#N/A,FALSE,"FCFVAL";"EVAVL",#N/A,FALSE,"EVAVAL";"LEASE",#N/A,FALSE,"OpLease"}</definedName>
    <definedName name="lih" localSheetId="38" hidden="1">{"NOPCAPEVA",#N/A,FALSE,"Nopat";"FCFCSTAR",#N/A,FALSE,"FCFVAL";"EVAVL",#N/A,FALSE,"EVAVAL";"LEASE",#N/A,FALSE,"OpLease"}</definedName>
    <definedName name="lih" hidden="1">{"NOPCAPEVA",#N/A,FALSE,"Nopat";"FCFCSTAR",#N/A,FALSE,"FCFVAL";"EVAVL",#N/A,FALSE,"EVAVAL";"LEASE",#N/A,FALSE,"OpLease"}</definedName>
    <definedName name="limcount" hidden="1">1</definedName>
    <definedName name="link">#REF!</definedName>
    <definedName name="List_ARPopulation">#REF!</definedName>
    <definedName name="List_Curr">#REF!</definedName>
    <definedName name="List_ExpandedTesting">#REF!</definedName>
    <definedName name="List_Level_Assr">#REF!</definedName>
    <definedName name="List_LevelAssurance">#REF!</definedName>
    <definedName name="List_Number_of_Exceptions_Identified">#REF!</definedName>
    <definedName name="List_NumberTolerableExceptions">#REF!</definedName>
    <definedName name="List_Proj_Meth">#REF!</definedName>
    <definedName name="List_Samp_Sel">#REF!</definedName>
    <definedName name="List_SampleSelectionMethod">#REF!</definedName>
    <definedName name="List_TypeProcedure">#REF!</definedName>
    <definedName name="ListOffset" hidden="1">1</definedName>
    <definedName name="lkj">#REF!</definedName>
    <definedName name="lll" localSheetId="3" hidden="1">{#N/A,#N/A,FALSE,"MAIN";#N/A,#N/A,FALSE,"MK_ASS_B";#N/A,#N/A,FALSE,"MK_ASS_R";#N/A,#N/A,FALSE,"TR_ASS_B";#N/A,#N/A,FALSE,"TR_ASS_R";#N/A,#N/A,FALSE,"ROAMING";#N/A,#N/A,FALSE,"PR_ASS_B";#N/A,#N/A,FALSE,"PR_ASS_R";#N/A,#N/A,FALSE,"PR_ASS_S"}</definedName>
    <definedName name="lll" localSheetId="5" hidden="1">{#N/A,#N/A,FALSE,"MAIN";#N/A,#N/A,FALSE,"MK_ASS_B";#N/A,#N/A,FALSE,"MK_ASS_R";#N/A,#N/A,FALSE,"TR_ASS_B";#N/A,#N/A,FALSE,"TR_ASS_R";#N/A,#N/A,FALSE,"ROAMING";#N/A,#N/A,FALSE,"PR_ASS_B";#N/A,#N/A,FALSE,"PR_ASS_R";#N/A,#N/A,FALSE,"PR_ASS_S"}</definedName>
    <definedName name="lll" localSheetId="8" hidden="1">{#N/A,#N/A,FALSE,"MAIN";#N/A,#N/A,FALSE,"MK_ASS_B";#N/A,#N/A,FALSE,"MK_ASS_R";#N/A,#N/A,FALSE,"TR_ASS_B";#N/A,#N/A,FALSE,"TR_ASS_R";#N/A,#N/A,FALSE,"ROAMING";#N/A,#N/A,FALSE,"PR_ASS_B";#N/A,#N/A,FALSE,"PR_ASS_R";#N/A,#N/A,FALSE,"PR_ASS_S"}</definedName>
    <definedName name="lll" localSheetId="10" hidden="1">{#N/A,#N/A,FALSE,"MAIN";#N/A,#N/A,FALSE,"MK_ASS_B";#N/A,#N/A,FALSE,"MK_ASS_R";#N/A,#N/A,FALSE,"TR_ASS_B";#N/A,#N/A,FALSE,"TR_ASS_R";#N/A,#N/A,FALSE,"ROAMING";#N/A,#N/A,FALSE,"PR_ASS_B";#N/A,#N/A,FALSE,"PR_ASS_R";#N/A,#N/A,FALSE,"PR_ASS_S"}</definedName>
    <definedName name="lll" localSheetId="12" hidden="1">{#N/A,#N/A,FALSE,"MAIN";#N/A,#N/A,FALSE,"MK_ASS_B";#N/A,#N/A,FALSE,"MK_ASS_R";#N/A,#N/A,FALSE,"TR_ASS_B";#N/A,#N/A,FALSE,"TR_ASS_R";#N/A,#N/A,FALSE,"ROAMING";#N/A,#N/A,FALSE,"PR_ASS_B";#N/A,#N/A,FALSE,"PR_ASS_R";#N/A,#N/A,FALSE,"PR_ASS_S"}</definedName>
    <definedName name="lll" localSheetId="14" hidden="1">{#N/A,#N/A,FALSE,"MAIN";#N/A,#N/A,FALSE,"MK_ASS_B";#N/A,#N/A,FALSE,"MK_ASS_R";#N/A,#N/A,FALSE,"TR_ASS_B";#N/A,#N/A,FALSE,"TR_ASS_R";#N/A,#N/A,FALSE,"ROAMING";#N/A,#N/A,FALSE,"PR_ASS_B";#N/A,#N/A,FALSE,"PR_ASS_R";#N/A,#N/A,FALSE,"PR_ASS_S"}</definedName>
    <definedName name="lll" localSheetId="16" hidden="1">{#N/A,#N/A,FALSE,"MAIN";#N/A,#N/A,FALSE,"MK_ASS_B";#N/A,#N/A,FALSE,"MK_ASS_R";#N/A,#N/A,FALSE,"TR_ASS_B";#N/A,#N/A,FALSE,"TR_ASS_R";#N/A,#N/A,FALSE,"ROAMING";#N/A,#N/A,FALSE,"PR_ASS_B";#N/A,#N/A,FALSE,"PR_ASS_R";#N/A,#N/A,FALSE,"PR_ASS_S"}</definedName>
    <definedName name="lll" localSheetId="22" hidden="1">{#N/A,#N/A,FALSE,"MAIN";#N/A,#N/A,FALSE,"MK_ASS_B";#N/A,#N/A,FALSE,"MK_ASS_R";#N/A,#N/A,FALSE,"TR_ASS_B";#N/A,#N/A,FALSE,"TR_ASS_R";#N/A,#N/A,FALSE,"ROAMING";#N/A,#N/A,FALSE,"PR_ASS_B";#N/A,#N/A,FALSE,"PR_ASS_R";#N/A,#N/A,FALSE,"PR_ASS_S"}</definedName>
    <definedName name="lll" localSheetId="24" hidden="1">{#N/A,#N/A,FALSE,"MAIN";#N/A,#N/A,FALSE,"MK_ASS_B";#N/A,#N/A,FALSE,"MK_ASS_R";#N/A,#N/A,FALSE,"TR_ASS_B";#N/A,#N/A,FALSE,"TR_ASS_R";#N/A,#N/A,FALSE,"ROAMING";#N/A,#N/A,FALSE,"PR_ASS_B";#N/A,#N/A,FALSE,"PR_ASS_R";#N/A,#N/A,FALSE,"PR_ASS_S"}</definedName>
    <definedName name="lll" localSheetId="26" hidden="1">{#N/A,#N/A,FALSE,"MAIN";#N/A,#N/A,FALSE,"MK_ASS_B";#N/A,#N/A,FALSE,"MK_ASS_R";#N/A,#N/A,FALSE,"TR_ASS_B";#N/A,#N/A,FALSE,"TR_ASS_R";#N/A,#N/A,FALSE,"ROAMING";#N/A,#N/A,FALSE,"PR_ASS_B";#N/A,#N/A,FALSE,"PR_ASS_R";#N/A,#N/A,FALSE,"PR_ASS_S"}</definedName>
    <definedName name="lll" localSheetId="28" hidden="1">{#N/A,#N/A,FALSE,"MAIN";#N/A,#N/A,FALSE,"MK_ASS_B";#N/A,#N/A,FALSE,"MK_ASS_R";#N/A,#N/A,FALSE,"TR_ASS_B";#N/A,#N/A,FALSE,"TR_ASS_R";#N/A,#N/A,FALSE,"ROAMING";#N/A,#N/A,FALSE,"PR_ASS_B";#N/A,#N/A,FALSE,"PR_ASS_R";#N/A,#N/A,FALSE,"PR_ASS_S"}</definedName>
    <definedName name="lll" localSheetId="30" hidden="1">{#N/A,#N/A,FALSE,"MAIN";#N/A,#N/A,FALSE,"MK_ASS_B";#N/A,#N/A,FALSE,"MK_ASS_R";#N/A,#N/A,FALSE,"TR_ASS_B";#N/A,#N/A,FALSE,"TR_ASS_R";#N/A,#N/A,FALSE,"ROAMING";#N/A,#N/A,FALSE,"PR_ASS_B";#N/A,#N/A,FALSE,"PR_ASS_R";#N/A,#N/A,FALSE,"PR_ASS_S"}</definedName>
    <definedName name="lll" localSheetId="32" hidden="1">{#N/A,#N/A,FALSE,"MAIN";#N/A,#N/A,FALSE,"MK_ASS_B";#N/A,#N/A,FALSE,"MK_ASS_R";#N/A,#N/A,FALSE,"TR_ASS_B";#N/A,#N/A,FALSE,"TR_ASS_R";#N/A,#N/A,FALSE,"ROAMING";#N/A,#N/A,FALSE,"PR_ASS_B";#N/A,#N/A,FALSE,"PR_ASS_R";#N/A,#N/A,FALSE,"PR_ASS_S"}</definedName>
    <definedName name="lll" localSheetId="34" hidden="1">{#N/A,#N/A,FALSE,"MAIN";#N/A,#N/A,FALSE,"MK_ASS_B";#N/A,#N/A,FALSE,"MK_ASS_R";#N/A,#N/A,FALSE,"TR_ASS_B";#N/A,#N/A,FALSE,"TR_ASS_R";#N/A,#N/A,FALSE,"ROAMING";#N/A,#N/A,FALSE,"PR_ASS_B";#N/A,#N/A,FALSE,"PR_ASS_R";#N/A,#N/A,FALSE,"PR_ASS_S"}</definedName>
    <definedName name="lll" localSheetId="36" hidden="1">{#N/A,#N/A,FALSE,"MAIN";#N/A,#N/A,FALSE,"MK_ASS_B";#N/A,#N/A,FALSE,"MK_ASS_R";#N/A,#N/A,FALSE,"TR_ASS_B";#N/A,#N/A,FALSE,"TR_ASS_R";#N/A,#N/A,FALSE,"ROAMING";#N/A,#N/A,FALSE,"PR_ASS_B";#N/A,#N/A,FALSE,"PR_ASS_R";#N/A,#N/A,FALSE,"PR_ASS_S"}</definedName>
    <definedName name="lll" localSheetId="38" hidden="1">{#N/A,#N/A,FALSE,"MAIN";#N/A,#N/A,FALSE,"MK_ASS_B";#N/A,#N/A,FALSE,"MK_ASS_R";#N/A,#N/A,FALSE,"TR_ASS_B";#N/A,#N/A,FALSE,"TR_ASS_R";#N/A,#N/A,FALSE,"ROAMING";#N/A,#N/A,FALSE,"PR_ASS_B";#N/A,#N/A,FALSE,"PR_ASS_R";#N/A,#N/A,FALSE,"PR_ASS_S"}</definedName>
    <definedName name="lll" hidden="1">{#N/A,#N/A,FALSE,"MAIN";#N/A,#N/A,FALSE,"MK_ASS_B";#N/A,#N/A,FALSE,"MK_ASS_R";#N/A,#N/A,FALSE,"TR_ASS_B";#N/A,#N/A,FALSE,"TR_ASS_R";#N/A,#N/A,FALSE,"ROAMING";#N/A,#N/A,FALSE,"PR_ASS_B";#N/A,#N/A,FALSE,"PR_ASS_R";#N/A,#N/A,FALSE,"PR_ASS_S"}</definedName>
    <definedName name="llll" localSheetId="3" hidden="1">{"'Set-Out'!$A$1:$H$30"}</definedName>
    <definedName name="llll" localSheetId="5" hidden="1">{"'Set-Out'!$A$1:$H$30"}</definedName>
    <definedName name="llll" localSheetId="8" hidden="1">{"'Set-Out'!$A$1:$H$30"}</definedName>
    <definedName name="llll" localSheetId="10" hidden="1">{"'Set-Out'!$A$1:$H$30"}</definedName>
    <definedName name="llll" localSheetId="12" hidden="1">{"'Set-Out'!$A$1:$H$30"}</definedName>
    <definedName name="llll" localSheetId="14" hidden="1">{"'Set-Out'!$A$1:$H$30"}</definedName>
    <definedName name="llll" localSheetId="16" hidden="1">{"'Set-Out'!$A$1:$H$30"}</definedName>
    <definedName name="llll" localSheetId="22" hidden="1">{"'Set-Out'!$A$1:$H$30"}</definedName>
    <definedName name="llll" localSheetId="24" hidden="1">{"'Set-Out'!$A$1:$H$30"}</definedName>
    <definedName name="llll" localSheetId="26" hidden="1">{"'Set-Out'!$A$1:$H$30"}</definedName>
    <definedName name="llll" localSheetId="28" hidden="1">{"'Set-Out'!$A$1:$H$30"}</definedName>
    <definedName name="llll" localSheetId="30" hidden="1">{"'Set-Out'!$A$1:$H$30"}</definedName>
    <definedName name="llll" localSheetId="32" hidden="1">{"'Set-Out'!$A$1:$H$30"}</definedName>
    <definedName name="llll" localSheetId="34" hidden="1">{"'Set-Out'!$A$1:$H$30"}</definedName>
    <definedName name="llll" localSheetId="36" hidden="1">{"'Set-Out'!$A$1:$H$30"}</definedName>
    <definedName name="llll" localSheetId="38" hidden="1">{"'Set-Out'!$A$1:$H$30"}</definedName>
    <definedName name="llll" hidden="1">{"'Set-Out'!$A$1:$H$30"}</definedName>
    <definedName name="lllll" localSheetId="3" hidden="1">{#N/A,#N/A,FALSE,"MK_ASS_B";#N/A,#N/A,FALSE,"MK_ASS_R";#N/A,#N/A,FALSE,"MK_ASS_S";#N/A,#N/A,FALSE,"TR_ASS_B";#N/A,#N/A,FALSE,"TR_ASS_R";#N/A,#N/A,FALSE,"TR_ASS_S";#N/A,#N/A,FALSE,"PR_ASS_B";#N/A,#N/A,FALSE,"PR_ASS_R";#N/A,#N/A,FALSE,"REV_SUM"}</definedName>
    <definedName name="lllll" localSheetId="5" hidden="1">{#N/A,#N/A,FALSE,"MK_ASS_B";#N/A,#N/A,FALSE,"MK_ASS_R";#N/A,#N/A,FALSE,"MK_ASS_S";#N/A,#N/A,FALSE,"TR_ASS_B";#N/A,#N/A,FALSE,"TR_ASS_R";#N/A,#N/A,FALSE,"TR_ASS_S";#N/A,#N/A,FALSE,"PR_ASS_B";#N/A,#N/A,FALSE,"PR_ASS_R";#N/A,#N/A,FALSE,"REV_SUM"}</definedName>
    <definedName name="lllll" localSheetId="8" hidden="1">{#N/A,#N/A,FALSE,"MK_ASS_B";#N/A,#N/A,FALSE,"MK_ASS_R";#N/A,#N/A,FALSE,"MK_ASS_S";#N/A,#N/A,FALSE,"TR_ASS_B";#N/A,#N/A,FALSE,"TR_ASS_R";#N/A,#N/A,FALSE,"TR_ASS_S";#N/A,#N/A,FALSE,"PR_ASS_B";#N/A,#N/A,FALSE,"PR_ASS_R";#N/A,#N/A,FALSE,"REV_SUM"}</definedName>
    <definedName name="lllll" localSheetId="10" hidden="1">{#N/A,#N/A,FALSE,"MK_ASS_B";#N/A,#N/A,FALSE,"MK_ASS_R";#N/A,#N/A,FALSE,"MK_ASS_S";#N/A,#N/A,FALSE,"TR_ASS_B";#N/A,#N/A,FALSE,"TR_ASS_R";#N/A,#N/A,FALSE,"TR_ASS_S";#N/A,#N/A,FALSE,"PR_ASS_B";#N/A,#N/A,FALSE,"PR_ASS_R";#N/A,#N/A,FALSE,"REV_SUM"}</definedName>
    <definedName name="lllll" localSheetId="12" hidden="1">{#N/A,#N/A,FALSE,"MK_ASS_B";#N/A,#N/A,FALSE,"MK_ASS_R";#N/A,#N/A,FALSE,"MK_ASS_S";#N/A,#N/A,FALSE,"TR_ASS_B";#N/A,#N/A,FALSE,"TR_ASS_R";#N/A,#N/A,FALSE,"TR_ASS_S";#N/A,#N/A,FALSE,"PR_ASS_B";#N/A,#N/A,FALSE,"PR_ASS_R";#N/A,#N/A,FALSE,"REV_SUM"}</definedName>
    <definedName name="lllll" localSheetId="14" hidden="1">{#N/A,#N/A,FALSE,"MK_ASS_B";#N/A,#N/A,FALSE,"MK_ASS_R";#N/A,#N/A,FALSE,"MK_ASS_S";#N/A,#N/A,FALSE,"TR_ASS_B";#N/A,#N/A,FALSE,"TR_ASS_R";#N/A,#N/A,FALSE,"TR_ASS_S";#N/A,#N/A,FALSE,"PR_ASS_B";#N/A,#N/A,FALSE,"PR_ASS_R";#N/A,#N/A,FALSE,"REV_SUM"}</definedName>
    <definedName name="lllll" localSheetId="16" hidden="1">{#N/A,#N/A,FALSE,"MK_ASS_B";#N/A,#N/A,FALSE,"MK_ASS_R";#N/A,#N/A,FALSE,"MK_ASS_S";#N/A,#N/A,FALSE,"TR_ASS_B";#N/A,#N/A,FALSE,"TR_ASS_R";#N/A,#N/A,FALSE,"TR_ASS_S";#N/A,#N/A,FALSE,"PR_ASS_B";#N/A,#N/A,FALSE,"PR_ASS_R";#N/A,#N/A,FALSE,"REV_SUM"}</definedName>
    <definedName name="lllll" localSheetId="22" hidden="1">{#N/A,#N/A,FALSE,"MK_ASS_B";#N/A,#N/A,FALSE,"MK_ASS_R";#N/A,#N/A,FALSE,"MK_ASS_S";#N/A,#N/A,FALSE,"TR_ASS_B";#N/A,#N/A,FALSE,"TR_ASS_R";#N/A,#N/A,FALSE,"TR_ASS_S";#N/A,#N/A,FALSE,"PR_ASS_B";#N/A,#N/A,FALSE,"PR_ASS_R";#N/A,#N/A,FALSE,"REV_SUM"}</definedName>
    <definedName name="lllll" localSheetId="24" hidden="1">{#N/A,#N/A,FALSE,"MK_ASS_B";#N/A,#N/A,FALSE,"MK_ASS_R";#N/A,#N/A,FALSE,"MK_ASS_S";#N/A,#N/A,FALSE,"TR_ASS_B";#N/A,#N/A,FALSE,"TR_ASS_R";#N/A,#N/A,FALSE,"TR_ASS_S";#N/A,#N/A,FALSE,"PR_ASS_B";#N/A,#N/A,FALSE,"PR_ASS_R";#N/A,#N/A,FALSE,"REV_SUM"}</definedName>
    <definedName name="lllll" localSheetId="26" hidden="1">{#N/A,#N/A,FALSE,"MK_ASS_B";#N/A,#N/A,FALSE,"MK_ASS_R";#N/A,#N/A,FALSE,"MK_ASS_S";#N/A,#N/A,FALSE,"TR_ASS_B";#N/A,#N/A,FALSE,"TR_ASS_R";#N/A,#N/A,FALSE,"TR_ASS_S";#N/A,#N/A,FALSE,"PR_ASS_B";#N/A,#N/A,FALSE,"PR_ASS_R";#N/A,#N/A,FALSE,"REV_SUM"}</definedName>
    <definedName name="lllll" localSheetId="28" hidden="1">{#N/A,#N/A,FALSE,"MK_ASS_B";#N/A,#N/A,FALSE,"MK_ASS_R";#N/A,#N/A,FALSE,"MK_ASS_S";#N/A,#N/A,FALSE,"TR_ASS_B";#N/A,#N/A,FALSE,"TR_ASS_R";#N/A,#N/A,FALSE,"TR_ASS_S";#N/A,#N/A,FALSE,"PR_ASS_B";#N/A,#N/A,FALSE,"PR_ASS_R";#N/A,#N/A,FALSE,"REV_SUM"}</definedName>
    <definedName name="lllll" localSheetId="30" hidden="1">{#N/A,#N/A,FALSE,"MK_ASS_B";#N/A,#N/A,FALSE,"MK_ASS_R";#N/A,#N/A,FALSE,"MK_ASS_S";#N/A,#N/A,FALSE,"TR_ASS_B";#N/A,#N/A,FALSE,"TR_ASS_R";#N/A,#N/A,FALSE,"TR_ASS_S";#N/A,#N/A,FALSE,"PR_ASS_B";#N/A,#N/A,FALSE,"PR_ASS_R";#N/A,#N/A,FALSE,"REV_SUM"}</definedName>
    <definedName name="lllll" localSheetId="32" hidden="1">{#N/A,#N/A,FALSE,"MK_ASS_B";#N/A,#N/A,FALSE,"MK_ASS_R";#N/A,#N/A,FALSE,"MK_ASS_S";#N/A,#N/A,FALSE,"TR_ASS_B";#N/A,#N/A,FALSE,"TR_ASS_R";#N/A,#N/A,FALSE,"TR_ASS_S";#N/A,#N/A,FALSE,"PR_ASS_B";#N/A,#N/A,FALSE,"PR_ASS_R";#N/A,#N/A,FALSE,"REV_SUM"}</definedName>
    <definedName name="lllll" localSheetId="34" hidden="1">{#N/A,#N/A,FALSE,"MK_ASS_B";#N/A,#N/A,FALSE,"MK_ASS_R";#N/A,#N/A,FALSE,"MK_ASS_S";#N/A,#N/A,FALSE,"TR_ASS_B";#N/A,#N/A,FALSE,"TR_ASS_R";#N/A,#N/A,FALSE,"TR_ASS_S";#N/A,#N/A,FALSE,"PR_ASS_B";#N/A,#N/A,FALSE,"PR_ASS_R";#N/A,#N/A,FALSE,"REV_SUM"}</definedName>
    <definedName name="lllll" localSheetId="36" hidden="1">{#N/A,#N/A,FALSE,"MK_ASS_B";#N/A,#N/A,FALSE,"MK_ASS_R";#N/A,#N/A,FALSE,"MK_ASS_S";#N/A,#N/A,FALSE,"TR_ASS_B";#N/A,#N/A,FALSE,"TR_ASS_R";#N/A,#N/A,FALSE,"TR_ASS_S";#N/A,#N/A,FALSE,"PR_ASS_B";#N/A,#N/A,FALSE,"PR_ASS_R";#N/A,#N/A,FALSE,"REV_SUM"}</definedName>
    <definedName name="lllll" localSheetId="38" hidden="1">{#N/A,#N/A,FALSE,"MK_ASS_B";#N/A,#N/A,FALSE,"MK_ASS_R";#N/A,#N/A,FALSE,"MK_ASS_S";#N/A,#N/A,FALSE,"TR_ASS_B";#N/A,#N/A,FALSE,"TR_ASS_R";#N/A,#N/A,FALSE,"TR_ASS_S";#N/A,#N/A,FALSE,"PR_ASS_B";#N/A,#N/A,FALSE,"PR_ASS_R";#N/A,#N/A,FALSE,"REV_SUM"}</definedName>
    <definedName name="lllll" hidden="1">{#N/A,#N/A,FALSE,"MK_ASS_B";#N/A,#N/A,FALSE,"MK_ASS_R";#N/A,#N/A,FALSE,"MK_ASS_S";#N/A,#N/A,FALSE,"TR_ASS_B";#N/A,#N/A,FALSE,"TR_ASS_R";#N/A,#N/A,FALSE,"TR_ASS_S";#N/A,#N/A,FALSE,"PR_ASS_B";#N/A,#N/A,FALSE,"PR_ASS_R";#N/A,#N/A,FALSE,"REV_SUM"}</definedName>
    <definedName name="lllloooo" localSheetId="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lllloooo" localSheetId="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lllloooo" localSheetId="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lllloooo"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lllloooo" localSheetId="1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lllloooo" localSheetId="1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lllloooo" localSheetId="1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lllloooo" localSheetId="2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lllloooo" localSheetId="2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lllloooo" localSheetId="2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lllloooo" localSheetId="2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lllloooo" localSheetId="3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lllloooo" localSheetId="3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lllloooo" localSheetId="3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lllloooo" localSheetId="3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lllloooo" localSheetId="3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llllooo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LM_Month">#REF!</definedName>
    <definedName name="LM_Year">#REF!</definedName>
    <definedName name="Loan_Amount">#REF!</definedName>
    <definedName name="Loan_Start">#REF!</definedName>
    <definedName name="Loan_Years">#REF!</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s">#REF!</definedName>
    <definedName name="loi" localSheetId="3" hidden="1">{"AnnInc",#N/A,TRUE,"Inc";"QtrInc1",#N/A,TRUE,"Inc";"Balance",#N/A,TRUE,"Bal";"Cflow",#N/A,TRUE,"Cash"}</definedName>
    <definedName name="loi" localSheetId="5" hidden="1">{"AnnInc",#N/A,TRUE,"Inc";"QtrInc1",#N/A,TRUE,"Inc";"Balance",#N/A,TRUE,"Bal";"Cflow",#N/A,TRUE,"Cash"}</definedName>
    <definedName name="loi" localSheetId="8" hidden="1">{"AnnInc",#N/A,TRUE,"Inc";"QtrInc1",#N/A,TRUE,"Inc";"Balance",#N/A,TRUE,"Bal";"Cflow",#N/A,TRUE,"Cash"}</definedName>
    <definedName name="loi" localSheetId="10" hidden="1">{"AnnInc",#N/A,TRUE,"Inc";"QtrInc1",#N/A,TRUE,"Inc";"Balance",#N/A,TRUE,"Bal";"Cflow",#N/A,TRUE,"Cash"}</definedName>
    <definedName name="loi" localSheetId="12" hidden="1">{"AnnInc",#N/A,TRUE,"Inc";"QtrInc1",#N/A,TRUE,"Inc";"Balance",#N/A,TRUE,"Bal";"Cflow",#N/A,TRUE,"Cash"}</definedName>
    <definedName name="loi" localSheetId="14" hidden="1">{"AnnInc",#N/A,TRUE,"Inc";"QtrInc1",#N/A,TRUE,"Inc";"Balance",#N/A,TRUE,"Bal";"Cflow",#N/A,TRUE,"Cash"}</definedName>
    <definedName name="loi" localSheetId="16" hidden="1">{"AnnInc",#N/A,TRUE,"Inc";"QtrInc1",#N/A,TRUE,"Inc";"Balance",#N/A,TRUE,"Bal";"Cflow",#N/A,TRUE,"Cash"}</definedName>
    <definedName name="loi" localSheetId="22" hidden="1">{"AnnInc",#N/A,TRUE,"Inc";"QtrInc1",#N/A,TRUE,"Inc";"Balance",#N/A,TRUE,"Bal";"Cflow",#N/A,TRUE,"Cash"}</definedName>
    <definedName name="loi" localSheetId="24" hidden="1">{"AnnInc",#N/A,TRUE,"Inc";"QtrInc1",#N/A,TRUE,"Inc";"Balance",#N/A,TRUE,"Bal";"Cflow",#N/A,TRUE,"Cash"}</definedName>
    <definedName name="loi" localSheetId="26" hidden="1">{"AnnInc",#N/A,TRUE,"Inc";"QtrInc1",#N/A,TRUE,"Inc";"Balance",#N/A,TRUE,"Bal";"Cflow",#N/A,TRUE,"Cash"}</definedName>
    <definedName name="loi" localSheetId="28" hidden="1">{"AnnInc",#N/A,TRUE,"Inc";"QtrInc1",#N/A,TRUE,"Inc";"Balance",#N/A,TRUE,"Bal";"Cflow",#N/A,TRUE,"Cash"}</definedName>
    <definedName name="loi" localSheetId="30" hidden="1">{"AnnInc",#N/A,TRUE,"Inc";"QtrInc1",#N/A,TRUE,"Inc";"Balance",#N/A,TRUE,"Bal";"Cflow",#N/A,TRUE,"Cash"}</definedName>
    <definedName name="loi" localSheetId="32" hidden="1">{"AnnInc",#N/A,TRUE,"Inc";"QtrInc1",#N/A,TRUE,"Inc";"Balance",#N/A,TRUE,"Bal";"Cflow",#N/A,TRUE,"Cash"}</definedName>
    <definedName name="loi" localSheetId="34" hidden="1">{"AnnInc",#N/A,TRUE,"Inc";"QtrInc1",#N/A,TRUE,"Inc";"Balance",#N/A,TRUE,"Bal";"Cflow",#N/A,TRUE,"Cash"}</definedName>
    <definedName name="loi" localSheetId="36" hidden="1">{"AnnInc",#N/A,TRUE,"Inc";"QtrInc1",#N/A,TRUE,"Inc";"Balance",#N/A,TRUE,"Bal";"Cflow",#N/A,TRUE,"Cash"}</definedName>
    <definedName name="loi" localSheetId="38" hidden="1">{"AnnInc",#N/A,TRUE,"Inc";"QtrInc1",#N/A,TRUE,"Inc";"Balance",#N/A,TRUE,"Bal";"Cflow",#N/A,TRUE,"Cash"}</definedName>
    <definedName name="loi" hidden="1">{"AnnInc",#N/A,TRUE,"Inc";"QtrInc1",#N/A,TRUE,"Inc";"Balance",#N/A,TRUE,"Bal";"Cflow",#N/A,TRUE,"Cash"}</definedName>
    <definedName name="loiuy" localSheetId="3" hidden="1">{"AnnInc",#N/A,TRUE,"Inc";"QtrInc1",#N/A,TRUE,"Inc";"Balance",#N/A,TRUE,"Bal";"Cflow",#N/A,TRUE,"Cash"}</definedName>
    <definedName name="loiuy" localSheetId="5" hidden="1">{"AnnInc",#N/A,TRUE,"Inc";"QtrInc1",#N/A,TRUE,"Inc";"Balance",#N/A,TRUE,"Bal";"Cflow",#N/A,TRUE,"Cash"}</definedName>
    <definedName name="loiuy" localSheetId="8" hidden="1">{"AnnInc",#N/A,TRUE,"Inc";"QtrInc1",#N/A,TRUE,"Inc";"Balance",#N/A,TRUE,"Bal";"Cflow",#N/A,TRUE,"Cash"}</definedName>
    <definedName name="loiuy" localSheetId="10" hidden="1">{"AnnInc",#N/A,TRUE,"Inc";"QtrInc1",#N/A,TRUE,"Inc";"Balance",#N/A,TRUE,"Bal";"Cflow",#N/A,TRUE,"Cash"}</definedName>
    <definedName name="loiuy" localSheetId="12" hidden="1">{"AnnInc",#N/A,TRUE,"Inc";"QtrInc1",#N/A,TRUE,"Inc";"Balance",#N/A,TRUE,"Bal";"Cflow",#N/A,TRUE,"Cash"}</definedName>
    <definedName name="loiuy" localSheetId="14" hidden="1">{"AnnInc",#N/A,TRUE,"Inc";"QtrInc1",#N/A,TRUE,"Inc";"Balance",#N/A,TRUE,"Bal";"Cflow",#N/A,TRUE,"Cash"}</definedName>
    <definedName name="loiuy" localSheetId="16" hidden="1">{"AnnInc",#N/A,TRUE,"Inc";"QtrInc1",#N/A,TRUE,"Inc";"Balance",#N/A,TRUE,"Bal";"Cflow",#N/A,TRUE,"Cash"}</definedName>
    <definedName name="loiuy" localSheetId="22" hidden="1">{"AnnInc",#N/A,TRUE,"Inc";"QtrInc1",#N/A,TRUE,"Inc";"Balance",#N/A,TRUE,"Bal";"Cflow",#N/A,TRUE,"Cash"}</definedName>
    <definedName name="loiuy" localSheetId="24" hidden="1">{"AnnInc",#N/A,TRUE,"Inc";"QtrInc1",#N/A,TRUE,"Inc";"Balance",#N/A,TRUE,"Bal";"Cflow",#N/A,TRUE,"Cash"}</definedName>
    <definedName name="loiuy" localSheetId="26" hidden="1">{"AnnInc",#N/A,TRUE,"Inc";"QtrInc1",#N/A,TRUE,"Inc";"Balance",#N/A,TRUE,"Bal";"Cflow",#N/A,TRUE,"Cash"}</definedName>
    <definedName name="loiuy" localSheetId="28" hidden="1">{"AnnInc",#N/A,TRUE,"Inc";"QtrInc1",#N/A,TRUE,"Inc";"Balance",#N/A,TRUE,"Bal";"Cflow",#N/A,TRUE,"Cash"}</definedName>
    <definedName name="loiuy" localSheetId="30" hidden="1">{"AnnInc",#N/A,TRUE,"Inc";"QtrInc1",#N/A,TRUE,"Inc";"Balance",#N/A,TRUE,"Bal";"Cflow",#N/A,TRUE,"Cash"}</definedName>
    <definedName name="loiuy" localSheetId="32" hidden="1">{"AnnInc",#N/A,TRUE,"Inc";"QtrInc1",#N/A,TRUE,"Inc";"Balance",#N/A,TRUE,"Bal";"Cflow",#N/A,TRUE,"Cash"}</definedName>
    <definedName name="loiuy" localSheetId="34" hidden="1">{"AnnInc",#N/A,TRUE,"Inc";"QtrInc1",#N/A,TRUE,"Inc";"Balance",#N/A,TRUE,"Bal";"Cflow",#N/A,TRUE,"Cash"}</definedName>
    <definedName name="loiuy" localSheetId="36" hidden="1">{"AnnInc",#N/A,TRUE,"Inc";"QtrInc1",#N/A,TRUE,"Inc";"Balance",#N/A,TRUE,"Bal";"Cflow",#N/A,TRUE,"Cash"}</definedName>
    <definedName name="loiuy" localSheetId="38" hidden="1">{"AnnInc",#N/A,TRUE,"Inc";"QtrInc1",#N/A,TRUE,"Inc";"Balance",#N/A,TRUE,"Bal";"Cflow",#N/A,TRUE,"Cash"}</definedName>
    <definedName name="loiuy" hidden="1">{"AnnInc",#N/A,TRUE,"Inc";"QtrInc1",#N/A,TRUE,"Inc";"Balance",#N/A,TRUE,"Bal";"Cflow",#N/A,TRUE,"Cash"}</definedName>
    <definedName name="lololo" localSheetId="3" hidden="1">{#N/A,#N/A,FALSE,"BANNERS";#N/A,#N/A,FALSE,"Market";#N/A,#N/A,FALSE,"# of POP MAN";#N/A,#N/A,FALSE,"Penet Input";#N/A,#N/A,FALSE,"Tel Rev";#N/A,#N/A,FALSE,"Invest";#N/A,#N/A,FALSE,"Op Cost1";#N/A,#N/A,FALSE,"Op Cost2";#N/A,#N/A,FALSE,"Oth_&amp;_Tot_Revenues";#N/A,#N/A,FALSE,"Fin Mod";#N/A,#N/A,FALSE,"P&amp;E Burocrat";#N/A,#N/A,FALSE,"cash flow"}</definedName>
    <definedName name="lololo" localSheetId="5" hidden="1">{#N/A,#N/A,FALSE,"BANNERS";#N/A,#N/A,FALSE,"Market";#N/A,#N/A,FALSE,"# of POP MAN";#N/A,#N/A,FALSE,"Penet Input";#N/A,#N/A,FALSE,"Tel Rev";#N/A,#N/A,FALSE,"Invest";#N/A,#N/A,FALSE,"Op Cost1";#N/A,#N/A,FALSE,"Op Cost2";#N/A,#N/A,FALSE,"Oth_&amp;_Tot_Revenues";#N/A,#N/A,FALSE,"Fin Mod";#N/A,#N/A,FALSE,"P&amp;E Burocrat";#N/A,#N/A,FALSE,"cash flow"}</definedName>
    <definedName name="lololo" localSheetId="8" hidden="1">{#N/A,#N/A,FALSE,"BANNERS";#N/A,#N/A,FALSE,"Market";#N/A,#N/A,FALSE,"# of POP MAN";#N/A,#N/A,FALSE,"Penet Input";#N/A,#N/A,FALSE,"Tel Rev";#N/A,#N/A,FALSE,"Invest";#N/A,#N/A,FALSE,"Op Cost1";#N/A,#N/A,FALSE,"Op Cost2";#N/A,#N/A,FALSE,"Oth_&amp;_Tot_Revenues";#N/A,#N/A,FALSE,"Fin Mod";#N/A,#N/A,FALSE,"P&amp;E Burocrat";#N/A,#N/A,FALSE,"cash flow"}</definedName>
    <definedName name="lololo" localSheetId="10" hidden="1">{#N/A,#N/A,FALSE,"BANNERS";#N/A,#N/A,FALSE,"Market";#N/A,#N/A,FALSE,"# of POP MAN";#N/A,#N/A,FALSE,"Penet Input";#N/A,#N/A,FALSE,"Tel Rev";#N/A,#N/A,FALSE,"Invest";#N/A,#N/A,FALSE,"Op Cost1";#N/A,#N/A,FALSE,"Op Cost2";#N/A,#N/A,FALSE,"Oth_&amp;_Tot_Revenues";#N/A,#N/A,FALSE,"Fin Mod";#N/A,#N/A,FALSE,"P&amp;E Burocrat";#N/A,#N/A,FALSE,"cash flow"}</definedName>
    <definedName name="lololo" localSheetId="12" hidden="1">{#N/A,#N/A,FALSE,"BANNERS";#N/A,#N/A,FALSE,"Market";#N/A,#N/A,FALSE,"# of POP MAN";#N/A,#N/A,FALSE,"Penet Input";#N/A,#N/A,FALSE,"Tel Rev";#N/A,#N/A,FALSE,"Invest";#N/A,#N/A,FALSE,"Op Cost1";#N/A,#N/A,FALSE,"Op Cost2";#N/A,#N/A,FALSE,"Oth_&amp;_Tot_Revenues";#N/A,#N/A,FALSE,"Fin Mod";#N/A,#N/A,FALSE,"P&amp;E Burocrat";#N/A,#N/A,FALSE,"cash flow"}</definedName>
    <definedName name="lololo" localSheetId="14" hidden="1">{#N/A,#N/A,FALSE,"BANNERS";#N/A,#N/A,FALSE,"Market";#N/A,#N/A,FALSE,"# of POP MAN";#N/A,#N/A,FALSE,"Penet Input";#N/A,#N/A,FALSE,"Tel Rev";#N/A,#N/A,FALSE,"Invest";#N/A,#N/A,FALSE,"Op Cost1";#N/A,#N/A,FALSE,"Op Cost2";#N/A,#N/A,FALSE,"Oth_&amp;_Tot_Revenues";#N/A,#N/A,FALSE,"Fin Mod";#N/A,#N/A,FALSE,"P&amp;E Burocrat";#N/A,#N/A,FALSE,"cash flow"}</definedName>
    <definedName name="lololo" localSheetId="16" hidden="1">{#N/A,#N/A,FALSE,"BANNERS";#N/A,#N/A,FALSE,"Market";#N/A,#N/A,FALSE,"# of POP MAN";#N/A,#N/A,FALSE,"Penet Input";#N/A,#N/A,FALSE,"Tel Rev";#N/A,#N/A,FALSE,"Invest";#N/A,#N/A,FALSE,"Op Cost1";#N/A,#N/A,FALSE,"Op Cost2";#N/A,#N/A,FALSE,"Oth_&amp;_Tot_Revenues";#N/A,#N/A,FALSE,"Fin Mod";#N/A,#N/A,FALSE,"P&amp;E Burocrat";#N/A,#N/A,FALSE,"cash flow"}</definedName>
    <definedName name="lololo" localSheetId="22" hidden="1">{#N/A,#N/A,FALSE,"BANNERS";#N/A,#N/A,FALSE,"Market";#N/A,#N/A,FALSE,"# of POP MAN";#N/A,#N/A,FALSE,"Penet Input";#N/A,#N/A,FALSE,"Tel Rev";#N/A,#N/A,FALSE,"Invest";#N/A,#N/A,FALSE,"Op Cost1";#N/A,#N/A,FALSE,"Op Cost2";#N/A,#N/A,FALSE,"Oth_&amp;_Tot_Revenues";#N/A,#N/A,FALSE,"Fin Mod";#N/A,#N/A,FALSE,"P&amp;E Burocrat";#N/A,#N/A,FALSE,"cash flow"}</definedName>
    <definedName name="lololo" localSheetId="24" hidden="1">{#N/A,#N/A,FALSE,"BANNERS";#N/A,#N/A,FALSE,"Market";#N/A,#N/A,FALSE,"# of POP MAN";#N/A,#N/A,FALSE,"Penet Input";#N/A,#N/A,FALSE,"Tel Rev";#N/A,#N/A,FALSE,"Invest";#N/A,#N/A,FALSE,"Op Cost1";#N/A,#N/A,FALSE,"Op Cost2";#N/A,#N/A,FALSE,"Oth_&amp;_Tot_Revenues";#N/A,#N/A,FALSE,"Fin Mod";#N/A,#N/A,FALSE,"P&amp;E Burocrat";#N/A,#N/A,FALSE,"cash flow"}</definedName>
    <definedName name="lololo" localSheetId="26" hidden="1">{#N/A,#N/A,FALSE,"BANNERS";#N/A,#N/A,FALSE,"Market";#N/A,#N/A,FALSE,"# of POP MAN";#N/A,#N/A,FALSE,"Penet Input";#N/A,#N/A,FALSE,"Tel Rev";#N/A,#N/A,FALSE,"Invest";#N/A,#N/A,FALSE,"Op Cost1";#N/A,#N/A,FALSE,"Op Cost2";#N/A,#N/A,FALSE,"Oth_&amp;_Tot_Revenues";#N/A,#N/A,FALSE,"Fin Mod";#N/A,#N/A,FALSE,"P&amp;E Burocrat";#N/A,#N/A,FALSE,"cash flow"}</definedName>
    <definedName name="lololo" localSheetId="28" hidden="1">{#N/A,#N/A,FALSE,"BANNERS";#N/A,#N/A,FALSE,"Market";#N/A,#N/A,FALSE,"# of POP MAN";#N/A,#N/A,FALSE,"Penet Input";#N/A,#N/A,FALSE,"Tel Rev";#N/A,#N/A,FALSE,"Invest";#N/A,#N/A,FALSE,"Op Cost1";#N/A,#N/A,FALSE,"Op Cost2";#N/A,#N/A,FALSE,"Oth_&amp;_Tot_Revenues";#N/A,#N/A,FALSE,"Fin Mod";#N/A,#N/A,FALSE,"P&amp;E Burocrat";#N/A,#N/A,FALSE,"cash flow"}</definedName>
    <definedName name="lololo" localSheetId="30" hidden="1">{#N/A,#N/A,FALSE,"BANNERS";#N/A,#N/A,FALSE,"Market";#N/A,#N/A,FALSE,"# of POP MAN";#N/A,#N/A,FALSE,"Penet Input";#N/A,#N/A,FALSE,"Tel Rev";#N/A,#N/A,FALSE,"Invest";#N/A,#N/A,FALSE,"Op Cost1";#N/A,#N/A,FALSE,"Op Cost2";#N/A,#N/A,FALSE,"Oth_&amp;_Tot_Revenues";#N/A,#N/A,FALSE,"Fin Mod";#N/A,#N/A,FALSE,"P&amp;E Burocrat";#N/A,#N/A,FALSE,"cash flow"}</definedName>
    <definedName name="lololo" localSheetId="32" hidden="1">{#N/A,#N/A,FALSE,"BANNERS";#N/A,#N/A,FALSE,"Market";#N/A,#N/A,FALSE,"# of POP MAN";#N/A,#N/A,FALSE,"Penet Input";#N/A,#N/A,FALSE,"Tel Rev";#N/A,#N/A,FALSE,"Invest";#N/A,#N/A,FALSE,"Op Cost1";#N/A,#N/A,FALSE,"Op Cost2";#N/A,#N/A,FALSE,"Oth_&amp;_Tot_Revenues";#N/A,#N/A,FALSE,"Fin Mod";#N/A,#N/A,FALSE,"P&amp;E Burocrat";#N/A,#N/A,FALSE,"cash flow"}</definedName>
    <definedName name="lololo" localSheetId="34" hidden="1">{#N/A,#N/A,FALSE,"BANNERS";#N/A,#N/A,FALSE,"Market";#N/A,#N/A,FALSE,"# of POP MAN";#N/A,#N/A,FALSE,"Penet Input";#N/A,#N/A,FALSE,"Tel Rev";#N/A,#N/A,FALSE,"Invest";#N/A,#N/A,FALSE,"Op Cost1";#N/A,#N/A,FALSE,"Op Cost2";#N/A,#N/A,FALSE,"Oth_&amp;_Tot_Revenues";#N/A,#N/A,FALSE,"Fin Mod";#N/A,#N/A,FALSE,"P&amp;E Burocrat";#N/A,#N/A,FALSE,"cash flow"}</definedName>
    <definedName name="lololo" localSheetId="36" hidden="1">{#N/A,#N/A,FALSE,"BANNERS";#N/A,#N/A,FALSE,"Market";#N/A,#N/A,FALSE,"# of POP MAN";#N/A,#N/A,FALSE,"Penet Input";#N/A,#N/A,FALSE,"Tel Rev";#N/A,#N/A,FALSE,"Invest";#N/A,#N/A,FALSE,"Op Cost1";#N/A,#N/A,FALSE,"Op Cost2";#N/A,#N/A,FALSE,"Oth_&amp;_Tot_Revenues";#N/A,#N/A,FALSE,"Fin Mod";#N/A,#N/A,FALSE,"P&amp;E Burocrat";#N/A,#N/A,FALSE,"cash flow"}</definedName>
    <definedName name="lololo" localSheetId="38" hidden="1">{#N/A,#N/A,FALSE,"BANNERS";#N/A,#N/A,FALSE,"Market";#N/A,#N/A,FALSE,"# of POP MAN";#N/A,#N/A,FALSE,"Penet Input";#N/A,#N/A,FALSE,"Tel Rev";#N/A,#N/A,FALSE,"Invest";#N/A,#N/A,FALSE,"Op Cost1";#N/A,#N/A,FALSE,"Op Cost2";#N/A,#N/A,FALSE,"Oth_&amp;_Tot_Revenues";#N/A,#N/A,FALSE,"Fin Mod";#N/A,#N/A,FALSE,"P&amp;E Burocrat";#N/A,#N/A,FALSE,"cash flow"}</definedName>
    <definedName name="lololo" hidden="1">{#N/A,#N/A,FALSE,"BANNERS";#N/A,#N/A,FALSE,"Market";#N/A,#N/A,FALSE,"# of POP MAN";#N/A,#N/A,FALSE,"Penet Input";#N/A,#N/A,FALSE,"Tel Rev";#N/A,#N/A,FALSE,"Invest";#N/A,#N/A,FALSE,"Op Cost1";#N/A,#N/A,FALSE,"Op Cost2";#N/A,#N/A,FALSE,"Oth_&amp;_Tot_Revenues";#N/A,#N/A,FALSE,"Fin Mod";#N/A,#N/A,FALSE,"P&amp;E Burocrat";#N/A,#N/A,FALSE,"cash flow"}</definedName>
    <definedName name="lookup">#REF!</definedName>
    <definedName name="loss_b4tax">#REF!</definedName>
    <definedName name="lou" localSheetId="3" hidden="1">{"AnnInc",#N/A,TRUE,"Inc";"QtrInc1",#N/A,TRUE,"Inc";"Balance",#N/A,TRUE,"Bal";"Cflow",#N/A,TRUE,"Cash"}</definedName>
    <definedName name="lou" localSheetId="5" hidden="1">{"AnnInc",#N/A,TRUE,"Inc";"QtrInc1",#N/A,TRUE,"Inc";"Balance",#N/A,TRUE,"Bal";"Cflow",#N/A,TRUE,"Cash"}</definedName>
    <definedName name="lou" localSheetId="8" hidden="1">{"AnnInc",#N/A,TRUE,"Inc";"QtrInc1",#N/A,TRUE,"Inc";"Balance",#N/A,TRUE,"Bal";"Cflow",#N/A,TRUE,"Cash"}</definedName>
    <definedName name="lou" localSheetId="10" hidden="1">{"AnnInc",#N/A,TRUE,"Inc";"QtrInc1",#N/A,TRUE,"Inc";"Balance",#N/A,TRUE,"Bal";"Cflow",#N/A,TRUE,"Cash"}</definedName>
    <definedName name="lou" localSheetId="12" hidden="1">{"AnnInc",#N/A,TRUE,"Inc";"QtrInc1",#N/A,TRUE,"Inc";"Balance",#N/A,TRUE,"Bal";"Cflow",#N/A,TRUE,"Cash"}</definedName>
    <definedName name="lou" localSheetId="14" hidden="1">{"AnnInc",#N/A,TRUE,"Inc";"QtrInc1",#N/A,TRUE,"Inc";"Balance",#N/A,TRUE,"Bal";"Cflow",#N/A,TRUE,"Cash"}</definedName>
    <definedName name="lou" localSheetId="16" hidden="1">{"AnnInc",#N/A,TRUE,"Inc";"QtrInc1",#N/A,TRUE,"Inc";"Balance",#N/A,TRUE,"Bal";"Cflow",#N/A,TRUE,"Cash"}</definedName>
    <definedName name="lou" localSheetId="22" hidden="1">{"AnnInc",#N/A,TRUE,"Inc";"QtrInc1",#N/A,TRUE,"Inc";"Balance",#N/A,TRUE,"Bal";"Cflow",#N/A,TRUE,"Cash"}</definedName>
    <definedName name="lou" localSheetId="24" hidden="1">{"AnnInc",#N/A,TRUE,"Inc";"QtrInc1",#N/A,TRUE,"Inc";"Balance",#N/A,TRUE,"Bal";"Cflow",#N/A,TRUE,"Cash"}</definedName>
    <definedName name="lou" localSheetId="26" hidden="1">{"AnnInc",#N/A,TRUE,"Inc";"QtrInc1",#N/A,TRUE,"Inc";"Balance",#N/A,TRUE,"Bal";"Cflow",#N/A,TRUE,"Cash"}</definedName>
    <definedName name="lou" localSheetId="28" hidden="1">{"AnnInc",#N/A,TRUE,"Inc";"QtrInc1",#N/A,TRUE,"Inc";"Balance",#N/A,TRUE,"Bal";"Cflow",#N/A,TRUE,"Cash"}</definedName>
    <definedName name="lou" localSheetId="30" hidden="1">{"AnnInc",#N/A,TRUE,"Inc";"QtrInc1",#N/A,TRUE,"Inc";"Balance",#N/A,TRUE,"Bal";"Cflow",#N/A,TRUE,"Cash"}</definedName>
    <definedName name="lou" localSheetId="32" hidden="1">{"AnnInc",#N/A,TRUE,"Inc";"QtrInc1",#N/A,TRUE,"Inc";"Balance",#N/A,TRUE,"Bal";"Cflow",#N/A,TRUE,"Cash"}</definedName>
    <definedName name="lou" localSheetId="34" hidden="1">{"AnnInc",#N/A,TRUE,"Inc";"QtrInc1",#N/A,TRUE,"Inc";"Balance",#N/A,TRUE,"Bal";"Cflow",#N/A,TRUE,"Cash"}</definedName>
    <definedName name="lou" localSheetId="36" hidden="1">{"AnnInc",#N/A,TRUE,"Inc";"QtrInc1",#N/A,TRUE,"Inc";"Balance",#N/A,TRUE,"Bal";"Cflow",#N/A,TRUE,"Cash"}</definedName>
    <definedName name="lou" localSheetId="38" hidden="1">{"AnnInc",#N/A,TRUE,"Inc";"QtrInc1",#N/A,TRUE,"Inc";"Balance",#N/A,TRUE,"Bal";"Cflow",#N/A,TRUE,"Cash"}</definedName>
    <definedName name="lou" hidden="1">{"AnnInc",#N/A,TRUE,"Inc";"QtrInc1",#N/A,TRUE,"Inc";"Balance",#N/A,TRUE,"Bal";"Cflow",#N/A,TRUE,"Cash"}</definedName>
    <definedName name="LR">#REF!</definedName>
    <definedName name="LRPlus">#REF!</definedName>
    <definedName name="LstPeriodEnd">#REF!</definedName>
    <definedName name="LstWeekEnd">#REF!</definedName>
    <definedName name="Luca" hidden="1">#REF!</definedName>
    <definedName name="LY_month">#REF!</definedName>
    <definedName name="LY_Year">#REF!</definedName>
    <definedName name="LYN">#REF!</definedName>
    <definedName name="m" localSheetId="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 localSheetId="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 localSheetId="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 localSheetId="1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 localSheetId="1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 localSheetId="1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 localSheetId="2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 localSheetId="2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 localSheetId="2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 localSheetId="2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 localSheetId="3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 localSheetId="3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 localSheetId="3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 localSheetId="3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 localSheetId="3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aintenance">#REF!</definedName>
    <definedName name="march">#REF!</definedName>
    <definedName name="MATT" localSheetId="3" hidden="1">{#N/A,#N/A,TRUE,"Main Issues";#N/A,#N/A,TRUE,"Income statement ($)"}</definedName>
    <definedName name="MATT" localSheetId="5" hidden="1">{#N/A,#N/A,TRUE,"Main Issues";#N/A,#N/A,TRUE,"Income statement ($)"}</definedName>
    <definedName name="MATT" localSheetId="8" hidden="1">{#N/A,#N/A,TRUE,"Main Issues";#N/A,#N/A,TRUE,"Income statement ($)"}</definedName>
    <definedName name="MATT" localSheetId="10" hidden="1">{#N/A,#N/A,TRUE,"Main Issues";#N/A,#N/A,TRUE,"Income statement ($)"}</definedName>
    <definedName name="MATT" localSheetId="12" hidden="1">{#N/A,#N/A,TRUE,"Main Issues";#N/A,#N/A,TRUE,"Income statement ($)"}</definedName>
    <definedName name="MATT" localSheetId="14" hidden="1">{#N/A,#N/A,TRUE,"Main Issues";#N/A,#N/A,TRUE,"Income statement ($)"}</definedName>
    <definedName name="MATT" localSheetId="16" hidden="1">{#N/A,#N/A,TRUE,"Main Issues";#N/A,#N/A,TRUE,"Income statement ($)"}</definedName>
    <definedName name="MATT" localSheetId="22" hidden="1">{#N/A,#N/A,TRUE,"Main Issues";#N/A,#N/A,TRUE,"Income statement ($)"}</definedName>
    <definedName name="MATT" localSheetId="24" hidden="1">{#N/A,#N/A,TRUE,"Main Issues";#N/A,#N/A,TRUE,"Income statement ($)"}</definedName>
    <definedName name="MATT" localSheetId="26" hidden="1">{#N/A,#N/A,TRUE,"Main Issues";#N/A,#N/A,TRUE,"Income statement ($)"}</definedName>
    <definedName name="MATT" localSheetId="28" hidden="1">{#N/A,#N/A,TRUE,"Main Issues";#N/A,#N/A,TRUE,"Income statement ($)"}</definedName>
    <definedName name="MATT" localSheetId="30" hidden="1">{#N/A,#N/A,TRUE,"Main Issues";#N/A,#N/A,TRUE,"Income statement ($)"}</definedName>
    <definedName name="MATT" localSheetId="32" hidden="1">{#N/A,#N/A,TRUE,"Main Issues";#N/A,#N/A,TRUE,"Income statement ($)"}</definedName>
    <definedName name="MATT" localSheetId="34" hidden="1">{#N/A,#N/A,TRUE,"Main Issues";#N/A,#N/A,TRUE,"Income statement ($)"}</definedName>
    <definedName name="MATT" localSheetId="36" hidden="1">{#N/A,#N/A,TRUE,"Main Issues";#N/A,#N/A,TRUE,"Income statement ($)"}</definedName>
    <definedName name="MATT" localSheetId="38" hidden="1">{#N/A,#N/A,TRUE,"Main Issues";#N/A,#N/A,TRUE,"Income statement ($)"}</definedName>
    <definedName name="MATT" hidden="1">{#N/A,#N/A,TRUE,"Main Issues";#N/A,#N/A,TRUE,"Income statement ($)"}</definedName>
    <definedName name="MaxScore">#REF!</definedName>
    <definedName name="mbc" localSheetId="3" hidden="1">{"NOPCAPEVA",#N/A,FALSE,"Nopat";"FCFCSTAR",#N/A,FALSE,"FCFVAL";"EVAVL",#N/A,FALSE,"EVAVAL";"LEASE",#N/A,FALSE,"OpLease"}</definedName>
    <definedName name="mbc" localSheetId="5" hidden="1">{"NOPCAPEVA",#N/A,FALSE,"Nopat";"FCFCSTAR",#N/A,FALSE,"FCFVAL";"EVAVL",#N/A,FALSE,"EVAVAL";"LEASE",#N/A,FALSE,"OpLease"}</definedName>
    <definedName name="mbc" localSheetId="8" hidden="1">{"NOPCAPEVA",#N/A,FALSE,"Nopat";"FCFCSTAR",#N/A,FALSE,"FCFVAL";"EVAVL",#N/A,FALSE,"EVAVAL";"LEASE",#N/A,FALSE,"OpLease"}</definedName>
    <definedName name="mbc" localSheetId="10" hidden="1">{"NOPCAPEVA",#N/A,FALSE,"Nopat";"FCFCSTAR",#N/A,FALSE,"FCFVAL";"EVAVL",#N/A,FALSE,"EVAVAL";"LEASE",#N/A,FALSE,"OpLease"}</definedName>
    <definedName name="mbc" localSheetId="12" hidden="1">{"NOPCAPEVA",#N/A,FALSE,"Nopat";"FCFCSTAR",#N/A,FALSE,"FCFVAL";"EVAVL",#N/A,FALSE,"EVAVAL";"LEASE",#N/A,FALSE,"OpLease"}</definedName>
    <definedName name="mbc" localSheetId="14" hidden="1">{"NOPCAPEVA",#N/A,FALSE,"Nopat";"FCFCSTAR",#N/A,FALSE,"FCFVAL";"EVAVL",#N/A,FALSE,"EVAVAL";"LEASE",#N/A,FALSE,"OpLease"}</definedName>
    <definedName name="mbc" localSheetId="16" hidden="1">{"NOPCAPEVA",#N/A,FALSE,"Nopat";"FCFCSTAR",#N/A,FALSE,"FCFVAL";"EVAVL",#N/A,FALSE,"EVAVAL";"LEASE",#N/A,FALSE,"OpLease"}</definedName>
    <definedName name="mbc" localSheetId="22" hidden="1">{"NOPCAPEVA",#N/A,FALSE,"Nopat";"FCFCSTAR",#N/A,FALSE,"FCFVAL";"EVAVL",#N/A,FALSE,"EVAVAL";"LEASE",#N/A,FALSE,"OpLease"}</definedName>
    <definedName name="mbc" localSheetId="24" hidden="1">{"NOPCAPEVA",#N/A,FALSE,"Nopat";"FCFCSTAR",#N/A,FALSE,"FCFVAL";"EVAVL",#N/A,FALSE,"EVAVAL";"LEASE",#N/A,FALSE,"OpLease"}</definedName>
    <definedName name="mbc" localSheetId="26" hidden="1">{"NOPCAPEVA",#N/A,FALSE,"Nopat";"FCFCSTAR",#N/A,FALSE,"FCFVAL";"EVAVL",#N/A,FALSE,"EVAVAL";"LEASE",#N/A,FALSE,"OpLease"}</definedName>
    <definedName name="mbc" localSheetId="28" hidden="1">{"NOPCAPEVA",#N/A,FALSE,"Nopat";"FCFCSTAR",#N/A,FALSE,"FCFVAL";"EVAVL",#N/A,FALSE,"EVAVAL";"LEASE",#N/A,FALSE,"OpLease"}</definedName>
    <definedName name="mbc" localSheetId="30" hidden="1">{"NOPCAPEVA",#N/A,FALSE,"Nopat";"FCFCSTAR",#N/A,FALSE,"FCFVAL";"EVAVL",#N/A,FALSE,"EVAVAL";"LEASE",#N/A,FALSE,"OpLease"}</definedName>
    <definedName name="mbc" localSheetId="32" hidden="1">{"NOPCAPEVA",#N/A,FALSE,"Nopat";"FCFCSTAR",#N/A,FALSE,"FCFVAL";"EVAVL",#N/A,FALSE,"EVAVAL";"LEASE",#N/A,FALSE,"OpLease"}</definedName>
    <definedName name="mbc" localSheetId="34" hidden="1">{"NOPCAPEVA",#N/A,FALSE,"Nopat";"FCFCSTAR",#N/A,FALSE,"FCFVAL";"EVAVL",#N/A,FALSE,"EVAVAL";"LEASE",#N/A,FALSE,"OpLease"}</definedName>
    <definedName name="mbc" localSheetId="36" hidden="1">{"NOPCAPEVA",#N/A,FALSE,"Nopat";"FCFCSTAR",#N/A,FALSE,"FCFVAL";"EVAVL",#N/A,FALSE,"EVAVAL";"LEASE",#N/A,FALSE,"OpLease"}</definedName>
    <definedName name="mbc" localSheetId="38" hidden="1">{"NOPCAPEVA",#N/A,FALSE,"Nopat";"FCFCSTAR",#N/A,FALSE,"FCFVAL";"EVAVL",#N/A,FALSE,"EVAVAL";"LEASE",#N/A,FALSE,"OpLease"}</definedName>
    <definedName name="mbc" hidden="1">{"NOPCAPEVA",#N/A,FALSE,"Nopat";"FCFCSTAR",#N/A,FALSE,"FCFVAL";"EVAVL",#N/A,FALSE,"EVAVAL";"LEASE",#N/A,FALSE,"OpLease"}</definedName>
    <definedName name="mbvc" localSheetId="3" hidden="1">{"NOPCAPEVA",#N/A,FALSE,"Nopat";"FCFCSTAR",#N/A,FALSE,"FCFVAL";"EVAVL",#N/A,FALSE,"EVAVAL";"LEASE",#N/A,FALSE,"OpLease"}</definedName>
    <definedName name="mbvc" localSheetId="5" hidden="1">{"NOPCAPEVA",#N/A,FALSE,"Nopat";"FCFCSTAR",#N/A,FALSE,"FCFVAL";"EVAVL",#N/A,FALSE,"EVAVAL";"LEASE",#N/A,FALSE,"OpLease"}</definedName>
    <definedName name="mbvc" localSheetId="8" hidden="1">{"NOPCAPEVA",#N/A,FALSE,"Nopat";"FCFCSTAR",#N/A,FALSE,"FCFVAL";"EVAVL",#N/A,FALSE,"EVAVAL";"LEASE",#N/A,FALSE,"OpLease"}</definedName>
    <definedName name="mbvc" localSheetId="10" hidden="1">{"NOPCAPEVA",#N/A,FALSE,"Nopat";"FCFCSTAR",#N/A,FALSE,"FCFVAL";"EVAVL",#N/A,FALSE,"EVAVAL";"LEASE",#N/A,FALSE,"OpLease"}</definedName>
    <definedName name="mbvc" localSheetId="12" hidden="1">{"NOPCAPEVA",#N/A,FALSE,"Nopat";"FCFCSTAR",#N/A,FALSE,"FCFVAL";"EVAVL",#N/A,FALSE,"EVAVAL";"LEASE",#N/A,FALSE,"OpLease"}</definedName>
    <definedName name="mbvc" localSheetId="14" hidden="1">{"NOPCAPEVA",#N/A,FALSE,"Nopat";"FCFCSTAR",#N/A,FALSE,"FCFVAL";"EVAVL",#N/A,FALSE,"EVAVAL";"LEASE",#N/A,FALSE,"OpLease"}</definedName>
    <definedName name="mbvc" localSheetId="16" hidden="1">{"NOPCAPEVA",#N/A,FALSE,"Nopat";"FCFCSTAR",#N/A,FALSE,"FCFVAL";"EVAVL",#N/A,FALSE,"EVAVAL";"LEASE",#N/A,FALSE,"OpLease"}</definedName>
    <definedName name="mbvc" localSheetId="22" hidden="1">{"NOPCAPEVA",#N/A,FALSE,"Nopat";"FCFCSTAR",#N/A,FALSE,"FCFVAL";"EVAVL",#N/A,FALSE,"EVAVAL";"LEASE",#N/A,FALSE,"OpLease"}</definedName>
    <definedName name="mbvc" localSheetId="24" hidden="1">{"NOPCAPEVA",#N/A,FALSE,"Nopat";"FCFCSTAR",#N/A,FALSE,"FCFVAL";"EVAVL",#N/A,FALSE,"EVAVAL";"LEASE",#N/A,FALSE,"OpLease"}</definedName>
    <definedName name="mbvc" localSheetId="26" hidden="1">{"NOPCAPEVA",#N/A,FALSE,"Nopat";"FCFCSTAR",#N/A,FALSE,"FCFVAL";"EVAVL",#N/A,FALSE,"EVAVAL";"LEASE",#N/A,FALSE,"OpLease"}</definedName>
    <definedName name="mbvc" localSheetId="28" hidden="1">{"NOPCAPEVA",#N/A,FALSE,"Nopat";"FCFCSTAR",#N/A,FALSE,"FCFVAL";"EVAVL",#N/A,FALSE,"EVAVAL";"LEASE",#N/A,FALSE,"OpLease"}</definedName>
    <definedName name="mbvc" localSheetId="30" hidden="1">{"NOPCAPEVA",#N/A,FALSE,"Nopat";"FCFCSTAR",#N/A,FALSE,"FCFVAL";"EVAVL",#N/A,FALSE,"EVAVAL";"LEASE",#N/A,FALSE,"OpLease"}</definedName>
    <definedName name="mbvc" localSheetId="32" hidden="1">{"NOPCAPEVA",#N/A,FALSE,"Nopat";"FCFCSTAR",#N/A,FALSE,"FCFVAL";"EVAVL",#N/A,FALSE,"EVAVAL";"LEASE",#N/A,FALSE,"OpLease"}</definedName>
    <definedName name="mbvc" localSheetId="34" hidden="1">{"NOPCAPEVA",#N/A,FALSE,"Nopat";"FCFCSTAR",#N/A,FALSE,"FCFVAL";"EVAVL",#N/A,FALSE,"EVAVAL";"LEASE",#N/A,FALSE,"OpLease"}</definedName>
    <definedName name="mbvc" localSheetId="36" hidden="1">{"NOPCAPEVA",#N/A,FALSE,"Nopat";"FCFCSTAR",#N/A,FALSE,"FCFVAL";"EVAVL",#N/A,FALSE,"EVAVAL";"LEASE",#N/A,FALSE,"OpLease"}</definedName>
    <definedName name="mbvc" localSheetId="38" hidden="1">{"NOPCAPEVA",#N/A,FALSE,"Nopat";"FCFCSTAR",#N/A,FALSE,"FCFVAL";"EVAVL",#N/A,FALSE,"EVAVAL";"LEASE",#N/A,FALSE,"OpLease"}</definedName>
    <definedName name="mbvc" hidden="1">{"NOPCAPEVA",#N/A,FALSE,"Nopat";"FCFCSTAR",#N/A,FALSE,"FCFVAL";"EVAVL",#N/A,FALSE,"EVAVAL";"LEASE",#N/A,FALSE,"OpLease"}</definedName>
    <definedName name="MenuInsertColumnValues">#REF!</definedName>
    <definedName name="MenuInsertRowValues">#REF!</definedName>
    <definedName name="MI_BF">#REF!</definedName>
    <definedName name="MI_BSH">#REF!</definedName>
    <definedName name="MI_PL">#REF!</definedName>
    <definedName name="MilestoneCompletion">#REF!</definedName>
    <definedName name="MilestoneFlagComplete">#REF!</definedName>
    <definedName name="MilestoneFlagGreen">#REF!</definedName>
    <definedName name="MilestoneFlagNotStarted">#REF!</definedName>
    <definedName name="MilestoneFlagYellow">#REF!</definedName>
    <definedName name="MilestoneNames">#REF!</definedName>
    <definedName name="MilestoneStatus">#REF!</definedName>
    <definedName name="MktgPromo5k" localSheetId="3" hidden="1">{"mgmt forecast",#N/A,FALSE,"Mgmt Forecast";"dcf table",#N/A,FALSE,"Mgmt Forecast";"sensitivity",#N/A,FALSE,"Mgmt Forecast";"table inputs",#N/A,FALSE,"Mgmt Forecast";"calculations",#N/A,FALSE,"Mgmt Forecast"}</definedName>
    <definedName name="MktgPromo5k" localSheetId="5" hidden="1">{"mgmt forecast",#N/A,FALSE,"Mgmt Forecast";"dcf table",#N/A,FALSE,"Mgmt Forecast";"sensitivity",#N/A,FALSE,"Mgmt Forecast";"table inputs",#N/A,FALSE,"Mgmt Forecast";"calculations",#N/A,FALSE,"Mgmt Forecast"}</definedName>
    <definedName name="MktgPromo5k" localSheetId="8" hidden="1">{"mgmt forecast",#N/A,FALSE,"Mgmt Forecast";"dcf table",#N/A,FALSE,"Mgmt Forecast";"sensitivity",#N/A,FALSE,"Mgmt Forecast";"table inputs",#N/A,FALSE,"Mgmt Forecast";"calculations",#N/A,FALSE,"Mgmt Forecast"}</definedName>
    <definedName name="MktgPromo5k" localSheetId="10" hidden="1">{"mgmt forecast",#N/A,FALSE,"Mgmt Forecast";"dcf table",#N/A,FALSE,"Mgmt Forecast";"sensitivity",#N/A,FALSE,"Mgmt Forecast";"table inputs",#N/A,FALSE,"Mgmt Forecast";"calculations",#N/A,FALSE,"Mgmt Forecast"}</definedName>
    <definedName name="MktgPromo5k" localSheetId="12" hidden="1">{"mgmt forecast",#N/A,FALSE,"Mgmt Forecast";"dcf table",#N/A,FALSE,"Mgmt Forecast";"sensitivity",#N/A,FALSE,"Mgmt Forecast";"table inputs",#N/A,FALSE,"Mgmt Forecast";"calculations",#N/A,FALSE,"Mgmt Forecast"}</definedName>
    <definedName name="MktgPromo5k" localSheetId="14" hidden="1">{"mgmt forecast",#N/A,FALSE,"Mgmt Forecast";"dcf table",#N/A,FALSE,"Mgmt Forecast";"sensitivity",#N/A,FALSE,"Mgmt Forecast";"table inputs",#N/A,FALSE,"Mgmt Forecast";"calculations",#N/A,FALSE,"Mgmt Forecast"}</definedName>
    <definedName name="MktgPromo5k" localSheetId="16" hidden="1">{"mgmt forecast",#N/A,FALSE,"Mgmt Forecast";"dcf table",#N/A,FALSE,"Mgmt Forecast";"sensitivity",#N/A,FALSE,"Mgmt Forecast";"table inputs",#N/A,FALSE,"Mgmt Forecast";"calculations",#N/A,FALSE,"Mgmt Forecast"}</definedName>
    <definedName name="MktgPromo5k" localSheetId="22" hidden="1">{"mgmt forecast",#N/A,FALSE,"Mgmt Forecast";"dcf table",#N/A,FALSE,"Mgmt Forecast";"sensitivity",#N/A,FALSE,"Mgmt Forecast";"table inputs",#N/A,FALSE,"Mgmt Forecast";"calculations",#N/A,FALSE,"Mgmt Forecast"}</definedName>
    <definedName name="MktgPromo5k" localSheetId="24" hidden="1">{"mgmt forecast",#N/A,FALSE,"Mgmt Forecast";"dcf table",#N/A,FALSE,"Mgmt Forecast";"sensitivity",#N/A,FALSE,"Mgmt Forecast";"table inputs",#N/A,FALSE,"Mgmt Forecast";"calculations",#N/A,FALSE,"Mgmt Forecast"}</definedName>
    <definedName name="MktgPromo5k" localSheetId="26" hidden="1">{"mgmt forecast",#N/A,FALSE,"Mgmt Forecast";"dcf table",#N/A,FALSE,"Mgmt Forecast";"sensitivity",#N/A,FALSE,"Mgmt Forecast";"table inputs",#N/A,FALSE,"Mgmt Forecast";"calculations",#N/A,FALSE,"Mgmt Forecast"}</definedName>
    <definedName name="MktgPromo5k" localSheetId="28" hidden="1">{"mgmt forecast",#N/A,FALSE,"Mgmt Forecast";"dcf table",#N/A,FALSE,"Mgmt Forecast";"sensitivity",#N/A,FALSE,"Mgmt Forecast";"table inputs",#N/A,FALSE,"Mgmt Forecast";"calculations",#N/A,FALSE,"Mgmt Forecast"}</definedName>
    <definedName name="MktgPromo5k" localSheetId="30" hidden="1">{"mgmt forecast",#N/A,FALSE,"Mgmt Forecast";"dcf table",#N/A,FALSE,"Mgmt Forecast";"sensitivity",#N/A,FALSE,"Mgmt Forecast";"table inputs",#N/A,FALSE,"Mgmt Forecast";"calculations",#N/A,FALSE,"Mgmt Forecast"}</definedName>
    <definedName name="MktgPromo5k" localSheetId="32" hidden="1">{"mgmt forecast",#N/A,FALSE,"Mgmt Forecast";"dcf table",#N/A,FALSE,"Mgmt Forecast";"sensitivity",#N/A,FALSE,"Mgmt Forecast";"table inputs",#N/A,FALSE,"Mgmt Forecast";"calculations",#N/A,FALSE,"Mgmt Forecast"}</definedName>
    <definedName name="MktgPromo5k" localSheetId="34" hidden="1">{"mgmt forecast",#N/A,FALSE,"Mgmt Forecast";"dcf table",#N/A,FALSE,"Mgmt Forecast";"sensitivity",#N/A,FALSE,"Mgmt Forecast";"table inputs",#N/A,FALSE,"Mgmt Forecast";"calculations",#N/A,FALSE,"Mgmt Forecast"}</definedName>
    <definedName name="MktgPromo5k" localSheetId="36" hidden="1">{"mgmt forecast",#N/A,FALSE,"Mgmt Forecast";"dcf table",#N/A,FALSE,"Mgmt Forecast";"sensitivity",#N/A,FALSE,"Mgmt Forecast";"table inputs",#N/A,FALSE,"Mgmt Forecast";"calculations",#N/A,FALSE,"Mgmt Forecast"}</definedName>
    <definedName name="MktgPromo5k" localSheetId="38" hidden="1">{"mgmt forecast",#N/A,FALSE,"Mgmt Forecast";"dcf table",#N/A,FALSE,"Mgmt Forecast";"sensitivity",#N/A,FALSE,"Mgmt Forecast";"table inputs",#N/A,FALSE,"Mgmt Forecast";"calculations",#N/A,FALSE,"Mgmt Forecast"}</definedName>
    <definedName name="MktgPromo5k" hidden="1">{"mgmt forecast",#N/A,FALSE,"Mgmt Forecast";"dcf table",#N/A,FALSE,"Mgmt Forecast";"sensitivity",#N/A,FALSE,"Mgmt Forecast";"table inputs",#N/A,FALSE,"Mgmt Forecast";"calculations",#N/A,FALSE,"Mgmt Forecast"}</definedName>
    <definedName name="mmm" localSheetId="3" hidden="1">{#N/A,#N/A,FALSE,"MK_ASS_B";#N/A,#N/A,FALSE,"MK_ASS_R";#N/A,#N/A,FALSE,"MK_ASS_S";#N/A,#N/A,FALSE,"TR_ASS_B";#N/A,#N/A,FALSE,"TR_ASS_R";#N/A,#N/A,FALSE,"TR_ASS_S";#N/A,#N/A,FALSE,"PR_ASS_B";#N/A,#N/A,FALSE,"PR_ASS_R";#N/A,#N/A,FALSE,"REV_SUM"}</definedName>
    <definedName name="mmm" localSheetId="5" hidden="1">{#N/A,#N/A,FALSE,"MK_ASS_B";#N/A,#N/A,FALSE,"MK_ASS_R";#N/A,#N/A,FALSE,"MK_ASS_S";#N/A,#N/A,FALSE,"TR_ASS_B";#N/A,#N/A,FALSE,"TR_ASS_R";#N/A,#N/A,FALSE,"TR_ASS_S";#N/A,#N/A,FALSE,"PR_ASS_B";#N/A,#N/A,FALSE,"PR_ASS_R";#N/A,#N/A,FALSE,"REV_SUM"}</definedName>
    <definedName name="mmm" localSheetId="8" hidden="1">{#N/A,#N/A,FALSE,"MK_ASS_B";#N/A,#N/A,FALSE,"MK_ASS_R";#N/A,#N/A,FALSE,"MK_ASS_S";#N/A,#N/A,FALSE,"TR_ASS_B";#N/A,#N/A,FALSE,"TR_ASS_R";#N/A,#N/A,FALSE,"TR_ASS_S";#N/A,#N/A,FALSE,"PR_ASS_B";#N/A,#N/A,FALSE,"PR_ASS_R";#N/A,#N/A,FALSE,"REV_SUM"}</definedName>
    <definedName name="mmm" localSheetId="10" hidden="1">{#N/A,#N/A,FALSE,"MK_ASS_B";#N/A,#N/A,FALSE,"MK_ASS_R";#N/A,#N/A,FALSE,"MK_ASS_S";#N/A,#N/A,FALSE,"TR_ASS_B";#N/A,#N/A,FALSE,"TR_ASS_R";#N/A,#N/A,FALSE,"TR_ASS_S";#N/A,#N/A,FALSE,"PR_ASS_B";#N/A,#N/A,FALSE,"PR_ASS_R";#N/A,#N/A,FALSE,"REV_SUM"}</definedName>
    <definedName name="mmm" localSheetId="12" hidden="1">{#N/A,#N/A,FALSE,"MK_ASS_B";#N/A,#N/A,FALSE,"MK_ASS_R";#N/A,#N/A,FALSE,"MK_ASS_S";#N/A,#N/A,FALSE,"TR_ASS_B";#N/A,#N/A,FALSE,"TR_ASS_R";#N/A,#N/A,FALSE,"TR_ASS_S";#N/A,#N/A,FALSE,"PR_ASS_B";#N/A,#N/A,FALSE,"PR_ASS_R";#N/A,#N/A,FALSE,"REV_SUM"}</definedName>
    <definedName name="mmm" localSheetId="14" hidden="1">{#N/A,#N/A,FALSE,"MK_ASS_B";#N/A,#N/A,FALSE,"MK_ASS_R";#N/A,#N/A,FALSE,"MK_ASS_S";#N/A,#N/A,FALSE,"TR_ASS_B";#N/A,#N/A,FALSE,"TR_ASS_R";#N/A,#N/A,FALSE,"TR_ASS_S";#N/A,#N/A,FALSE,"PR_ASS_B";#N/A,#N/A,FALSE,"PR_ASS_R";#N/A,#N/A,FALSE,"REV_SUM"}</definedName>
    <definedName name="mmm" localSheetId="16" hidden="1">{#N/A,#N/A,FALSE,"MK_ASS_B";#N/A,#N/A,FALSE,"MK_ASS_R";#N/A,#N/A,FALSE,"MK_ASS_S";#N/A,#N/A,FALSE,"TR_ASS_B";#N/A,#N/A,FALSE,"TR_ASS_R";#N/A,#N/A,FALSE,"TR_ASS_S";#N/A,#N/A,FALSE,"PR_ASS_B";#N/A,#N/A,FALSE,"PR_ASS_R";#N/A,#N/A,FALSE,"REV_SUM"}</definedName>
    <definedName name="mmm" localSheetId="22" hidden="1">{#N/A,#N/A,FALSE,"MK_ASS_B";#N/A,#N/A,FALSE,"MK_ASS_R";#N/A,#N/A,FALSE,"MK_ASS_S";#N/A,#N/A,FALSE,"TR_ASS_B";#N/A,#N/A,FALSE,"TR_ASS_R";#N/A,#N/A,FALSE,"TR_ASS_S";#N/A,#N/A,FALSE,"PR_ASS_B";#N/A,#N/A,FALSE,"PR_ASS_R";#N/A,#N/A,FALSE,"REV_SUM"}</definedName>
    <definedName name="mmm" localSheetId="24" hidden="1">{#N/A,#N/A,FALSE,"MK_ASS_B";#N/A,#N/A,FALSE,"MK_ASS_R";#N/A,#N/A,FALSE,"MK_ASS_S";#N/A,#N/A,FALSE,"TR_ASS_B";#N/A,#N/A,FALSE,"TR_ASS_R";#N/A,#N/A,FALSE,"TR_ASS_S";#N/A,#N/A,FALSE,"PR_ASS_B";#N/A,#N/A,FALSE,"PR_ASS_R";#N/A,#N/A,FALSE,"REV_SUM"}</definedName>
    <definedName name="mmm" localSheetId="26" hidden="1">{#N/A,#N/A,FALSE,"MK_ASS_B";#N/A,#N/A,FALSE,"MK_ASS_R";#N/A,#N/A,FALSE,"MK_ASS_S";#N/A,#N/A,FALSE,"TR_ASS_B";#N/A,#N/A,FALSE,"TR_ASS_R";#N/A,#N/A,FALSE,"TR_ASS_S";#N/A,#N/A,FALSE,"PR_ASS_B";#N/A,#N/A,FALSE,"PR_ASS_R";#N/A,#N/A,FALSE,"REV_SUM"}</definedName>
    <definedName name="mmm" localSheetId="28" hidden="1">{#N/A,#N/A,FALSE,"MK_ASS_B";#N/A,#N/A,FALSE,"MK_ASS_R";#N/A,#N/A,FALSE,"MK_ASS_S";#N/A,#N/A,FALSE,"TR_ASS_B";#N/A,#N/A,FALSE,"TR_ASS_R";#N/A,#N/A,FALSE,"TR_ASS_S";#N/A,#N/A,FALSE,"PR_ASS_B";#N/A,#N/A,FALSE,"PR_ASS_R";#N/A,#N/A,FALSE,"REV_SUM"}</definedName>
    <definedName name="mmm" localSheetId="30" hidden="1">{#N/A,#N/A,FALSE,"MK_ASS_B";#N/A,#N/A,FALSE,"MK_ASS_R";#N/A,#N/A,FALSE,"MK_ASS_S";#N/A,#N/A,FALSE,"TR_ASS_B";#N/A,#N/A,FALSE,"TR_ASS_R";#N/A,#N/A,FALSE,"TR_ASS_S";#N/A,#N/A,FALSE,"PR_ASS_B";#N/A,#N/A,FALSE,"PR_ASS_R";#N/A,#N/A,FALSE,"REV_SUM"}</definedName>
    <definedName name="mmm" localSheetId="32" hidden="1">{#N/A,#N/A,FALSE,"MK_ASS_B";#N/A,#N/A,FALSE,"MK_ASS_R";#N/A,#N/A,FALSE,"MK_ASS_S";#N/A,#N/A,FALSE,"TR_ASS_B";#N/A,#N/A,FALSE,"TR_ASS_R";#N/A,#N/A,FALSE,"TR_ASS_S";#N/A,#N/A,FALSE,"PR_ASS_B";#N/A,#N/A,FALSE,"PR_ASS_R";#N/A,#N/A,FALSE,"REV_SUM"}</definedName>
    <definedName name="mmm" localSheetId="34" hidden="1">{#N/A,#N/A,FALSE,"MK_ASS_B";#N/A,#N/A,FALSE,"MK_ASS_R";#N/A,#N/A,FALSE,"MK_ASS_S";#N/A,#N/A,FALSE,"TR_ASS_B";#N/A,#N/A,FALSE,"TR_ASS_R";#N/A,#N/A,FALSE,"TR_ASS_S";#N/A,#N/A,FALSE,"PR_ASS_B";#N/A,#N/A,FALSE,"PR_ASS_R";#N/A,#N/A,FALSE,"REV_SUM"}</definedName>
    <definedName name="mmm" localSheetId="36" hidden="1">{#N/A,#N/A,FALSE,"MK_ASS_B";#N/A,#N/A,FALSE,"MK_ASS_R";#N/A,#N/A,FALSE,"MK_ASS_S";#N/A,#N/A,FALSE,"TR_ASS_B";#N/A,#N/A,FALSE,"TR_ASS_R";#N/A,#N/A,FALSE,"TR_ASS_S";#N/A,#N/A,FALSE,"PR_ASS_B";#N/A,#N/A,FALSE,"PR_ASS_R";#N/A,#N/A,FALSE,"REV_SUM"}</definedName>
    <definedName name="mmm" localSheetId="38" hidden="1">{#N/A,#N/A,FALSE,"MK_ASS_B";#N/A,#N/A,FALSE,"MK_ASS_R";#N/A,#N/A,FALSE,"MK_ASS_S";#N/A,#N/A,FALSE,"TR_ASS_B";#N/A,#N/A,FALSE,"TR_ASS_R";#N/A,#N/A,FALSE,"TR_ASS_S";#N/A,#N/A,FALSE,"PR_ASS_B";#N/A,#N/A,FALSE,"PR_ASS_R";#N/A,#N/A,FALSE,"REV_SUM"}</definedName>
    <definedName name="mmm" hidden="1">{#N/A,#N/A,FALSE,"MK_ASS_B";#N/A,#N/A,FALSE,"MK_ASS_R";#N/A,#N/A,FALSE,"MK_ASS_S";#N/A,#N/A,FALSE,"TR_ASS_B";#N/A,#N/A,FALSE,"TR_ASS_R";#N/A,#N/A,FALSE,"TR_ASS_S";#N/A,#N/A,FALSE,"PR_ASS_B";#N/A,#N/A,FALSE,"PR_ASS_R";#N/A,#N/A,FALSE,"REV_SUM"}</definedName>
    <definedName name="mmmm" localSheetId="3" hidden="1">{#N/A,#N/A,TRUE,"Main Issues";#N/A,#N/A,TRUE,"Income statement ($)"}</definedName>
    <definedName name="mmmm" localSheetId="5" hidden="1">{#N/A,#N/A,TRUE,"Main Issues";#N/A,#N/A,TRUE,"Income statement ($)"}</definedName>
    <definedName name="mmmm" localSheetId="8" hidden="1">{#N/A,#N/A,TRUE,"Main Issues";#N/A,#N/A,TRUE,"Income statement ($)"}</definedName>
    <definedName name="mmmm" localSheetId="10" hidden="1">{#N/A,#N/A,TRUE,"Main Issues";#N/A,#N/A,TRUE,"Income statement ($)"}</definedName>
    <definedName name="mmmm" localSheetId="12" hidden="1">{#N/A,#N/A,TRUE,"Main Issues";#N/A,#N/A,TRUE,"Income statement ($)"}</definedName>
    <definedName name="mmmm" localSheetId="14" hidden="1">{#N/A,#N/A,TRUE,"Main Issues";#N/A,#N/A,TRUE,"Income statement ($)"}</definedName>
    <definedName name="mmmm" localSheetId="16" hidden="1">{#N/A,#N/A,TRUE,"Main Issues";#N/A,#N/A,TRUE,"Income statement ($)"}</definedName>
    <definedName name="mmmm" localSheetId="22" hidden="1">{#N/A,#N/A,TRUE,"Main Issues";#N/A,#N/A,TRUE,"Income statement ($)"}</definedName>
    <definedName name="mmmm" localSheetId="24" hidden="1">{#N/A,#N/A,TRUE,"Main Issues";#N/A,#N/A,TRUE,"Income statement ($)"}</definedName>
    <definedName name="mmmm" localSheetId="26" hidden="1">{#N/A,#N/A,TRUE,"Main Issues";#N/A,#N/A,TRUE,"Income statement ($)"}</definedName>
    <definedName name="mmmm" localSheetId="28" hidden="1">{#N/A,#N/A,TRUE,"Main Issues";#N/A,#N/A,TRUE,"Income statement ($)"}</definedName>
    <definedName name="mmmm" localSheetId="30" hidden="1">{#N/A,#N/A,TRUE,"Main Issues";#N/A,#N/A,TRUE,"Income statement ($)"}</definedName>
    <definedName name="mmmm" localSheetId="32" hidden="1">{#N/A,#N/A,TRUE,"Main Issues";#N/A,#N/A,TRUE,"Income statement ($)"}</definedName>
    <definedName name="mmmm" localSheetId="34" hidden="1">{#N/A,#N/A,TRUE,"Main Issues";#N/A,#N/A,TRUE,"Income statement ($)"}</definedName>
    <definedName name="mmmm" localSheetId="36" hidden="1">{#N/A,#N/A,TRUE,"Main Issues";#N/A,#N/A,TRUE,"Income statement ($)"}</definedName>
    <definedName name="mmmm" localSheetId="38" hidden="1">{#N/A,#N/A,TRUE,"Main Issues";#N/A,#N/A,TRUE,"Income statement ($)"}</definedName>
    <definedName name="mmmm" hidden="1">{#N/A,#N/A,TRUE,"Main Issues";#N/A,#N/A,TRUE,"Income statement ($)"}</definedName>
    <definedName name="mnb">#REF!</definedName>
    <definedName name="Module.Prix_SMC">#N/A</definedName>
    <definedName name="Month_number">#REF!</definedName>
    <definedName name="MonthDate">#REF!</definedName>
    <definedName name="MonthInfo">#REF!</definedName>
    <definedName name="MonthlyHrsDays">#REF!</definedName>
    <definedName name="mrp">#REF!</definedName>
    <definedName name="N_TITLE">#REF!</definedName>
    <definedName name="Name">#REF!</definedName>
    <definedName name="Name1a">#REF!</definedName>
    <definedName name="Name1b">#REF!</definedName>
    <definedName name="Name1c">#REF!</definedName>
    <definedName name="Name1d">#REF!</definedName>
    <definedName name="Name1e">#REF!</definedName>
    <definedName name="Name1f">#REF!</definedName>
    <definedName name="Name1g">#REF!</definedName>
    <definedName name="Name2a">#REF!</definedName>
    <definedName name="Name2b">#REF!</definedName>
    <definedName name="Name2c">#REF!</definedName>
    <definedName name="Name2d">#REF!</definedName>
    <definedName name="Name2e">#REF!</definedName>
    <definedName name="Name2f">#REF!</definedName>
    <definedName name="Name2g">#REF!</definedName>
    <definedName name="Name2h">#REF!</definedName>
    <definedName name="Name2i">#REF!</definedName>
    <definedName name="Name2j">#REF!</definedName>
    <definedName name="Name2k">#REF!</definedName>
    <definedName name="Name3a">#REF!</definedName>
    <definedName name="Name3b">#REF!</definedName>
    <definedName name="Name4a">#REF!</definedName>
    <definedName name="Name4b">#REF!</definedName>
    <definedName name="nbv" localSheetId="3" hidden="1">{"NOPCAPEVA",#N/A,FALSE,"Nopat";"FCFCSTAR",#N/A,FALSE,"FCFVAL";"EVAVL",#N/A,FALSE,"EVAVAL";"LEASE",#N/A,FALSE,"OpLease"}</definedName>
    <definedName name="nbv" localSheetId="5" hidden="1">{"NOPCAPEVA",#N/A,FALSE,"Nopat";"FCFCSTAR",#N/A,FALSE,"FCFVAL";"EVAVL",#N/A,FALSE,"EVAVAL";"LEASE",#N/A,FALSE,"OpLease"}</definedName>
    <definedName name="nbv" localSheetId="8" hidden="1">{"NOPCAPEVA",#N/A,FALSE,"Nopat";"FCFCSTAR",#N/A,FALSE,"FCFVAL";"EVAVL",#N/A,FALSE,"EVAVAL";"LEASE",#N/A,FALSE,"OpLease"}</definedName>
    <definedName name="nbv" localSheetId="10" hidden="1">{"NOPCAPEVA",#N/A,FALSE,"Nopat";"FCFCSTAR",#N/A,FALSE,"FCFVAL";"EVAVL",#N/A,FALSE,"EVAVAL";"LEASE",#N/A,FALSE,"OpLease"}</definedName>
    <definedName name="nbv" localSheetId="12" hidden="1">{"NOPCAPEVA",#N/A,FALSE,"Nopat";"FCFCSTAR",#N/A,FALSE,"FCFVAL";"EVAVL",#N/A,FALSE,"EVAVAL";"LEASE",#N/A,FALSE,"OpLease"}</definedName>
    <definedName name="nbv" localSheetId="14" hidden="1">{"NOPCAPEVA",#N/A,FALSE,"Nopat";"FCFCSTAR",#N/A,FALSE,"FCFVAL";"EVAVL",#N/A,FALSE,"EVAVAL";"LEASE",#N/A,FALSE,"OpLease"}</definedName>
    <definedName name="nbv" localSheetId="16" hidden="1">{"NOPCAPEVA",#N/A,FALSE,"Nopat";"FCFCSTAR",#N/A,FALSE,"FCFVAL";"EVAVL",#N/A,FALSE,"EVAVAL";"LEASE",#N/A,FALSE,"OpLease"}</definedName>
    <definedName name="nbv" localSheetId="22" hidden="1">{"NOPCAPEVA",#N/A,FALSE,"Nopat";"FCFCSTAR",#N/A,FALSE,"FCFVAL";"EVAVL",#N/A,FALSE,"EVAVAL";"LEASE",#N/A,FALSE,"OpLease"}</definedName>
    <definedName name="nbv" localSheetId="24" hidden="1">{"NOPCAPEVA",#N/A,FALSE,"Nopat";"FCFCSTAR",#N/A,FALSE,"FCFVAL";"EVAVL",#N/A,FALSE,"EVAVAL";"LEASE",#N/A,FALSE,"OpLease"}</definedName>
    <definedName name="nbv" localSheetId="26" hidden="1">{"NOPCAPEVA",#N/A,FALSE,"Nopat";"FCFCSTAR",#N/A,FALSE,"FCFVAL";"EVAVL",#N/A,FALSE,"EVAVAL";"LEASE",#N/A,FALSE,"OpLease"}</definedName>
    <definedName name="nbv" localSheetId="28" hidden="1">{"NOPCAPEVA",#N/A,FALSE,"Nopat";"FCFCSTAR",#N/A,FALSE,"FCFVAL";"EVAVL",#N/A,FALSE,"EVAVAL";"LEASE",#N/A,FALSE,"OpLease"}</definedName>
    <definedName name="nbv" localSheetId="30" hidden="1">{"NOPCAPEVA",#N/A,FALSE,"Nopat";"FCFCSTAR",#N/A,FALSE,"FCFVAL";"EVAVL",#N/A,FALSE,"EVAVAL";"LEASE",#N/A,FALSE,"OpLease"}</definedName>
    <definedName name="nbv" localSheetId="32" hidden="1">{"NOPCAPEVA",#N/A,FALSE,"Nopat";"FCFCSTAR",#N/A,FALSE,"FCFVAL";"EVAVL",#N/A,FALSE,"EVAVAL";"LEASE",#N/A,FALSE,"OpLease"}</definedName>
    <definedName name="nbv" localSheetId="34" hidden="1">{"NOPCAPEVA",#N/A,FALSE,"Nopat";"FCFCSTAR",#N/A,FALSE,"FCFVAL";"EVAVL",#N/A,FALSE,"EVAVAL";"LEASE",#N/A,FALSE,"OpLease"}</definedName>
    <definedName name="nbv" localSheetId="36" hidden="1">{"NOPCAPEVA",#N/A,FALSE,"Nopat";"FCFCSTAR",#N/A,FALSE,"FCFVAL";"EVAVL",#N/A,FALSE,"EVAVAL";"LEASE",#N/A,FALSE,"OpLease"}</definedName>
    <definedName name="nbv" localSheetId="38" hidden="1">{"NOPCAPEVA",#N/A,FALSE,"Nopat";"FCFCSTAR",#N/A,FALSE,"FCFVAL";"EVAVL",#N/A,FALSE,"EVAVAL";"LEASE",#N/A,FALSE,"OpLease"}</definedName>
    <definedName name="nbv" hidden="1">{"NOPCAPEVA",#N/A,FALSE,"Nopat";"FCFCSTAR",#N/A,FALSE,"FCFVAL";"EVAVL",#N/A,FALSE,"EVAVAL";"LEASE",#N/A,FALSE,"OpLease"}</definedName>
    <definedName name="nbvs" localSheetId="3" hidden="1">{"NOPCAPEVA",#N/A,FALSE,"Nopat";"FCFCSTAR",#N/A,FALSE,"FCFVAL";"EVAVL",#N/A,FALSE,"EVAVAL";"LEASE",#N/A,FALSE,"OpLease"}</definedName>
    <definedName name="nbvs" localSheetId="5" hidden="1">{"NOPCAPEVA",#N/A,FALSE,"Nopat";"FCFCSTAR",#N/A,FALSE,"FCFVAL";"EVAVL",#N/A,FALSE,"EVAVAL";"LEASE",#N/A,FALSE,"OpLease"}</definedName>
    <definedName name="nbvs" localSheetId="8" hidden="1">{"NOPCAPEVA",#N/A,FALSE,"Nopat";"FCFCSTAR",#N/A,FALSE,"FCFVAL";"EVAVL",#N/A,FALSE,"EVAVAL";"LEASE",#N/A,FALSE,"OpLease"}</definedName>
    <definedName name="nbvs" localSheetId="10" hidden="1">{"NOPCAPEVA",#N/A,FALSE,"Nopat";"FCFCSTAR",#N/A,FALSE,"FCFVAL";"EVAVL",#N/A,FALSE,"EVAVAL";"LEASE",#N/A,FALSE,"OpLease"}</definedName>
    <definedName name="nbvs" localSheetId="12" hidden="1">{"NOPCAPEVA",#N/A,FALSE,"Nopat";"FCFCSTAR",#N/A,FALSE,"FCFVAL";"EVAVL",#N/A,FALSE,"EVAVAL";"LEASE",#N/A,FALSE,"OpLease"}</definedName>
    <definedName name="nbvs" localSheetId="14" hidden="1">{"NOPCAPEVA",#N/A,FALSE,"Nopat";"FCFCSTAR",#N/A,FALSE,"FCFVAL";"EVAVL",#N/A,FALSE,"EVAVAL";"LEASE",#N/A,FALSE,"OpLease"}</definedName>
    <definedName name="nbvs" localSheetId="16" hidden="1">{"NOPCAPEVA",#N/A,FALSE,"Nopat";"FCFCSTAR",#N/A,FALSE,"FCFVAL";"EVAVL",#N/A,FALSE,"EVAVAL";"LEASE",#N/A,FALSE,"OpLease"}</definedName>
    <definedName name="nbvs" localSheetId="22" hidden="1">{"NOPCAPEVA",#N/A,FALSE,"Nopat";"FCFCSTAR",#N/A,FALSE,"FCFVAL";"EVAVL",#N/A,FALSE,"EVAVAL";"LEASE",#N/A,FALSE,"OpLease"}</definedName>
    <definedName name="nbvs" localSheetId="24" hidden="1">{"NOPCAPEVA",#N/A,FALSE,"Nopat";"FCFCSTAR",#N/A,FALSE,"FCFVAL";"EVAVL",#N/A,FALSE,"EVAVAL";"LEASE",#N/A,FALSE,"OpLease"}</definedName>
    <definedName name="nbvs" localSheetId="26" hidden="1">{"NOPCAPEVA",#N/A,FALSE,"Nopat";"FCFCSTAR",#N/A,FALSE,"FCFVAL";"EVAVL",#N/A,FALSE,"EVAVAL";"LEASE",#N/A,FALSE,"OpLease"}</definedName>
    <definedName name="nbvs" localSheetId="28" hidden="1">{"NOPCAPEVA",#N/A,FALSE,"Nopat";"FCFCSTAR",#N/A,FALSE,"FCFVAL";"EVAVL",#N/A,FALSE,"EVAVAL";"LEASE",#N/A,FALSE,"OpLease"}</definedName>
    <definedName name="nbvs" localSheetId="30" hidden="1">{"NOPCAPEVA",#N/A,FALSE,"Nopat";"FCFCSTAR",#N/A,FALSE,"FCFVAL";"EVAVL",#N/A,FALSE,"EVAVAL";"LEASE",#N/A,FALSE,"OpLease"}</definedName>
    <definedName name="nbvs" localSheetId="32" hidden="1">{"NOPCAPEVA",#N/A,FALSE,"Nopat";"FCFCSTAR",#N/A,FALSE,"FCFVAL";"EVAVL",#N/A,FALSE,"EVAVAL";"LEASE",#N/A,FALSE,"OpLease"}</definedName>
    <definedName name="nbvs" localSheetId="34" hidden="1">{"NOPCAPEVA",#N/A,FALSE,"Nopat";"FCFCSTAR",#N/A,FALSE,"FCFVAL";"EVAVL",#N/A,FALSE,"EVAVAL";"LEASE",#N/A,FALSE,"OpLease"}</definedName>
    <definedName name="nbvs" localSheetId="36" hidden="1">{"NOPCAPEVA",#N/A,FALSE,"Nopat";"FCFCSTAR",#N/A,FALSE,"FCFVAL";"EVAVL",#N/A,FALSE,"EVAVAL";"LEASE",#N/A,FALSE,"OpLease"}</definedName>
    <definedName name="nbvs" localSheetId="38" hidden="1">{"NOPCAPEVA",#N/A,FALSE,"Nopat";"FCFCSTAR",#N/A,FALSE,"FCFVAL";"EVAVL",#N/A,FALSE,"EVAVAL";"LEASE",#N/A,FALSE,"OpLease"}</definedName>
    <definedName name="nbvs" hidden="1">{"NOPCAPEVA",#N/A,FALSE,"Nopat";"FCFCSTAR",#N/A,FALSE,"FCFVAL";"EVAVL",#N/A,FALSE,"EVAVAL";"LEASE",#N/A,FALSE,"OpLease"}</definedName>
    <definedName name="nbvxg" localSheetId="3" hidden="1">{"AnnInc",#N/A,TRUE,"Inc";"QtrInc1",#N/A,TRUE,"Inc";"Balance",#N/A,TRUE,"Bal";"Cflow",#N/A,TRUE,"Cash"}</definedName>
    <definedName name="nbvxg" localSheetId="5" hidden="1">{"AnnInc",#N/A,TRUE,"Inc";"QtrInc1",#N/A,TRUE,"Inc";"Balance",#N/A,TRUE,"Bal";"Cflow",#N/A,TRUE,"Cash"}</definedName>
    <definedName name="nbvxg" localSheetId="8" hidden="1">{"AnnInc",#N/A,TRUE,"Inc";"QtrInc1",#N/A,TRUE,"Inc";"Balance",#N/A,TRUE,"Bal";"Cflow",#N/A,TRUE,"Cash"}</definedName>
    <definedName name="nbvxg" localSheetId="10" hidden="1">{"AnnInc",#N/A,TRUE,"Inc";"QtrInc1",#N/A,TRUE,"Inc";"Balance",#N/A,TRUE,"Bal";"Cflow",#N/A,TRUE,"Cash"}</definedName>
    <definedName name="nbvxg" localSheetId="12" hidden="1">{"AnnInc",#N/A,TRUE,"Inc";"QtrInc1",#N/A,TRUE,"Inc";"Balance",#N/A,TRUE,"Bal";"Cflow",#N/A,TRUE,"Cash"}</definedName>
    <definedName name="nbvxg" localSheetId="14" hidden="1">{"AnnInc",#N/A,TRUE,"Inc";"QtrInc1",#N/A,TRUE,"Inc";"Balance",#N/A,TRUE,"Bal";"Cflow",#N/A,TRUE,"Cash"}</definedName>
    <definedName name="nbvxg" localSheetId="16" hidden="1">{"AnnInc",#N/A,TRUE,"Inc";"QtrInc1",#N/A,TRUE,"Inc";"Balance",#N/A,TRUE,"Bal";"Cflow",#N/A,TRUE,"Cash"}</definedName>
    <definedName name="nbvxg" localSheetId="22" hidden="1">{"AnnInc",#N/A,TRUE,"Inc";"QtrInc1",#N/A,TRUE,"Inc";"Balance",#N/A,TRUE,"Bal";"Cflow",#N/A,TRUE,"Cash"}</definedName>
    <definedName name="nbvxg" localSheetId="24" hidden="1">{"AnnInc",#N/A,TRUE,"Inc";"QtrInc1",#N/A,TRUE,"Inc";"Balance",#N/A,TRUE,"Bal";"Cflow",#N/A,TRUE,"Cash"}</definedName>
    <definedName name="nbvxg" localSheetId="26" hidden="1">{"AnnInc",#N/A,TRUE,"Inc";"QtrInc1",#N/A,TRUE,"Inc";"Balance",#N/A,TRUE,"Bal";"Cflow",#N/A,TRUE,"Cash"}</definedName>
    <definedName name="nbvxg" localSheetId="28" hidden="1">{"AnnInc",#N/A,TRUE,"Inc";"QtrInc1",#N/A,TRUE,"Inc";"Balance",#N/A,TRUE,"Bal";"Cflow",#N/A,TRUE,"Cash"}</definedName>
    <definedName name="nbvxg" localSheetId="30" hidden="1">{"AnnInc",#N/A,TRUE,"Inc";"QtrInc1",#N/A,TRUE,"Inc";"Balance",#N/A,TRUE,"Bal";"Cflow",#N/A,TRUE,"Cash"}</definedName>
    <definedName name="nbvxg" localSheetId="32" hidden="1">{"AnnInc",#N/A,TRUE,"Inc";"QtrInc1",#N/A,TRUE,"Inc";"Balance",#N/A,TRUE,"Bal";"Cflow",#N/A,TRUE,"Cash"}</definedName>
    <definedName name="nbvxg" localSheetId="34" hidden="1">{"AnnInc",#N/A,TRUE,"Inc";"QtrInc1",#N/A,TRUE,"Inc";"Balance",#N/A,TRUE,"Bal";"Cflow",#N/A,TRUE,"Cash"}</definedName>
    <definedName name="nbvxg" localSheetId="36" hidden="1">{"AnnInc",#N/A,TRUE,"Inc";"QtrInc1",#N/A,TRUE,"Inc";"Balance",#N/A,TRUE,"Bal";"Cflow",#N/A,TRUE,"Cash"}</definedName>
    <definedName name="nbvxg" localSheetId="38" hidden="1">{"AnnInc",#N/A,TRUE,"Inc";"QtrInc1",#N/A,TRUE,"Inc";"Balance",#N/A,TRUE,"Bal";"Cflow",#N/A,TRUE,"Cash"}</definedName>
    <definedName name="nbvxg" hidden="1">{"AnnInc",#N/A,TRUE,"Inc";"QtrInc1",#N/A,TRUE,"Inc";"Balance",#N/A,TRUE,"Bal";"Cflow",#N/A,TRUE,"Cash"}</definedName>
    <definedName name="NE">#REF!</definedName>
    <definedName name="new" localSheetId="3" hidden="1">{"assumptions",#N/A,FALSE,"Assumption Summary";"proforma97",#N/A,FALSE,"97 pro forma";"sensitivity97",#N/A,FALSE,"97 sensitivity ";"proforma98",#N/A,FALSE,"98 pro forma";"sensitivity98",#N/A,FALSE,"98 sensitivity"}</definedName>
    <definedName name="new" localSheetId="5" hidden="1">{"assumptions",#N/A,FALSE,"Assumption Summary";"proforma97",#N/A,FALSE,"97 pro forma";"sensitivity97",#N/A,FALSE,"97 sensitivity ";"proforma98",#N/A,FALSE,"98 pro forma";"sensitivity98",#N/A,FALSE,"98 sensitivity"}</definedName>
    <definedName name="new" localSheetId="8" hidden="1">{"assumptions",#N/A,FALSE,"Assumption Summary";"proforma97",#N/A,FALSE,"97 pro forma";"sensitivity97",#N/A,FALSE,"97 sensitivity ";"proforma98",#N/A,FALSE,"98 pro forma";"sensitivity98",#N/A,FALSE,"98 sensitivity"}</definedName>
    <definedName name="new" localSheetId="10" hidden="1">{"assumptions",#N/A,FALSE,"Assumption Summary";"proforma97",#N/A,FALSE,"97 pro forma";"sensitivity97",#N/A,FALSE,"97 sensitivity ";"proforma98",#N/A,FALSE,"98 pro forma";"sensitivity98",#N/A,FALSE,"98 sensitivity"}</definedName>
    <definedName name="new" localSheetId="12" hidden="1">{"assumptions",#N/A,FALSE,"Assumption Summary";"proforma97",#N/A,FALSE,"97 pro forma";"sensitivity97",#N/A,FALSE,"97 sensitivity ";"proforma98",#N/A,FALSE,"98 pro forma";"sensitivity98",#N/A,FALSE,"98 sensitivity"}</definedName>
    <definedName name="new" localSheetId="14" hidden="1">{"assumptions",#N/A,FALSE,"Assumption Summary";"proforma97",#N/A,FALSE,"97 pro forma";"sensitivity97",#N/A,FALSE,"97 sensitivity ";"proforma98",#N/A,FALSE,"98 pro forma";"sensitivity98",#N/A,FALSE,"98 sensitivity"}</definedName>
    <definedName name="new" localSheetId="16" hidden="1">{"assumptions",#N/A,FALSE,"Assumption Summary";"proforma97",#N/A,FALSE,"97 pro forma";"sensitivity97",#N/A,FALSE,"97 sensitivity ";"proforma98",#N/A,FALSE,"98 pro forma";"sensitivity98",#N/A,FALSE,"98 sensitivity"}</definedName>
    <definedName name="new" localSheetId="22" hidden="1">{"assumptions",#N/A,FALSE,"Assumption Summary";"proforma97",#N/A,FALSE,"97 pro forma";"sensitivity97",#N/A,FALSE,"97 sensitivity ";"proforma98",#N/A,FALSE,"98 pro forma";"sensitivity98",#N/A,FALSE,"98 sensitivity"}</definedName>
    <definedName name="new" localSheetId="24" hidden="1">{"assumptions",#N/A,FALSE,"Assumption Summary";"proforma97",#N/A,FALSE,"97 pro forma";"sensitivity97",#N/A,FALSE,"97 sensitivity ";"proforma98",#N/A,FALSE,"98 pro forma";"sensitivity98",#N/A,FALSE,"98 sensitivity"}</definedName>
    <definedName name="new" localSheetId="26" hidden="1">{"assumptions",#N/A,FALSE,"Assumption Summary";"proforma97",#N/A,FALSE,"97 pro forma";"sensitivity97",#N/A,FALSE,"97 sensitivity ";"proforma98",#N/A,FALSE,"98 pro forma";"sensitivity98",#N/A,FALSE,"98 sensitivity"}</definedName>
    <definedName name="new" localSheetId="28" hidden="1">{"assumptions",#N/A,FALSE,"Assumption Summary";"proforma97",#N/A,FALSE,"97 pro forma";"sensitivity97",#N/A,FALSE,"97 sensitivity ";"proforma98",#N/A,FALSE,"98 pro forma";"sensitivity98",#N/A,FALSE,"98 sensitivity"}</definedName>
    <definedName name="new" localSheetId="30" hidden="1">{"assumptions",#N/A,FALSE,"Assumption Summary";"proforma97",#N/A,FALSE,"97 pro forma";"sensitivity97",#N/A,FALSE,"97 sensitivity ";"proforma98",#N/A,FALSE,"98 pro forma";"sensitivity98",#N/A,FALSE,"98 sensitivity"}</definedName>
    <definedName name="new" localSheetId="32" hidden="1">{"assumptions",#N/A,FALSE,"Assumption Summary";"proforma97",#N/A,FALSE,"97 pro forma";"sensitivity97",#N/A,FALSE,"97 sensitivity ";"proforma98",#N/A,FALSE,"98 pro forma";"sensitivity98",#N/A,FALSE,"98 sensitivity"}</definedName>
    <definedName name="new" localSheetId="34" hidden="1">{"assumptions",#N/A,FALSE,"Assumption Summary";"proforma97",#N/A,FALSE,"97 pro forma";"sensitivity97",#N/A,FALSE,"97 sensitivity ";"proforma98",#N/A,FALSE,"98 pro forma";"sensitivity98",#N/A,FALSE,"98 sensitivity"}</definedName>
    <definedName name="new" localSheetId="36" hidden="1">{"assumptions",#N/A,FALSE,"Assumption Summary";"proforma97",#N/A,FALSE,"97 pro forma";"sensitivity97",#N/A,FALSE,"97 sensitivity ";"proforma98",#N/A,FALSE,"98 pro forma";"sensitivity98",#N/A,FALSE,"98 sensitivity"}</definedName>
    <definedName name="new" localSheetId="38" hidden="1">{"assumptions",#N/A,FALSE,"Assumption Summary";"proforma97",#N/A,FALSE,"97 pro forma";"sensitivity97",#N/A,FALSE,"97 sensitivity ";"proforma98",#N/A,FALSE,"98 pro forma";"sensitivity98",#N/A,FALSE,"98 sensitivity"}</definedName>
    <definedName name="new" hidden="1">{"assumptions",#N/A,FALSE,"Assumption Summary";"proforma97",#N/A,FALSE,"97 pro forma";"sensitivity97",#N/A,FALSE,"97 sensitivity ";"proforma98",#N/A,FALSE,"98 pro forma";"sensitivity98",#N/A,FALSE,"98 sensitivity"}</definedName>
    <definedName name="NextSteps">#REF!</definedName>
    <definedName name="ngfd" localSheetId="3" hidden="1">{"AnnInc",#N/A,TRUE,"Inc";"QtrInc1",#N/A,TRUE,"Inc";"Balance",#N/A,TRUE,"Bal";"Cflow",#N/A,TRUE,"Cash"}</definedName>
    <definedName name="ngfd" localSheetId="5" hidden="1">{"AnnInc",#N/A,TRUE,"Inc";"QtrInc1",#N/A,TRUE,"Inc";"Balance",#N/A,TRUE,"Bal";"Cflow",#N/A,TRUE,"Cash"}</definedName>
    <definedName name="ngfd" localSheetId="8" hidden="1">{"AnnInc",#N/A,TRUE,"Inc";"QtrInc1",#N/A,TRUE,"Inc";"Balance",#N/A,TRUE,"Bal";"Cflow",#N/A,TRUE,"Cash"}</definedName>
    <definedName name="ngfd" localSheetId="10" hidden="1">{"AnnInc",#N/A,TRUE,"Inc";"QtrInc1",#N/A,TRUE,"Inc";"Balance",#N/A,TRUE,"Bal";"Cflow",#N/A,TRUE,"Cash"}</definedName>
    <definedName name="ngfd" localSheetId="12" hidden="1">{"AnnInc",#N/A,TRUE,"Inc";"QtrInc1",#N/A,TRUE,"Inc";"Balance",#N/A,TRUE,"Bal";"Cflow",#N/A,TRUE,"Cash"}</definedName>
    <definedName name="ngfd" localSheetId="14" hidden="1">{"AnnInc",#N/A,TRUE,"Inc";"QtrInc1",#N/A,TRUE,"Inc";"Balance",#N/A,TRUE,"Bal";"Cflow",#N/A,TRUE,"Cash"}</definedName>
    <definedName name="ngfd" localSheetId="16" hidden="1">{"AnnInc",#N/A,TRUE,"Inc";"QtrInc1",#N/A,TRUE,"Inc";"Balance",#N/A,TRUE,"Bal";"Cflow",#N/A,TRUE,"Cash"}</definedName>
    <definedName name="ngfd" localSheetId="22" hidden="1">{"AnnInc",#N/A,TRUE,"Inc";"QtrInc1",#N/A,TRUE,"Inc";"Balance",#N/A,TRUE,"Bal";"Cflow",#N/A,TRUE,"Cash"}</definedName>
    <definedName name="ngfd" localSheetId="24" hidden="1">{"AnnInc",#N/A,TRUE,"Inc";"QtrInc1",#N/A,TRUE,"Inc";"Balance",#N/A,TRUE,"Bal";"Cflow",#N/A,TRUE,"Cash"}</definedName>
    <definedName name="ngfd" localSheetId="26" hidden="1">{"AnnInc",#N/A,TRUE,"Inc";"QtrInc1",#N/A,TRUE,"Inc";"Balance",#N/A,TRUE,"Bal";"Cflow",#N/A,TRUE,"Cash"}</definedName>
    <definedName name="ngfd" localSheetId="28" hidden="1">{"AnnInc",#N/A,TRUE,"Inc";"QtrInc1",#N/A,TRUE,"Inc";"Balance",#N/A,TRUE,"Bal";"Cflow",#N/A,TRUE,"Cash"}</definedName>
    <definedName name="ngfd" localSheetId="30" hidden="1">{"AnnInc",#N/A,TRUE,"Inc";"QtrInc1",#N/A,TRUE,"Inc";"Balance",#N/A,TRUE,"Bal";"Cflow",#N/A,TRUE,"Cash"}</definedName>
    <definedName name="ngfd" localSheetId="32" hidden="1">{"AnnInc",#N/A,TRUE,"Inc";"QtrInc1",#N/A,TRUE,"Inc";"Balance",#N/A,TRUE,"Bal";"Cflow",#N/A,TRUE,"Cash"}</definedName>
    <definedName name="ngfd" localSheetId="34" hidden="1">{"AnnInc",#N/A,TRUE,"Inc";"QtrInc1",#N/A,TRUE,"Inc";"Balance",#N/A,TRUE,"Bal";"Cflow",#N/A,TRUE,"Cash"}</definedName>
    <definedName name="ngfd" localSheetId="36" hidden="1">{"AnnInc",#N/A,TRUE,"Inc";"QtrInc1",#N/A,TRUE,"Inc";"Balance",#N/A,TRUE,"Bal";"Cflow",#N/A,TRUE,"Cash"}</definedName>
    <definedName name="ngfd" localSheetId="38" hidden="1">{"AnnInc",#N/A,TRUE,"Inc";"QtrInc1",#N/A,TRUE,"Inc";"Balance",#N/A,TRUE,"Bal";"Cflow",#N/A,TRUE,"Cash"}</definedName>
    <definedName name="ngfd" hidden="1">{"AnnInc",#N/A,TRUE,"Inc";"QtrInc1",#N/A,TRUE,"Inc";"Balance",#N/A,TRUE,"Bal";"Cflow",#N/A,TRUE,"Cash"}</definedName>
    <definedName name="nn" localSheetId="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n" localSheetId="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n" localSheetId="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n"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n" localSheetId="1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n" localSheetId="1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n" localSheetId="1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n" localSheetId="2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n" localSheetId="2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n" localSheetId="2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n" localSheetId="2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n" localSheetId="3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n" localSheetId="3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n" localSheetId="3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n" localSheetId="3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n" localSheetId="3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n"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NNNN" localSheetId="3" hidden="1">{#N/A,#N/A,FALSE,"BANNERS";#N/A,#N/A,FALSE,"Market";#N/A,#N/A,FALSE,"# of POP MAN";#N/A,#N/A,FALSE,"Penet Input";#N/A,#N/A,FALSE,"Tel Rev";#N/A,#N/A,FALSE,"Invest";#N/A,#N/A,FALSE,"Op Cost1";#N/A,#N/A,FALSE,"Op Cost2";#N/A,#N/A,FALSE,"Oth_&amp;_Tot_Revenues";#N/A,#N/A,FALSE,"Fin Mod";#N/A,#N/A,FALSE,"P&amp;E Burocrat";#N/A,#N/A,FALSE,"cash flow"}</definedName>
    <definedName name="NNNNN" localSheetId="5" hidden="1">{#N/A,#N/A,FALSE,"BANNERS";#N/A,#N/A,FALSE,"Market";#N/A,#N/A,FALSE,"# of POP MAN";#N/A,#N/A,FALSE,"Penet Input";#N/A,#N/A,FALSE,"Tel Rev";#N/A,#N/A,FALSE,"Invest";#N/A,#N/A,FALSE,"Op Cost1";#N/A,#N/A,FALSE,"Op Cost2";#N/A,#N/A,FALSE,"Oth_&amp;_Tot_Revenues";#N/A,#N/A,FALSE,"Fin Mod";#N/A,#N/A,FALSE,"P&amp;E Burocrat";#N/A,#N/A,FALSE,"cash flow"}</definedName>
    <definedName name="NNNNN" localSheetId="8" hidden="1">{#N/A,#N/A,FALSE,"BANNERS";#N/A,#N/A,FALSE,"Market";#N/A,#N/A,FALSE,"# of POP MAN";#N/A,#N/A,FALSE,"Penet Input";#N/A,#N/A,FALSE,"Tel Rev";#N/A,#N/A,FALSE,"Invest";#N/A,#N/A,FALSE,"Op Cost1";#N/A,#N/A,FALSE,"Op Cost2";#N/A,#N/A,FALSE,"Oth_&amp;_Tot_Revenues";#N/A,#N/A,FALSE,"Fin Mod";#N/A,#N/A,FALSE,"P&amp;E Burocrat";#N/A,#N/A,FALSE,"cash flow"}</definedName>
    <definedName name="NNNNN" localSheetId="10" hidden="1">{#N/A,#N/A,FALSE,"BANNERS";#N/A,#N/A,FALSE,"Market";#N/A,#N/A,FALSE,"# of POP MAN";#N/A,#N/A,FALSE,"Penet Input";#N/A,#N/A,FALSE,"Tel Rev";#N/A,#N/A,FALSE,"Invest";#N/A,#N/A,FALSE,"Op Cost1";#N/A,#N/A,FALSE,"Op Cost2";#N/A,#N/A,FALSE,"Oth_&amp;_Tot_Revenues";#N/A,#N/A,FALSE,"Fin Mod";#N/A,#N/A,FALSE,"P&amp;E Burocrat";#N/A,#N/A,FALSE,"cash flow"}</definedName>
    <definedName name="NNNNN" localSheetId="12" hidden="1">{#N/A,#N/A,FALSE,"BANNERS";#N/A,#N/A,FALSE,"Market";#N/A,#N/A,FALSE,"# of POP MAN";#N/A,#N/A,FALSE,"Penet Input";#N/A,#N/A,FALSE,"Tel Rev";#N/A,#N/A,FALSE,"Invest";#N/A,#N/A,FALSE,"Op Cost1";#N/A,#N/A,FALSE,"Op Cost2";#N/A,#N/A,FALSE,"Oth_&amp;_Tot_Revenues";#N/A,#N/A,FALSE,"Fin Mod";#N/A,#N/A,FALSE,"P&amp;E Burocrat";#N/A,#N/A,FALSE,"cash flow"}</definedName>
    <definedName name="NNNNN" localSheetId="14" hidden="1">{#N/A,#N/A,FALSE,"BANNERS";#N/A,#N/A,FALSE,"Market";#N/A,#N/A,FALSE,"# of POP MAN";#N/A,#N/A,FALSE,"Penet Input";#N/A,#N/A,FALSE,"Tel Rev";#N/A,#N/A,FALSE,"Invest";#N/A,#N/A,FALSE,"Op Cost1";#N/A,#N/A,FALSE,"Op Cost2";#N/A,#N/A,FALSE,"Oth_&amp;_Tot_Revenues";#N/A,#N/A,FALSE,"Fin Mod";#N/A,#N/A,FALSE,"P&amp;E Burocrat";#N/A,#N/A,FALSE,"cash flow"}</definedName>
    <definedName name="NNNNN" localSheetId="16" hidden="1">{#N/A,#N/A,FALSE,"BANNERS";#N/A,#N/A,FALSE,"Market";#N/A,#N/A,FALSE,"# of POP MAN";#N/A,#N/A,FALSE,"Penet Input";#N/A,#N/A,FALSE,"Tel Rev";#N/A,#N/A,FALSE,"Invest";#N/A,#N/A,FALSE,"Op Cost1";#N/A,#N/A,FALSE,"Op Cost2";#N/A,#N/A,FALSE,"Oth_&amp;_Tot_Revenues";#N/A,#N/A,FALSE,"Fin Mod";#N/A,#N/A,FALSE,"P&amp;E Burocrat";#N/A,#N/A,FALSE,"cash flow"}</definedName>
    <definedName name="NNNNN" localSheetId="22" hidden="1">{#N/A,#N/A,FALSE,"BANNERS";#N/A,#N/A,FALSE,"Market";#N/A,#N/A,FALSE,"# of POP MAN";#N/A,#N/A,FALSE,"Penet Input";#N/A,#N/A,FALSE,"Tel Rev";#N/A,#N/A,FALSE,"Invest";#N/A,#N/A,FALSE,"Op Cost1";#N/A,#N/A,FALSE,"Op Cost2";#N/A,#N/A,FALSE,"Oth_&amp;_Tot_Revenues";#N/A,#N/A,FALSE,"Fin Mod";#N/A,#N/A,FALSE,"P&amp;E Burocrat";#N/A,#N/A,FALSE,"cash flow"}</definedName>
    <definedName name="NNNNN" localSheetId="24" hidden="1">{#N/A,#N/A,FALSE,"BANNERS";#N/A,#N/A,FALSE,"Market";#N/A,#N/A,FALSE,"# of POP MAN";#N/A,#N/A,FALSE,"Penet Input";#N/A,#N/A,FALSE,"Tel Rev";#N/A,#N/A,FALSE,"Invest";#N/A,#N/A,FALSE,"Op Cost1";#N/A,#N/A,FALSE,"Op Cost2";#N/A,#N/A,FALSE,"Oth_&amp;_Tot_Revenues";#N/A,#N/A,FALSE,"Fin Mod";#N/A,#N/A,FALSE,"P&amp;E Burocrat";#N/A,#N/A,FALSE,"cash flow"}</definedName>
    <definedName name="NNNNN" localSheetId="26" hidden="1">{#N/A,#N/A,FALSE,"BANNERS";#N/A,#N/A,FALSE,"Market";#N/A,#N/A,FALSE,"# of POP MAN";#N/A,#N/A,FALSE,"Penet Input";#N/A,#N/A,FALSE,"Tel Rev";#N/A,#N/A,FALSE,"Invest";#N/A,#N/A,FALSE,"Op Cost1";#N/A,#N/A,FALSE,"Op Cost2";#N/A,#N/A,FALSE,"Oth_&amp;_Tot_Revenues";#N/A,#N/A,FALSE,"Fin Mod";#N/A,#N/A,FALSE,"P&amp;E Burocrat";#N/A,#N/A,FALSE,"cash flow"}</definedName>
    <definedName name="NNNNN" localSheetId="28" hidden="1">{#N/A,#N/A,FALSE,"BANNERS";#N/A,#N/A,FALSE,"Market";#N/A,#N/A,FALSE,"# of POP MAN";#N/A,#N/A,FALSE,"Penet Input";#N/A,#N/A,FALSE,"Tel Rev";#N/A,#N/A,FALSE,"Invest";#N/A,#N/A,FALSE,"Op Cost1";#N/A,#N/A,FALSE,"Op Cost2";#N/A,#N/A,FALSE,"Oth_&amp;_Tot_Revenues";#N/A,#N/A,FALSE,"Fin Mod";#N/A,#N/A,FALSE,"P&amp;E Burocrat";#N/A,#N/A,FALSE,"cash flow"}</definedName>
    <definedName name="NNNNN" localSheetId="30" hidden="1">{#N/A,#N/A,FALSE,"BANNERS";#N/A,#N/A,FALSE,"Market";#N/A,#N/A,FALSE,"# of POP MAN";#N/A,#N/A,FALSE,"Penet Input";#N/A,#N/A,FALSE,"Tel Rev";#N/A,#N/A,FALSE,"Invest";#N/A,#N/A,FALSE,"Op Cost1";#N/A,#N/A,FALSE,"Op Cost2";#N/A,#N/A,FALSE,"Oth_&amp;_Tot_Revenues";#N/A,#N/A,FALSE,"Fin Mod";#N/A,#N/A,FALSE,"P&amp;E Burocrat";#N/A,#N/A,FALSE,"cash flow"}</definedName>
    <definedName name="NNNNN" localSheetId="32" hidden="1">{#N/A,#N/A,FALSE,"BANNERS";#N/A,#N/A,FALSE,"Market";#N/A,#N/A,FALSE,"# of POP MAN";#N/A,#N/A,FALSE,"Penet Input";#N/A,#N/A,FALSE,"Tel Rev";#N/A,#N/A,FALSE,"Invest";#N/A,#N/A,FALSE,"Op Cost1";#N/A,#N/A,FALSE,"Op Cost2";#N/A,#N/A,FALSE,"Oth_&amp;_Tot_Revenues";#N/A,#N/A,FALSE,"Fin Mod";#N/A,#N/A,FALSE,"P&amp;E Burocrat";#N/A,#N/A,FALSE,"cash flow"}</definedName>
    <definedName name="NNNNN" localSheetId="34" hidden="1">{#N/A,#N/A,FALSE,"BANNERS";#N/A,#N/A,FALSE,"Market";#N/A,#N/A,FALSE,"# of POP MAN";#N/A,#N/A,FALSE,"Penet Input";#N/A,#N/A,FALSE,"Tel Rev";#N/A,#N/A,FALSE,"Invest";#N/A,#N/A,FALSE,"Op Cost1";#N/A,#N/A,FALSE,"Op Cost2";#N/A,#N/A,FALSE,"Oth_&amp;_Tot_Revenues";#N/A,#N/A,FALSE,"Fin Mod";#N/A,#N/A,FALSE,"P&amp;E Burocrat";#N/A,#N/A,FALSE,"cash flow"}</definedName>
    <definedName name="NNNNN" localSheetId="36" hidden="1">{#N/A,#N/A,FALSE,"BANNERS";#N/A,#N/A,FALSE,"Market";#N/A,#N/A,FALSE,"# of POP MAN";#N/A,#N/A,FALSE,"Penet Input";#N/A,#N/A,FALSE,"Tel Rev";#N/A,#N/A,FALSE,"Invest";#N/A,#N/A,FALSE,"Op Cost1";#N/A,#N/A,FALSE,"Op Cost2";#N/A,#N/A,FALSE,"Oth_&amp;_Tot_Revenues";#N/A,#N/A,FALSE,"Fin Mod";#N/A,#N/A,FALSE,"P&amp;E Burocrat";#N/A,#N/A,FALSE,"cash flow"}</definedName>
    <definedName name="NNNNN" localSheetId="38" hidden="1">{#N/A,#N/A,FALSE,"BANNERS";#N/A,#N/A,FALSE,"Market";#N/A,#N/A,FALSE,"# of POP MAN";#N/A,#N/A,FALSE,"Penet Input";#N/A,#N/A,FALSE,"Tel Rev";#N/A,#N/A,FALSE,"Invest";#N/A,#N/A,FALSE,"Op Cost1";#N/A,#N/A,FALSE,"Op Cost2";#N/A,#N/A,FALSE,"Oth_&amp;_Tot_Revenues";#N/A,#N/A,FALSE,"Fin Mod";#N/A,#N/A,FALSE,"P&amp;E Burocrat";#N/A,#N/A,FALSE,"cash flow"}</definedName>
    <definedName name="NNNNN" hidden="1">{#N/A,#N/A,FALSE,"BANNERS";#N/A,#N/A,FALSE,"Market";#N/A,#N/A,FALSE,"# of POP MAN";#N/A,#N/A,FALSE,"Penet Input";#N/A,#N/A,FALSE,"Tel Rev";#N/A,#N/A,FALSE,"Invest";#N/A,#N/A,FALSE,"Op Cost1";#N/A,#N/A,FALSE,"Op Cost2";#N/A,#N/A,FALSE,"Oth_&amp;_Tot_Revenues";#N/A,#N/A,FALSE,"Fin Mod";#N/A,#N/A,FALSE,"P&amp;E Burocrat";#N/A,#N/A,FALSE,"cash flow"}</definedName>
    <definedName name="No">#REF!</definedName>
    <definedName name="Node1_Amps">#REF!</definedName>
    <definedName name="Node1_BTUs">#REF!</definedName>
    <definedName name="Node1_ChassisCount">#REF!</definedName>
    <definedName name="Node1_DescType">#REF!</definedName>
    <definedName name="Node1_Discount">#REF!</definedName>
    <definedName name="Node1_IntlDisc">#REF!</definedName>
    <definedName name="Node1_IntlList">#REF!</definedName>
    <definedName name="Node1_IntlTotal">#REF!</definedName>
    <definedName name="Node1_Name">#REF!</definedName>
    <definedName name="Node1_RackSpace">#REF!</definedName>
    <definedName name="Node1_Watts">#REF!</definedName>
    <definedName name="Node10_Amps">#REF!</definedName>
    <definedName name="Node10_BTUs">#REF!</definedName>
    <definedName name="Node10_ChassisCount">#REF!</definedName>
    <definedName name="Node10_DescType">#REF!</definedName>
    <definedName name="Node10_Discount">#REF!</definedName>
    <definedName name="Node10_IntlDisc">#REF!</definedName>
    <definedName name="Node10_IntlList">#REF!</definedName>
    <definedName name="Node10_IntlTotal">#REF!</definedName>
    <definedName name="Node10_Name">#REF!</definedName>
    <definedName name="Node10_RackSpace">#REF!</definedName>
    <definedName name="Node10_Watts">#REF!</definedName>
    <definedName name="Node11_Amps">#REF!</definedName>
    <definedName name="Node11_BTUs">#REF!</definedName>
    <definedName name="Node11_ChassisCount">#REF!</definedName>
    <definedName name="Node11_DescType">#REF!</definedName>
    <definedName name="Node11_Discount">#REF!</definedName>
    <definedName name="Node11_IntlDisc">#REF!</definedName>
    <definedName name="Node11_IntlList">#REF!</definedName>
    <definedName name="Node11_IntlTotal">#REF!</definedName>
    <definedName name="Node11_Name">#REF!</definedName>
    <definedName name="Node11_RackSpace">#REF!</definedName>
    <definedName name="Node11_Watts">#REF!</definedName>
    <definedName name="Node12_Amps">#REF!</definedName>
    <definedName name="Node12_BTUs">#REF!</definedName>
    <definedName name="Node12_ChassisCount">#REF!</definedName>
    <definedName name="Node12_DescType">#REF!</definedName>
    <definedName name="Node12_Discount">#REF!</definedName>
    <definedName name="Node12_IntlDisc">#REF!</definedName>
    <definedName name="Node12_IntlList">#REF!</definedName>
    <definedName name="Node12_IntlTotal">#REF!</definedName>
    <definedName name="Node12_Name">#REF!</definedName>
    <definedName name="Node12_RackSpace">#REF!</definedName>
    <definedName name="Node12_Watts">#REF!</definedName>
    <definedName name="Node13_Amps">#REF!</definedName>
    <definedName name="Node13_BTUs">#REF!</definedName>
    <definedName name="Node13_ChassisCount">#REF!</definedName>
    <definedName name="Node13_DescType">#REF!</definedName>
    <definedName name="Node13_Discount">#REF!</definedName>
    <definedName name="Node13_IntlDisc">#REF!</definedName>
    <definedName name="Node13_IntlList">#REF!</definedName>
    <definedName name="Node13_IntlTotal">#REF!</definedName>
    <definedName name="Node13_Name">#REF!</definedName>
    <definedName name="Node13_RackSpace">#REF!</definedName>
    <definedName name="Node13_Watts">#REF!</definedName>
    <definedName name="Node2_Amps">#REF!</definedName>
    <definedName name="Node2_BTUs">#REF!</definedName>
    <definedName name="Node2_ChassisCount">#REF!</definedName>
    <definedName name="Node2_DescType">#REF!</definedName>
    <definedName name="Node2_Discount">#REF!</definedName>
    <definedName name="Node2_IntlDisc">#REF!</definedName>
    <definedName name="Node2_IntlList">#REF!</definedName>
    <definedName name="Node2_IntlTotal">#REF!</definedName>
    <definedName name="Node2_Name">#REF!</definedName>
    <definedName name="Node2_RackSpace">#REF!</definedName>
    <definedName name="Node2_Watts">#REF!</definedName>
    <definedName name="Node3_Amps">#REF!</definedName>
    <definedName name="Node3_BTUs">#REF!</definedName>
    <definedName name="Node3_ChassisCount">#REF!</definedName>
    <definedName name="Node3_DescType">#REF!</definedName>
    <definedName name="Node3_Discount">#REF!</definedName>
    <definedName name="Node3_IntlDisc">#REF!</definedName>
    <definedName name="Node3_IntlList">#REF!</definedName>
    <definedName name="Node3_IntlTotal">#REF!</definedName>
    <definedName name="Node3_Name">#REF!</definedName>
    <definedName name="Node3_RackSpace">#REF!</definedName>
    <definedName name="Node3_Watts">#REF!</definedName>
    <definedName name="Node4_Amps">#REF!</definedName>
    <definedName name="Node4_BTUs">#REF!</definedName>
    <definedName name="Node4_ChassisCount">#REF!</definedName>
    <definedName name="Node4_DescType">#REF!</definedName>
    <definedName name="Node4_Discount">#REF!</definedName>
    <definedName name="Node4_IntlDisc">#REF!</definedName>
    <definedName name="Node4_IntlList">#REF!</definedName>
    <definedName name="Node4_IntlTotal">#REF!</definedName>
    <definedName name="Node4_Name">#REF!</definedName>
    <definedName name="Node4_RackSpace">#REF!</definedName>
    <definedName name="Node4_Watts">#REF!</definedName>
    <definedName name="Node5_Amps">#REF!</definedName>
    <definedName name="Node5_BTUs">#REF!</definedName>
    <definedName name="Node5_ChassisCount">#REF!</definedName>
    <definedName name="Node5_DescType">#REF!</definedName>
    <definedName name="Node5_Discount">#REF!</definedName>
    <definedName name="Node5_IntlDisc">#REF!</definedName>
    <definedName name="Node5_IntlList">#REF!</definedName>
    <definedName name="Node5_IntlTotal">#REF!</definedName>
    <definedName name="Node5_Name">#REF!</definedName>
    <definedName name="Node5_RackSpace">#REF!</definedName>
    <definedName name="Node5_Watts">#REF!</definedName>
    <definedName name="Node6_Amps">#REF!</definedName>
    <definedName name="Node6_BTUs">#REF!</definedName>
    <definedName name="Node6_ChassisCount">#REF!</definedName>
    <definedName name="Node6_DescType">#REF!</definedName>
    <definedName name="Node6_Discount">#REF!</definedName>
    <definedName name="Node6_IntlDisc">#REF!</definedName>
    <definedName name="Node6_IntlList">#REF!</definedName>
    <definedName name="Node6_IntlTotal">#REF!</definedName>
    <definedName name="Node6_Name">#REF!</definedName>
    <definedName name="Node6_RackSpace">#REF!</definedName>
    <definedName name="Node6_Watts">#REF!</definedName>
    <definedName name="Node7_Amps">#REF!</definedName>
    <definedName name="Node7_BTUs">#REF!</definedName>
    <definedName name="Node7_ChassisCount">#REF!</definedName>
    <definedName name="Node7_DescType">#REF!</definedName>
    <definedName name="Node7_Discount">#REF!</definedName>
    <definedName name="Node7_IntlDisc">#REF!</definedName>
    <definedName name="Node7_IntlList">#REF!</definedName>
    <definedName name="Node7_IntlTotal">#REF!</definedName>
    <definedName name="Node7_Name">#REF!</definedName>
    <definedName name="Node7_RackSpace">#REF!</definedName>
    <definedName name="Node7_Watts">#REF!</definedName>
    <definedName name="Node8_Amps">#REF!</definedName>
    <definedName name="Node8_BTUs">#REF!</definedName>
    <definedName name="Node8_ChassisCount">#REF!</definedName>
    <definedName name="Node8_DescType">#REF!</definedName>
    <definedName name="Node8_Discount">#REF!</definedName>
    <definedName name="Node8_IntlDisc">#REF!</definedName>
    <definedName name="Node8_IntlList">#REF!</definedName>
    <definedName name="Node8_IntlTotal">#REF!</definedName>
    <definedName name="Node8_Name">#REF!</definedName>
    <definedName name="Node8_RackSpace">#REF!</definedName>
    <definedName name="Node8_Watts">#REF!</definedName>
    <definedName name="Node9_Amps">#REF!</definedName>
    <definedName name="Node9_BTUs">#REF!</definedName>
    <definedName name="Node9_ChassisCount">#REF!</definedName>
    <definedName name="Node9_DescType">#REF!</definedName>
    <definedName name="Node9_Discount">#REF!</definedName>
    <definedName name="Node9_IntlDisc">#REF!</definedName>
    <definedName name="Node9_IntlList">#REF!</definedName>
    <definedName name="Node9_IntlTotal">#REF!</definedName>
    <definedName name="Node9_Name">#REF!</definedName>
    <definedName name="Node9_RackSpace">#REF!</definedName>
    <definedName name="Node9_Watts">#REF!</definedName>
    <definedName name="NonCAP_Forecast">#REF!</definedName>
    <definedName name="NotDoneThreshold">#REF!</definedName>
    <definedName name="Note">#REF!</definedName>
    <definedName name="Note1">#REF!</definedName>
    <definedName name="Note10">#REF!</definedName>
    <definedName name="Note11">#REF!</definedName>
    <definedName name="Note12">#REF!</definedName>
    <definedName name="Note13">#REF!</definedName>
    <definedName name="Note14">#REF!</definedName>
    <definedName name="Note15">#REF!</definedName>
    <definedName name="Note16">#REF!</definedName>
    <definedName name="Note17">#REF!</definedName>
    <definedName name="Note18">#REF!</definedName>
    <definedName name="Note19">#REF!</definedName>
    <definedName name="Note2">#REF!</definedName>
    <definedName name="Note20">#REF!</definedName>
    <definedName name="Note21">#REF!</definedName>
    <definedName name="Note22">#REF!</definedName>
    <definedName name="Note23">#REF!</definedName>
    <definedName name="Note3">#REF!</definedName>
    <definedName name="Note4">#REF!</definedName>
    <definedName name="Note5">#REF!</definedName>
    <definedName name="Note6">#REF!</definedName>
    <definedName name="Note7">#REF!</definedName>
    <definedName name="Note8">#REF!</definedName>
    <definedName name="Note9">#REF!</definedName>
    <definedName name="Notes">#REF!</definedName>
    <definedName name="Notes_and_Audit_Workdone">#REF!</definedName>
    <definedName name="NSProjectionMethodIndex">#REF!</definedName>
    <definedName name="NSRequiredLevelOfEvidenceItems">#REF!</definedName>
    <definedName name="NSTargetedTestingItems">#REF!</definedName>
    <definedName name="Num_Pmt_Per_Year">#REF!</definedName>
    <definedName name="Number_of_Payments" localSheetId="3">MATCH(0.01,End_Bal,-1)+1</definedName>
    <definedName name="Number_of_Payments" localSheetId="5">MATCH(0.01,End_Bal,-1)+1</definedName>
    <definedName name="Number_of_Payments" localSheetId="8">MATCH(0.01,End_Bal,-1)+1</definedName>
    <definedName name="Number_of_Payments" localSheetId="10">MATCH(0.01,End_Bal,-1)+1</definedName>
    <definedName name="Number_of_Payments" localSheetId="12">MATCH(0.01,End_Bal,-1)+1</definedName>
    <definedName name="Number_of_Payments" localSheetId="14">MATCH(0.01,End_Bal,-1)+1</definedName>
    <definedName name="Number_of_Payments" localSheetId="16">MATCH(0.01,End_Bal,-1)+1</definedName>
    <definedName name="Number_of_Payments" localSheetId="22">MATCH(0.01,End_Bal,-1)+1</definedName>
    <definedName name="Number_of_Payments" localSheetId="24">MATCH(0.01,End_Bal,-1)+1</definedName>
    <definedName name="Number_of_Payments" localSheetId="26">MATCH(0.01,End_Bal,-1)+1</definedName>
    <definedName name="Number_of_Payments" localSheetId="28">MATCH(0.01,End_Bal,-1)+1</definedName>
    <definedName name="Number_of_Payments" localSheetId="30">MATCH(0.01,End_Bal,-1)+1</definedName>
    <definedName name="Number_of_Payments" localSheetId="32">MATCH(0.01,End_Bal,-1)+1</definedName>
    <definedName name="Number_of_Payments" localSheetId="34">MATCH(0.01,End_Bal,-1)+1</definedName>
    <definedName name="Number_of_Payments" localSheetId="36">MATCH(0.01,End_Bal,-1)+1</definedName>
    <definedName name="Number_of_Payments" localSheetId="38">MATCH(0.01,End_Bal,-1)+1</definedName>
    <definedName name="Number_of_Payments">MATCH(0.01,End_Bal,-1)+1</definedName>
    <definedName name="NumberOfColumnHeadingLines">#REF!</definedName>
    <definedName name="nuovo" localSheetId="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1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1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1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2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2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2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2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3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3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3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3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3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vbfg" localSheetId="3" hidden="1">{"NOPCAPEVA",#N/A,FALSE,"Nopat";"FCFCSTAR",#N/A,FALSE,"FCFVAL";"EVAVL",#N/A,FALSE,"EVAVAL";"LEASE",#N/A,FALSE,"OpLease"}</definedName>
    <definedName name="nvbfg" localSheetId="5" hidden="1">{"NOPCAPEVA",#N/A,FALSE,"Nopat";"FCFCSTAR",#N/A,FALSE,"FCFVAL";"EVAVL",#N/A,FALSE,"EVAVAL";"LEASE",#N/A,FALSE,"OpLease"}</definedName>
    <definedName name="nvbfg" localSheetId="8" hidden="1">{"NOPCAPEVA",#N/A,FALSE,"Nopat";"FCFCSTAR",#N/A,FALSE,"FCFVAL";"EVAVL",#N/A,FALSE,"EVAVAL";"LEASE",#N/A,FALSE,"OpLease"}</definedName>
    <definedName name="nvbfg" localSheetId="10" hidden="1">{"NOPCAPEVA",#N/A,FALSE,"Nopat";"FCFCSTAR",#N/A,FALSE,"FCFVAL";"EVAVL",#N/A,FALSE,"EVAVAL";"LEASE",#N/A,FALSE,"OpLease"}</definedName>
    <definedName name="nvbfg" localSheetId="12" hidden="1">{"NOPCAPEVA",#N/A,FALSE,"Nopat";"FCFCSTAR",#N/A,FALSE,"FCFVAL";"EVAVL",#N/A,FALSE,"EVAVAL";"LEASE",#N/A,FALSE,"OpLease"}</definedName>
    <definedName name="nvbfg" localSheetId="14" hidden="1">{"NOPCAPEVA",#N/A,FALSE,"Nopat";"FCFCSTAR",#N/A,FALSE,"FCFVAL";"EVAVL",#N/A,FALSE,"EVAVAL";"LEASE",#N/A,FALSE,"OpLease"}</definedName>
    <definedName name="nvbfg" localSheetId="16" hidden="1">{"NOPCAPEVA",#N/A,FALSE,"Nopat";"FCFCSTAR",#N/A,FALSE,"FCFVAL";"EVAVL",#N/A,FALSE,"EVAVAL";"LEASE",#N/A,FALSE,"OpLease"}</definedName>
    <definedName name="nvbfg" localSheetId="22" hidden="1">{"NOPCAPEVA",#N/A,FALSE,"Nopat";"FCFCSTAR",#N/A,FALSE,"FCFVAL";"EVAVL",#N/A,FALSE,"EVAVAL";"LEASE",#N/A,FALSE,"OpLease"}</definedName>
    <definedName name="nvbfg" localSheetId="24" hidden="1">{"NOPCAPEVA",#N/A,FALSE,"Nopat";"FCFCSTAR",#N/A,FALSE,"FCFVAL";"EVAVL",#N/A,FALSE,"EVAVAL";"LEASE",#N/A,FALSE,"OpLease"}</definedName>
    <definedName name="nvbfg" localSheetId="26" hidden="1">{"NOPCAPEVA",#N/A,FALSE,"Nopat";"FCFCSTAR",#N/A,FALSE,"FCFVAL";"EVAVL",#N/A,FALSE,"EVAVAL";"LEASE",#N/A,FALSE,"OpLease"}</definedName>
    <definedName name="nvbfg" localSheetId="28" hidden="1">{"NOPCAPEVA",#N/A,FALSE,"Nopat";"FCFCSTAR",#N/A,FALSE,"FCFVAL";"EVAVL",#N/A,FALSE,"EVAVAL";"LEASE",#N/A,FALSE,"OpLease"}</definedName>
    <definedName name="nvbfg" localSheetId="30" hidden="1">{"NOPCAPEVA",#N/A,FALSE,"Nopat";"FCFCSTAR",#N/A,FALSE,"FCFVAL";"EVAVL",#N/A,FALSE,"EVAVAL";"LEASE",#N/A,FALSE,"OpLease"}</definedName>
    <definedName name="nvbfg" localSheetId="32" hidden="1">{"NOPCAPEVA",#N/A,FALSE,"Nopat";"FCFCSTAR",#N/A,FALSE,"FCFVAL";"EVAVL",#N/A,FALSE,"EVAVAL";"LEASE",#N/A,FALSE,"OpLease"}</definedName>
    <definedName name="nvbfg" localSheetId="34" hidden="1">{"NOPCAPEVA",#N/A,FALSE,"Nopat";"FCFCSTAR",#N/A,FALSE,"FCFVAL";"EVAVL",#N/A,FALSE,"EVAVAL";"LEASE",#N/A,FALSE,"OpLease"}</definedName>
    <definedName name="nvbfg" localSheetId="36" hidden="1">{"NOPCAPEVA",#N/A,FALSE,"Nopat";"FCFCSTAR",#N/A,FALSE,"FCFVAL";"EVAVL",#N/A,FALSE,"EVAVAL";"LEASE",#N/A,FALSE,"OpLease"}</definedName>
    <definedName name="nvbfg" localSheetId="38" hidden="1">{"NOPCAPEVA",#N/A,FALSE,"Nopat";"FCFCSTAR",#N/A,FALSE,"FCFVAL";"EVAVL",#N/A,FALSE,"EVAVAL";"LEASE",#N/A,FALSE,"OpLease"}</definedName>
    <definedName name="nvbfg" hidden="1">{"NOPCAPEVA",#N/A,FALSE,"Nopat";"FCFCSTAR",#N/A,FALSE,"FCFVAL";"EVAVL",#N/A,FALSE,"EVAVAL";"LEASE",#N/A,FALSE,"OpLease"}</definedName>
    <definedName name="NvsASD">"V2011-02-28"</definedName>
    <definedName name="NvsAutoDrillOk">"VN"</definedName>
    <definedName name="NvsElapsedTime">0.00119212963181781</definedName>
    <definedName name="NvsEndTime">40641.7758912037</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"%,X,RNF.PRODUCT.,CZF.."</definedName>
    <definedName name="NvsPanelBusUnit">"V"</definedName>
    <definedName name="NvsPanelEffdt">"V1900-01-01"</definedName>
    <definedName name="NvsPanelSetid">"VSHARE"</definedName>
    <definedName name="NvsParentRef">#REF!</definedName>
    <definedName name="NvsReqBU">"V10100"</definedName>
    <definedName name="NvsReqBUOnly">"VN"</definedName>
    <definedName name="NvsTransLed">"VN"</definedName>
    <definedName name="NvsTreeASD">"V2011-02-28"</definedName>
    <definedName name="NvsValTbl.ACCOUNT">"GL_ACCOUNT_TBL"</definedName>
    <definedName name="NvsValTbl.AFFILIATE">"AFFILIATE_VW"</definedName>
    <definedName name="NvsValTbl.BUSINESS_UNIT">"BUS_UNIT_TBL_FS"</definedName>
    <definedName name="NvsValTbl.CURRENCY_CD">"CURRENCY_CD_TBL"</definedName>
    <definedName name="NvsValTbl.DEPTID">"DEPARTMENT_TBL"</definedName>
    <definedName name="NvsValTbl.PRODUCT">"PRODUCT_TBL"</definedName>
    <definedName name="NvsValTbl.PROJECT_ID">"PROJECT_ID_VW"</definedName>
    <definedName name="nvxc" localSheetId="3" hidden="1">{"NOPCAPEVA",#N/A,FALSE,"Nopat";"FCFCSTAR",#N/A,FALSE,"FCFVAL";"EVAVL",#N/A,FALSE,"EVAVAL";"LEASE",#N/A,FALSE,"OpLease"}</definedName>
    <definedName name="nvxc" localSheetId="5" hidden="1">{"NOPCAPEVA",#N/A,FALSE,"Nopat";"FCFCSTAR",#N/A,FALSE,"FCFVAL";"EVAVL",#N/A,FALSE,"EVAVAL";"LEASE",#N/A,FALSE,"OpLease"}</definedName>
    <definedName name="nvxc" localSheetId="8" hidden="1">{"NOPCAPEVA",#N/A,FALSE,"Nopat";"FCFCSTAR",#N/A,FALSE,"FCFVAL";"EVAVL",#N/A,FALSE,"EVAVAL";"LEASE",#N/A,FALSE,"OpLease"}</definedName>
    <definedName name="nvxc" localSheetId="10" hidden="1">{"NOPCAPEVA",#N/A,FALSE,"Nopat";"FCFCSTAR",#N/A,FALSE,"FCFVAL";"EVAVL",#N/A,FALSE,"EVAVAL";"LEASE",#N/A,FALSE,"OpLease"}</definedName>
    <definedName name="nvxc" localSheetId="12" hidden="1">{"NOPCAPEVA",#N/A,FALSE,"Nopat";"FCFCSTAR",#N/A,FALSE,"FCFVAL";"EVAVL",#N/A,FALSE,"EVAVAL";"LEASE",#N/A,FALSE,"OpLease"}</definedName>
    <definedName name="nvxc" localSheetId="14" hidden="1">{"NOPCAPEVA",#N/A,FALSE,"Nopat";"FCFCSTAR",#N/A,FALSE,"FCFVAL";"EVAVL",#N/A,FALSE,"EVAVAL";"LEASE",#N/A,FALSE,"OpLease"}</definedName>
    <definedName name="nvxc" localSheetId="16" hidden="1">{"NOPCAPEVA",#N/A,FALSE,"Nopat";"FCFCSTAR",#N/A,FALSE,"FCFVAL";"EVAVL",#N/A,FALSE,"EVAVAL";"LEASE",#N/A,FALSE,"OpLease"}</definedName>
    <definedName name="nvxc" localSheetId="22" hidden="1">{"NOPCAPEVA",#N/A,FALSE,"Nopat";"FCFCSTAR",#N/A,FALSE,"FCFVAL";"EVAVL",#N/A,FALSE,"EVAVAL";"LEASE",#N/A,FALSE,"OpLease"}</definedName>
    <definedName name="nvxc" localSheetId="24" hidden="1">{"NOPCAPEVA",#N/A,FALSE,"Nopat";"FCFCSTAR",#N/A,FALSE,"FCFVAL";"EVAVL",#N/A,FALSE,"EVAVAL";"LEASE",#N/A,FALSE,"OpLease"}</definedName>
    <definedName name="nvxc" localSheetId="26" hidden="1">{"NOPCAPEVA",#N/A,FALSE,"Nopat";"FCFCSTAR",#N/A,FALSE,"FCFVAL";"EVAVL",#N/A,FALSE,"EVAVAL";"LEASE",#N/A,FALSE,"OpLease"}</definedName>
    <definedName name="nvxc" localSheetId="28" hidden="1">{"NOPCAPEVA",#N/A,FALSE,"Nopat";"FCFCSTAR",#N/A,FALSE,"FCFVAL";"EVAVL",#N/A,FALSE,"EVAVAL";"LEASE",#N/A,FALSE,"OpLease"}</definedName>
    <definedName name="nvxc" localSheetId="30" hidden="1">{"NOPCAPEVA",#N/A,FALSE,"Nopat";"FCFCSTAR",#N/A,FALSE,"FCFVAL";"EVAVL",#N/A,FALSE,"EVAVAL";"LEASE",#N/A,FALSE,"OpLease"}</definedName>
    <definedName name="nvxc" localSheetId="32" hidden="1">{"NOPCAPEVA",#N/A,FALSE,"Nopat";"FCFCSTAR",#N/A,FALSE,"FCFVAL";"EVAVL",#N/A,FALSE,"EVAVAL";"LEASE",#N/A,FALSE,"OpLease"}</definedName>
    <definedName name="nvxc" localSheetId="34" hidden="1">{"NOPCAPEVA",#N/A,FALSE,"Nopat";"FCFCSTAR",#N/A,FALSE,"FCFVAL";"EVAVL",#N/A,FALSE,"EVAVAL";"LEASE",#N/A,FALSE,"OpLease"}</definedName>
    <definedName name="nvxc" localSheetId="36" hidden="1">{"NOPCAPEVA",#N/A,FALSE,"Nopat";"FCFCSTAR",#N/A,FALSE,"FCFVAL";"EVAVL",#N/A,FALSE,"EVAVAL";"LEASE",#N/A,FALSE,"OpLease"}</definedName>
    <definedName name="nvxc" localSheetId="38" hidden="1">{"NOPCAPEVA",#N/A,FALSE,"Nopat";"FCFCSTAR",#N/A,FALSE,"FCFVAL";"EVAVL",#N/A,FALSE,"EVAVAL";"LEASE",#N/A,FALSE,"OpLease"}</definedName>
    <definedName name="nvxc" hidden="1">{"NOPCAPEVA",#N/A,FALSE,"Nopat";"FCFCSTAR",#N/A,FALSE,"FCFVAL";"EVAVL",#N/A,FALSE,"EVAVAL";"LEASE",#N/A,FALSE,"OpLease"}</definedName>
    <definedName name="oiu">#REF!</definedName>
    <definedName name="oldInterval">50</definedName>
    <definedName name="onhand">#REF!</definedName>
    <definedName name="ooo" localSheetId="3" hidden="1">{#N/A,#N/A,FALSE,"MAIN";#N/A,#N/A,FALSE,"MK_ASS_B";#N/A,#N/A,FALSE,"MK_ASS_R";#N/A,#N/A,FALSE,"TR_ASS_B";#N/A,#N/A,FALSE,"TR_ASS_R";#N/A,#N/A,FALSE,"ROAMING";#N/A,#N/A,FALSE,"PR_ASS_B";#N/A,#N/A,FALSE,"PR_ASS_R";#N/A,#N/A,FALSE,"PR_ASS_S"}</definedName>
    <definedName name="ooo" localSheetId="5" hidden="1">{#N/A,#N/A,FALSE,"MAIN";#N/A,#N/A,FALSE,"MK_ASS_B";#N/A,#N/A,FALSE,"MK_ASS_R";#N/A,#N/A,FALSE,"TR_ASS_B";#N/A,#N/A,FALSE,"TR_ASS_R";#N/A,#N/A,FALSE,"ROAMING";#N/A,#N/A,FALSE,"PR_ASS_B";#N/A,#N/A,FALSE,"PR_ASS_R";#N/A,#N/A,FALSE,"PR_ASS_S"}</definedName>
    <definedName name="ooo" localSheetId="8" hidden="1">{#N/A,#N/A,FALSE,"MAIN";#N/A,#N/A,FALSE,"MK_ASS_B";#N/A,#N/A,FALSE,"MK_ASS_R";#N/A,#N/A,FALSE,"TR_ASS_B";#N/A,#N/A,FALSE,"TR_ASS_R";#N/A,#N/A,FALSE,"ROAMING";#N/A,#N/A,FALSE,"PR_ASS_B";#N/A,#N/A,FALSE,"PR_ASS_R";#N/A,#N/A,FALSE,"PR_ASS_S"}</definedName>
    <definedName name="ooo" localSheetId="10" hidden="1">{#N/A,#N/A,FALSE,"MAIN";#N/A,#N/A,FALSE,"MK_ASS_B";#N/A,#N/A,FALSE,"MK_ASS_R";#N/A,#N/A,FALSE,"TR_ASS_B";#N/A,#N/A,FALSE,"TR_ASS_R";#N/A,#N/A,FALSE,"ROAMING";#N/A,#N/A,FALSE,"PR_ASS_B";#N/A,#N/A,FALSE,"PR_ASS_R";#N/A,#N/A,FALSE,"PR_ASS_S"}</definedName>
    <definedName name="ooo" localSheetId="12" hidden="1">{#N/A,#N/A,FALSE,"MAIN";#N/A,#N/A,FALSE,"MK_ASS_B";#N/A,#N/A,FALSE,"MK_ASS_R";#N/A,#N/A,FALSE,"TR_ASS_B";#N/A,#N/A,FALSE,"TR_ASS_R";#N/A,#N/A,FALSE,"ROAMING";#N/A,#N/A,FALSE,"PR_ASS_B";#N/A,#N/A,FALSE,"PR_ASS_R";#N/A,#N/A,FALSE,"PR_ASS_S"}</definedName>
    <definedName name="ooo" localSheetId="14" hidden="1">{#N/A,#N/A,FALSE,"MAIN";#N/A,#N/A,FALSE,"MK_ASS_B";#N/A,#N/A,FALSE,"MK_ASS_R";#N/A,#N/A,FALSE,"TR_ASS_B";#N/A,#N/A,FALSE,"TR_ASS_R";#N/A,#N/A,FALSE,"ROAMING";#N/A,#N/A,FALSE,"PR_ASS_B";#N/A,#N/A,FALSE,"PR_ASS_R";#N/A,#N/A,FALSE,"PR_ASS_S"}</definedName>
    <definedName name="ooo" localSheetId="16" hidden="1">{#N/A,#N/A,FALSE,"MAIN";#N/A,#N/A,FALSE,"MK_ASS_B";#N/A,#N/A,FALSE,"MK_ASS_R";#N/A,#N/A,FALSE,"TR_ASS_B";#N/A,#N/A,FALSE,"TR_ASS_R";#N/A,#N/A,FALSE,"ROAMING";#N/A,#N/A,FALSE,"PR_ASS_B";#N/A,#N/A,FALSE,"PR_ASS_R";#N/A,#N/A,FALSE,"PR_ASS_S"}</definedName>
    <definedName name="ooo" localSheetId="22" hidden="1">{#N/A,#N/A,FALSE,"MAIN";#N/A,#N/A,FALSE,"MK_ASS_B";#N/A,#N/A,FALSE,"MK_ASS_R";#N/A,#N/A,FALSE,"TR_ASS_B";#N/A,#N/A,FALSE,"TR_ASS_R";#N/A,#N/A,FALSE,"ROAMING";#N/A,#N/A,FALSE,"PR_ASS_B";#N/A,#N/A,FALSE,"PR_ASS_R";#N/A,#N/A,FALSE,"PR_ASS_S"}</definedName>
    <definedName name="ooo" localSheetId="24" hidden="1">{#N/A,#N/A,FALSE,"MAIN";#N/A,#N/A,FALSE,"MK_ASS_B";#N/A,#N/A,FALSE,"MK_ASS_R";#N/A,#N/A,FALSE,"TR_ASS_B";#N/A,#N/A,FALSE,"TR_ASS_R";#N/A,#N/A,FALSE,"ROAMING";#N/A,#N/A,FALSE,"PR_ASS_B";#N/A,#N/A,FALSE,"PR_ASS_R";#N/A,#N/A,FALSE,"PR_ASS_S"}</definedName>
    <definedName name="ooo" localSheetId="26" hidden="1">{#N/A,#N/A,FALSE,"MAIN";#N/A,#N/A,FALSE,"MK_ASS_B";#N/A,#N/A,FALSE,"MK_ASS_R";#N/A,#N/A,FALSE,"TR_ASS_B";#N/A,#N/A,FALSE,"TR_ASS_R";#N/A,#N/A,FALSE,"ROAMING";#N/A,#N/A,FALSE,"PR_ASS_B";#N/A,#N/A,FALSE,"PR_ASS_R";#N/A,#N/A,FALSE,"PR_ASS_S"}</definedName>
    <definedName name="ooo" localSheetId="28" hidden="1">{#N/A,#N/A,FALSE,"MAIN";#N/A,#N/A,FALSE,"MK_ASS_B";#N/A,#N/A,FALSE,"MK_ASS_R";#N/A,#N/A,FALSE,"TR_ASS_B";#N/A,#N/A,FALSE,"TR_ASS_R";#N/A,#N/A,FALSE,"ROAMING";#N/A,#N/A,FALSE,"PR_ASS_B";#N/A,#N/A,FALSE,"PR_ASS_R";#N/A,#N/A,FALSE,"PR_ASS_S"}</definedName>
    <definedName name="ooo" localSheetId="30" hidden="1">{#N/A,#N/A,FALSE,"MAIN";#N/A,#N/A,FALSE,"MK_ASS_B";#N/A,#N/A,FALSE,"MK_ASS_R";#N/A,#N/A,FALSE,"TR_ASS_B";#N/A,#N/A,FALSE,"TR_ASS_R";#N/A,#N/A,FALSE,"ROAMING";#N/A,#N/A,FALSE,"PR_ASS_B";#N/A,#N/A,FALSE,"PR_ASS_R";#N/A,#N/A,FALSE,"PR_ASS_S"}</definedName>
    <definedName name="ooo" localSheetId="32" hidden="1">{#N/A,#N/A,FALSE,"MAIN";#N/A,#N/A,FALSE,"MK_ASS_B";#N/A,#N/A,FALSE,"MK_ASS_R";#N/A,#N/A,FALSE,"TR_ASS_B";#N/A,#N/A,FALSE,"TR_ASS_R";#N/A,#N/A,FALSE,"ROAMING";#N/A,#N/A,FALSE,"PR_ASS_B";#N/A,#N/A,FALSE,"PR_ASS_R";#N/A,#N/A,FALSE,"PR_ASS_S"}</definedName>
    <definedName name="ooo" localSheetId="34" hidden="1">{#N/A,#N/A,FALSE,"MAIN";#N/A,#N/A,FALSE,"MK_ASS_B";#N/A,#N/A,FALSE,"MK_ASS_R";#N/A,#N/A,FALSE,"TR_ASS_B";#N/A,#N/A,FALSE,"TR_ASS_R";#N/A,#N/A,FALSE,"ROAMING";#N/A,#N/A,FALSE,"PR_ASS_B";#N/A,#N/A,FALSE,"PR_ASS_R";#N/A,#N/A,FALSE,"PR_ASS_S"}</definedName>
    <definedName name="ooo" localSheetId="36" hidden="1">{#N/A,#N/A,FALSE,"MAIN";#N/A,#N/A,FALSE,"MK_ASS_B";#N/A,#N/A,FALSE,"MK_ASS_R";#N/A,#N/A,FALSE,"TR_ASS_B";#N/A,#N/A,FALSE,"TR_ASS_R";#N/A,#N/A,FALSE,"ROAMING";#N/A,#N/A,FALSE,"PR_ASS_B";#N/A,#N/A,FALSE,"PR_ASS_R";#N/A,#N/A,FALSE,"PR_ASS_S"}</definedName>
    <definedName name="ooo" localSheetId="38" hidden="1">{#N/A,#N/A,FALSE,"MAIN";#N/A,#N/A,FALSE,"MK_ASS_B";#N/A,#N/A,FALSE,"MK_ASS_R";#N/A,#N/A,FALSE,"TR_ASS_B";#N/A,#N/A,FALSE,"TR_ASS_R";#N/A,#N/A,FALSE,"ROAMING";#N/A,#N/A,FALSE,"PR_ASS_B";#N/A,#N/A,FALSE,"PR_ASS_R";#N/A,#N/A,FALSE,"PR_ASS_S"}</definedName>
    <definedName name="ooo" hidden="1">{#N/A,#N/A,FALSE,"MAIN";#N/A,#N/A,FALSE,"MK_ASS_B";#N/A,#N/A,FALSE,"MK_ASS_R";#N/A,#N/A,FALSE,"TR_ASS_B";#N/A,#N/A,FALSE,"TR_ASS_R";#N/A,#N/A,FALSE,"ROAMING";#N/A,#N/A,FALSE,"PR_ASS_B";#N/A,#N/A,FALSE,"PR_ASS_R";#N/A,#N/A,FALSE,"PR_ASS_S"}</definedName>
    <definedName name="Open_Confirm">#REF!</definedName>
    <definedName name="OpeningBS">#REF!</definedName>
    <definedName name="OptionsandClauses">#REF!</definedName>
    <definedName name="ORCHARD_POINT">#REF!</definedName>
    <definedName name="OrderTable" hidden="1">#REF!</definedName>
    <definedName name="Organization_View">#REF!</definedName>
    <definedName name="OS">#REF!</definedName>
    <definedName name="OverallStatus">#REF!</definedName>
    <definedName name="OverdueFactor">#REF!</definedName>
    <definedName name="Overview">#REF!</definedName>
    <definedName name="OwnersList">#REF!</definedName>
    <definedName name="P" localSheetId="3" hidden="1">{"'CE PRC2 98'!$A$1:$P$42"}</definedName>
    <definedName name="P" localSheetId="5" hidden="1">{"'CE PRC2 98'!$A$1:$P$42"}</definedName>
    <definedName name="P" localSheetId="8" hidden="1">{"'CE PRC2 98'!$A$1:$P$42"}</definedName>
    <definedName name="P" localSheetId="10" hidden="1">{"'CE PRC2 98'!$A$1:$P$42"}</definedName>
    <definedName name="P" localSheetId="12" hidden="1">{"'CE PRC2 98'!$A$1:$P$42"}</definedName>
    <definedName name="P" localSheetId="14" hidden="1">{"'CE PRC2 98'!$A$1:$P$42"}</definedName>
    <definedName name="P" localSheetId="16" hidden="1">{"'CE PRC2 98'!$A$1:$P$42"}</definedName>
    <definedName name="P" localSheetId="22" hidden="1">{"'CE PRC2 98'!$A$1:$P$42"}</definedName>
    <definedName name="P" localSheetId="24" hidden="1">{"'CE PRC2 98'!$A$1:$P$42"}</definedName>
    <definedName name="P" localSheetId="26" hidden="1">{"'CE PRC2 98'!$A$1:$P$42"}</definedName>
    <definedName name="P" localSheetId="28" hidden="1">{"'CE PRC2 98'!$A$1:$P$42"}</definedName>
    <definedName name="P" localSheetId="30" hidden="1">{"'CE PRC2 98'!$A$1:$P$42"}</definedName>
    <definedName name="P" localSheetId="32" hidden="1">{"'CE PRC2 98'!$A$1:$P$42"}</definedName>
    <definedName name="P" localSheetId="34" hidden="1">{"'CE PRC2 98'!$A$1:$P$42"}</definedName>
    <definedName name="P" localSheetId="36" hidden="1">{"'CE PRC2 98'!$A$1:$P$42"}</definedName>
    <definedName name="P" localSheetId="38" hidden="1">{"'CE PRC2 98'!$A$1:$P$42"}</definedName>
    <definedName name="P" hidden="1">{"'CE PRC2 98'!$A$1:$P$42"}</definedName>
    <definedName name="page\x2dtotal">#REF!</definedName>
    <definedName name="page\x2dtotal\x2dmaster0">#REF!</definedName>
    <definedName name="PAGE_1">#REF!</definedName>
    <definedName name="PAGE_2">#REF!</definedName>
    <definedName name="Partners">#REF!</definedName>
    <definedName name="pat" localSheetId="3" hidden="1">{#N/A,#N/A,FALSE,"HIGHNEW";#N/A,#N/A,FALSE,"HIGHOLD";#N/A,#N/A,FALSE,"MTHDET";#N/A,#N/A,FALSE,"ACTDET"}</definedName>
    <definedName name="pat" localSheetId="5" hidden="1">{#N/A,#N/A,FALSE,"HIGHNEW";#N/A,#N/A,FALSE,"HIGHOLD";#N/A,#N/A,FALSE,"MTHDET";#N/A,#N/A,FALSE,"ACTDET"}</definedName>
    <definedName name="pat" localSheetId="8" hidden="1">{#N/A,#N/A,FALSE,"HIGHNEW";#N/A,#N/A,FALSE,"HIGHOLD";#N/A,#N/A,FALSE,"MTHDET";#N/A,#N/A,FALSE,"ACTDET"}</definedName>
    <definedName name="pat" localSheetId="10" hidden="1">{#N/A,#N/A,FALSE,"HIGHNEW";#N/A,#N/A,FALSE,"HIGHOLD";#N/A,#N/A,FALSE,"MTHDET";#N/A,#N/A,FALSE,"ACTDET"}</definedName>
    <definedName name="pat" localSheetId="12" hidden="1">{#N/A,#N/A,FALSE,"HIGHNEW";#N/A,#N/A,FALSE,"HIGHOLD";#N/A,#N/A,FALSE,"MTHDET";#N/A,#N/A,FALSE,"ACTDET"}</definedName>
    <definedName name="pat" localSheetId="14" hidden="1">{#N/A,#N/A,FALSE,"HIGHNEW";#N/A,#N/A,FALSE,"HIGHOLD";#N/A,#N/A,FALSE,"MTHDET";#N/A,#N/A,FALSE,"ACTDET"}</definedName>
    <definedName name="pat" localSheetId="16" hidden="1">{#N/A,#N/A,FALSE,"HIGHNEW";#N/A,#N/A,FALSE,"HIGHOLD";#N/A,#N/A,FALSE,"MTHDET";#N/A,#N/A,FALSE,"ACTDET"}</definedName>
    <definedName name="pat" localSheetId="22" hidden="1">{#N/A,#N/A,FALSE,"HIGHNEW";#N/A,#N/A,FALSE,"HIGHOLD";#N/A,#N/A,FALSE,"MTHDET";#N/A,#N/A,FALSE,"ACTDET"}</definedName>
    <definedName name="pat" localSheetId="24" hidden="1">{#N/A,#N/A,FALSE,"HIGHNEW";#N/A,#N/A,FALSE,"HIGHOLD";#N/A,#N/A,FALSE,"MTHDET";#N/A,#N/A,FALSE,"ACTDET"}</definedName>
    <definedName name="pat" localSheetId="26" hidden="1">{#N/A,#N/A,FALSE,"HIGHNEW";#N/A,#N/A,FALSE,"HIGHOLD";#N/A,#N/A,FALSE,"MTHDET";#N/A,#N/A,FALSE,"ACTDET"}</definedName>
    <definedName name="pat" localSheetId="28" hidden="1">{#N/A,#N/A,FALSE,"HIGHNEW";#N/A,#N/A,FALSE,"HIGHOLD";#N/A,#N/A,FALSE,"MTHDET";#N/A,#N/A,FALSE,"ACTDET"}</definedName>
    <definedName name="pat" localSheetId="30" hidden="1">{#N/A,#N/A,FALSE,"HIGHNEW";#N/A,#N/A,FALSE,"HIGHOLD";#N/A,#N/A,FALSE,"MTHDET";#N/A,#N/A,FALSE,"ACTDET"}</definedName>
    <definedName name="pat" localSheetId="32" hidden="1">{#N/A,#N/A,FALSE,"HIGHNEW";#N/A,#N/A,FALSE,"HIGHOLD";#N/A,#N/A,FALSE,"MTHDET";#N/A,#N/A,FALSE,"ACTDET"}</definedName>
    <definedName name="pat" localSheetId="34" hidden="1">{#N/A,#N/A,FALSE,"HIGHNEW";#N/A,#N/A,FALSE,"HIGHOLD";#N/A,#N/A,FALSE,"MTHDET";#N/A,#N/A,FALSE,"ACTDET"}</definedName>
    <definedName name="pat" localSheetId="36" hidden="1">{#N/A,#N/A,FALSE,"HIGHNEW";#N/A,#N/A,FALSE,"HIGHOLD";#N/A,#N/A,FALSE,"MTHDET";#N/A,#N/A,FALSE,"ACTDET"}</definedName>
    <definedName name="pat" localSheetId="38" hidden="1">{#N/A,#N/A,FALSE,"HIGHNEW";#N/A,#N/A,FALSE,"HIGHOLD";#N/A,#N/A,FALSE,"MTHDET";#N/A,#N/A,FALSE,"ACTDET"}</definedName>
    <definedName name="pat" hidden="1">{#N/A,#N/A,FALSE,"HIGHNEW";#N/A,#N/A,FALSE,"HIGHOLD";#N/A,#N/A,FALSE,"MTHDET";#N/A,#N/A,FALSE,"ACTDET"}</definedName>
    <definedName name="pay">#REF!</definedName>
    <definedName name="Pay_Date">#REF!</definedName>
    <definedName name="Pay_Num">#REF!</definedName>
    <definedName name="Payment_Date" localSheetId="3">DATE(YEAR([0]!Loan_Start),MONTH([0]!Loan_Start)+Payment_Number,DAY([0]!Loan_Start))</definedName>
    <definedName name="Payment_Date" localSheetId="5">DATE(YEAR([0]!Loan_Start),MONTH([0]!Loan_Start)+Payment_Number,DAY([0]!Loan_Start))</definedName>
    <definedName name="Payment_Date" localSheetId="8">DATE(YEAR([0]!Loan_Start),MONTH([0]!Loan_Start)+Payment_Number,DAY([0]!Loan_Start))</definedName>
    <definedName name="Payment_Date" localSheetId="10">DATE(YEAR([0]!Loan_Start),MONTH([0]!Loan_Start)+Payment_Number,DAY([0]!Loan_Start))</definedName>
    <definedName name="Payment_Date" localSheetId="12">DATE(YEAR([0]!Loan_Start),MONTH([0]!Loan_Start)+Payment_Number,DAY([0]!Loan_Start))</definedName>
    <definedName name="Payment_Date" localSheetId="14">DATE(YEAR([0]!Loan_Start),MONTH([0]!Loan_Start)+Payment_Number,DAY([0]!Loan_Start))</definedName>
    <definedName name="Payment_Date" localSheetId="16">DATE(YEAR([0]!Loan_Start),MONTH([0]!Loan_Start)+Payment_Number,DAY([0]!Loan_Start))</definedName>
    <definedName name="Payment_Date" localSheetId="22">DATE(YEAR([0]!Loan_Start),MONTH([0]!Loan_Start)+Payment_Number,DAY([0]!Loan_Start))</definedName>
    <definedName name="Payment_Date" localSheetId="24">DATE(YEAR([0]!Loan_Start),MONTH([0]!Loan_Start)+Payment_Number,DAY([0]!Loan_Start))</definedName>
    <definedName name="Payment_Date" localSheetId="26">DATE(YEAR([0]!Loan_Start),MONTH([0]!Loan_Start)+Payment_Number,DAY([0]!Loan_Start))</definedName>
    <definedName name="Payment_Date" localSheetId="28">DATE(YEAR([0]!Loan_Start),MONTH([0]!Loan_Start)+Payment_Number,DAY([0]!Loan_Start))</definedName>
    <definedName name="Payment_Date" localSheetId="30">DATE(YEAR([0]!Loan_Start),MONTH([0]!Loan_Start)+Payment_Number,DAY([0]!Loan_Start))</definedName>
    <definedName name="Payment_Date" localSheetId="32">DATE(YEAR([0]!Loan_Start),MONTH([0]!Loan_Start)+Payment_Number,DAY([0]!Loan_Start))</definedName>
    <definedName name="Payment_Date" localSheetId="34">DATE(YEAR([0]!Loan_Start),MONTH([0]!Loan_Start)+Payment_Number,DAY([0]!Loan_Start))</definedName>
    <definedName name="Payment_Date" localSheetId="36">DATE(YEAR([0]!Loan_Start),MONTH([0]!Loan_Start)+Payment_Number,DAY([0]!Loan_Start))</definedName>
    <definedName name="Payment_Date" localSheetId="38">DATE(YEAR([0]!Loan_Start),MONTH([0]!Loan_Start)+Payment_Number,DAY([0]!Loan_Start))</definedName>
    <definedName name="Payment_Date">DATE(YEAR(Loan_Start),MONTH(Loan_Start)+Payment_Number,DAY(Loan_Start))</definedName>
    <definedName name="PC_Vertical0">#REF!</definedName>
    <definedName name="penertration">#REF!</definedName>
    <definedName name="penetration">#REF!</definedName>
    <definedName name="Per_l_y_w_p">#REF!</definedName>
    <definedName name="Per_ledger">#REF!</definedName>
    <definedName name="PERANAKAN_PLACE">#REF!</definedName>
    <definedName name="percent">#REF!</definedName>
    <definedName name="PercentMultiply">#REF!</definedName>
    <definedName name="Period">#REF!</definedName>
    <definedName name="PERIOD_END">#REF!</definedName>
    <definedName name="Period1">#REF!</definedName>
    <definedName name="PeriodsInYear">#REF!</definedName>
    <definedName name="Phase0_DiscountDollars">#REF!</definedName>
    <definedName name="Phase0_DiscountPercentage">#REF!</definedName>
    <definedName name="Phone">#REF!</definedName>
    <definedName name="PIE">#REF!</definedName>
    <definedName name="pippo" hidden="1">#REF!</definedName>
    <definedName name="piu" localSheetId="3" hidden="1">{"AnnInc",#N/A,TRUE,"Inc";"QtrInc1",#N/A,TRUE,"Inc";"Balance",#N/A,TRUE,"Bal";"Cflow",#N/A,TRUE,"Cash"}</definedName>
    <definedName name="piu" localSheetId="5" hidden="1">{"AnnInc",#N/A,TRUE,"Inc";"QtrInc1",#N/A,TRUE,"Inc";"Balance",#N/A,TRUE,"Bal";"Cflow",#N/A,TRUE,"Cash"}</definedName>
    <definedName name="piu" localSheetId="8" hidden="1">{"AnnInc",#N/A,TRUE,"Inc";"QtrInc1",#N/A,TRUE,"Inc";"Balance",#N/A,TRUE,"Bal";"Cflow",#N/A,TRUE,"Cash"}</definedName>
    <definedName name="piu" localSheetId="10" hidden="1">{"AnnInc",#N/A,TRUE,"Inc";"QtrInc1",#N/A,TRUE,"Inc";"Balance",#N/A,TRUE,"Bal";"Cflow",#N/A,TRUE,"Cash"}</definedName>
    <definedName name="piu" localSheetId="12" hidden="1">{"AnnInc",#N/A,TRUE,"Inc";"QtrInc1",#N/A,TRUE,"Inc";"Balance",#N/A,TRUE,"Bal";"Cflow",#N/A,TRUE,"Cash"}</definedName>
    <definedName name="piu" localSheetId="14" hidden="1">{"AnnInc",#N/A,TRUE,"Inc";"QtrInc1",#N/A,TRUE,"Inc";"Balance",#N/A,TRUE,"Bal";"Cflow",#N/A,TRUE,"Cash"}</definedName>
    <definedName name="piu" localSheetId="16" hidden="1">{"AnnInc",#N/A,TRUE,"Inc";"QtrInc1",#N/A,TRUE,"Inc";"Balance",#N/A,TRUE,"Bal";"Cflow",#N/A,TRUE,"Cash"}</definedName>
    <definedName name="piu" localSheetId="22" hidden="1">{"AnnInc",#N/A,TRUE,"Inc";"QtrInc1",#N/A,TRUE,"Inc";"Balance",#N/A,TRUE,"Bal";"Cflow",#N/A,TRUE,"Cash"}</definedName>
    <definedName name="piu" localSheetId="24" hidden="1">{"AnnInc",#N/A,TRUE,"Inc";"QtrInc1",#N/A,TRUE,"Inc";"Balance",#N/A,TRUE,"Bal";"Cflow",#N/A,TRUE,"Cash"}</definedName>
    <definedName name="piu" localSheetId="26" hidden="1">{"AnnInc",#N/A,TRUE,"Inc";"QtrInc1",#N/A,TRUE,"Inc";"Balance",#N/A,TRUE,"Bal";"Cflow",#N/A,TRUE,"Cash"}</definedName>
    <definedName name="piu" localSheetId="28" hidden="1">{"AnnInc",#N/A,TRUE,"Inc";"QtrInc1",#N/A,TRUE,"Inc";"Balance",#N/A,TRUE,"Bal";"Cflow",#N/A,TRUE,"Cash"}</definedName>
    <definedName name="piu" localSheetId="30" hidden="1">{"AnnInc",#N/A,TRUE,"Inc";"QtrInc1",#N/A,TRUE,"Inc";"Balance",#N/A,TRUE,"Bal";"Cflow",#N/A,TRUE,"Cash"}</definedName>
    <definedName name="piu" localSheetId="32" hidden="1">{"AnnInc",#N/A,TRUE,"Inc";"QtrInc1",#N/A,TRUE,"Inc";"Balance",#N/A,TRUE,"Bal";"Cflow",#N/A,TRUE,"Cash"}</definedName>
    <definedName name="piu" localSheetId="34" hidden="1">{"AnnInc",#N/A,TRUE,"Inc";"QtrInc1",#N/A,TRUE,"Inc";"Balance",#N/A,TRUE,"Bal";"Cflow",#N/A,TRUE,"Cash"}</definedName>
    <definedName name="piu" localSheetId="36" hidden="1">{"AnnInc",#N/A,TRUE,"Inc";"QtrInc1",#N/A,TRUE,"Inc";"Balance",#N/A,TRUE,"Bal";"Cflow",#N/A,TRUE,"Cash"}</definedName>
    <definedName name="piu" localSheetId="38" hidden="1">{"AnnInc",#N/A,TRUE,"Inc";"QtrInc1",#N/A,TRUE,"Inc";"Balance",#N/A,TRUE,"Bal";"Cflow",#N/A,TRUE,"Cash"}</definedName>
    <definedName name="piu" hidden="1">{"AnnInc",#N/A,TRUE,"Inc";"QtrInc1",#N/A,TRUE,"Inc";"Balance",#N/A,TRUE,"Bal";"Cflow",#N/A,TRUE,"Cash"}</definedName>
    <definedName name="pli" localSheetId="3" hidden="1">{"NOPCAPEVA",#N/A,FALSE,"Nopat";"FCFCSTAR",#N/A,FALSE,"FCFVAL";"EVAVL",#N/A,FALSE,"EVAVAL";"LEASE",#N/A,FALSE,"OpLease"}</definedName>
    <definedName name="pli" localSheetId="5" hidden="1">{"NOPCAPEVA",#N/A,FALSE,"Nopat";"FCFCSTAR",#N/A,FALSE,"FCFVAL";"EVAVL",#N/A,FALSE,"EVAVAL";"LEASE",#N/A,FALSE,"OpLease"}</definedName>
    <definedName name="pli" localSheetId="8" hidden="1">{"NOPCAPEVA",#N/A,FALSE,"Nopat";"FCFCSTAR",#N/A,FALSE,"FCFVAL";"EVAVL",#N/A,FALSE,"EVAVAL";"LEASE",#N/A,FALSE,"OpLease"}</definedName>
    <definedName name="pli" localSheetId="10" hidden="1">{"NOPCAPEVA",#N/A,FALSE,"Nopat";"FCFCSTAR",#N/A,FALSE,"FCFVAL";"EVAVL",#N/A,FALSE,"EVAVAL";"LEASE",#N/A,FALSE,"OpLease"}</definedName>
    <definedName name="pli" localSheetId="12" hidden="1">{"NOPCAPEVA",#N/A,FALSE,"Nopat";"FCFCSTAR",#N/A,FALSE,"FCFVAL";"EVAVL",#N/A,FALSE,"EVAVAL";"LEASE",#N/A,FALSE,"OpLease"}</definedName>
    <definedName name="pli" localSheetId="14" hidden="1">{"NOPCAPEVA",#N/A,FALSE,"Nopat";"FCFCSTAR",#N/A,FALSE,"FCFVAL";"EVAVL",#N/A,FALSE,"EVAVAL";"LEASE",#N/A,FALSE,"OpLease"}</definedName>
    <definedName name="pli" localSheetId="16" hidden="1">{"NOPCAPEVA",#N/A,FALSE,"Nopat";"FCFCSTAR",#N/A,FALSE,"FCFVAL";"EVAVL",#N/A,FALSE,"EVAVAL";"LEASE",#N/A,FALSE,"OpLease"}</definedName>
    <definedName name="pli" localSheetId="22" hidden="1">{"NOPCAPEVA",#N/A,FALSE,"Nopat";"FCFCSTAR",#N/A,FALSE,"FCFVAL";"EVAVL",#N/A,FALSE,"EVAVAL";"LEASE",#N/A,FALSE,"OpLease"}</definedName>
    <definedName name="pli" localSheetId="24" hidden="1">{"NOPCAPEVA",#N/A,FALSE,"Nopat";"FCFCSTAR",#N/A,FALSE,"FCFVAL";"EVAVL",#N/A,FALSE,"EVAVAL";"LEASE",#N/A,FALSE,"OpLease"}</definedName>
    <definedName name="pli" localSheetId="26" hidden="1">{"NOPCAPEVA",#N/A,FALSE,"Nopat";"FCFCSTAR",#N/A,FALSE,"FCFVAL";"EVAVL",#N/A,FALSE,"EVAVAL";"LEASE",#N/A,FALSE,"OpLease"}</definedName>
    <definedName name="pli" localSheetId="28" hidden="1">{"NOPCAPEVA",#N/A,FALSE,"Nopat";"FCFCSTAR",#N/A,FALSE,"FCFVAL";"EVAVL",#N/A,FALSE,"EVAVAL";"LEASE",#N/A,FALSE,"OpLease"}</definedName>
    <definedName name="pli" localSheetId="30" hidden="1">{"NOPCAPEVA",#N/A,FALSE,"Nopat";"FCFCSTAR",#N/A,FALSE,"FCFVAL";"EVAVL",#N/A,FALSE,"EVAVAL";"LEASE",#N/A,FALSE,"OpLease"}</definedName>
    <definedName name="pli" localSheetId="32" hidden="1">{"NOPCAPEVA",#N/A,FALSE,"Nopat";"FCFCSTAR",#N/A,FALSE,"FCFVAL";"EVAVL",#N/A,FALSE,"EVAVAL";"LEASE",#N/A,FALSE,"OpLease"}</definedName>
    <definedName name="pli" localSheetId="34" hidden="1">{"NOPCAPEVA",#N/A,FALSE,"Nopat";"FCFCSTAR",#N/A,FALSE,"FCFVAL";"EVAVL",#N/A,FALSE,"EVAVAL";"LEASE",#N/A,FALSE,"OpLease"}</definedName>
    <definedName name="pli" localSheetId="36" hidden="1">{"NOPCAPEVA",#N/A,FALSE,"Nopat";"FCFCSTAR",#N/A,FALSE,"FCFVAL";"EVAVL",#N/A,FALSE,"EVAVAL";"LEASE",#N/A,FALSE,"OpLease"}</definedName>
    <definedName name="pli" localSheetId="38" hidden="1">{"NOPCAPEVA",#N/A,FALSE,"Nopat";"FCFCSTAR",#N/A,FALSE,"FCFVAL";"EVAVL",#N/A,FALSE,"EVAVAL";"LEASE",#N/A,FALSE,"OpLease"}</definedName>
    <definedName name="pli" hidden="1">{"NOPCAPEVA",#N/A,FALSE,"Nopat";"FCFCSTAR",#N/A,FALSE,"FCFVAL";"EVAVL",#N/A,FALSE,"EVAVAL";"LEASE",#N/A,FALSE,"OpLease"}</definedName>
    <definedName name="pm" localSheetId="3" hidden="1">{"AnnInc",#N/A,TRUE,"Inc";"QtrInc1",#N/A,TRUE,"Inc";"Balance",#N/A,TRUE,"Bal";"Cflow",#N/A,TRUE,"Cash"}</definedName>
    <definedName name="pm" localSheetId="5" hidden="1">{"AnnInc",#N/A,TRUE,"Inc";"QtrInc1",#N/A,TRUE,"Inc";"Balance",#N/A,TRUE,"Bal";"Cflow",#N/A,TRUE,"Cash"}</definedName>
    <definedName name="pm" localSheetId="8" hidden="1">{"AnnInc",#N/A,TRUE,"Inc";"QtrInc1",#N/A,TRUE,"Inc";"Balance",#N/A,TRUE,"Bal";"Cflow",#N/A,TRUE,"Cash"}</definedName>
    <definedName name="pm" localSheetId="10" hidden="1">{"AnnInc",#N/A,TRUE,"Inc";"QtrInc1",#N/A,TRUE,"Inc";"Balance",#N/A,TRUE,"Bal";"Cflow",#N/A,TRUE,"Cash"}</definedName>
    <definedName name="pm" localSheetId="12" hidden="1">{"AnnInc",#N/A,TRUE,"Inc";"QtrInc1",#N/A,TRUE,"Inc";"Balance",#N/A,TRUE,"Bal";"Cflow",#N/A,TRUE,"Cash"}</definedName>
    <definedName name="pm" localSheetId="14" hidden="1">{"AnnInc",#N/A,TRUE,"Inc";"QtrInc1",#N/A,TRUE,"Inc";"Balance",#N/A,TRUE,"Bal";"Cflow",#N/A,TRUE,"Cash"}</definedName>
    <definedName name="pm" localSheetId="16" hidden="1">{"AnnInc",#N/A,TRUE,"Inc";"QtrInc1",#N/A,TRUE,"Inc";"Balance",#N/A,TRUE,"Bal";"Cflow",#N/A,TRUE,"Cash"}</definedName>
    <definedName name="pm" localSheetId="22" hidden="1">{"AnnInc",#N/A,TRUE,"Inc";"QtrInc1",#N/A,TRUE,"Inc";"Balance",#N/A,TRUE,"Bal";"Cflow",#N/A,TRUE,"Cash"}</definedName>
    <definedName name="pm" localSheetId="24" hidden="1">{"AnnInc",#N/A,TRUE,"Inc";"QtrInc1",#N/A,TRUE,"Inc";"Balance",#N/A,TRUE,"Bal";"Cflow",#N/A,TRUE,"Cash"}</definedName>
    <definedName name="pm" localSheetId="26" hidden="1">{"AnnInc",#N/A,TRUE,"Inc";"QtrInc1",#N/A,TRUE,"Inc";"Balance",#N/A,TRUE,"Bal";"Cflow",#N/A,TRUE,"Cash"}</definedName>
    <definedName name="pm" localSheetId="28" hidden="1">{"AnnInc",#N/A,TRUE,"Inc";"QtrInc1",#N/A,TRUE,"Inc";"Balance",#N/A,TRUE,"Bal";"Cflow",#N/A,TRUE,"Cash"}</definedName>
    <definedName name="pm" localSheetId="30" hidden="1">{"AnnInc",#N/A,TRUE,"Inc";"QtrInc1",#N/A,TRUE,"Inc";"Balance",#N/A,TRUE,"Bal";"Cflow",#N/A,TRUE,"Cash"}</definedName>
    <definedName name="pm" localSheetId="32" hidden="1">{"AnnInc",#N/A,TRUE,"Inc";"QtrInc1",#N/A,TRUE,"Inc";"Balance",#N/A,TRUE,"Bal";"Cflow",#N/A,TRUE,"Cash"}</definedName>
    <definedName name="pm" localSheetId="34" hidden="1">{"AnnInc",#N/A,TRUE,"Inc";"QtrInc1",#N/A,TRUE,"Inc";"Balance",#N/A,TRUE,"Bal";"Cflow",#N/A,TRUE,"Cash"}</definedName>
    <definedName name="pm" localSheetId="36" hidden="1">{"AnnInc",#N/A,TRUE,"Inc";"QtrInc1",#N/A,TRUE,"Inc";"Balance",#N/A,TRUE,"Bal";"Cflow",#N/A,TRUE,"Cash"}</definedName>
    <definedName name="pm" localSheetId="38" hidden="1">{"AnnInc",#N/A,TRUE,"Inc";"QtrInc1",#N/A,TRUE,"Inc";"Balance",#N/A,TRUE,"Bal";"Cflow",#N/A,TRUE,"Cash"}</definedName>
    <definedName name="pm" hidden="1">{"AnnInc",#N/A,TRUE,"Inc";"QtrInc1",#N/A,TRUE,"Inc";"Balance",#N/A,TRUE,"Bal";"Cflow",#N/A,TRUE,"Cash"}</definedName>
    <definedName name="poi">#REF!</definedName>
    <definedName name="PopCache_FA_MASS_ADDITIONS_DEPRECIATE_FLAG" hidden="1">#REF!</definedName>
    <definedName name="pouttr" localSheetId="3" hidden="1">{#N/A,#N/A,FALSE,"MK_ASS_B";#N/A,#N/A,FALSE,"MK_ASS_R";#N/A,#N/A,FALSE,"MK_ASS_S";#N/A,#N/A,FALSE,"TR_ASS_B";#N/A,#N/A,FALSE,"TR_ASS_R";#N/A,#N/A,FALSE,"TR_ASS_S";#N/A,#N/A,FALSE,"PR_ASS_B";#N/A,#N/A,FALSE,"PR_ASS_R";#N/A,#N/A,FALSE,"REV_SUM"}</definedName>
    <definedName name="pouttr" localSheetId="5" hidden="1">{#N/A,#N/A,FALSE,"MK_ASS_B";#N/A,#N/A,FALSE,"MK_ASS_R";#N/A,#N/A,FALSE,"MK_ASS_S";#N/A,#N/A,FALSE,"TR_ASS_B";#N/A,#N/A,FALSE,"TR_ASS_R";#N/A,#N/A,FALSE,"TR_ASS_S";#N/A,#N/A,FALSE,"PR_ASS_B";#N/A,#N/A,FALSE,"PR_ASS_R";#N/A,#N/A,FALSE,"REV_SUM"}</definedName>
    <definedName name="pouttr" localSheetId="8" hidden="1">{#N/A,#N/A,FALSE,"MK_ASS_B";#N/A,#N/A,FALSE,"MK_ASS_R";#N/A,#N/A,FALSE,"MK_ASS_S";#N/A,#N/A,FALSE,"TR_ASS_B";#N/A,#N/A,FALSE,"TR_ASS_R";#N/A,#N/A,FALSE,"TR_ASS_S";#N/A,#N/A,FALSE,"PR_ASS_B";#N/A,#N/A,FALSE,"PR_ASS_R";#N/A,#N/A,FALSE,"REV_SUM"}</definedName>
    <definedName name="pouttr" localSheetId="10" hidden="1">{#N/A,#N/A,FALSE,"MK_ASS_B";#N/A,#N/A,FALSE,"MK_ASS_R";#N/A,#N/A,FALSE,"MK_ASS_S";#N/A,#N/A,FALSE,"TR_ASS_B";#N/A,#N/A,FALSE,"TR_ASS_R";#N/A,#N/A,FALSE,"TR_ASS_S";#N/A,#N/A,FALSE,"PR_ASS_B";#N/A,#N/A,FALSE,"PR_ASS_R";#N/A,#N/A,FALSE,"REV_SUM"}</definedName>
    <definedName name="pouttr" localSheetId="12" hidden="1">{#N/A,#N/A,FALSE,"MK_ASS_B";#N/A,#N/A,FALSE,"MK_ASS_R";#N/A,#N/A,FALSE,"MK_ASS_S";#N/A,#N/A,FALSE,"TR_ASS_B";#N/A,#N/A,FALSE,"TR_ASS_R";#N/A,#N/A,FALSE,"TR_ASS_S";#N/A,#N/A,FALSE,"PR_ASS_B";#N/A,#N/A,FALSE,"PR_ASS_R";#N/A,#N/A,FALSE,"REV_SUM"}</definedName>
    <definedName name="pouttr" localSheetId="14" hidden="1">{#N/A,#N/A,FALSE,"MK_ASS_B";#N/A,#N/A,FALSE,"MK_ASS_R";#N/A,#N/A,FALSE,"MK_ASS_S";#N/A,#N/A,FALSE,"TR_ASS_B";#N/A,#N/A,FALSE,"TR_ASS_R";#N/A,#N/A,FALSE,"TR_ASS_S";#N/A,#N/A,FALSE,"PR_ASS_B";#N/A,#N/A,FALSE,"PR_ASS_R";#N/A,#N/A,FALSE,"REV_SUM"}</definedName>
    <definedName name="pouttr" localSheetId="16" hidden="1">{#N/A,#N/A,FALSE,"MK_ASS_B";#N/A,#N/A,FALSE,"MK_ASS_R";#N/A,#N/A,FALSE,"MK_ASS_S";#N/A,#N/A,FALSE,"TR_ASS_B";#N/A,#N/A,FALSE,"TR_ASS_R";#N/A,#N/A,FALSE,"TR_ASS_S";#N/A,#N/A,FALSE,"PR_ASS_B";#N/A,#N/A,FALSE,"PR_ASS_R";#N/A,#N/A,FALSE,"REV_SUM"}</definedName>
    <definedName name="pouttr" localSheetId="22" hidden="1">{#N/A,#N/A,FALSE,"MK_ASS_B";#N/A,#N/A,FALSE,"MK_ASS_R";#N/A,#N/A,FALSE,"MK_ASS_S";#N/A,#N/A,FALSE,"TR_ASS_B";#N/A,#N/A,FALSE,"TR_ASS_R";#N/A,#N/A,FALSE,"TR_ASS_S";#N/A,#N/A,FALSE,"PR_ASS_B";#N/A,#N/A,FALSE,"PR_ASS_R";#N/A,#N/A,FALSE,"REV_SUM"}</definedName>
    <definedName name="pouttr" localSheetId="24" hidden="1">{#N/A,#N/A,FALSE,"MK_ASS_B";#N/A,#N/A,FALSE,"MK_ASS_R";#N/A,#N/A,FALSE,"MK_ASS_S";#N/A,#N/A,FALSE,"TR_ASS_B";#N/A,#N/A,FALSE,"TR_ASS_R";#N/A,#N/A,FALSE,"TR_ASS_S";#N/A,#N/A,FALSE,"PR_ASS_B";#N/A,#N/A,FALSE,"PR_ASS_R";#N/A,#N/A,FALSE,"REV_SUM"}</definedName>
    <definedName name="pouttr" localSheetId="26" hidden="1">{#N/A,#N/A,FALSE,"MK_ASS_B";#N/A,#N/A,FALSE,"MK_ASS_R";#N/A,#N/A,FALSE,"MK_ASS_S";#N/A,#N/A,FALSE,"TR_ASS_B";#N/A,#N/A,FALSE,"TR_ASS_R";#N/A,#N/A,FALSE,"TR_ASS_S";#N/A,#N/A,FALSE,"PR_ASS_B";#N/A,#N/A,FALSE,"PR_ASS_R";#N/A,#N/A,FALSE,"REV_SUM"}</definedName>
    <definedName name="pouttr" localSheetId="28" hidden="1">{#N/A,#N/A,FALSE,"MK_ASS_B";#N/A,#N/A,FALSE,"MK_ASS_R";#N/A,#N/A,FALSE,"MK_ASS_S";#N/A,#N/A,FALSE,"TR_ASS_B";#N/A,#N/A,FALSE,"TR_ASS_R";#N/A,#N/A,FALSE,"TR_ASS_S";#N/A,#N/A,FALSE,"PR_ASS_B";#N/A,#N/A,FALSE,"PR_ASS_R";#N/A,#N/A,FALSE,"REV_SUM"}</definedName>
    <definedName name="pouttr" localSheetId="30" hidden="1">{#N/A,#N/A,FALSE,"MK_ASS_B";#N/A,#N/A,FALSE,"MK_ASS_R";#N/A,#N/A,FALSE,"MK_ASS_S";#N/A,#N/A,FALSE,"TR_ASS_B";#N/A,#N/A,FALSE,"TR_ASS_R";#N/A,#N/A,FALSE,"TR_ASS_S";#N/A,#N/A,FALSE,"PR_ASS_B";#N/A,#N/A,FALSE,"PR_ASS_R";#N/A,#N/A,FALSE,"REV_SUM"}</definedName>
    <definedName name="pouttr" localSheetId="32" hidden="1">{#N/A,#N/A,FALSE,"MK_ASS_B";#N/A,#N/A,FALSE,"MK_ASS_R";#N/A,#N/A,FALSE,"MK_ASS_S";#N/A,#N/A,FALSE,"TR_ASS_B";#N/A,#N/A,FALSE,"TR_ASS_R";#N/A,#N/A,FALSE,"TR_ASS_S";#N/A,#N/A,FALSE,"PR_ASS_B";#N/A,#N/A,FALSE,"PR_ASS_R";#N/A,#N/A,FALSE,"REV_SUM"}</definedName>
    <definedName name="pouttr" localSheetId="34" hidden="1">{#N/A,#N/A,FALSE,"MK_ASS_B";#N/A,#N/A,FALSE,"MK_ASS_R";#N/A,#N/A,FALSE,"MK_ASS_S";#N/A,#N/A,FALSE,"TR_ASS_B";#N/A,#N/A,FALSE,"TR_ASS_R";#N/A,#N/A,FALSE,"TR_ASS_S";#N/A,#N/A,FALSE,"PR_ASS_B";#N/A,#N/A,FALSE,"PR_ASS_R";#N/A,#N/A,FALSE,"REV_SUM"}</definedName>
    <definedName name="pouttr" localSheetId="36" hidden="1">{#N/A,#N/A,FALSE,"MK_ASS_B";#N/A,#N/A,FALSE,"MK_ASS_R";#N/A,#N/A,FALSE,"MK_ASS_S";#N/A,#N/A,FALSE,"TR_ASS_B";#N/A,#N/A,FALSE,"TR_ASS_R";#N/A,#N/A,FALSE,"TR_ASS_S";#N/A,#N/A,FALSE,"PR_ASS_B";#N/A,#N/A,FALSE,"PR_ASS_R";#N/A,#N/A,FALSE,"REV_SUM"}</definedName>
    <definedName name="pouttr" localSheetId="38" hidden="1">{#N/A,#N/A,FALSE,"MK_ASS_B";#N/A,#N/A,FALSE,"MK_ASS_R";#N/A,#N/A,FALSE,"MK_ASS_S";#N/A,#N/A,FALSE,"TR_ASS_B";#N/A,#N/A,FALSE,"TR_ASS_R";#N/A,#N/A,FALSE,"TR_ASS_S";#N/A,#N/A,FALSE,"PR_ASS_B";#N/A,#N/A,FALSE,"PR_ASS_R";#N/A,#N/A,FALSE,"REV_SUM"}</definedName>
    <definedName name="pouttr" hidden="1">{#N/A,#N/A,FALSE,"MK_ASS_B";#N/A,#N/A,FALSE,"MK_ASS_R";#N/A,#N/A,FALSE,"MK_ASS_S";#N/A,#N/A,FALSE,"TR_ASS_B";#N/A,#N/A,FALSE,"TR_ASS_R";#N/A,#N/A,FALSE,"TR_ASS_S";#N/A,#N/A,FALSE,"PR_ASS_B";#N/A,#N/A,FALSE,"PR_ASS_R";#N/A,#N/A,FALSE,"REV_SUM"}</definedName>
    <definedName name="pp" localSheetId="3" hidden="1">{"NOPCAPEVA",#N/A,FALSE,"Nopat";"FCFCSTAR",#N/A,FALSE,"FCFVAL";"EVAVL",#N/A,FALSE,"EVAVAL";"LEASE",#N/A,FALSE,"OpLease"}</definedName>
    <definedName name="pp" localSheetId="5" hidden="1">{"NOPCAPEVA",#N/A,FALSE,"Nopat";"FCFCSTAR",#N/A,FALSE,"FCFVAL";"EVAVL",#N/A,FALSE,"EVAVAL";"LEASE",#N/A,FALSE,"OpLease"}</definedName>
    <definedName name="pp" localSheetId="8" hidden="1">{"NOPCAPEVA",#N/A,FALSE,"Nopat";"FCFCSTAR",#N/A,FALSE,"FCFVAL";"EVAVL",#N/A,FALSE,"EVAVAL";"LEASE",#N/A,FALSE,"OpLease"}</definedName>
    <definedName name="pp" localSheetId="10" hidden="1">{"NOPCAPEVA",#N/A,FALSE,"Nopat";"FCFCSTAR",#N/A,FALSE,"FCFVAL";"EVAVL",#N/A,FALSE,"EVAVAL";"LEASE",#N/A,FALSE,"OpLease"}</definedName>
    <definedName name="pp" localSheetId="12" hidden="1">{"NOPCAPEVA",#N/A,FALSE,"Nopat";"FCFCSTAR",#N/A,FALSE,"FCFVAL";"EVAVL",#N/A,FALSE,"EVAVAL";"LEASE",#N/A,FALSE,"OpLease"}</definedName>
    <definedName name="pp" localSheetId="14" hidden="1">{"NOPCAPEVA",#N/A,FALSE,"Nopat";"FCFCSTAR",#N/A,FALSE,"FCFVAL";"EVAVL",#N/A,FALSE,"EVAVAL";"LEASE",#N/A,FALSE,"OpLease"}</definedName>
    <definedName name="pp" localSheetId="16" hidden="1">{"NOPCAPEVA",#N/A,FALSE,"Nopat";"FCFCSTAR",#N/A,FALSE,"FCFVAL";"EVAVL",#N/A,FALSE,"EVAVAL";"LEASE",#N/A,FALSE,"OpLease"}</definedName>
    <definedName name="pp" localSheetId="22" hidden="1">{"NOPCAPEVA",#N/A,FALSE,"Nopat";"FCFCSTAR",#N/A,FALSE,"FCFVAL";"EVAVL",#N/A,FALSE,"EVAVAL";"LEASE",#N/A,FALSE,"OpLease"}</definedName>
    <definedName name="pp" localSheetId="24" hidden="1">{"NOPCAPEVA",#N/A,FALSE,"Nopat";"FCFCSTAR",#N/A,FALSE,"FCFVAL";"EVAVL",#N/A,FALSE,"EVAVAL";"LEASE",#N/A,FALSE,"OpLease"}</definedName>
    <definedName name="pp" localSheetId="26" hidden="1">{"NOPCAPEVA",#N/A,FALSE,"Nopat";"FCFCSTAR",#N/A,FALSE,"FCFVAL";"EVAVL",#N/A,FALSE,"EVAVAL";"LEASE",#N/A,FALSE,"OpLease"}</definedName>
    <definedName name="pp" localSheetId="28" hidden="1">{"NOPCAPEVA",#N/A,FALSE,"Nopat";"FCFCSTAR",#N/A,FALSE,"FCFVAL";"EVAVL",#N/A,FALSE,"EVAVAL";"LEASE",#N/A,FALSE,"OpLease"}</definedName>
    <definedName name="pp" localSheetId="30" hidden="1">{"NOPCAPEVA",#N/A,FALSE,"Nopat";"FCFCSTAR",#N/A,FALSE,"FCFVAL";"EVAVL",#N/A,FALSE,"EVAVAL";"LEASE",#N/A,FALSE,"OpLease"}</definedName>
    <definedName name="pp" localSheetId="32" hidden="1">{"NOPCAPEVA",#N/A,FALSE,"Nopat";"FCFCSTAR",#N/A,FALSE,"FCFVAL";"EVAVL",#N/A,FALSE,"EVAVAL";"LEASE",#N/A,FALSE,"OpLease"}</definedName>
    <definedName name="pp" localSheetId="34" hidden="1">{"NOPCAPEVA",#N/A,FALSE,"Nopat";"FCFCSTAR",#N/A,FALSE,"FCFVAL";"EVAVL",#N/A,FALSE,"EVAVAL";"LEASE",#N/A,FALSE,"OpLease"}</definedName>
    <definedName name="pp" localSheetId="36" hidden="1">{"NOPCAPEVA",#N/A,FALSE,"Nopat";"FCFCSTAR",#N/A,FALSE,"FCFVAL";"EVAVL",#N/A,FALSE,"EVAVAL";"LEASE",#N/A,FALSE,"OpLease"}</definedName>
    <definedName name="pp" localSheetId="38" hidden="1">{"NOPCAPEVA",#N/A,FALSE,"Nopat";"FCFCSTAR",#N/A,FALSE,"FCFVAL";"EVAVL",#N/A,FALSE,"EVAVAL";"LEASE",#N/A,FALSE,"OpLease"}</definedName>
    <definedName name="pp" hidden="1">{"NOPCAPEVA",#N/A,FALSE,"Nopat";"FCFCSTAR",#N/A,FALSE,"FCFVAL";"EVAVL",#N/A,FALSE,"EVAVAL";"LEASE",#N/A,FALSE,"OpLease"}</definedName>
    <definedName name="ppp" localSheetId="3" hidden="1">{#N/A,#N/A,FALSE,"HIGHNEW";#N/A,#N/A,FALSE,"HIGHOLD";#N/A,#N/A,FALSE,"MTHDET";#N/A,#N/A,FALSE,"ACTDET"}</definedName>
    <definedName name="ppp" localSheetId="5" hidden="1">{#N/A,#N/A,FALSE,"HIGHNEW";#N/A,#N/A,FALSE,"HIGHOLD";#N/A,#N/A,FALSE,"MTHDET";#N/A,#N/A,FALSE,"ACTDET"}</definedName>
    <definedName name="ppp" localSheetId="8" hidden="1">{#N/A,#N/A,FALSE,"HIGHNEW";#N/A,#N/A,FALSE,"HIGHOLD";#N/A,#N/A,FALSE,"MTHDET";#N/A,#N/A,FALSE,"ACTDET"}</definedName>
    <definedName name="ppp" localSheetId="10" hidden="1">{#N/A,#N/A,FALSE,"HIGHNEW";#N/A,#N/A,FALSE,"HIGHOLD";#N/A,#N/A,FALSE,"MTHDET";#N/A,#N/A,FALSE,"ACTDET"}</definedName>
    <definedName name="ppp" localSheetId="12" hidden="1">{#N/A,#N/A,FALSE,"HIGHNEW";#N/A,#N/A,FALSE,"HIGHOLD";#N/A,#N/A,FALSE,"MTHDET";#N/A,#N/A,FALSE,"ACTDET"}</definedName>
    <definedName name="ppp" localSheetId="14" hidden="1">{#N/A,#N/A,FALSE,"HIGHNEW";#N/A,#N/A,FALSE,"HIGHOLD";#N/A,#N/A,FALSE,"MTHDET";#N/A,#N/A,FALSE,"ACTDET"}</definedName>
    <definedName name="ppp" localSheetId="16" hidden="1">{#N/A,#N/A,FALSE,"HIGHNEW";#N/A,#N/A,FALSE,"HIGHOLD";#N/A,#N/A,FALSE,"MTHDET";#N/A,#N/A,FALSE,"ACTDET"}</definedName>
    <definedName name="ppp" localSheetId="22" hidden="1">{#N/A,#N/A,FALSE,"HIGHNEW";#N/A,#N/A,FALSE,"HIGHOLD";#N/A,#N/A,FALSE,"MTHDET";#N/A,#N/A,FALSE,"ACTDET"}</definedName>
    <definedName name="ppp" localSheetId="24" hidden="1">{#N/A,#N/A,FALSE,"HIGHNEW";#N/A,#N/A,FALSE,"HIGHOLD";#N/A,#N/A,FALSE,"MTHDET";#N/A,#N/A,FALSE,"ACTDET"}</definedName>
    <definedName name="ppp" localSheetId="26" hidden="1">{#N/A,#N/A,FALSE,"HIGHNEW";#N/A,#N/A,FALSE,"HIGHOLD";#N/A,#N/A,FALSE,"MTHDET";#N/A,#N/A,FALSE,"ACTDET"}</definedName>
    <definedName name="ppp" localSheetId="28" hidden="1">{#N/A,#N/A,FALSE,"HIGHNEW";#N/A,#N/A,FALSE,"HIGHOLD";#N/A,#N/A,FALSE,"MTHDET";#N/A,#N/A,FALSE,"ACTDET"}</definedName>
    <definedName name="ppp" localSheetId="30" hidden="1">{#N/A,#N/A,FALSE,"HIGHNEW";#N/A,#N/A,FALSE,"HIGHOLD";#N/A,#N/A,FALSE,"MTHDET";#N/A,#N/A,FALSE,"ACTDET"}</definedName>
    <definedName name="ppp" localSheetId="32" hidden="1">{#N/A,#N/A,FALSE,"HIGHNEW";#N/A,#N/A,FALSE,"HIGHOLD";#N/A,#N/A,FALSE,"MTHDET";#N/A,#N/A,FALSE,"ACTDET"}</definedName>
    <definedName name="ppp" localSheetId="34" hidden="1">{#N/A,#N/A,FALSE,"HIGHNEW";#N/A,#N/A,FALSE,"HIGHOLD";#N/A,#N/A,FALSE,"MTHDET";#N/A,#N/A,FALSE,"ACTDET"}</definedName>
    <definedName name="ppp" localSheetId="36" hidden="1">{#N/A,#N/A,FALSE,"HIGHNEW";#N/A,#N/A,FALSE,"HIGHOLD";#N/A,#N/A,FALSE,"MTHDET";#N/A,#N/A,FALSE,"ACTDET"}</definedName>
    <definedName name="ppp" localSheetId="38" hidden="1">{#N/A,#N/A,FALSE,"HIGHNEW";#N/A,#N/A,FALSE,"HIGHOLD";#N/A,#N/A,FALSE,"MTHDET";#N/A,#N/A,FALSE,"ACTDET"}</definedName>
    <definedName name="ppp" hidden="1">{#N/A,#N/A,FALSE,"HIGHNEW";#N/A,#N/A,FALSE,"HIGHOLD";#N/A,#N/A,FALSE,"MTHDET";#N/A,#N/A,FALSE,"ACTDET"}</definedName>
    <definedName name="pppp"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pppp"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pppp"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pppp"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pppp"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pppp"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pppp"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pppp"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pppp"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pppp"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pppp"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pppp"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pppp"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pppp"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pppp"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pppp"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pppp"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ppppppp" localSheetId="3" hidden="1">{#N/A,#N/A,FALSE,"MAIN";#N/A,#N/A,FALSE,"MK_ASS_B";#N/A,#N/A,FALSE,"MK_ASS_R";#N/A,#N/A,FALSE,"TR_ASS_B";#N/A,#N/A,FALSE,"TR_ASS_R";#N/A,#N/A,FALSE,"ROAMING";#N/A,#N/A,FALSE,"PR_ASS_B";#N/A,#N/A,FALSE,"PR_ASS_R";#N/A,#N/A,FALSE,"PR_ASS_S"}</definedName>
    <definedName name="ppppppp" localSheetId="5" hidden="1">{#N/A,#N/A,FALSE,"MAIN";#N/A,#N/A,FALSE,"MK_ASS_B";#N/A,#N/A,FALSE,"MK_ASS_R";#N/A,#N/A,FALSE,"TR_ASS_B";#N/A,#N/A,FALSE,"TR_ASS_R";#N/A,#N/A,FALSE,"ROAMING";#N/A,#N/A,FALSE,"PR_ASS_B";#N/A,#N/A,FALSE,"PR_ASS_R";#N/A,#N/A,FALSE,"PR_ASS_S"}</definedName>
    <definedName name="ppppppp" localSheetId="8" hidden="1">{#N/A,#N/A,FALSE,"MAIN";#N/A,#N/A,FALSE,"MK_ASS_B";#N/A,#N/A,FALSE,"MK_ASS_R";#N/A,#N/A,FALSE,"TR_ASS_B";#N/A,#N/A,FALSE,"TR_ASS_R";#N/A,#N/A,FALSE,"ROAMING";#N/A,#N/A,FALSE,"PR_ASS_B";#N/A,#N/A,FALSE,"PR_ASS_R";#N/A,#N/A,FALSE,"PR_ASS_S"}</definedName>
    <definedName name="ppppppp" localSheetId="10" hidden="1">{#N/A,#N/A,FALSE,"MAIN";#N/A,#N/A,FALSE,"MK_ASS_B";#N/A,#N/A,FALSE,"MK_ASS_R";#N/A,#N/A,FALSE,"TR_ASS_B";#N/A,#N/A,FALSE,"TR_ASS_R";#N/A,#N/A,FALSE,"ROAMING";#N/A,#N/A,FALSE,"PR_ASS_B";#N/A,#N/A,FALSE,"PR_ASS_R";#N/A,#N/A,FALSE,"PR_ASS_S"}</definedName>
    <definedName name="ppppppp" localSheetId="12" hidden="1">{#N/A,#N/A,FALSE,"MAIN";#N/A,#N/A,FALSE,"MK_ASS_B";#N/A,#N/A,FALSE,"MK_ASS_R";#N/A,#N/A,FALSE,"TR_ASS_B";#N/A,#N/A,FALSE,"TR_ASS_R";#N/A,#N/A,FALSE,"ROAMING";#N/A,#N/A,FALSE,"PR_ASS_B";#N/A,#N/A,FALSE,"PR_ASS_R";#N/A,#N/A,FALSE,"PR_ASS_S"}</definedName>
    <definedName name="ppppppp" localSheetId="14" hidden="1">{#N/A,#N/A,FALSE,"MAIN";#N/A,#N/A,FALSE,"MK_ASS_B";#N/A,#N/A,FALSE,"MK_ASS_R";#N/A,#N/A,FALSE,"TR_ASS_B";#N/A,#N/A,FALSE,"TR_ASS_R";#N/A,#N/A,FALSE,"ROAMING";#N/A,#N/A,FALSE,"PR_ASS_B";#N/A,#N/A,FALSE,"PR_ASS_R";#N/A,#N/A,FALSE,"PR_ASS_S"}</definedName>
    <definedName name="ppppppp" localSheetId="16" hidden="1">{#N/A,#N/A,FALSE,"MAIN";#N/A,#N/A,FALSE,"MK_ASS_B";#N/A,#N/A,FALSE,"MK_ASS_R";#N/A,#N/A,FALSE,"TR_ASS_B";#N/A,#N/A,FALSE,"TR_ASS_R";#N/A,#N/A,FALSE,"ROAMING";#N/A,#N/A,FALSE,"PR_ASS_B";#N/A,#N/A,FALSE,"PR_ASS_R";#N/A,#N/A,FALSE,"PR_ASS_S"}</definedName>
    <definedName name="ppppppp" localSheetId="22" hidden="1">{#N/A,#N/A,FALSE,"MAIN";#N/A,#N/A,FALSE,"MK_ASS_B";#N/A,#N/A,FALSE,"MK_ASS_R";#N/A,#N/A,FALSE,"TR_ASS_B";#N/A,#N/A,FALSE,"TR_ASS_R";#N/A,#N/A,FALSE,"ROAMING";#N/A,#N/A,FALSE,"PR_ASS_B";#N/A,#N/A,FALSE,"PR_ASS_R";#N/A,#N/A,FALSE,"PR_ASS_S"}</definedName>
    <definedName name="ppppppp" localSheetId="24" hidden="1">{#N/A,#N/A,FALSE,"MAIN";#N/A,#N/A,FALSE,"MK_ASS_B";#N/A,#N/A,FALSE,"MK_ASS_R";#N/A,#N/A,FALSE,"TR_ASS_B";#N/A,#N/A,FALSE,"TR_ASS_R";#N/A,#N/A,FALSE,"ROAMING";#N/A,#N/A,FALSE,"PR_ASS_B";#N/A,#N/A,FALSE,"PR_ASS_R";#N/A,#N/A,FALSE,"PR_ASS_S"}</definedName>
    <definedName name="ppppppp" localSheetId="26" hidden="1">{#N/A,#N/A,FALSE,"MAIN";#N/A,#N/A,FALSE,"MK_ASS_B";#N/A,#N/A,FALSE,"MK_ASS_R";#N/A,#N/A,FALSE,"TR_ASS_B";#N/A,#N/A,FALSE,"TR_ASS_R";#N/A,#N/A,FALSE,"ROAMING";#N/A,#N/A,FALSE,"PR_ASS_B";#N/A,#N/A,FALSE,"PR_ASS_R";#N/A,#N/A,FALSE,"PR_ASS_S"}</definedName>
    <definedName name="ppppppp" localSheetId="28" hidden="1">{#N/A,#N/A,FALSE,"MAIN";#N/A,#N/A,FALSE,"MK_ASS_B";#N/A,#N/A,FALSE,"MK_ASS_R";#N/A,#N/A,FALSE,"TR_ASS_B";#N/A,#N/A,FALSE,"TR_ASS_R";#N/A,#N/A,FALSE,"ROAMING";#N/A,#N/A,FALSE,"PR_ASS_B";#N/A,#N/A,FALSE,"PR_ASS_R";#N/A,#N/A,FALSE,"PR_ASS_S"}</definedName>
    <definedName name="ppppppp" localSheetId="30" hidden="1">{#N/A,#N/A,FALSE,"MAIN";#N/A,#N/A,FALSE,"MK_ASS_B";#N/A,#N/A,FALSE,"MK_ASS_R";#N/A,#N/A,FALSE,"TR_ASS_B";#N/A,#N/A,FALSE,"TR_ASS_R";#N/A,#N/A,FALSE,"ROAMING";#N/A,#N/A,FALSE,"PR_ASS_B";#N/A,#N/A,FALSE,"PR_ASS_R";#N/A,#N/A,FALSE,"PR_ASS_S"}</definedName>
    <definedName name="ppppppp" localSheetId="32" hidden="1">{#N/A,#N/A,FALSE,"MAIN";#N/A,#N/A,FALSE,"MK_ASS_B";#N/A,#N/A,FALSE,"MK_ASS_R";#N/A,#N/A,FALSE,"TR_ASS_B";#N/A,#N/A,FALSE,"TR_ASS_R";#N/A,#N/A,FALSE,"ROAMING";#N/A,#N/A,FALSE,"PR_ASS_B";#N/A,#N/A,FALSE,"PR_ASS_R";#N/A,#N/A,FALSE,"PR_ASS_S"}</definedName>
    <definedName name="ppppppp" localSheetId="34" hidden="1">{#N/A,#N/A,FALSE,"MAIN";#N/A,#N/A,FALSE,"MK_ASS_B";#N/A,#N/A,FALSE,"MK_ASS_R";#N/A,#N/A,FALSE,"TR_ASS_B";#N/A,#N/A,FALSE,"TR_ASS_R";#N/A,#N/A,FALSE,"ROAMING";#N/A,#N/A,FALSE,"PR_ASS_B";#N/A,#N/A,FALSE,"PR_ASS_R";#N/A,#N/A,FALSE,"PR_ASS_S"}</definedName>
    <definedName name="ppppppp" localSheetId="36" hidden="1">{#N/A,#N/A,FALSE,"MAIN";#N/A,#N/A,FALSE,"MK_ASS_B";#N/A,#N/A,FALSE,"MK_ASS_R";#N/A,#N/A,FALSE,"TR_ASS_B";#N/A,#N/A,FALSE,"TR_ASS_R";#N/A,#N/A,FALSE,"ROAMING";#N/A,#N/A,FALSE,"PR_ASS_B";#N/A,#N/A,FALSE,"PR_ASS_R";#N/A,#N/A,FALSE,"PR_ASS_S"}</definedName>
    <definedName name="ppppppp" localSheetId="38" hidden="1">{#N/A,#N/A,FALSE,"MAIN";#N/A,#N/A,FALSE,"MK_ASS_B";#N/A,#N/A,FALSE,"MK_ASS_R";#N/A,#N/A,FALSE,"TR_ASS_B";#N/A,#N/A,FALSE,"TR_ASS_R";#N/A,#N/A,FALSE,"ROAMING";#N/A,#N/A,FALSE,"PR_ASS_B";#N/A,#N/A,FALSE,"PR_ASS_R";#N/A,#N/A,FALSE,"PR_ASS_S"}</definedName>
    <definedName name="ppppppp" hidden="1">{#N/A,#N/A,FALSE,"MAIN";#N/A,#N/A,FALSE,"MK_ASS_B";#N/A,#N/A,FALSE,"MK_ASS_R";#N/A,#N/A,FALSE,"TR_ASS_B";#N/A,#N/A,FALSE,"TR_ASS_R";#N/A,#N/A,FALSE,"ROAMING";#N/A,#N/A,FALSE,"PR_ASS_B";#N/A,#N/A,FALSE,"PR_ASS_R";#N/A,#N/A,FALSE,"PR_ASS_S"}</definedName>
    <definedName name="pr_toolbox">#REF!</definedName>
    <definedName name="pretax_income">#REF!</definedName>
    <definedName name="price">#REF!</definedName>
    <definedName name="price2">#REF!</definedName>
    <definedName name="pricing">#REF!</definedName>
    <definedName name="Pricing_Summary_Discount">#REF!</definedName>
    <definedName name="Princ">#REF!</definedName>
    <definedName name="Print_A1">#REF!</definedName>
    <definedName name="_xlnm.Print_Area" localSheetId="3">'Ascendent CP I'!$A$1:$AM$50</definedName>
    <definedName name="_xlnm.Print_Area" localSheetId="5">'BOYU Capital Fund I'!$A$1:$AE$55</definedName>
    <definedName name="_xlnm.Print_Area" localSheetId="8">'Boyu Real Estate'!$A$1:$AE$59</definedName>
    <definedName name="_xlnm.Print_Area" localSheetId="10">'C Ventures II'!$A$1:$AE$77</definedName>
    <definedName name="_xlnm.Print_Area" localSheetId="12">Cottonwood!$A$1:$AE$56</definedName>
    <definedName name="_xlnm.Print_Area" localSheetId="14">'DCP I'!$A$1:$AE$83</definedName>
    <definedName name="_xlnm.Print_Area" localSheetId="16">'DCP II'!$A$1:$AE$62</definedName>
    <definedName name="_xlnm.Print_Area" localSheetId="22">'E15 Fund II'!$A$1:$AE$48</definedName>
    <definedName name="_xlnm.Print_Area" localSheetId="24">'Genedant Ventures'!$A$1:$AE$45</definedName>
    <definedName name="_xlnm.Print_Area" localSheetId="26">GTCR!$A$1:$AE$49</definedName>
    <definedName name="_xlnm.Print_Area" localSheetId="28">'HSG Growth VI'!$A$1:$AE$47</definedName>
    <definedName name="_xlnm.Print_Area" localSheetId="30">'HSG Growth VIII'!$A$1:$AE$20</definedName>
    <definedName name="_xlnm.Print_Area" localSheetId="32">'Lionet Fund'!$A$1:$AE$123</definedName>
    <definedName name="_xlnm.Print_Area" localSheetId="0">'Portfolio Listing'!$A$1:$AG$28</definedName>
    <definedName name="_xlnm.Print_Area" localSheetId="1">'Portfolio Summary'!$B$2:$S$28</definedName>
    <definedName name="_xlnm.Print_Area" localSheetId="34">'Skycus China Fund'!$A$1:$AE$109</definedName>
    <definedName name="_xlnm.Print_Area" localSheetId="36">'West Street VII'!$A$1:$AE$95</definedName>
    <definedName name="_xlnm.Print_Area" localSheetId="38">'West Street VIII'!$A$1:$AE$104</definedName>
    <definedName name="Print_Area_Reset">#N/A</definedName>
    <definedName name="Print_B1">#REF!</definedName>
    <definedName name="Print_B2">#REF!</definedName>
    <definedName name="Print_B3">#REF!</definedName>
    <definedName name="Print_B4">#REF!</definedName>
    <definedName name="Print_B5">#REF!</definedName>
    <definedName name="Print_B6">#REF!</definedName>
    <definedName name="Print_B7">#REF!</definedName>
    <definedName name="Print_C1">#REF!</definedName>
    <definedName name="Print_C2">#REF!</definedName>
    <definedName name="Print_C3">#REF!</definedName>
    <definedName name="Print_C4">#REF!</definedName>
    <definedName name="Print_D1">#REF!</definedName>
    <definedName name="PRINT_MENU">#REF!</definedName>
    <definedName name="Prioirity">#REF!</definedName>
    <definedName name="Priorities">#REF!</definedName>
    <definedName name="Priority">#REF!</definedName>
    <definedName name="Prix_SMC">#N/A</definedName>
    <definedName name="prj_cont">#REF!</definedName>
    <definedName name="PROB">#REF!</definedName>
    <definedName name="ProbabilityDown">#REF!</definedName>
    <definedName name="ProbabilityUp">#REF!</definedName>
    <definedName name="Prod_v_Svc">#REF!</definedName>
    <definedName name="ProdDayHrs">#REF!</definedName>
    <definedName name="ProdFamily">#REF!</definedName>
    <definedName name="ProdForm" hidden="1">#REF!</definedName>
    <definedName name="Product" hidden="1">#REF!</definedName>
    <definedName name="profit">#REF!</definedName>
    <definedName name="Profit_b4t">#REF!</definedName>
    <definedName name="Prova" localSheetId="3" hidden="1">{#N/A,#N/A,FALSE,"PRESENT";#N/A,#N/A,FALSE,"INDICE";#N/A,#N/A,FALSE,"DIV_CONS";#N/A,#N/A,FALSE,"DIV_GRUP";#N/A,#N/A,FALSE,"DIV_BIM";#N/A,#N/A,FALSE,"DIV_UMPL";#N/A,#N/A,FALSE,"DIV_BDBAS";#N/A,#N/A,FALSE,"B_SRL";#N/A,#N/A,FALSE,"MQ_SRL"}</definedName>
    <definedName name="Prova" localSheetId="5" hidden="1">{#N/A,#N/A,FALSE,"PRESENT";#N/A,#N/A,FALSE,"INDICE";#N/A,#N/A,FALSE,"DIV_CONS";#N/A,#N/A,FALSE,"DIV_GRUP";#N/A,#N/A,FALSE,"DIV_BIM";#N/A,#N/A,FALSE,"DIV_UMPL";#N/A,#N/A,FALSE,"DIV_BDBAS";#N/A,#N/A,FALSE,"B_SRL";#N/A,#N/A,FALSE,"MQ_SRL"}</definedName>
    <definedName name="Prova" localSheetId="8" hidden="1">{#N/A,#N/A,FALSE,"PRESENT";#N/A,#N/A,FALSE,"INDICE";#N/A,#N/A,FALSE,"DIV_CONS";#N/A,#N/A,FALSE,"DIV_GRUP";#N/A,#N/A,FALSE,"DIV_BIM";#N/A,#N/A,FALSE,"DIV_UMPL";#N/A,#N/A,FALSE,"DIV_BDBAS";#N/A,#N/A,FALSE,"B_SRL";#N/A,#N/A,FALSE,"MQ_SRL"}</definedName>
    <definedName name="Prova" localSheetId="10" hidden="1">{#N/A,#N/A,FALSE,"PRESENT";#N/A,#N/A,FALSE,"INDICE";#N/A,#N/A,FALSE,"DIV_CONS";#N/A,#N/A,FALSE,"DIV_GRUP";#N/A,#N/A,FALSE,"DIV_BIM";#N/A,#N/A,FALSE,"DIV_UMPL";#N/A,#N/A,FALSE,"DIV_BDBAS";#N/A,#N/A,FALSE,"B_SRL";#N/A,#N/A,FALSE,"MQ_SRL"}</definedName>
    <definedName name="Prova" localSheetId="12" hidden="1">{#N/A,#N/A,FALSE,"PRESENT";#N/A,#N/A,FALSE,"INDICE";#N/A,#N/A,FALSE,"DIV_CONS";#N/A,#N/A,FALSE,"DIV_GRUP";#N/A,#N/A,FALSE,"DIV_BIM";#N/A,#N/A,FALSE,"DIV_UMPL";#N/A,#N/A,FALSE,"DIV_BDBAS";#N/A,#N/A,FALSE,"B_SRL";#N/A,#N/A,FALSE,"MQ_SRL"}</definedName>
    <definedName name="Prova" localSheetId="14" hidden="1">{#N/A,#N/A,FALSE,"PRESENT";#N/A,#N/A,FALSE,"INDICE";#N/A,#N/A,FALSE,"DIV_CONS";#N/A,#N/A,FALSE,"DIV_GRUP";#N/A,#N/A,FALSE,"DIV_BIM";#N/A,#N/A,FALSE,"DIV_UMPL";#N/A,#N/A,FALSE,"DIV_BDBAS";#N/A,#N/A,FALSE,"B_SRL";#N/A,#N/A,FALSE,"MQ_SRL"}</definedName>
    <definedName name="Prova" localSheetId="16" hidden="1">{#N/A,#N/A,FALSE,"PRESENT";#N/A,#N/A,FALSE,"INDICE";#N/A,#N/A,FALSE,"DIV_CONS";#N/A,#N/A,FALSE,"DIV_GRUP";#N/A,#N/A,FALSE,"DIV_BIM";#N/A,#N/A,FALSE,"DIV_UMPL";#N/A,#N/A,FALSE,"DIV_BDBAS";#N/A,#N/A,FALSE,"B_SRL";#N/A,#N/A,FALSE,"MQ_SRL"}</definedName>
    <definedName name="Prova" localSheetId="22" hidden="1">{#N/A,#N/A,FALSE,"PRESENT";#N/A,#N/A,FALSE,"INDICE";#N/A,#N/A,FALSE,"DIV_CONS";#N/A,#N/A,FALSE,"DIV_GRUP";#N/A,#N/A,FALSE,"DIV_BIM";#N/A,#N/A,FALSE,"DIV_UMPL";#N/A,#N/A,FALSE,"DIV_BDBAS";#N/A,#N/A,FALSE,"B_SRL";#N/A,#N/A,FALSE,"MQ_SRL"}</definedName>
    <definedName name="Prova" localSheetId="24" hidden="1">{#N/A,#N/A,FALSE,"PRESENT";#N/A,#N/A,FALSE,"INDICE";#N/A,#N/A,FALSE,"DIV_CONS";#N/A,#N/A,FALSE,"DIV_GRUP";#N/A,#N/A,FALSE,"DIV_BIM";#N/A,#N/A,FALSE,"DIV_UMPL";#N/A,#N/A,FALSE,"DIV_BDBAS";#N/A,#N/A,FALSE,"B_SRL";#N/A,#N/A,FALSE,"MQ_SRL"}</definedName>
    <definedName name="Prova" localSheetId="26" hidden="1">{#N/A,#N/A,FALSE,"PRESENT";#N/A,#N/A,FALSE,"INDICE";#N/A,#N/A,FALSE,"DIV_CONS";#N/A,#N/A,FALSE,"DIV_GRUP";#N/A,#N/A,FALSE,"DIV_BIM";#N/A,#N/A,FALSE,"DIV_UMPL";#N/A,#N/A,FALSE,"DIV_BDBAS";#N/A,#N/A,FALSE,"B_SRL";#N/A,#N/A,FALSE,"MQ_SRL"}</definedName>
    <definedName name="Prova" localSheetId="28" hidden="1">{#N/A,#N/A,FALSE,"PRESENT";#N/A,#N/A,FALSE,"INDICE";#N/A,#N/A,FALSE,"DIV_CONS";#N/A,#N/A,FALSE,"DIV_GRUP";#N/A,#N/A,FALSE,"DIV_BIM";#N/A,#N/A,FALSE,"DIV_UMPL";#N/A,#N/A,FALSE,"DIV_BDBAS";#N/A,#N/A,FALSE,"B_SRL";#N/A,#N/A,FALSE,"MQ_SRL"}</definedName>
    <definedName name="Prova" localSheetId="30" hidden="1">{#N/A,#N/A,FALSE,"PRESENT";#N/A,#N/A,FALSE,"INDICE";#N/A,#N/A,FALSE,"DIV_CONS";#N/A,#N/A,FALSE,"DIV_GRUP";#N/A,#N/A,FALSE,"DIV_BIM";#N/A,#N/A,FALSE,"DIV_UMPL";#N/A,#N/A,FALSE,"DIV_BDBAS";#N/A,#N/A,FALSE,"B_SRL";#N/A,#N/A,FALSE,"MQ_SRL"}</definedName>
    <definedName name="Prova" localSheetId="32" hidden="1">{#N/A,#N/A,FALSE,"PRESENT";#N/A,#N/A,FALSE,"INDICE";#N/A,#N/A,FALSE,"DIV_CONS";#N/A,#N/A,FALSE,"DIV_GRUP";#N/A,#N/A,FALSE,"DIV_BIM";#N/A,#N/A,FALSE,"DIV_UMPL";#N/A,#N/A,FALSE,"DIV_BDBAS";#N/A,#N/A,FALSE,"B_SRL";#N/A,#N/A,FALSE,"MQ_SRL"}</definedName>
    <definedName name="Prova" localSheetId="34" hidden="1">{#N/A,#N/A,FALSE,"PRESENT";#N/A,#N/A,FALSE,"INDICE";#N/A,#N/A,FALSE,"DIV_CONS";#N/A,#N/A,FALSE,"DIV_GRUP";#N/A,#N/A,FALSE,"DIV_BIM";#N/A,#N/A,FALSE,"DIV_UMPL";#N/A,#N/A,FALSE,"DIV_BDBAS";#N/A,#N/A,FALSE,"B_SRL";#N/A,#N/A,FALSE,"MQ_SRL"}</definedName>
    <definedName name="Prova" localSheetId="36" hidden="1">{#N/A,#N/A,FALSE,"PRESENT";#N/A,#N/A,FALSE,"INDICE";#N/A,#N/A,FALSE,"DIV_CONS";#N/A,#N/A,FALSE,"DIV_GRUP";#N/A,#N/A,FALSE,"DIV_BIM";#N/A,#N/A,FALSE,"DIV_UMPL";#N/A,#N/A,FALSE,"DIV_BDBAS";#N/A,#N/A,FALSE,"B_SRL";#N/A,#N/A,FALSE,"MQ_SRL"}</definedName>
    <definedName name="Prova" localSheetId="38" hidden="1">{#N/A,#N/A,FALSE,"PRESENT";#N/A,#N/A,FALSE,"INDICE";#N/A,#N/A,FALSE,"DIV_CONS";#N/A,#N/A,FALSE,"DIV_GRUP";#N/A,#N/A,FALSE,"DIV_BIM";#N/A,#N/A,FALSE,"DIV_UMPL";#N/A,#N/A,FALSE,"DIV_BDBAS";#N/A,#N/A,FALSE,"B_SRL";#N/A,#N/A,FALSE,"MQ_SRL"}</definedName>
    <definedName name="Prova" hidden="1">{#N/A,#N/A,FALSE,"PRESENT";#N/A,#N/A,FALSE,"INDICE";#N/A,#N/A,FALSE,"DIV_CONS";#N/A,#N/A,FALSE,"DIV_GRUP";#N/A,#N/A,FALSE,"DIV_BIM";#N/A,#N/A,FALSE,"DIV_UMPL";#N/A,#N/A,FALSE,"DIV_BDBAS";#N/A,#N/A,FALSE,"B_SRL";#N/A,#N/A,FALSE,"MQ_SRL"}</definedName>
    <definedName name="province">OFFSET(#REF!,0,0,COUNTA(#REF!)-1)</definedName>
    <definedName name="province1">OFFSET(#REF!,0,0,COUNTA(#REF!))</definedName>
    <definedName name="pvd" localSheetId="3" hidden="1">{"AnnInc",#N/A,TRUE,"Inc";"QtrInc1",#N/A,TRUE,"Inc";"Balance",#N/A,TRUE,"Bal";"Cflow",#N/A,TRUE,"Cash"}</definedName>
    <definedName name="pvd" localSheetId="5" hidden="1">{"AnnInc",#N/A,TRUE,"Inc";"QtrInc1",#N/A,TRUE,"Inc";"Balance",#N/A,TRUE,"Bal";"Cflow",#N/A,TRUE,"Cash"}</definedName>
    <definedName name="pvd" localSheetId="8" hidden="1">{"AnnInc",#N/A,TRUE,"Inc";"QtrInc1",#N/A,TRUE,"Inc";"Balance",#N/A,TRUE,"Bal";"Cflow",#N/A,TRUE,"Cash"}</definedName>
    <definedName name="pvd" localSheetId="10" hidden="1">{"AnnInc",#N/A,TRUE,"Inc";"QtrInc1",#N/A,TRUE,"Inc";"Balance",#N/A,TRUE,"Bal";"Cflow",#N/A,TRUE,"Cash"}</definedName>
    <definedName name="pvd" localSheetId="12" hidden="1">{"AnnInc",#N/A,TRUE,"Inc";"QtrInc1",#N/A,TRUE,"Inc";"Balance",#N/A,TRUE,"Bal";"Cflow",#N/A,TRUE,"Cash"}</definedName>
    <definedName name="pvd" localSheetId="14" hidden="1">{"AnnInc",#N/A,TRUE,"Inc";"QtrInc1",#N/A,TRUE,"Inc";"Balance",#N/A,TRUE,"Bal";"Cflow",#N/A,TRUE,"Cash"}</definedName>
    <definedName name="pvd" localSheetId="16" hidden="1">{"AnnInc",#N/A,TRUE,"Inc";"QtrInc1",#N/A,TRUE,"Inc";"Balance",#N/A,TRUE,"Bal";"Cflow",#N/A,TRUE,"Cash"}</definedName>
    <definedName name="pvd" localSheetId="22" hidden="1">{"AnnInc",#N/A,TRUE,"Inc";"QtrInc1",#N/A,TRUE,"Inc";"Balance",#N/A,TRUE,"Bal";"Cflow",#N/A,TRUE,"Cash"}</definedName>
    <definedName name="pvd" localSheetId="24" hidden="1">{"AnnInc",#N/A,TRUE,"Inc";"QtrInc1",#N/A,TRUE,"Inc";"Balance",#N/A,TRUE,"Bal";"Cflow",#N/A,TRUE,"Cash"}</definedName>
    <definedName name="pvd" localSheetId="26" hidden="1">{"AnnInc",#N/A,TRUE,"Inc";"QtrInc1",#N/A,TRUE,"Inc";"Balance",#N/A,TRUE,"Bal";"Cflow",#N/A,TRUE,"Cash"}</definedName>
    <definedName name="pvd" localSheetId="28" hidden="1">{"AnnInc",#N/A,TRUE,"Inc";"QtrInc1",#N/A,TRUE,"Inc";"Balance",#N/A,TRUE,"Bal";"Cflow",#N/A,TRUE,"Cash"}</definedName>
    <definedName name="pvd" localSheetId="30" hidden="1">{"AnnInc",#N/A,TRUE,"Inc";"QtrInc1",#N/A,TRUE,"Inc";"Balance",#N/A,TRUE,"Bal";"Cflow",#N/A,TRUE,"Cash"}</definedName>
    <definedName name="pvd" localSheetId="32" hidden="1">{"AnnInc",#N/A,TRUE,"Inc";"QtrInc1",#N/A,TRUE,"Inc";"Balance",#N/A,TRUE,"Bal";"Cflow",#N/A,TRUE,"Cash"}</definedName>
    <definedName name="pvd" localSheetId="34" hidden="1">{"AnnInc",#N/A,TRUE,"Inc";"QtrInc1",#N/A,TRUE,"Inc";"Balance",#N/A,TRUE,"Bal";"Cflow",#N/A,TRUE,"Cash"}</definedName>
    <definedName name="pvd" localSheetId="36" hidden="1">{"AnnInc",#N/A,TRUE,"Inc";"QtrInc1",#N/A,TRUE,"Inc";"Balance",#N/A,TRUE,"Bal";"Cflow",#N/A,TRUE,"Cash"}</definedName>
    <definedName name="pvd" localSheetId="38" hidden="1">{"AnnInc",#N/A,TRUE,"Inc";"QtrInc1",#N/A,TRUE,"Inc";"Balance",#N/A,TRUE,"Bal";"Cflow",#N/A,TRUE,"Cash"}</definedName>
    <definedName name="pvd" hidden="1">{"AnnInc",#N/A,TRUE,"Inc";"QtrInc1",#N/A,TRUE,"Inc";"Balance",#N/A,TRUE,"Bal";"Cflow",#N/A,TRUE,"Cash"}</definedName>
    <definedName name="pwoefù" localSheetId="3" hidden="1">{#N/A,#N/A,TRUE,"Proposal";#N/A,#N/A,TRUE,"Assumptions";#N/A,#N/A,TRUE,"Net Income";#N/A,#N/A,TRUE,"Balsheet";#N/A,#N/A,TRUE,"Capex";#N/A,#N/A,TRUE,"Volumes";#N/A,#N/A,TRUE,"Revenues";#N/A,#N/A,TRUE,"Var.Costs";#N/A,#N/A,TRUE,"Personnel";#N/A,#N/A,TRUE,"Other costs";#N/A,#N/A,TRUE,"MKTG and G&amp;A"}</definedName>
    <definedName name="pwoefù" localSheetId="5" hidden="1">{#N/A,#N/A,TRUE,"Proposal";#N/A,#N/A,TRUE,"Assumptions";#N/A,#N/A,TRUE,"Net Income";#N/A,#N/A,TRUE,"Balsheet";#N/A,#N/A,TRUE,"Capex";#N/A,#N/A,TRUE,"Volumes";#N/A,#N/A,TRUE,"Revenues";#N/A,#N/A,TRUE,"Var.Costs";#N/A,#N/A,TRUE,"Personnel";#N/A,#N/A,TRUE,"Other costs";#N/A,#N/A,TRUE,"MKTG and G&amp;A"}</definedName>
    <definedName name="pwoefù" localSheetId="8" hidden="1">{#N/A,#N/A,TRUE,"Proposal";#N/A,#N/A,TRUE,"Assumptions";#N/A,#N/A,TRUE,"Net Income";#N/A,#N/A,TRUE,"Balsheet";#N/A,#N/A,TRUE,"Capex";#N/A,#N/A,TRUE,"Volumes";#N/A,#N/A,TRUE,"Revenues";#N/A,#N/A,TRUE,"Var.Costs";#N/A,#N/A,TRUE,"Personnel";#N/A,#N/A,TRUE,"Other costs";#N/A,#N/A,TRUE,"MKTG and G&amp;A"}</definedName>
    <definedName name="pwoefù" localSheetId="10" hidden="1">{#N/A,#N/A,TRUE,"Proposal";#N/A,#N/A,TRUE,"Assumptions";#N/A,#N/A,TRUE,"Net Income";#N/A,#N/A,TRUE,"Balsheet";#N/A,#N/A,TRUE,"Capex";#N/A,#N/A,TRUE,"Volumes";#N/A,#N/A,TRUE,"Revenues";#N/A,#N/A,TRUE,"Var.Costs";#N/A,#N/A,TRUE,"Personnel";#N/A,#N/A,TRUE,"Other costs";#N/A,#N/A,TRUE,"MKTG and G&amp;A"}</definedName>
    <definedName name="pwoefù" localSheetId="12" hidden="1">{#N/A,#N/A,TRUE,"Proposal";#N/A,#N/A,TRUE,"Assumptions";#N/A,#N/A,TRUE,"Net Income";#N/A,#N/A,TRUE,"Balsheet";#N/A,#N/A,TRUE,"Capex";#N/A,#N/A,TRUE,"Volumes";#N/A,#N/A,TRUE,"Revenues";#N/A,#N/A,TRUE,"Var.Costs";#N/A,#N/A,TRUE,"Personnel";#N/A,#N/A,TRUE,"Other costs";#N/A,#N/A,TRUE,"MKTG and G&amp;A"}</definedName>
    <definedName name="pwoefù" localSheetId="14" hidden="1">{#N/A,#N/A,TRUE,"Proposal";#N/A,#N/A,TRUE,"Assumptions";#N/A,#N/A,TRUE,"Net Income";#N/A,#N/A,TRUE,"Balsheet";#N/A,#N/A,TRUE,"Capex";#N/A,#N/A,TRUE,"Volumes";#N/A,#N/A,TRUE,"Revenues";#N/A,#N/A,TRUE,"Var.Costs";#N/A,#N/A,TRUE,"Personnel";#N/A,#N/A,TRUE,"Other costs";#N/A,#N/A,TRUE,"MKTG and G&amp;A"}</definedName>
    <definedName name="pwoefù" localSheetId="16" hidden="1">{#N/A,#N/A,TRUE,"Proposal";#N/A,#N/A,TRUE,"Assumptions";#N/A,#N/A,TRUE,"Net Income";#N/A,#N/A,TRUE,"Balsheet";#N/A,#N/A,TRUE,"Capex";#N/A,#N/A,TRUE,"Volumes";#N/A,#N/A,TRUE,"Revenues";#N/A,#N/A,TRUE,"Var.Costs";#N/A,#N/A,TRUE,"Personnel";#N/A,#N/A,TRUE,"Other costs";#N/A,#N/A,TRUE,"MKTG and G&amp;A"}</definedName>
    <definedName name="pwoefù" localSheetId="22" hidden="1">{#N/A,#N/A,TRUE,"Proposal";#N/A,#N/A,TRUE,"Assumptions";#N/A,#N/A,TRUE,"Net Income";#N/A,#N/A,TRUE,"Balsheet";#N/A,#N/A,TRUE,"Capex";#N/A,#N/A,TRUE,"Volumes";#N/A,#N/A,TRUE,"Revenues";#N/A,#N/A,TRUE,"Var.Costs";#N/A,#N/A,TRUE,"Personnel";#N/A,#N/A,TRUE,"Other costs";#N/A,#N/A,TRUE,"MKTG and G&amp;A"}</definedName>
    <definedName name="pwoefù" localSheetId="24" hidden="1">{#N/A,#N/A,TRUE,"Proposal";#N/A,#N/A,TRUE,"Assumptions";#N/A,#N/A,TRUE,"Net Income";#N/A,#N/A,TRUE,"Balsheet";#N/A,#N/A,TRUE,"Capex";#N/A,#N/A,TRUE,"Volumes";#N/A,#N/A,TRUE,"Revenues";#N/A,#N/A,TRUE,"Var.Costs";#N/A,#N/A,TRUE,"Personnel";#N/A,#N/A,TRUE,"Other costs";#N/A,#N/A,TRUE,"MKTG and G&amp;A"}</definedName>
    <definedName name="pwoefù" localSheetId="26" hidden="1">{#N/A,#N/A,TRUE,"Proposal";#N/A,#N/A,TRUE,"Assumptions";#N/A,#N/A,TRUE,"Net Income";#N/A,#N/A,TRUE,"Balsheet";#N/A,#N/A,TRUE,"Capex";#N/A,#N/A,TRUE,"Volumes";#N/A,#N/A,TRUE,"Revenues";#N/A,#N/A,TRUE,"Var.Costs";#N/A,#N/A,TRUE,"Personnel";#N/A,#N/A,TRUE,"Other costs";#N/A,#N/A,TRUE,"MKTG and G&amp;A"}</definedName>
    <definedName name="pwoefù" localSheetId="28" hidden="1">{#N/A,#N/A,TRUE,"Proposal";#N/A,#N/A,TRUE,"Assumptions";#N/A,#N/A,TRUE,"Net Income";#N/A,#N/A,TRUE,"Balsheet";#N/A,#N/A,TRUE,"Capex";#N/A,#N/A,TRUE,"Volumes";#N/A,#N/A,TRUE,"Revenues";#N/A,#N/A,TRUE,"Var.Costs";#N/A,#N/A,TRUE,"Personnel";#N/A,#N/A,TRUE,"Other costs";#N/A,#N/A,TRUE,"MKTG and G&amp;A"}</definedName>
    <definedName name="pwoefù" localSheetId="30" hidden="1">{#N/A,#N/A,TRUE,"Proposal";#N/A,#N/A,TRUE,"Assumptions";#N/A,#N/A,TRUE,"Net Income";#N/A,#N/A,TRUE,"Balsheet";#N/A,#N/A,TRUE,"Capex";#N/A,#N/A,TRUE,"Volumes";#N/A,#N/A,TRUE,"Revenues";#N/A,#N/A,TRUE,"Var.Costs";#N/A,#N/A,TRUE,"Personnel";#N/A,#N/A,TRUE,"Other costs";#N/A,#N/A,TRUE,"MKTG and G&amp;A"}</definedName>
    <definedName name="pwoefù" localSheetId="32" hidden="1">{#N/A,#N/A,TRUE,"Proposal";#N/A,#N/A,TRUE,"Assumptions";#N/A,#N/A,TRUE,"Net Income";#N/A,#N/A,TRUE,"Balsheet";#N/A,#N/A,TRUE,"Capex";#N/A,#N/A,TRUE,"Volumes";#N/A,#N/A,TRUE,"Revenues";#N/A,#N/A,TRUE,"Var.Costs";#N/A,#N/A,TRUE,"Personnel";#N/A,#N/A,TRUE,"Other costs";#N/A,#N/A,TRUE,"MKTG and G&amp;A"}</definedName>
    <definedName name="pwoefù" localSheetId="34" hidden="1">{#N/A,#N/A,TRUE,"Proposal";#N/A,#N/A,TRUE,"Assumptions";#N/A,#N/A,TRUE,"Net Income";#N/A,#N/A,TRUE,"Balsheet";#N/A,#N/A,TRUE,"Capex";#N/A,#N/A,TRUE,"Volumes";#N/A,#N/A,TRUE,"Revenues";#N/A,#N/A,TRUE,"Var.Costs";#N/A,#N/A,TRUE,"Personnel";#N/A,#N/A,TRUE,"Other costs";#N/A,#N/A,TRUE,"MKTG and G&amp;A"}</definedName>
    <definedName name="pwoefù" localSheetId="36" hidden="1">{#N/A,#N/A,TRUE,"Proposal";#N/A,#N/A,TRUE,"Assumptions";#N/A,#N/A,TRUE,"Net Income";#N/A,#N/A,TRUE,"Balsheet";#N/A,#N/A,TRUE,"Capex";#N/A,#N/A,TRUE,"Volumes";#N/A,#N/A,TRUE,"Revenues";#N/A,#N/A,TRUE,"Var.Costs";#N/A,#N/A,TRUE,"Personnel";#N/A,#N/A,TRUE,"Other costs";#N/A,#N/A,TRUE,"MKTG and G&amp;A"}</definedName>
    <definedName name="pwoefù" localSheetId="38" hidden="1">{#N/A,#N/A,TRUE,"Proposal";#N/A,#N/A,TRUE,"Assumptions";#N/A,#N/A,TRUE,"Net Income";#N/A,#N/A,TRUE,"Balsheet";#N/A,#N/A,TRUE,"Capex";#N/A,#N/A,TRUE,"Volumes";#N/A,#N/A,TRUE,"Revenues";#N/A,#N/A,TRUE,"Var.Costs";#N/A,#N/A,TRUE,"Personnel";#N/A,#N/A,TRUE,"Other costs";#N/A,#N/A,TRUE,"MKTG and G&amp;A"}</definedName>
    <definedName name="pwoefù" hidden="1">{#N/A,#N/A,TRUE,"Proposal";#N/A,#N/A,TRUE,"Assumptions";#N/A,#N/A,TRUE,"Net Income";#N/A,#N/A,TRUE,"Balsheet";#N/A,#N/A,TRUE,"Capex";#N/A,#N/A,TRUE,"Volumes";#N/A,#N/A,TRUE,"Revenues";#N/A,#N/A,TRUE,"Var.Costs";#N/A,#N/A,TRUE,"Personnel";#N/A,#N/A,TRUE,"Other costs";#N/A,#N/A,TRUE,"MKTG and G&amp;A"}</definedName>
    <definedName name="PY_NetAssets">#REF!</definedName>
    <definedName name="PY_Reserves">#REF!</definedName>
    <definedName name="PY_RetainedProfit">#REF!</definedName>
    <definedName name="Q" localSheetId="3" hidden="1">{#N/A,#N/A,FALSE,"MAIN";#N/A,#N/A,FALSE,"MK_ASS_B";#N/A,#N/A,FALSE,"MK_ASS_R";#N/A,#N/A,FALSE,"TR_ASS_B";#N/A,#N/A,FALSE,"TR_ASS_R";#N/A,#N/A,FALSE,"ROAMING";#N/A,#N/A,FALSE,"PR_ASS_B";#N/A,#N/A,FALSE,"PR_ASS_R";#N/A,#N/A,FALSE,"PR_ASS_S"}</definedName>
    <definedName name="Q" localSheetId="5" hidden="1">{#N/A,#N/A,FALSE,"MAIN";#N/A,#N/A,FALSE,"MK_ASS_B";#N/A,#N/A,FALSE,"MK_ASS_R";#N/A,#N/A,FALSE,"TR_ASS_B";#N/A,#N/A,FALSE,"TR_ASS_R";#N/A,#N/A,FALSE,"ROAMING";#N/A,#N/A,FALSE,"PR_ASS_B";#N/A,#N/A,FALSE,"PR_ASS_R";#N/A,#N/A,FALSE,"PR_ASS_S"}</definedName>
    <definedName name="Q" localSheetId="8" hidden="1">{#N/A,#N/A,FALSE,"MAIN";#N/A,#N/A,FALSE,"MK_ASS_B";#N/A,#N/A,FALSE,"MK_ASS_R";#N/A,#N/A,FALSE,"TR_ASS_B";#N/A,#N/A,FALSE,"TR_ASS_R";#N/A,#N/A,FALSE,"ROAMING";#N/A,#N/A,FALSE,"PR_ASS_B";#N/A,#N/A,FALSE,"PR_ASS_R";#N/A,#N/A,FALSE,"PR_ASS_S"}</definedName>
    <definedName name="Q" localSheetId="10" hidden="1">{#N/A,#N/A,FALSE,"MAIN";#N/A,#N/A,FALSE,"MK_ASS_B";#N/A,#N/A,FALSE,"MK_ASS_R";#N/A,#N/A,FALSE,"TR_ASS_B";#N/A,#N/A,FALSE,"TR_ASS_R";#N/A,#N/A,FALSE,"ROAMING";#N/A,#N/A,FALSE,"PR_ASS_B";#N/A,#N/A,FALSE,"PR_ASS_R";#N/A,#N/A,FALSE,"PR_ASS_S"}</definedName>
    <definedName name="Q" localSheetId="12" hidden="1">{#N/A,#N/A,FALSE,"MAIN";#N/A,#N/A,FALSE,"MK_ASS_B";#N/A,#N/A,FALSE,"MK_ASS_R";#N/A,#N/A,FALSE,"TR_ASS_B";#N/A,#N/A,FALSE,"TR_ASS_R";#N/A,#N/A,FALSE,"ROAMING";#N/A,#N/A,FALSE,"PR_ASS_B";#N/A,#N/A,FALSE,"PR_ASS_R";#N/A,#N/A,FALSE,"PR_ASS_S"}</definedName>
    <definedName name="Q" localSheetId="14" hidden="1">{#N/A,#N/A,FALSE,"MAIN";#N/A,#N/A,FALSE,"MK_ASS_B";#N/A,#N/A,FALSE,"MK_ASS_R";#N/A,#N/A,FALSE,"TR_ASS_B";#N/A,#N/A,FALSE,"TR_ASS_R";#N/A,#N/A,FALSE,"ROAMING";#N/A,#N/A,FALSE,"PR_ASS_B";#N/A,#N/A,FALSE,"PR_ASS_R";#N/A,#N/A,FALSE,"PR_ASS_S"}</definedName>
    <definedName name="Q" localSheetId="16" hidden="1">{#N/A,#N/A,FALSE,"MAIN";#N/A,#N/A,FALSE,"MK_ASS_B";#N/A,#N/A,FALSE,"MK_ASS_R";#N/A,#N/A,FALSE,"TR_ASS_B";#N/A,#N/A,FALSE,"TR_ASS_R";#N/A,#N/A,FALSE,"ROAMING";#N/A,#N/A,FALSE,"PR_ASS_B";#N/A,#N/A,FALSE,"PR_ASS_R";#N/A,#N/A,FALSE,"PR_ASS_S"}</definedName>
    <definedName name="Q" localSheetId="22" hidden="1">{#N/A,#N/A,FALSE,"MAIN";#N/A,#N/A,FALSE,"MK_ASS_B";#N/A,#N/A,FALSE,"MK_ASS_R";#N/A,#N/A,FALSE,"TR_ASS_B";#N/A,#N/A,FALSE,"TR_ASS_R";#N/A,#N/A,FALSE,"ROAMING";#N/A,#N/A,FALSE,"PR_ASS_B";#N/A,#N/A,FALSE,"PR_ASS_R";#N/A,#N/A,FALSE,"PR_ASS_S"}</definedName>
    <definedName name="Q" localSheetId="24" hidden="1">{#N/A,#N/A,FALSE,"MAIN";#N/A,#N/A,FALSE,"MK_ASS_B";#N/A,#N/A,FALSE,"MK_ASS_R";#N/A,#N/A,FALSE,"TR_ASS_B";#N/A,#N/A,FALSE,"TR_ASS_R";#N/A,#N/A,FALSE,"ROAMING";#N/A,#N/A,FALSE,"PR_ASS_B";#N/A,#N/A,FALSE,"PR_ASS_R";#N/A,#N/A,FALSE,"PR_ASS_S"}</definedName>
    <definedName name="Q" localSheetId="26" hidden="1">{#N/A,#N/A,FALSE,"MAIN";#N/A,#N/A,FALSE,"MK_ASS_B";#N/A,#N/A,FALSE,"MK_ASS_R";#N/A,#N/A,FALSE,"TR_ASS_B";#N/A,#N/A,FALSE,"TR_ASS_R";#N/A,#N/A,FALSE,"ROAMING";#N/A,#N/A,FALSE,"PR_ASS_B";#N/A,#N/A,FALSE,"PR_ASS_R";#N/A,#N/A,FALSE,"PR_ASS_S"}</definedName>
    <definedName name="Q" localSheetId="28" hidden="1">{#N/A,#N/A,FALSE,"MAIN";#N/A,#N/A,FALSE,"MK_ASS_B";#N/A,#N/A,FALSE,"MK_ASS_R";#N/A,#N/A,FALSE,"TR_ASS_B";#N/A,#N/A,FALSE,"TR_ASS_R";#N/A,#N/A,FALSE,"ROAMING";#N/A,#N/A,FALSE,"PR_ASS_B";#N/A,#N/A,FALSE,"PR_ASS_R";#N/A,#N/A,FALSE,"PR_ASS_S"}</definedName>
    <definedName name="Q" localSheetId="30" hidden="1">{#N/A,#N/A,FALSE,"MAIN";#N/A,#N/A,FALSE,"MK_ASS_B";#N/A,#N/A,FALSE,"MK_ASS_R";#N/A,#N/A,FALSE,"TR_ASS_B";#N/A,#N/A,FALSE,"TR_ASS_R";#N/A,#N/A,FALSE,"ROAMING";#N/A,#N/A,FALSE,"PR_ASS_B";#N/A,#N/A,FALSE,"PR_ASS_R";#N/A,#N/A,FALSE,"PR_ASS_S"}</definedName>
    <definedName name="Q" localSheetId="32" hidden="1">{#N/A,#N/A,FALSE,"MAIN";#N/A,#N/A,FALSE,"MK_ASS_B";#N/A,#N/A,FALSE,"MK_ASS_R";#N/A,#N/A,FALSE,"TR_ASS_B";#N/A,#N/A,FALSE,"TR_ASS_R";#N/A,#N/A,FALSE,"ROAMING";#N/A,#N/A,FALSE,"PR_ASS_B";#N/A,#N/A,FALSE,"PR_ASS_R";#N/A,#N/A,FALSE,"PR_ASS_S"}</definedName>
    <definedName name="Q" localSheetId="34" hidden="1">{#N/A,#N/A,FALSE,"MAIN";#N/A,#N/A,FALSE,"MK_ASS_B";#N/A,#N/A,FALSE,"MK_ASS_R";#N/A,#N/A,FALSE,"TR_ASS_B";#N/A,#N/A,FALSE,"TR_ASS_R";#N/A,#N/A,FALSE,"ROAMING";#N/A,#N/A,FALSE,"PR_ASS_B";#N/A,#N/A,FALSE,"PR_ASS_R";#N/A,#N/A,FALSE,"PR_ASS_S"}</definedName>
    <definedName name="Q" localSheetId="36" hidden="1">{#N/A,#N/A,FALSE,"MAIN";#N/A,#N/A,FALSE,"MK_ASS_B";#N/A,#N/A,FALSE,"MK_ASS_R";#N/A,#N/A,FALSE,"TR_ASS_B";#N/A,#N/A,FALSE,"TR_ASS_R";#N/A,#N/A,FALSE,"ROAMING";#N/A,#N/A,FALSE,"PR_ASS_B";#N/A,#N/A,FALSE,"PR_ASS_R";#N/A,#N/A,FALSE,"PR_ASS_S"}</definedName>
    <definedName name="Q" localSheetId="38" hidden="1">{#N/A,#N/A,FALSE,"MAIN";#N/A,#N/A,FALSE,"MK_ASS_B";#N/A,#N/A,FALSE,"MK_ASS_R";#N/A,#N/A,FALSE,"TR_ASS_B";#N/A,#N/A,FALSE,"TR_ASS_R";#N/A,#N/A,FALSE,"ROAMING";#N/A,#N/A,FALSE,"PR_ASS_B";#N/A,#N/A,FALSE,"PR_ASS_R";#N/A,#N/A,FALSE,"PR_ASS_S"}</definedName>
    <definedName name="Q" hidden="1">{#N/A,#N/A,FALSE,"MAIN";#N/A,#N/A,FALSE,"MK_ASS_B";#N/A,#N/A,FALSE,"MK_ASS_R";#N/A,#N/A,FALSE,"TR_ASS_B";#N/A,#N/A,FALSE,"TR_ASS_R";#N/A,#N/A,FALSE,"ROAMING";#N/A,#N/A,FALSE,"PR_ASS_B";#N/A,#N/A,FALSE,"PR_ASS_R";#N/A,#N/A,FALSE,"PR_ASS_S"}</definedName>
    <definedName name="Q2CashBalance">#REF!</definedName>
    <definedName name="qa" localSheetId="3" hidden="1">{"AnnInc",#N/A,TRUE,"Inc";"QtrInc1",#N/A,TRUE,"Inc";"Balance",#N/A,TRUE,"Bal";"Cflow",#N/A,TRUE,"Cash"}</definedName>
    <definedName name="qa" localSheetId="5" hidden="1">{"AnnInc",#N/A,TRUE,"Inc";"QtrInc1",#N/A,TRUE,"Inc";"Balance",#N/A,TRUE,"Bal";"Cflow",#N/A,TRUE,"Cash"}</definedName>
    <definedName name="qa" localSheetId="8" hidden="1">{"AnnInc",#N/A,TRUE,"Inc";"QtrInc1",#N/A,TRUE,"Inc";"Balance",#N/A,TRUE,"Bal";"Cflow",#N/A,TRUE,"Cash"}</definedName>
    <definedName name="qa" localSheetId="10" hidden="1">{"AnnInc",#N/A,TRUE,"Inc";"QtrInc1",#N/A,TRUE,"Inc";"Balance",#N/A,TRUE,"Bal";"Cflow",#N/A,TRUE,"Cash"}</definedName>
    <definedName name="qa" localSheetId="12" hidden="1">{"AnnInc",#N/A,TRUE,"Inc";"QtrInc1",#N/A,TRUE,"Inc";"Balance",#N/A,TRUE,"Bal";"Cflow",#N/A,TRUE,"Cash"}</definedName>
    <definedName name="qa" localSheetId="14" hidden="1">{"AnnInc",#N/A,TRUE,"Inc";"QtrInc1",#N/A,TRUE,"Inc";"Balance",#N/A,TRUE,"Bal";"Cflow",#N/A,TRUE,"Cash"}</definedName>
    <definedName name="qa" localSheetId="16" hidden="1">{"AnnInc",#N/A,TRUE,"Inc";"QtrInc1",#N/A,TRUE,"Inc";"Balance",#N/A,TRUE,"Bal";"Cflow",#N/A,TRUE,"Cash"}</definedName>
    <definedName name="qa" localSheetId="22" hidden="1">{"AnnInc",#N/A,TRUE,"Inc";"QtrInc1",#N/A,TRUE,"Inc";"Balance",#N/A,TRUE,"Bal";"Cflow",#N/A,TRUE,"Cash"}</definedName>
    <definedName name="qa" localSheetId="24" hidden="1">{"AnnInc",#N/A,TRUE,"Inc";"QtrInc1",#N/A,TRUE,"Inc";"Balance",#N/A,TRUE,"Bal";"Cflow",#N/A,TRUE,"Cash"}</definedName>
    <definedName name="qa" localSheetId="26" hidden="1">{"AnnInc",#N/A,TRUE,"Inc";"QtrInc1",#N/A,TRUE,"Inc";"Balance",#N/A,TRUE,"Bal";"Cflow",#N/A,TRUE,"Cash"}</definedName>
    <definedName name="qa" localSheetId="28" hidden="1">{"AnnInc",#N/A,TRUE,"Inc";"QtrInc1",#N/A,TRUE,"Inc";"Balance",#N/A,TRUE,"Bal";"Cflow",#N/A,TRUE,"Cash"}</definedName>
    <definedName name="qa" localSheetId="30" hidden="1">{"AnnInc",#N/A,TRUE,"Inc";"QtrInc1",#N/A,TRUE,"Inc";"Balance",#N/A,TRUE,"Bal";"Cflow",#N/A,TRUE,"Cash"}</definedName>
    <definedName name="qa" localSheetId="32" hidden="1">{"AnnInc",#N/A,TRUE,"Inc";"QtrInc1",#N/A,TRUE,"Inc";"Balance",#N/A,TRUE,"Bal";"Cflow",#N/A,TRUE,"Cash"}</definedName>
    <definedName name="qa" localSheetId="34" hidden="1">{"AnnInc",#N/A,TRUE,"Inc";"QtrInc1",#N/A,TRUE,"Inc";"Balance",#N/A,TRUE,"Bal";"Cflow",#N/A,TRUE,"Cash"}</definedName>
    <definedName name="qa" localSheetId="36" hidden="1">{"AnnInc",#N/A,TRUE,"Inc";"QtrInc1",#N/A,TRUE,"Inc";"Balance",#N/A,TRUE,"Bal";"Cflow",#N/A,TRUE,"Cash"}</definedName>
    <definedName name="qa" localSheetId="38" hidden="1">{"AnnInc",#N/A,TRUE,"Inc";"QtrInc1",#N/A,TRUE,"Inc";"Balance",#N/A,TRUE,"Bal";"Cflow",#N/A,TRUE,"Cash"}</definedName>
    <definedName name="qa" hidden="1">{"AnnInc",#N/A,TRUE,"Inc";"QtrInc1",#N/A,TRUE,"Inc";"Balance",#N/A,TRUE,"Bal";"Cflow",#N/A,TRUE,"Cash"}</definedName>
    <definedName name="qqq" hidden="1">#REF!</definedName>
    <definedName name="qqqqqqqq" localSheetId="3"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qqqqqqq" localSheetId="5"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qqqqqqq" localSheetId="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qqqqqqq" localSheetId="10"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qqqqqqq" localSheetId="1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qqqqqqq" localSheetId="1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qqqqqqq" localSheetId="1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qqqqqqq" localSheetId="2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qqqqqqq" localSheetId="2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qqqqqqq" localSheetId="2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qqqqqqq" localSheetId="2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qqqqqqq" localSheetId="30"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qqqqqqq" localSheetId="3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qqqqqqq" localSheetId="3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qqqqqqq" localSheetId="3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qqqqqqq" localSheetId="3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qqqqqqq"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sqw" localSheetId="3" hidden="1">{#N/A,#N/A,FALSE,"bs_cons";#N/A,#N/A,FALSE,"bs_grup";#N/A,#N/A,FALSE,"bs_umpl";#N/A,#N/A,FALSE,"bs_bim";#N/A,#N/A,FALSE,"bs_bdb";#N/A,#N/A,FALSE,"bs_mq32";#N/A,#N/A,FALSE,"bs_bsrl"}</definedName>
    <definedName name="qsqw" localSheetId="5" hidden="1">{#N/A,#N/A,FALSE,"bs_cons";#N/A,#N/A,FALSE,"bs_grup";#N/A,#N/A,FALSE,"bs_umpl";#N/A,#N/A,FALSE,"bs_bim";#N/A,#N/A,FALSE,"bs_bdb";#N/A,#N/A,FALSE,"bs_mq32";#N/A,#N/A,FALSE,"bs_bsrl"}</definedName>
    <definedName name="qsqw" localSheetId="8" hidden="1">{#N/A,#N/A,FALSE,"bs_cons";#N/A,#N/A,FALSE,"bs_grup";#N/A,#N/A,FALSE,"bs_umpl";#N/A,#N/A,FALSE,"bs_bim";#N/A,#N/A,FALSE,"bs_bdb";#N/A,#N/A,FALSE,"bs_mq32";#N/A,#N/A,FALSE,"bs_bsrl"}</definedName>
    <definedName name="qsqw" localSheetId="10" hidden="1">{#N/A,#N/A,FALSE,"bs_cons";#N/A,#N/A,FALSE,"bs_grup";#N/A,#N/A,FALSE,"bs_umpl";#N/A,#N/A,FALSE,"bs_bim";#N/A,#N/A,FALSE,"bs_bdb";#N/A,#N/A,FALSE,"bs_mq32";#N/A,#N/A,FALSE,"bs_bsrl"}</definedName>
    <definedName name="qsqw" localSheetId="12" hidden="1">{#N/A,#N/A,FALSE,"bs_cons";#N/A,#N/A,FALSE,"bs_grup";#N/A,#N/A,FALSE,"bs_umpl";#N/A,#N/A,FALSE,"bs_bim";#N/A,#N/A,FALSE,"bs_bdb";#N/A,#N/A,FALSE,"bs_mq32";#N/A,#N/A,FALSE,"bs_bsrl"}</definedName>
    <definedName name="qsqw" localSheetId="14" hidden="1">{#N/A,#N/A,FALSE,"bs_cons";#N/A,#N/A,FALSE,"bs_grup";#N/A,#N/A,FALSE,"bs_umpl";#N/A,#N/A,FALSE,"bs_bim";#N/A,#N/A,FALSE,"bs_bdb";#N/A,#N/A,FALSE,"bs_mq32";#N/A,#N/A,FALSE,"bs_bsrl"}</definedName>
    <definedName name="qsqw" localSheetId="16" hidden="1">{#N/A,#N/A,FALSE,"bs_cons";#N/A,#N/A,FALSE,"bs_grup";#N/A,#N/A,FALSE,"bs_umpl";#N/A,#N/A,FALSE,"bs_bim";#N/A,#N/A,FALSE,"bs_bdb";#N/A,#N/A,FALSE,"bs_mq32";#N/A,#N/A,FALSE,"bs_bsrl"}</definedName>
    <definedName name="qsqw" localSheetId="22" hidden="1">{#N/A,#N/A,FALSE,"bs_cons";#N/A,#N/A,FALSE,"bs_grup";#N/A,#N/A,FALSE,"bs_umpl";#N/A,#N/A,FALSE,"bs_bim";#N/A,#N/A,FALSE,"bs_bdb";#N/A,#N/A,FALSE,"bs_mq32";#N/A,#N/A,FALSE,"bs_bsrl"}</definedName>
    <definedName name="qsqw" localSheetId="24" hidden="1">{#N/A,#N/A,FALSE,"bs_cons";#N/A,#N/A,FALSE,"bs_grup";#N/A,#N/A,FALSE,"bs_umpl";#N/A,#N/A,FALSE,"bs_bim";#N/A,#N/A,FALSE,"bs_bdb";#N/A,#N/A,FALSE,"bs_mq32";#N/A,#N/A,FALSE,"bs_bsrl"}</definedName>
    <definedName name="qsqw" localSheetId="26" hidden="1">{#N/A,#N/A,FALSE,"bs_cons";#N/A,#N/A,FALSE,"bs_grup";#N/A,#N/A,FALSE,"bs_umpl";#N/A,#N/A,FALSE,"bs_bim";#N/A,#N/A,FALSE,"bs_bdb";#N/A,#N/A,FALSE,"bs_mq32";#N/A,#N/A,FALSE,"bs_bsrl"}</definedName>
    <definedName name="qsqw" localSheetId="28" hidden="1">{#N/A,#N/A,FALSE,"bs_cons";#N/A,#N/A,FALSE,"bs_grup";#N/A,#N/A,FALSE,"bs_umpl";#N/A,#N/A,FALSE,"bs_bim";#N/A,#N/A,FALSE,"bs_bdb";#N/A,#N/A,FALSE,"bs_mq32";#N/A,#N/A,FALSE,"bs_bsrl"}</definedName>
    <definedName name="qsqw" localSheetId="30" hidden="1">{#N/A,#N/A,FALSE,"bs_cons";#N/A,#N/A,FALSE,"bs_grup";#N/A,#N/A,FALSE,"bs_umpl";#N/A,#N/A,FALSE,"bs_bim";#N/A,#N/A,FALSE,"bs_bdb";#N/A,#N/A,FALSE,"bs_mq32";#N/A,#N/A,FALSE,"bs_bsrl"}</definedName>
    <definedName name="qsqw" localSheetId="32" hidden="1">{#N/A,#N/A,FALSE,"bs_cons";#N/A,#N/A,FALSE,"bs_grup";#N/A,#N/A,FALSE,"bs_umpl";#N/A,#N/A,FALSE,"bs_bim";#N/A,#N/A,FALSE,"bs_bdb";#N/A,#N/A,FALSE,"bs_mq32";#N/A,#N/A,FALSE,"bs_bsrl"}</definedName>
    <definedName name="qsqw" localSheetId="34" hidden="1">{#N/A,#N/A,FALSE,"bs_cons";#N/A,#N/A,FALSE,"bs_grup";#N/A,#N/A,FALSE,"bs_umpl";#N/A,#N/A,FALSE,"bs_bim";#N/A,#N/A,FALSE,"bs_bdb";#N/A,#N/A,FALSE,"bs_mq32";#N/A,#N/A,FALSE,"bs_bsrl"}</definedName>
    <definedName name="qsqw" localSheetId="36" hidden="1">{#N/A,#N/A,FALSE,"bs_cons";#N/A,#N/A,FALSE,"bs_grup";#N/A,#N/A,FALSE,"bs_umpl";#N/A,#N/A,FALSE,"bs_bim";#N/A,#N/A,FALSE,"bs_bdb";#N/A,#N/A,FALSE,"bs_mq32";#N/A,#N/A,FALSE,"bs_bsrl"}</definedName>
    <definedName name="qsqw" localSheetId="38" hidden="1">{#N/A,#N/A,FALSE,"bs_cons";#N/A,#N/A,FALSE,"bs_grup";#N/A,#N/A,FALSE,"bs_umpl";#N/A,#N/A,FALSE,"bs_bim";#N/A,#N/A,FALSE,"bs_bdb";#N/A,#N/A,FALSE,"bs_mq32";#N/A,#N/A,FALSE,"bs_bsrl"}</definedName>
    <definedName name="qsqw" hidden="1">{#N/A,#N/A,FALSE,"bs_cons";#N/A,#N/A,FALSE,"bs_grup";#N/A,#N/A,FALSE,"bs_umpl";#N/A,#N/A,FALSE,"bs_bim";#N/A,#N/A,FALSE,"bs_bdb";#N/A,#N/A,FALSE,"bs_mq32";#N/A,#N/A,FALSE,"bs_bsrl"}</definedName>
    <definedName name="qsty" localSheetId="3" hidden="1">{"NOPCAPEVA",#N/A,FALSE,"Nopat";"FCFCSTAR",#N/A,FALSE,"FCFVAL";"EVAVL",#N/A,FALSE,"EVAVAL";"LEASE",#N/A,FALSE,"OpLease"}</definedName>
    <definedName name="qsty" localSheetId="5" hidden="1">{"NOPCAPEVA",#N/A,FALSE,"Nopat";"FCFCSTAR",#N/A,FALSE,"FCFVAL";"EVAVL",#N/A,FALSE,"EVAVAL";"LEASE",#N/A,FALSE,"OpLease"}</definedName>
    <definedName name="qsty" localSheetId="8" hidden="1">{"NOPCAPEVA",#N/A,FALSE,"Nopat";"FCFCSTAR",#N/A,FALSE,"FCFVAL";"EVAVL",#N/A,FALSE,"EVAVAL";"LEASE",#N/A,FALSE,"OpLease"}</definedName>
    <definedName name="qsty" localSheetId="10" hidden="1">{"NOPCAPEVA",#N/A,FALSE,"Nopat";"FCFCSTAR",#N/A,FALSE,"FCFVAL";"EVAVL",#N/A,FALSE,"EVAVAL";"LEASE",#N/A,FALSE,"OpLease"}</definedName>
    <definedName name="qsty" localSheetId="12" hidden="1">{"NOPCAPEVA",#N/A,FALSE,"Nopat";"FCFCSTAR",#N/A,FALSE,"FCFVAL";"EVAVL",#N/A,FALSE,"EVAVAL";"LEASE",#N/A,FALSE,"OpLease"}</definedName>
    <definedName name="qsty" localSheetId="14" hidden="1">{"NOPCAPEVA",#N/A,FALSE,"Nopat";"FCFCSTAR",#N/A,FALSE,"FCFVAL";"EVAVL",#N/A,FALSE,"EVAVAL";"LEASE",#N/A,FALSE,"OpLease"}</definedName>
    <definedName name="qsty" localSheetId="16" hidden="1">{"NOPCAPEVA",#N/A,FALSE,"Nopat";"FCFCSTAR",#N/A,FALSE,"FCFVAL";"EVAVL",#N/A,FALSE,"EVAVAL";"LEASE",#N/A,FALSE,"OpLease"}</definedName>
    <definedName name="qsty" localSheetId="22" hidden="1">{"NOPCAPEVA",#N/A,FALSE,"Nopat";"FCFCSTAR",#N/A,FALSE,"FCFVAL";"EVAVL",#N/A,FALSE,"EVAVAL";"LEASE",#N/A,FALSE,"OpLease"}</definedName>
    <definedName name="qsty" localSheetId="24" hidden="1">{"NOPCAPEVA",#N/A,FALSE,"Nopat";"FCFCSTAR",#N/A,FALSE,"FCFVAL";"EVAVL",#N/A,FALSE,"EVAVAL";"LEASE",#N/A,FALSE,"OpLease"}</definedName>
    <definedName name="qsty" localSheetId="26" hidden="1">{"NOPCAPEVA",#N/A,FALSE,"Nopat";"FCFCSTAR",#N/A,FALSE,"FCFVAL";"EVAVL",#N/A,FALSE,"EVAVAL";"LEASE",#N/A,FALSE,"OpLease"}</definedName>
    <definedName name="qsty" localSheetId="28" hidden="1">{"NOPCAPEVA",#N/A,FALSE,"Nopat";"FCFCSTAR",#N/A,FALSE,"FCFVAL";"EVAVL",#N/A,FALSE,"EVAVAL";"LEASE",#N/A,FALSE,"OpLease"}</definedName>
    <definedName name="qsty" localSheetId="30" hidden="1">{"NOPCAPEVA",#N/A,FALSE,"Nopat";"FCFCSTAR",#N/A,FALSE,"FCFVAL";"EVAVL",#N/A,FALSE,"EVAVAL";"LEASE",#N/A,FALSE,"OpLease"}</definedName>
    <definedName name="qsty" localSheetId="32" hidden="1">{"NOPCAPEVA",#N/A,FALSE,"Nopat";"FCFCSTAR",#N/A,FALSE,"FCFVAL";"EVAVL",#N/A,FALSE,"EVAVAL";"LEASE",#N/A,FALSE,"OpLease"}</definedName>
    <definedName name="qsty" localSheetId="34" hidden="1">{"NOPCAPEVA",#N/A,FALSE,"Nopat";"FCFCSTAR",#N/A,FALSE,"FCFVAL";"EVAVL",#N/A,FALSE,"EVAVAL";"LEASE",#N/A,FALSE,"OpLease"}</definedName>
    <definedName name="qsty" localSheetId="36" hidden="1">{"NOPCAPEVA",#N/A,FALSE,"Nopat";"FCFCSTAR",#N/A,FALSE,"FCFVAL";"EVAVL",#N/A,FALSE,"EVAVAL";"LEASE",#N/A,FALSE,"OpLease"}</definedName>
    <definedName name="qsty" localSheetId="38" hidden="1">{"NOPCAPEVA",#N/A,FALSE,"Nopat";"FCFCSTAR",#N/A,FALSE,"FCFVAL";"EVAVL",#N/A,FALSE,"EVAVAL";"LEASE",#N/A,FALSE,"OpLease"}</definedName>
    <definedName name="qsty" hidden="1">{"NOPCAPEVA",#N/A,FALSE,"Nopat";"FCFCSTAR",#N/A,FALSE,"FCFVAL";"EVAVL",#N/A,FALSE,"EVAVAL";"LEASE",#N/A,FALSE,"OpLease"}</definedName>
    <definedName name="Question1">#REF!</definedName>
    <definedName name="Question10">#REF!</definedName>
    <definedName name="Question11">#REF!</definedName>
    <definedName name="question12">#REF!</definedName>
    <definedName name="question13">#REF!</definedName>
    <definedName name="question14">#REF!</definedName>
    <definedName name="question15">#REF!</definedName>
    <definedName name="question16">#REF!</definedName>
    <definedName name="question17">#REF!</definedName>
    <definedName name="question18">#REF!</definedName>
    <definedName name="question19">#REF!</definedName>
    <definedName name="Question2">#REF!</definedName>
    <definedName name="question20">#REF!</definedName>
    <definedName name="Question3">#REF!</definedName>
    <definedName name="Question4">#REF!</definedName>
    <definedName name="Question5">#REF!</definedName>
    <definedName name="Question6">#REF!</definedName>
    <definedName name="Question7">#REF!</definedName>
    <definedName name="question7a">#REF!</definedName>
    <definedName name="Question8">#REF!</definedName>
    <definedName name="Question9">#REF!</definedName>
    <definedName name="RANGE">#REF!</definedName>
    <definedName name="RANGE1">#REF!</definedName>
    <definedName name="Rates">#REF!</definedName>
    <definedName name="Rates_FY05">#REF!</definedName>
    <definedName name="rba">#REF!</definedName>
    <definedName name="RCArea" hidden="1">#REF!</definedName>
    <definedName name="rdh" localSheetId="3" hidden="1">{"NOPCAPEVA",#N/A,FALSE,"Nopat";"FCFCSTAR",#N/A,FALSE,"FCFVAL";"EVAVL",#N/A,FALSE,"EVAVAL";"LEASE",#N/A,FALSE,"OpLease"}</definedName>
    <definedName name="rdh" localSheetId="5" hidden="1">{"NOPCAPEVA",#N/A,FALSE,"Nopat";"FCFCSTAR",#N/A,FALSE,"FCFVAL";"EVAVL",#N/A,FALSE,"EVAVAL";"LEASE",#N/A,FALSE,"OpLease"}</definedName>
    <definedName name="rdh" localSheetId="8" hidden="1">{"NOPCAPEVA",#N/A,FALSE,"Nopat";"FCFCSTAR",#N/A,FALSE,"FCFVAL";"EVAVL",#N/A,FALSE,"EVAVAL";"LEASE",#N/A,FALSE,"OpLease"}</definedName>
    <definedName name="rdh" localSheetId="10" hidden="1">{"NOPCAPEVA",#N/A,FALSE,"Nopat";"FCFCSTAR",#N/A,FALSE,"FCFVAL";"EVAVL",#N/A,FALSE,"EVAVAL";"LEASE",#N/A,FALSE,"OpLease"}</definedName>
    <definedName name="rdh" localSheetId="12" hidden="1">{"NOPCAPEVA",#N/A,FALSE,"Nopat";"FCFCSTAR",#N/A,FALSE,"FCFVAL";"EVAVL",#N/A,FALSE,"EVAVAL";"LEASE",#N/A,FALSE,"OpLease"}</definedName>
    <definedName name="rdh" localSheetId="14" hidden="1">{"NOPCAPEVA",#N/A,FALSE,"Nopat";"FCFCSTAR",#N/A,FALSE,"FCFVAL";"EVAVL",#N/A,FALSE,"EVAVAL";"LEASE",#N/A,FALSE,"OpLease"}</definedName>
    <definedName name="rdh" localSheetId="16" hidden="1">{"NOPCAPEVA",#N/A,FALSE,"Nopat";"FCFCSTAR",#N/A,FALSE,"FCFVAL";"EVAVL",#N/A,FALSE,"EVAVAL";"LEASE",#N/A,FALSE,"OpLease"}</definedName>
    <definedName name="rdh" localSheetId="22" hidden="1">{"NOPCAPEVA",#N/A,FALSE,"Nopat";"FCFCSTAR",#N/A,FALSE,"FCFVAL";"EVAVL",#N/A,FALSE,"EVAVAL";"LEASE",#N/A,FALSE,"OpLease"}</definedName>
    <definedName name="rdh" localSheetId="24" hidden="1">{"NOPCAPEVA",#N/A,FALSE,"Nopat";"FCFCSTAR",#N/A,FALSE,"FCFVAL";"EVAVL",#N/A,FALSE,"EVAVAL";"LEASE",#N/A,FALSE,"OpLease"}</definedName>
    <definedName name="rdh" localSheetId="26" hidden="1">{"NOPCAPEVA",#N/A,FALSE,"Nopat";"FCFCSTAR",#N/A,FALSE,"FCFVAL";"EVAVL",#N/A,FALSE,"EVAVAL";"LEASE",#N/A,FALSE,"OpLease"}</definedName>
    <definedName name="rdh" localSheetId="28" hidden="1">{"NOPCAPEVA",#N/A,FALSE,"Nopat";"FCFCSTAR",#N/A,FALSE,"FCFVAL";"EVAVL",#N/A,FALSE,"EVAVAL";"LEASE",#N/A,FALSE,"OpLease"}</definedName>
    <definedName name="rdh" localSheetId="30" hidden="1">{"NOPCAPEVA",#N/A,FALSE,"Nopat";"FCFCSTAR",#N/A,FALSE,"FCFVAL";"EVAVL",#N/A,FALSE,"EVAVAL";"LEASE",#N/A,FALSE,"OpLease"}</definedName>
    <definedName name="rdh" localSheetId="32" hidden="1">{"NOPCAPEVA",#N/A,FALSE,"Nopat";"FCFCSTAR",#N/A,FALSE,"FCFVAL";"EVAVL",#N/A,FALSE,"EVAVAL";"LEASE",#N/A,FALSE,"OpLease"}</definedName>
    <definedName name="rdh" localSheetId="34" hidden="1">{"NOPCAPEVA",#N/A,FALSE,"Nopat";"FCFCSTAR",#N/A,FALSE,"FCFVAL";"EVAVL",#N/A,FALSE,"EVAVAL";"LEASE",#N/A,FALSE,"OpLease"}</definedName>
    <definedName name="rdh" localSheetId="36" hidden="1">{"NOPCAPEVA",#N/A,FALSE,"Nopat";"FCFCSTAR",#N/A,FALSE,"FCFVAL";"EVAVL",#N/A,FALSE,"EVAVAL";"LEASE",#N/A,FALSE,"OpLease"}</definedName>
    <definedName name="rdh" localSheetId="38" hidden="1">{"NOPCAPEVA",#N/A,FALSE,"Nopat";"FCFCSTAR",#N/A,FALSE,"FCFVAL";"EVAVL",#N/A,FALSE,"EVAVAL";"LEASE",#N/A,FALSE,"OpLease"}</definedName>
    <definedName name="rdh" hidden="1">{"NOPCAPEVA",#N/A,FALSE,"Nopat";"FCFCSTAR",#N/A,FALSE,"FCFVAL";"EVAVL",#N/A,FALSE,"EVAVAL";"LEASE",#N/A,FALSE,"OpLease"}</definedName>
    <definedName name="re" localSheetId="3" hidden="1">{"NOPCAPEVA",#N/A,FALSE,"Nopat";"FCFCSTAR",#N/A,FALSE,"FCFVAL";"EVAVL",#N/A,FALSE,"EVAVAL";"LEASE",#N/A,FALSE,"OpLease"}</definedName>
    <definedName name="re" localSheetId="5" hidden="1">{"NOPCAPEVA",#N/A,FALSE,"Nopat";"FCFCSTAR",#N/A,FALSE,"FCFVAL";"EVAVL",#N/A,FALSE,"EVAVAL";"LEASE",#N/A,FALSE,"OpLease"}</definedName>
    <definedName name="re" localSheetId="8" hidden="1">{"NOPCAPEVA",#N/A,FALSE,"Nopat";"FCFCSTAR",#N/A,FALSE,"FCFVAL";"EVAVL",#N/A,FALSE,"EVAVAL";"LEASE",#N/A,FALSE,"OpLease"}</definedName>
    <definedName name="re" localSheetId="10" hidden="1">{"NOPCAPEVA",#N/A,FALSE,"Nopat";"FCFCSTAR",#N/A,FALSE,"FCFVAL";"EVAVL",#N/A,FALSE,"EVAVAL";"LEASE",#N/A,FALSE,"OpLease"}</definedName>
    <definedName name="re" localSheetId="12" hidden="1">{"NOPCAPEVA",#N/A,FALSE,"Nopat";"FCFCSTAR",#N/A,FALSE,"FCFVAL";"EVAVL",#N/A,FALSE,"EVAVAL";"LEASE",#N/A,FALSE,"OpLease"}</definedName>
    <definedName name="re" localSheetId="14" hidden="1">{"NOPCAPEVA",#N/A,FALSE,"Nopat";"FCFCSTAR",#N/A,FALSE,"FCFVAL";"EVAVL",#N/A,FALSE,"EVAVAL";"LEASE",#N/A,FALSE,"OpLease"}</definedName>
    <definedName name="re" localSheetId="16" hidden="1">{"NOPCAPEVA",#N/A,FALSE,"Nopat";"FCFCSTAR",#N/A,FALSE,"FCFVAL";"EVAVL",#N/A,FALSE,"EVAVAL";"LEASE",#N/A,FALSE,"OpLease"}</definedName>
    <definedName name="re" localSheetId="22" hidden="1">{"NOPCAPEVA",#N/A,FALSE,"Nopat";"FCFCSTAR",#N/A,FALSE,"FCFVAL";"EVAVL",#N/A,FALSE,"EVAVAL";"LEASE",#N/A,FALSE,"OpLease"}</definedName>
    <definedName name="re" localSheetId="24" hidden="1">{"NOPCAPEVA",#N/A,FALSE,"Nopat";"FCFCSTAR",#N/A,FALSE,"FCFVAL";"EVAVL",#N/A,FALSE,"EVAVAL";"LEASE",#N/A,FALSE,"OpLease"}</definedName>
    <definedName name="re" localSheetId="26" hidden="1">{"NOPCAPEVA",#N/A,FALSE,"Nopat";"FCFCSTAR",#N/A,FALSE,"FCFVAL";"EVAVL",#N/A,FALSE,"EVAVAL";"LEASE",#N/A,FALSE,"OpLease"}</definedName>
    <definedName name="re" localSheetId="28" hidden="1">{"NOPCAPEVA",#N/A,FALSE,"Nopat";"FCFCSTAR",#N/A,FALSE,"FCFVAL";"EVAVL",#N/A,FALSE,"EVAVAL";"LEASE",#N/A,FALSE,"OpLease"}</definedName>
    <definedName name="re" localSheetId="30" hidden="1">{"NOPCAPEVA",#N/A,FALSE,"Nopat";"FCFCSTAR",#N/A,FALSE,"FCFVAL";"EVAVL",#N/A,FALSE,"EVAVAL";"LEASE",#N/A,FALSE,"OpLease"}</definedName>
    <definedName name="re" localSheetId="32" hidden="1">{"NOPCAPEVA",#N/A,FALSE,"Nopat";"FCFCSTAR",#N/A,FALSE,"FCFVAL";"EVAVL",#N/A,FALSE,"EVAVAL";"LEASE",#N/A,FALSE,"OpLease"}</definedName>
    <definedName name="re" localSheetId="34" hidden="1">{"NOPCAPEVA",#N/A,FALSE,"Nopat";"FCFCSTAR",#N/A,FALSE,"FCFVAL";"EVAVL",#N/A,FALSE,"EVAVAL";"LEASE",#N/A,FALSE,"OpLease"}</definedName>
    <definedName name="re" localSheetId="36" hidden="1">{"NOPCAPEVA",#N/A,FALSE,"Nopat";"FCFCSTAR",#N/A,FALSE,"FCFVAL";"EVAVL",#N/A,FALSE,"EVAVAL";"LEASE",#N/A,FALSE,"OpLease"}</definedName>
    <definedName name="re" localSheetId="38" hidden="1">{"NOPCAPEVA",#N/A,FALSE,"Nopat";"FCFCSTAR",#N/A,FALSE,"FCFVAL";"EVAVL",#N/A,FALSE,"EVAVAL";"LEASE",#N/A,FALSE,"OpLease"}</definedName>
    <definedName name="re" hidden="1">{"NOPCAPEVA",#N/A,FALSE,"Nopat";"FCFCSTAR",#N/A,FALSE,"FCFVAL";"EVAVL",#N/A,FALSE,"EVAVAL";"LEASE",#N/A,FALSE,"OpLease"}</definedName>
    <definedName name="rec">#REF!</definedName>
    <definedName name="Rec.Support">#REF!</definedName>
    <definedName name="_xlnm.Recorder">#REF!</definedName>
    <definedName name="regtd" localSheetId="3" hidden="1">{"NOPCAPEVA",#N/A,FALSE,"Nopat";"FCFCSTAR",#N/A,FALSE,"FCFVAL";"EVAVL",#N/A,FALSE,"EVAVAL";"LEASE",#N/A,FALSE,"OpLease"}</definedName>
    <definedName name="regtd" localSheetId="5" hidden="1">{"NOPCAPEVA",#N/A,FALSE,"Nopat";"FCFCSTAR",#N/A,FALSE,"FCFVAL";"EVAVL",#N/A,FALSE,"EVAVAL";"LEASE",#N/A,FALSE,"OpLease"}</definedName>
    <definedName name="regtd" localSheetId="8" hidden="1">{"NOPCAPEVA",#N/A,FALSE,"Nopat";"FCFCSTAR",#N/A,FALSE,"FCFVAL";"EVAVL",#N/A,FALSE,"EVAVAL";"LEASE",#N/A,FALSE,"OpLease"}</definedName>
    <definedName name="regtd" localSheetId="10" hidden="1">{"NOPCAPEVA",#N/A,FALSE,"Nopat";"FCFCSTAR",#N/A,FALSE,"FCFVAL";"EVAVL",#N/A,FALSE,"EVAVAL";"LEASE",#N/A,FALSE,"OpLease"}</definedName>
    <definedName name="regtd" localSheetId="12" hidden="1">{"NOPCAPEVA",#N/A,FALSE,"Nopat";"FCFCSTAR",#N/A,FALSE,"FCFVAL";"EVAVL",#N/A,FALSE,"EVAVAL";"LEASE",#N/A,FALSE,"OpLease"}</definedName>
    <definedName name="regtd" localSheetId="14" hidden="1">{"NOPCAPEVA",#N/A,FALSE,"Nopat";"FCFCSTAR",#N/A,FALSE,"FCFVAL";"EVAVL",#N/A,FALSE,"EVAVAL";"LEASE",#N/A,FALSE,"OpLease"}</definedName>
    <definedName name="regtd" localSheetId="16" hidden="1">{"NOPCAPEVA",#N/A,FALSE,"Nopat";"FCFCSTAR",#N/A,FALSE,"FCFVAL";"EVAVL",#N/A,FALSE,"EVAVAL";"LEASE",#N/A,FALSE,"OpLease"}</definedName>
    <definedName name="regtd" localSheetId="22" hidden="1">{"NOPCAPEVA",#N/A,FALSE,"Nopat";"FCFCSTAR",#N/A,FALSE,"FCFVAL";"EVAVL",#N/A,FALSE,"EVAVAL";"LEASE",#N/A,FALSE,"OpLease"}</definedName>
    <definedName name="regtd" localSheetId="24" hidden="1">{"NOPCAPEVA",#N/A,FALSE,"Nopat";"FCFCSTAR",#N/A,FALSE,"FCFVAL";"EVAVL",#N/A,FALSE,"EVAVAL";"LEASE",#N/A,FALSE,"OpLease"}</definedName>
    <definedName name="regtd" localSheetId="26" hidden="1">{"NOPCAPEVA",#N/A,FALSE,"Nopat";"FCFCSTAR",#N/A,FALSE,"FCFVAL";"EVAVL",#N/A,FALSE,"EVAVAL";"LEASE",#N/A,FALSE,"OpLease"}</definedName>
    <definedName name="regtd" localSheetId="28" hidden="1">{"NOPCAPEVA",#N/A,FALSE,"Nopat";"FCFCSTAR",#N/A,FALSE,"FCFVAL";"EVAVL",#N/A,FALSE,"EVAVAL";"LEASE",#N/A,FALSE,"OpLease"}</definedName>
    <definedName name="regtd" localSheetId="30" hidden="1">{"NOPCAPEVA",#N/A,FALSE,"Nopat";"FCFCSTAR",#N/A,FALSE,"FCFVAL";"EVAVL",#N/A,FALSE,"EVAVAL";"LEASE",#N/A,FALSE,"OpLease"}</definedName>
    <definedName name="regtd" localSheetId="32" hidden="1">{"NOPCAPEVA",#N/A,FALSE,"Nopat";"FCFCSTAR",#N/A,FALSE,"FCFVAL";"EVAVL",#N/A,FALSE,"EVAVAL";"LEASE",#N/A,FALSE,"OpLease"}</definedName>
    <definedName name="regtd" localSheetId="34" hidden="1">{"NOPCAPEVA",#N/A,FALSE,"Nopat";"FCFCSTAR",#N/A,FALSE,"FCFVAL";"EVAVL",#N/A,FALSE,"EVAVAL";"LEASE",#N/A,FALSE,"OpLease"}</definedName>
    <definedName name="regtd" localSheetId="36" hidden="1">{"NOPCAPEVA",#N/A,FALSE,"Nopat";"FCFCSTAR",#N/A,FALSE,"FCFVAL";"EVAVL",#N/A,FALSE,"EVAVAL";"LEASE",#N/A,FALSE,"OpLease"}</definedName>
    <definedName name="regtd" localSheetId="38" hidden="1">{"NOPCAPEVA",#N/A,FALSE,"Nopat";"FCFCSTAR",#N/A,FALSE,"FCFVAL";"EVAVL",#N/A,FALSE,"EVAVAL";"LEASE",#N/A,FALSE,"OpLease"}</definedName>
    <definedName name="regtd" hidden="1">{"NOPCAPEVA",#N/A,FALSE,"Nopat";"FCFCSTAR",#N/A,FALSE,"FCFVAL";"EVAVL",#N/A,FALSE,"EVAVAL";"LEASE",#N/A,FALSE,"OpLease"}</definedName>
    <definedName name="Regular_Escrow_Cash_Amount">#REF!</definedName>
    <definedName name="RENEWALS">#REF!</definedName>
    <definedName name="Reporting_Standard">#REF!</definedName>
    <definedName name="request">#REF!</definedName>
    <definedName name="Reserve">#REF!</definedName>
    <definedName name="ResNameID">#REF!</definedName>
    <definedName name="Resource_Table">#REF!</definedName>
    <definedName name="Revenue">#REF!</definedName>
    <definedName name="RevenuePotential">#REF!</definedName>
    <definedName name="rewq" localSheetId="3" hidden="1">{"NOPCAPEVA",#N/A,FALSE,"Nopat";"FCFCSTAR",#N/A,FALSE,"FCFVAL";"EVAVL",#N/A,FALSE,"EVAVAL";"LEASE",#N/A,FALSE,"OpLease"}</definedName>
    <definedName name="rewq" localSheetId="5" hidden="1">{"NOPCAPEVA",#N/A,FALSE,"Nopat";"FCFCSTAR",#N/A,FALSE,"FCFVAL";"EVAVL",#N/A,FALSE,"EVAVAL";"LEASE",#N/A,FALSE,"OpLease"}</definedName>
    <definedName name="rewq" localSheetId="8" hidden="1">{"NOPCAPEVA",#N/A,FALSE,"Nopat";"FCFCSTAR",#N/A,FALSE,"FCFVAL";"EVAVL",#N/A,FALSE,"EVAVAL";"LEASE",#N/A,FALSE,"OpLease"}</definedName>
    <definedName name="rewq" localSheetId="10" hidden="1">{"NOPCAPEVA",#N/A,FALSE,"Nopat";"FCFCSTAR",#N/A,FALSE,"FCFVAL";"EVAVL",#N/A,FALSE,"EVAVAL";"LEASE",#N/A,FALSE,"OpLease"}</definedName>
    <definedName name="rewq" localSheetId="12" hidden="1">{"NOPCAPEVA",#N/A,FALSE,"Nopat";"FCFCSTAR",#N/A,FALSE,"FCFVAL";"EVAVL",#N/A,FALSE,"EVAVAL";"LEASE",#N/A,FALSE,"OpLease"}</definedName>
    <definedName name="rewq" localSheetId="14" hidden="1">{"NOPCAPEVA",#N/A,FALSE,"Nopat";"FCFCSTAR",#N/A,FALSE,"FCFVAL";"EVAVL",#N/A,FALSE,"EVAVAL";"LEASE",#N/A,FALSE,"OpLease"}</definedName>
    <definedName name="rewq" localSheetId="16" hidden="1">{"NOPCAPEVA",#N/A,FALSE,"Nopat";"FCFCSTAR",#N/A,FALSE,"FCFVAL";"EVAVL",#N/A,FALSE,"EVAVAL";"LEASE",#N/A,FALSE,"OpLease"}</definedName>
    <definedName name="rewq" localSheetId="22" hidden="1">{"NOPCAPEVA",#N/A,FALSE,"Nopat";"FCFCSTAR",#N/A,FALSE,"FCFVAL";"EVAVL",#N/A,FALSE,"EVAVAL";"LEASE",#N/A,FALSE,"OpLease"}</definedName>
    <definedName name="rewq" localSheetId="24" hidden="1">{"NOPCAPEVA",#N/A,FALSE,"Nopat";"FCFCSTAR",#N/A,FALSE,"FCFVAL";"EVAVL",#N/A,FALSE,"EVAVAL";"LEASE",#N/A,FALSE,"OpLease"}</definedName>
    <definedName name="rewq" localSheetId="26" hidden="1">{"NOPCAPEVA",#N/A,FALSE,"Nopat";"FCFCSTAR",#N/A,FALSE,"FCFVAL";"EVAVL",#N/A,FALSE,"EVAVAL";"LEASE",#N/A,FALSE,"OpLease"}</definedName>
    <definedName name="rewq" localSheetId="28" hidden="1">{"NOPCAPEVA",#N/A,FALSE,"Nopat";"FCFCSTAR",#N/A,FALSE,"FCFVAL";"EVAVL",#N/A,FALSE,"EVAVAL";"LEASE",#N/A,FALSE,"OpLease"}</definedName>
    <definedName name="rewq" localSheetId="30" hidden="1">{"NOPCAPEVA",#N/A,FALSE,"Nopat";"FCFCSTAR",#N/A,FALSE,"FCFVAL";"EVAVL",#N/A,FALSE,"EVAVAL";"LEASE",#N/A,FALSE,"OpLease"}</definedName>
    <definedName name="rewq" localSheetId="32" hidden="1">{"NOPCAPEVA",#N/A,FALSE,"Nopat";"FCFCSTAR",#N/A,FALSE,"FCFVAL";"EVAVL",#N/A,FALSE,"EVAVAL";"LEASE",#N/A,FALSE,"OpLease"}</definedName>
    <definedName name="rewq" localSheetId="34" hidden="1">{"NOPCAPEVA",#N/A,FALSE,"Nopat";"FCFCSTAR",#N/A,FALSE,"FCFVAL";"EVAVL",#N/A,FALSE,"EVAVAL";"LEASE",#N/A,FALSE,"OpLease"}</definedName>
    <definedName name="rewq" localSheetId="36" hidden="1">{"NOPCAPEVA",#N/A,FALSE,"Nopat";"FCFCSTAR",#N/A,FALSE,"FCFVAL";"EVAVL",#N/A,FALSE,"EVAVAL";"LEASE",#N/A,FALSE,"OpLease"}</definedName>
    <definedName name="rewq" localSheetId="38" hidden="1">{"NOPCAPEVA",#N/A,FALSE,"Nopat";"FCFCSTAR",#N/A,FALSE,"FCFVAL";"EVAVL",#N/A,FALSE,"EVAVAL";"LEASE",#N/A,FALSE,"OpLease"}</definedName>
    <definedName name="rewq" hidden="1">{"NOPCAPEVA",#N/A,FALSE,"Nopat";"FCFCSTAR",#N/A,FALSE,"FCFVAL";"EVAVL",#N/A,FALSE,"EVAVAL";"LEASE",#N/A,FALSE,"OpLease"}</definedName>
    <definedName name="rey" localSheetId="3" hidden="1">{"NOPCAPEVA",#N/A,FALSE,"Nopat";"FCFCSTAR",#N/A,FALSE,"FCFVAL";"EVAVL",#N/A,FALSE,"EVAVAL";"LEASE",#N/A,FALSE,"OpLease"}</definedName>
    <definedName name="rey" localSheetId="5" hidden="1">{"NOPCAPEVA",#N/A,FALSE,"Nopat";"FCFCSTAR",#N/A,FALSE,"FCFVAL";"EVAVL",#N/A,FALSE,"EVAVAL";"LEASE",#N/A,FALSE,"OpLease"}</definedName>
    <definedName name="rey" localSheetId="8" hidden="1">{"NOPCAPEVA",#N/A,FALSE,"Nopat";"FCFCSTAR",#N/A,FALSE,"FCFVAL";"EVAVL",#N/A,FALSE,"EVAVAL";"LEASE",#N/A,FALSE,"OpLease"}</definedName>
    <definedName name="rey" localSheetId="10" hidden="1">{"NOPCAPEVA",#N/A,FALSE,"Nopat";"FCFCSTAR",#N/A,FALSE,"FCFVAL";"EVAVL",#N/A,FALSE,"EVAVAL";"LEASE",#N/A,FALSE,"OpLease"}</definedName>
    <definedName name="rey" localSheetId="12" hidden="1">{"NOPCAPEVA",#N/A,FALSE,"Nopat";"FCFCSTAR",#N/A,FALSE,"FCFVAL";"EVAVL",#N/A,FALSE,"EVAVAL";"LEASE",#N/A,FALSE,"OpLease"}</definedName>
    <definedName name="rey" localSheetId="14" hidden="1">{"NOPCAPEVA",#N/A,FALSE,"Nopat";"FCFCSTAR",#N/A,FALSE,"FCFVAL";"EVAVL",#N/A,FALSE,"EVAVAL";"LEASE",#N/A,FALSE,"OpLease"}</definedName>
    <definedName name="rey" localSheetId="16" hidden="1">{"NOPCAPEVA",#N/A,FALSE,"Nopat";"FCFCSTAR",#N/A,FALSE,"FCFVAL";"EVAVL",#N/A,FALSE,"EVAVAL";"LEASE",#N/A,FALSE,"OpLease"}</definedName>
    <definedName name="rey" localSheetId="22" hidden="1">{"NOPCAPEVA",#N/A,FALSE,"Nopat";"FCFCSTAR",#N/A,FALSE,"FCFVAL";"EVAVL",#N/A,FALSE,"EVAVAL";"LEASE",#N/A,FALSE,"OpLease"}</definedName>
    <definedName name="rey" localSheetId="24" hidden="1">{"NOPCAPEVA",#N/A,FALSE,"Nopat";"FCFCSTAR",#N/A,FALSE,"FCFVAL";"EVAVL",#N/A,FALSE,"EVAVAL";"LEASE",#N/A,FALSE,"OpLease"}</definedName>
    <definedName name="rey" localSheetId="26" hidden="1">{"NOPCAPEVA",#N/A,FALSE,"Nopat";"FCFCSTAR",#N/A,FALSE,"FCFVAL";"EVAVL",#N/A,FALSE,"EVAVAL";"LEASE",#N/A,FALSE,"OpLease"}</definedName>
    <definedName name="rey" localSheetId="28" hidden="1">{"NOPCAPEVA",#N/A,FALSE,"Nopat";"FCFCSTAR",#N/A,FALSE,"FCFVAL";"EVAVL",#N/A,FALSE,"EVAVAL";"LEASE",#N/A,FALSE,"OpLease"}</definedName>
    <definedName name="rey" localSheetId="30" hidden="1">{"NOPCAPEVA",#N/A,FALSE,"Nopat";"FCFCSTAR",#N/A,FALSE,"FCFVAL";"EVAVL",#N/A,FALSE,"EVAVAL";"LEASE",#N/A,FALSE,"OpLease"}</definedName>
    <definedName name="rey" localSheetId="32" hidden="1">{"NOPCAPEVA",#N/A,FALSE,"Nopat";"FCFCSTAR",#N/A,FALSE,"FCFVAL";"EVAVL",#N/A,FALSE,"EVAVAL";"LEASE",#N/A,FALSE,"OpLease"}</definedName>
    <definedName name="rey" localSheetId="34" hidden="1">{"NOPCAPEVA",#N/A,FALSE,"Nopat";"FCFCSTAR",#N/A,FALSE,"FCFVAL";"EVAVL",#N/A,FALSE,"EVAVAL";"LEASE",#N/A,FALSE,"OpLease"}</definedName>
    <definedName name="rey" localSheetId="36" hidden="1">{"NOPCAPEVA",#N/A,FALSE,"Nopat";"FCFCSTAR",#N/A,FALSE,"FCFVAL";"EVAVL",#N/A,FALSE,"EVAVAL";"LEASE",#N/A,FALSE,"OpLease"}</definedName>
    <definedName name="rey" localSheetId="38" hidden="1">{"NOPCAPEVA",#N/A,FALSE,"Nopat";"FCFCSTAR",#N/A,FALSE,"FCFVAL";"EVAVL",#N/A,FALSE,"EVAVAL";"LEASE",#N/A,FALSE,"OpLease"}</definedName>
    <definedName name="rey" hidden="1">{"NOPCAPEVA",#N/A,FALSE,"Nopat";"FCFCSTAR",#N/A,FALSE,"FCFVAL";"EVAVL",#N/A,FALSE,"EVAVAL";"LEASE",#N/A,FALSE,"OpLease"}</definedName>
    <definedName name="rf">#REF!</definedName>
    <definedName name="RID">#REF!</definedName>
    <definedName name="RiskResponse">#REF!</definedName>
    <definedName name="risks_display">#REF!</definedName>
    <definedName name="RiskStatus">#REF!</definedName>
    <definedName name="rmb">#REF!</definedName>
    <definedName name="rmb_av">#REF!</definedName>
    <definedName name="RMB_avg">#REF!</definedName>
    <definedName name="rmb_cl">#REF!</definedName>
    <definedName name="rrrrr" localSheetId="3" hidden="1">{#N/A,#N/A,FALSE,"MAIN";#N/A,#N/A,FALSE,"MK_ASS_B";#N/A,#N/A,FALSE,"MK_ASS_R";#N/A,#N/A,FALSE,"TR_ASS_B";#N/A,#N/A,FALSE,"TR_ASS_R";#N/A,#N/A,FALSE,"ROAMING";#N/A,#N/A,FALSE,"PR_ASS_B";#N/A,#N/A,FALSE,"PR_ASS_R";#N/A,#N/A,FALSE,"PR_ASS_S"}</definedName>
    <definedName name="rrrrr" localSheetId="5" hidden="1">{#N/A,#N/A,FALSE,"MAIN";#N/A,#N/A,FALSE,"MK_ASS_B";#N/A,#N/A,FALSE,"MK_ASS_R";#N/A,#N/A,FALSE,"TR_ASS_B";#N/A,#N/A,FALSE,"TR_ASS_R";#N/A,#N/A,FALSE,"ROAMING";#N/A,#N/A,FALSE,"PR_ASS_B";#N/A,#N/A,FALSE,"PR_ASS_R";#N/A,#N/A,FALSE,"PR_ASS_S"}</definedName>
    <definedName name="rrrrr" localSheetId="8" hidden="1">{#N/A,#N/A,FALSE,"MAIN";#N/A,#N/A,FALSE,"MK_ASS_B";#N/A,#N/A,FALSE,"MK_ASS_R";#N/A,#N/A,FALSE,"TR_ASS_B";#N/A,#N/A,FALSE,"TR_ASS_R";#N/A,#N/A,FALSE,"ROAMING";#N/A,#N/A,FALSE,"PR_ASS_B";#N/A,#N/A,FALSE,"PR_ASS_R";#N/A,#N/A,FALSE,"PR_ASS_S"}</definedName>
    <definedName name="rrrrr" localSheetId="10" hidden="1">{#N/A,#N/A,FALSE,"MAIN";#N/A,#N/A,FALSE,"MK_ASS_B";#N/A,#N/A,FALSE,"MK_ASS_R";#N/A,#N/A,FALSE,"TR_ASS_B";#N/A,#N/A,FALSE,"TR_ASS_R";#N/A,#N/A,FALSE,"ROAMING";#N/A,#N/A,FALSE,"PR_ASS_B";#N/A,#N/A,FALSE,"PR_ASS_R";#N/A,#N/A,FALSE,"PR_ASS_S"}</definedName>
    <definedName name="rrrrr" localSheetId="12" hidden="1">{#N/A,#N/A,FALSE,"MAIN";#N/A,#N/A,FALSE,"MK_ASS_B";#N/A,#N/A,FALSE,"MK_ASS_R";#N/A,#N/A,FALSE,"TR_ASS_B";#N/A,#N/A,FALSE,"TR_ASS_R";#N/A,#N/A,FALSE,"ROAMING";#N/A,#N/A,FALSE,"PR_ASS_B";#N/A,#N/A,FALSE,"PR_ASS_R";#N/A,#N/A,FALSE,"PR_ASS_S"}</definedName>
    <definedName name="rrrrr" localSheetId="14" hidden="1">{#N/A,#N/A,FALSE,"MAIN";#N/A,#N/A,FALSE,"MK_ASS_B";#N/A,#N/A,FALSE,"MK_ASS_R";#N/A,#N/A,FALSE,"TR_ASS_B";#N/A,#N/A,FALSE,"TR_ASS_R";#N/A,#N/A,FALSE,"ROAMING";#N/A,#N/A,FALSE,"PR_ASS_B";#N/A,#N/A,FALSE,"PR_ASS_R";#N/A,#N/A,FALSE,"PR_ASS_S"}</definedName>
    <definedName name="rrrrr" localSheetId="16" hidden="1">{#N/A,#N/A,FALSE,"MAIN";#N/A,#N/A,FALSE,"MK_ASS_B";#N/A,#N/A,FALSE,"MK_ASS_R";#N/A,#N/A,FALSE,"TR_ASS_B";#N/A,#N/A,FALSE,"TR_ASS_R";#N/A,#N/A,FALSE,"ROAMING";#N/A,#N/A,FALSE,"PR_ASS_B";#N/A,#N/A,FALSE,"PR_ASS_R";#N/A,#N/A,FALSE,"PR_ASS_S"}</definedName>
    <definedName name="rrrrr" localSheetId="22" hidden="1">{#N/A,#N/A,FALSE,"MAIN";#N/A,#N/A,FALSE,"MK_ASS_B";#N/A,#N/A,FALSE,"MK_ASS_R";#N/A,#N/A,FALSE,"TR_ASS_B";#N/A,#N/A,FALSE,"TR_ASS_R";#N/A,#N/A,FALSE,"ROAMING";#N/A,#N/A,FALSE,"PR_ASS_B";#N/A,#N/A,FALSE,"PR_ASS_R";#N/A,#N/A,FALSE,"PR_ASS_S"}</definedName>
    <definedName name="rrrrr" localSheetId="24" hidden="1">{#N/A,#N/A,FALSE,"MAIN";#N/A,#N/A,FALSE,"MK_ASS_B";#N/A,#N/A,FALSE,"MK_ASS_R";#N/A,#N/A,FALSE,"TR_ASS_B";#N/A,#N/A,FALSE,"TR_ASS_R";#N/A,#N/A,FALSE,"ROAMING";#N/A,#N/A,FALSE,"PR_ASS_B";#N/A,#N/A,FALSE,"PR_ASS_R";#N/A,#N/A,FALSE,"PR_ASS_S"}</definedName>
    <definedName name="rrrrr" localSheetId="26" hidden="1">{#N/A,#N/A,FALSE,"MAIN";#N/A,#N/A,FALSE,"MK_ASS_B";#N/A,#N/A,FALSE,"MK_ASS_R";#N/A,#N/A,FALSE,"TR_ASS_B";#N/A,#N/A,FALSE,"TR_ASS_R";#N/A,#N/A,FALSE,"ROAMING";#N/A,#N/A,FALSE,"PR_ASS_B";#N/A,#N/A,FALSE,"PR_ASS_R";#N/A,#N/A,FALSE,"PR_ASS_S"}</definedName>
    <definedName name="rrrrr" localSheetId="28" hidden="1">{#N/A,#N/A,FALSE,"MAIN";#N/A,#N/A,FALSE,"MK_ASS_B";#N/A,#N/A,FALSE,"MK_ASS_R";#N/A,#N/A,FALSE,"TR_ASS_B";#N/A,#N/A,FALSE,"TR_ASS_R";#N/A,#N/A,FALSE,"ROAMING";#N/A,#N/A,FALSE,"PR_ASS_B";#N/A,#N/A,FALSE,"PR_ASS_R";#N/A,#N/A,FALSE,"PR_ASS_S"}</definedName>
    <definedName name="rrrrr" localSheetId="30" hidden="1">{#N/A,#N/A,FALSE,"MAIN";#N/A,#N/A,FALSE,"MK_ASS_B";#N/A,#N/A,FALSE,"MK_ASS_R";#N/A,#N/A,FALSE,"TR_ASS_B";#N/A,#N/A,FALSE,"TR_ASS_R";#N/A,#N/A,FALSE,"ROAMING";#N/A,#N/A,FALSE,"PR_ASS_B";#N/A,#N/A,FALSE,"PR_ASS_R";#N/A,#N/A,FALSE,"PR_ASS_S"}</definedName>
    <definedName name="rrrrr" localSheetId="32" hidden="1">{#N/A,#N/A,FALSE,"MAIN";#N/A,#N/A,FALSE,"MK_ASS_B";#N/A,#N/A,FALSE,"MK_ASS_R";#N/A,#N/A,FALSE,"TR_ASS_B";#N/A,#N/A,FALSE,"TR_ASS_R";#N/A,#N/A,FALSE,"ROAMING";#N/A,#N/A,FALSE,"PR_ASS_B";#N/A,#N/A,FALSE,"PR_ASS_R";#N/A,#N/A,FALSE,"PR_ASS_S"}</definedName>
    <definedName name="rrrrr" localSheetId="34" hidden="1">{#N/A,#N/A,FALSE,"MAIN";#N/A,#N/A,FALSE,"MK_ASS_B";#N/A,#N/A,FALSE,"MK_ASS_R";#N/A,#N/A,FALSE,"TR_ASS_B";#N/A,#N/A,FALSE,"TR_ASS_R";#N/A,#N/A,FALSE,"ROAMING";#N/A,#N/A,FALSE,"PR_ASS_B";#N/A,#N/A,FALSE,"PR_ASS_R";#N/A,#N/A,FALSE,"PR_ASS_S"}</definedName>
    <definedName name="rrrrr" localSheetId="36" hidden="1">{#N/A,#N/A,FALSE,"MAIN";#N/A,#N/A,FALSE,"MK_ASS_B";#N/A,#N/A,FALSE,"MK_ASS_R";#N/A,#N/A,FALSE,"TR_ASS_B";#N/A,#N/A,FALSE,"TR_ASS_R";#N/A,#N/A,FALSE,"ROAMING";#N/A,#N/A,FALSE,"PR_ASS_B";#N/A,#N/A,FALSE,"PR_ASS_R";#N/A,#N/A,FALSE,"PR_ASS_S"}</definedName>
    <definedName name="rrrrr" localSheetId="38" hidden="1">{#N/A,#N/A,FALSE,"MAIN";#N/A,#N/A,FALSE,"MK_ASS_B";#N/A,#N/A,FALSE,"MK_ASS_R";#N/A,#N/A,FALSE,"TR_ASS_B";#N/A,#N/A,FALSE,"TR_ASS_R";#N/A,#N/A,FALSE,"ROAMING";#N/A,#N/A,FALSE,"PR_ASS_B";#N/A,#N/A,FALSE,"PR_ASS_R";#N/A,#N/A,FALSE,"PR_ASS_S"}</definedName>
    <definedName name="rrrrr" hidden="1">{#N/A,#N/A,FALSE,"MAIN";#N/A,#N/A,FALSE,"MK_ASS_B";#N/A,#N/A,FALSE,"MK_ASS_R";#N/A,#N/A,FALSE,"TR_ASS_B";#N/A,#N/A,FALSE,"TR_ASS_R";#N/A,#N/A,FALSE,"ROAMING";#N/A,#N/A,FALSE,"PR_ASS_B";#N/A,#N/A,FALSE,"PR_ASS_R";#N/A,#N/A,FALSE,"PR_ASS_S"}</definedName>
    <definedName name="rsafd" localSheetId="3" hidden="1">{"AnnInc",#N/A,TRUE,"Inc";"QtrInc1",#N/A,TRUE,"Inc";"Balance",#N/A,TRUE,"Bal";"Cflow",#N/A,TRUE,"Cash"}</definedName>
    <definedName name="rsafd" localSheetId="5" hidden="1">{"AnnInc",#N/A,TRUE,"Inc";"QtrInc1",#N/A,TRUE,"Inc";"Balance",#N/A,TRUE,"Bal";"Cflow",#N/A,TRUE,"Cash"}</definedName>
    <definedName name="rsafd" localSheetId="8" hidden="1">{"AnnInc",#N/A,TRUE,"Inc";"QtrInc1",#N/A,TRUE,"Inc";"Balance",#N/A,TRUE,"Bal";"Cflow",#N/A,TRUE,"Cash"}</definedName>
    <definedName name="rsafd" localSheetId="10" hidden="1">{"AnnInc",#N/A,TRUE,"Inc";"QtrInc1",#N/A,TRUE,"Inc";"Balance",#N/A,TRUE,"Bal";"Cflow",#N/A,TRUE,"Cash"}</definedName>
    <definedName name="rsafd" localSheetId="12" hidden="1">{"AnnInc",#N/A,TRUE,"Inc";"QtrInc1",#N/A,TRUE,"Inc";"Balance",#N/A,TRUE,"Bal";"Cflow",#N/A,TRUE,"Cash"}</definedName>
    <definedName name="rsafd" localSheetId="14" hidden="1">{"AnnInc",#N/A,TRUE,"Inc";"QtrInc1",#N/A,TRUE,"Inc";"Balance",#N/A,TRUE,"Bal";"Cflow",#N/A,TRUE,"Cash"}</definedName>
    <definedName name="rsafd" localSheetId="16" hidden="1">{"AnnInc",#N/A,TRUE,"Inc";"QtrInc1",#N/A,TRUE,"Inc";"Balance",#N/A,TRUE,"Bal";"Cflow",#N/A,TRUE,"Cash"}</definedName>
    <definedName name="rsafd" localSheetId="22" hidden="1">{"AnnInc",#N/A,TRUE,"Inc";"QtrInc1",#N/A,TRUE,"Inc";"Balance",#N/A,TRUE,"Bal";"Cflow",#N/A,TRUE,"Cash"}</definedName>
    <definedName name="rsafd" localSheetId="24" hidden="1">{"AnnInc",#N/A,TRUE,"Inc";"QtrInc1",#N/A,TRUE,"Inc";"Balance",#N/A,TRUE,"Bal";"Cflow",#N/A,TRUE,"Cash"}</definedName>
    <definedName name="rsafd" localSheetId="26" hidden="1">{"AnnInc",#N/A,TRUE,"Inc";"QtrInc1",#N/A,TRUE,"Inc";"Balance",#N/A,TRUE,"Bal";"Cflow",#N/A,TRUE,"Cash"}</definedName>
    <definedName name="rsafd" localSheetId="28" hidden="1">{"AnnInc",#N/A,TRUE,"Inc";"QtrInc1",#N/A,TRUE,"Inc";"Balance",#N/A,TRUE,"Bal";"Cflow",#N/A,TRUE,"Cash"}</definedName>
    <definedName name="rsafd" localSheetId="30" hidden="1">{"AnnInc",#N/A,TRUE,"Inc";"QtrInc1",#N/A,TRUE,"Inc";"Balance",#N/A,TRUE,"Bal";"Cflow",#N/A,TRUE,"Cash"}</definedName>
    <definedName name="rsafd" localSheetId="32" hidden="1">{"AnnInc",#N/A,TRUE,"Inc";"QtrInc1",#N/A,TRUE,"Inc";"Balance",#N/A,TRUE,"Bal";"Cflow",#N/A,TRUE,"Cash"}</definedName>
    <definedName name="rsafd" localSheetId="34" hidden="1">{"AnnInc",#N/A,TRUE,"Inc";"QtrInc1",#N/A,TRUE,"Inc";"Balance",#N/A,TRUE,"Bal";"Cflow",#N/A,TRUE,"Cash"}</definedName>
    <definedName name="rsafd" localSheetId="36" hidden="1">{"AnnInc",#N/A,TRUE,"Inc";"QtrInc1",#N/A,TRUE,"Inc";"Balance",#N/A,TRUE,"Bal";"Cflow",#N/A,TRUE,"Cash"}</definedName>
    <definedName name="rsafd" localSheetId="38" hidden="1">{"AnnInc",#N/A,TRUE,"Inc";"QtrInc1",#N/A,TRUE,"Inc";"Balance",#N/A,TRUE,"Bal";"Cflow",#N/A,TRUE,"Cash"}</definedName>
    <definedName name="rsafd" hidden="1">{"AnnInc",#N/A,TRUE,"Inc";"QtrInc1",#N/A,TRUE,"Inc";"Balance",#N/A,TRUE,"Bal";"Cflow",#N/A,TRUE,"Cash"}</definedName>
    <definedName name="rt" hidden="1">#REF!</definedName>
    <definedName name="rtu" localSheetId="3" hidden="1">{#N/A,#N/A,FALSE,"MK_ASS_B";#N/A,#N/A,FALSE,"MK_ASS_R";#N/A,#N/A,FALSE,"MK_ASS_S";#N/A,#N/A,FALSE,"TR_ASS_B";#N/A,#N/A,FALSE,"TR_ASS_R";#N/A,#N/A,FALSE,"TR_ASS_S";#N/A,#N/A,FALSE,"PR_ASS_B";#N/A,#N/A,FALSE,"PR_ASS_R";#N/A,#N/A,FALSE,"REV_SUM"}</definedName>
    <definedName name="rtu" localSheetId="5" hidden="1">{#N/A,#N/A,FALSE,"MK_ASS_B";#N/A,#N/A,FALSE,"MK_ASS_R";#N/A,#N/A,FALSE,"MK_ASS_S";#N/A,#N/A,FALSE,"TR_ASS_B";#N/A,#N/A,FALSE,"TR_ASS_R";#N/A,#N/A,FALSE,"TR_ASS_S";#N/A,#N/A,FALSE,"PR_ASS_B";#N/A,#N/A,FALSE,"PR_ASS_R";#N/A,#N/A,FALSE,"REV_SUM"}</definedName>
    <definedName name="rtu" localSheetId="8" hidden="1">{#N/A,#N/A,FALSE,"MK_ASS_B";#N/A,#N/A,FALSE,"MK_ASS_R";#N/A,#N/A,FALSE,"MK_ASS_S";#N/A,#N/A,FALSE,"TR_ASS_B";#N/A,#N/A,FALSE,"TR_ASS_R";#N/A,#N/A,FALSE,"TR_ASS_S";#N/A,#N/A,FALSE,"PR_ASS_B";#N/A,#N/A,FALSE,"PR_ASS_R";#N/A,#N/A,FALSE,"REV_SUM"}</definedName>
    <definedName name="rtu" localSheetId="10" hidden="1">{#N/A,#N/A,FALSE,"MK_ASS_B";#N/A,#N/A,FALSE,"MK_ASS_R";#N/A,#N/A,FALSE,"MK_ASS_S";#N/A,#N/A,FALSE,"TR_ASS_B";#N/A,#N/A,FALSE,"TR_ASS_R";#N/A,#N/A,FALSE,"TR_ASS_S";#N/A,#N/A,FALSE,"PR_ASS_B";#N/A,#N/A,FALSE,"PR_ASS_R";#N/A,#N/A,FALSE,"REV_SUM"}</definedName>
    <definedName name="rtu" localSheetId="12" hidden="1">{#N/A,#N/A,FALSE,"MK_ASS_B";#N/A,#N/A,FALSE,"MK_ASS_R";#N/A,#N/A,FALSE,"MK_ASS_S";#N/A,#N/A,FALSE,"TR_ASS_B";#N/A,#N/A,FALSE,"TR_ASS_R";#N/A,#N/A,FALSE,"TR_ASS_S";#N/A,#N/A,FALSE,"PR_ASS_B";#N/A,#N/A,FALSE,"PR_ASS_R";#N/A,#N/A,FALSE,"REV_SUM"}</definedName>
    <definedName name="rtu" localSheetId="14" hidden="1">{#N/A,#N/A,FALSE,"MK_ASS_B";#N/A,#N/A,FALSE,"MK_ASS_R";#N/A,#N/A,FALSE,"MK_ASS_S";#N/A,#N/A,FALSE,"TR_ASS_B";#N/A,#N/A,FALSE,"TR_ASS_R";#N/A,#N/A,FALSE,"TR_ASS_S";#N/A,#N/A,FALSE,"PR_ASS_B";#N/A,#N/A,FALSE,"PR_ASS_R";#N/A,#N/A,FALSE,"REV_SUM"}</definedName>
    <definedName name="rtu" localSheetId="16" hidden="1">{#N/A,#N/A,FALSE,"MK_ASS_B";#N/A,#N/A,FALSE,"MK_ASS_R";#N/A,#N/A,FALSE,"MK_ASS_S";#N/A,#N/A,FALSE,"TR_ASS_B";#N/A,#N/A,FALSE,"TR_ASS_R";#N/A,#N/A,FALSE,"TR_ASS_S";#N/A,#N/A,FALSE,"PR_ASS_B";#N/A,#N/A,FALSE,"PR_ASS_R";#N/A,#N/A,FALSE,"REV_SUM"}</definedName>
    <definedName name="rtu" localSheetId="22" hidden="1">{#N/A,#N/A,FALSE,"MK_ASS_B";#N/A,#N/A,FALSE,"MK_ASS_R";#N/A,#N/A,FALSE,"MK_ASS_S";#N/A,#N/A,FALSE,"TR_ASS_B";#N/A,#N/A,FALSE,"TR_ASS_R";#N/A,#N/A,FALSE,"TR_ASS_S";#N/A,#N/A,FALSE,"PR_ASS_B";#N/A,#N/A,FALSE,"PR_ASS_R";#N/A,#N/A,FALSE,"REV_SUM"}</definedName>
    <definedName name="rtu" localSheetId="24" hidden="1">{#N/A,#N/A,FALSE,"MK_ASS_B";#N/A,#N/A,FALSE,"MK_ASS_R";#N/A,#N/A,FALSE,"MK_ASS_S";#N/A,#N/A,FALSE,"TR_ASS_B";#N/A,#N/A,FALSE,"TR_ASS_R";#N/A,#N/A,FALSE,"TR_ASS_S";#N/A,#N/A,FALSE,"PR_ASS_B";#N/A,#N/A,FALSE,"PR_ASS_R";#N/A,#N/A,FALSE,"REV_SUM"}</definedName>
    <definedName name="rtu" localSheetId="26" hidden="1">{#N/A,#N/A,FALSE,"MK_ASS_B";#N/A,#N/A,FALSE,"MK_ASS_R";#N/A,#N/A,FALSE,"MK_ASS_S";#N/A,#N/A,FALSE,"TR_ASS_B";#N/A,#N/A,FALSE,"TR_ASS_R";#N/A,#N/A,FALSE,"TR_ASS_S";#N/A,#N/A,FALSE,"PR_ASS_B";#N/A,#N/A,FALSE,"PR_ASS_R";#N/A,#N/A,FALSE,"REV_SUM"}</definedName>
    <definedName name="rtu" localSheetId="28" hidden="1">{#N/A,#N/A,FALSE,"MK_ASS_B";#N/A,#N/A,FALSE,"MK_ASS_R";#N/A,#N/A,FALSE,"MK_ASS_S";#N/A,#N/A,FALSE,"TR_ASS_B";#N/A,#N/A,FALSE,"TR_ASS_R";#N/A,#N/A,FALSE,"TR_ASS_S";#N/A,#N/A,FALSE,"PR_ASS_B";#N/A,#N/A,FALSE,"PR_ASS_R";#N/A,#N/A,FALSE,"REV_SUM"}</definedName>
    <definedName name="rtu" localSheetId="30" hidden="1">{#N/A,#N/A,FALSE,"MK_ASS_B";#N/A,#N/A,FALSE,"MK_ASS_R";#N/A,#N/A,FALSE,"MK_ASS_S";#N/A,#N/A,FALSE,"TR_ASS_B";#N/A,#N/A,FALSE,"TR_ASS_R";#N/A,#N/A,FALSE,"TR_ASS_S";#N/A,#N/A,FALSE,"PR_ASS_B";#N/A,#N/A,FALSE,"PR_ASS_R";#N/A,#N/A,FALSE,"REV_SUM"}</definedName>
    <definedName name="rtu" localSheetId="32" hidden="1">{#N/A,#N/A,FALSE,"MK_ASS_B";#N/A,#N/A,FALSE,"MK_ASS_R";#N/A,#N/A,FALSE,"MK_ASS_S";#N/A,#N/A,FALSE,"TR_ASS_B";#N/A,#N/A,FALSE,"TR_ASS_R";#N/A,#N/A,FALSE,"TR_ASS_S";#N/A,#N/A,FALSE,"PR_ASS_B";#N/A,#N/A,FALSE,"PR_ASS_R";#N/A,#N/A,FALSE,"REV_SUM"}</definedName>
    <definedName name="rtu" localSheetId="34" hidden="1">{#N/A,#N/A,FALSE,"MK_ASS_B";#N/A,#N/A,FALSE,"MK_ASS_R";#N/A,#N/A,FALSE,"MK_ASS_S";#N/A,#N/A,FALSE,"TR_ASS_B";#N/A,#N/A,FALSE,"TR_ASS_R";#N/A,#N/A,FALSE,"TR_ASS_S";#N/A,#N/A,FALSE,"PR_ASS_B";#N/A,#N/A,FALSE,"PR_ASS_R";#N/A,#N/A,FALSE,"REV_SUM"}</definedName>
    <definedName name="rtu" localSheetId="36" hidden="1">{#N/A,#N/A,FALSE,"MK_ASS_B";#N/A,#N/A,FALSE,"MK_ASS_R";#N/A,#N/A,FALSE,"MK_ASS_S";#N/A,#N/A,FALSE,"TR_ASS_B";#N/A,#N/A,FALSE,"TR_ASS_R";#N/A,#N/A,FALSE,"TR_ASS_S";#N/A,#N/A,FALSE,"PR_ASS_B";#N/A,#N/A,FALSE,"PR_ASS_R";#N/A,#N/A,FALSE,"REV_SUM"}</definedName>
    <definedName name="rtu" localSheetId="38" hidden="1">{#N/A,#N/A,FALSE,"MK_ASS_B";#N/A,#N/A,FALSE,"MK_ASS_R";#N/A,#N/A,FALSE,"MK_ASS_S";#N/A,#N/A,FALSE,"TR_ASS_B";#N/A,#N/A,FALSE,"TR_ASS_R";#N/A,#N/A,FALSE,"TR_ASS_S";#N/A,#N/A,FALSE,"PR_ASS_B";#N/A,#N/A,FALSE,"PR_ASS_R";#N/A,#N/A,FALSE,"REV_SUM"}</definedName>
    <definedName name="rtu" hidden="1">{#N/A,#N/A,FALSE,"MK_ASS_B";#N/A,#N/A,FALSE,"MK_ASS_R";#N/A,#N/A,FALSE,"MK_ASS_S";#N/A,#N/A,FALSE,"TR_ASS_B";#N/A,#N/A,FALSE,"TR_ASS_R";#N/A,#N/A,FALSE,"TR_ASS_S";#N/A,#N/A,FALSE,"PR_ASS_B";#N/A,#N/A,FALSE,"PR_ASS_R";#N/A,#N/A,FALSE,"REV_SUM"}</definedName>
    <definedName name="rty" localSheetId="3" hidden="1">{"NOPCAPEVA",#N/A,FALSE,"Nopat";"FCFCSTAR",#N/A,FALSE,"FCFVAL";"EVAVL",#N/A,FALSE,"EVAVAL";"LEASE",#N/A,FALSE,"OpLease"}</definedName>
    <definedName name="rty" localSheetId="5" hidden="1">{"NOPCAPEVA",#N/A,FALSE,"Nopat";"FCFCSTAR",#N/A,FALSE,"FCFVAL";"EVAVL",#N/A,FALSE,"EVAVAL";"LEASE",#N/A,FALSE,"OpLease"}</definedName>
    <definedName name="rty" localSheetId="8" hidden="1">{"NOPCAPEVA",#N/A,FALSE,"Nopat";"FCFCSTAR",#N/A,FALSE,"FCFVAL";"EVAVL",#N/A,FALSE,"EVAVAL";"LEASE",#N/A,FALSE,"OpLease"}</definedName>
    <definedName name="rty" localSheetId="10" hidden="1">{"NOPCAPEVA",#N/A,FALSE,"Nopat";"FCFCSTAR",#N/A,FALSE,"FCFVAL";"EVAVL",#N/A,FALSE,"EVAVAL";"LEASE",#N/A,FALSE,"OpLease"}</definedName>
    <definedName name="rty" localSheetId="12" hidden="1">{"NOPCAPEVA",#N/A,FALSE,"Nopat";"FCFCSTAR",#N/A,FALSE,"FCFVAL";"EVAVL",#N/A,FALSE,"EVAVAL";"LEASE",#N/A,FALSE,"OpLease"}</definedName>
    <definedName name="rty" localSheetId="14" hidden="1">{"NOPCAPEVA",#N/A,FALSE,"Nopat";"FCFCSTAR",#N/A,FALSE,"FCFVAL";"EVAVL",#N/A,FALSE,"EVAVAL";"LEASE",#N/A,FALSE,"OpLease"}</definedName>
    <definedName name="rty" localSheetId="16" hidden="1">{"NOPCAPEVA",#N/A,FALSE,"Nopat";"FCFCSTAR",#N/A,FALSE,"FCFVAL";"EVAVL",#N/A,FALSE,"EVAVAL";"LEASE",#N/A,FALSE,"OpLease"}</definedName>
    <definedName name="rty" localSheetId="22" hidden="1">{"NOPCAPEVA",#N/A,FALSE,"Nopat";"FCFCSTAR",#N/A,FALSE,"FCFVAL";"EVAVL",#N/A,FALSE,"EVAVAL";"LEASE",#N/A,FALSE,"OpLease"}</definedName>
    <definedName name="rty" localSheetId="24" hidden="1">{"NOPCAPEVA",#N/A,FALSE,"Nopat";"FCFCSTAR",#N/A,FALSE,"FCFVAL";"EVAVL",#N/A,FALSE,"EVAVAL";"LEASE",#N/A,FALSE,"OpLease"}</definedName>
    <definedName name="rty" localSheetId="26" hidden="1">{"NOPCAPEVA",#N/A,FALSE,"Nopat";"FCFCSTAR",#N/A,FALSE,"FCFVAL";"EVAVL",#N/A,FALSE,"EVAVAL";"LEASE",#N/A,FALSE,"OpLease"}</definedName>
    <definedName name="rty" localSheetId="28" hidden="1">{"NOPCAPEVA",#N/A,FALSE,"Nopat";"FCFCSTAR",#N/A,FALSE,"FCFVAL";"EVAVL",#N/A,FALSE,"EVAVAL";"LEASE",#N/A,FALSE,"OpLease"}</definedName>
    <definedName name="rty" localSheetId="30" hidden="1">{"NOPCAPEVA",#N/A,FALSE,"Nopat";"FCFCSTAR",#N/A,FALSE,"FCFVAL";"EVAVL",#N/A,FALSE,"EVAVAL";"LEASE",#N/A,FALSE,"OpLease"}</definedName>
    <definedName name="rty" localSheetId="32" hidden="1">{"NOPCAPEVA",#N/A,FALSE,"Nopat";"FCFCSTAR",#N/A,FALSE,"FCFVAL";"EVAVL",#N/A,FALSE,"EVAVAL";"LEASE",#N/A,FALSE,"OpLease"}</definedName>
    <definedName name="rty" localSheetId="34" hidden="1">{"NOPCAPEVA",#N/A,FALSE,"Nopat";"FCFCSTAR",#N/A,FALSE,"FCFVAL";"EVAVL",#N/A,FALSE,"EVAVAL";"LEASE",#N/A,FALSE,"OpLease"}</definedName>
    <definedName name="rty" localSheetId="36" hidden="1">{"NOPCAPEVA",#N/A,FALSE,"Nopat";"FCFCSTAR",#N/A,FALSE,"FCFVAL";"EVAVL",#N/A,FALSE,"EVAVAL";"LEASE",#N/A,FALSE,"OpLease"}</definedName>
    <definedName name="rty" localSheetId="38" hidden="1">{"NOPCAPEVA",#N/A,FALSE,"Nopat";"FCFCSTAR",#N/A,FALSE,"FCFVAL";"EVAVL",#N/A,FALSE,"EVAVAL";"LEASE",#N/A,FALSE,"OpLease"}</definedName>
    <definedName name="rty" hidden="1">{"NOPCAPEVA",#N/A,FALSE,"Nopat";"FCFCSTAR",#N/A,FALSE,"FCFVAL";"EVAVL",#N/A,FALSE,"EVAVAL";"LEASE",#N/A,FALSE,"OpLease"}</definedName>
    <definedName name="rtyhgf" localSheetId="3" hidden="1">{"NOPCAPEVA",#N/A,FALSE,"Nopat";"FCFCSTAR",#N/A,FALSE,"FCFVAL";"EVAVL",#N/A,FALSE,"EVAVAL";"LEASE",#N/A,FALSE,"OpLease"}</definedName>
    <definedName name="rtyhgf" localSheetId="5" hidden="1">{"NOPCAPEVA",#N/A,FALSE,"Nopat";"FCFCSTAR",#N/A,FALSE,"FCFVAL";"EVAVL",#N/A,FALSE,"EVAVAL";"LEASE",#N/A,FALSE,"OpLease"}</definedName>
    <definedName name="rtyhgf" localSheetId="8" hidden="1">{"NOPCAPEVA",#N/A,FALSE,"Nopat";"FCFCSTAR",#N/A,FALSE,"FCFVAL";"EVAVL",#N/A,FALSE,"EVAVAL";"LEASE",#N/A,FALSE,"OpLease"}</definedName>
    <definedName name="rtyhgf" localSheetId="10" hidden="1">{"NOPCAPEVA",#N/A,FALSE,"Nopat";"FCFCSTAR",#N/A,FALSE,"FCFVAL";"EVAVL",#N/A,FALSE,"EVAVAL";"LEASE",#N/A,FALSE,"OpLease"}</definedName>
    <definedName name="rtyhgf" localSheetId="12" hidden="1">{"NOPCAPEVA",#N/A,FALSE,"Nopat";"FCFCSTAR",#N/A,FALSE,"FCFVAL";"EVAVL",#N/A,FALSE,"EVAVAL";"LEASE",#N/A,FALSE,"OpLease"}</definedName>
    <definedName name="rtyhgf" localSheetId="14" hidden="1">{"NOPCAPEVA",#N/A,FALSE,"Nopat";"FCFCSTAR",#N/A,FALSE,"FCFVAL";"EVAVL",#N/A,FALSE,"EVAVAL";"LEASE",#N/A,FALSE,"OpLease"}</definedName>
    <definedName name="rtyhgf" localSheetId="16" hidden="1">{"NOPCAPEVA",#N/A,FALSE,"Nopat";"FCFCSTAR",#N/A,FALSE,"FCFVAL";"EVAVL",#N/A,FALSE,"EVAVAL";"LEASE",#N/A,FALSE,"OpLease"}</definedName>
    <definedName name="rtyhgf" localSheetId="22" hidden="1">{"NOPCAPEVA",#N/A,FALSE,"Nopat";"FCFCSTAR",#N/A,FALSE,"FCFVAL";"EVAVL",#N/A,FALSE,"EVAVAL";"LEASE",#N/A,FALSE,"OpLease"}</definedName>
    <definedName name="rtyhgf" localSheetId="24" hidden="1">{"NOPCAPEVA",#N/A,FALSE,"Nopat";"FCFCSTAR",#N/A,FALSE,"FCFVAL";"EVAVL",#N/A,FALSE,"EVAVAL";"LEASE",#N/A,FALSE,"OpLease"}</definedName>
    <definedName name="rtyhgf" localSheetId="26" hidden="1">{"NOPCAPEVA",#N/A,FALSE,"Nopat";"FCFCSTAR",#N/A,FALSE,"FCFVAL";"EVAVL",#N/A,FALSE,"EVAVAL";"LEASE",#N/A,FALSE,"OpLease"}</definedName>
    <definedName name="rtyhgf" localSheetId="28" hidden="1">{"NOPCAPEVA",#N/A,FALSE,"Nopat";"FCFCSTAR",#N/A,FALSE,"FCFVAL";"EVAVL",#N/A,FALSE,"EVAVAL";"LEASE",#N/A,FALSE,"OpLease"}</definedName>
    <definedName name="rtyhgf" localSheetId="30" hidden="1">{"NOPCAPEVA",#N/A,FALSE,"Nopat";"FCFCSTAR",#N/A,FALSE,"FCFVAL";"EVAVL",#N/A,FALSE,"EVAVAL";"LEASE",#N/A,FALSE,"OpLease"}</definedName>
    <definedName name="rtyhgf" localSheetId="32" hidden="1">{"NOPCAPEVA",#N/A,FALSE,"Nopat";"FCFCSTAR",#N/A,FALSE,"FCFVAL";"EVAVL",#N/A,FALSE,"EVAVAL";"LEASE",#N/A,FALSE,"OpLease"}</definedName>
    <definedName name="rtyhgf" localSheetId="34" hidden="1">{"NOPCAPEVA",#N/A,FALSE,"Nopat";"FCFCSTAR",#N/A,FALSE,"FCFVAL";"EVAVL",#N/A,FALSE,"EVAVAL";"LEASE",#N/A,FALSE,"OpLease"}</definedName>
    <definedName name="rtyhgf" localSheetId="36" hidden="1">{"NOPCAPEVA",#N/A,FALSE,"Nopat";"FCFCSTAR",#N/A,FALSE,"FCFVAL";"EVAVL",#N/A,FALSE,"EVAVAL";"LEASE",#N/A,FALSE,"OpLease"}</definedName>
    <definedName name="rtyhgf" localSheetId="38" hidden="1">{"NOPCAPEVA",#N/A,FALSE,"Nopat";"FCFCSTAR",#N/A,FALSE,"FCFVAL";"EVAVL",#N/A,FALSE,"EVAVAL";"LEASE",#N/A,FALSE,"OpLease"}</definedName>
    <definedName name="rtyhgf" hidden="1">{"NOPCAPEVA",#N/A,FALSE,"Nopat";"FCFCSTAR",#N/A,FALSE,"FCFVAL";"EVAVL",#N/A,FALSE,"EVAVAL";"LEASE",#N/A,FALSE,"OpLease"}</definedName>
    <definedName name="rup" localSheetId="3" hidden="1">{"AnnInc",#N/A,TRUE,"Inc";"QtrInc1",#N/A,TRUE,"Inc";"Balance",#N/A,TRUE,"Bal";"Cflow",#N/A,TRUE,"Cash"}</definedName>
    <definedName name="rup" localSheetId="5" hidden="1">{"AnnInc",#N/A,TRUE,"Inc";"QtrInc1",#N/A,TRUE,"Inc";"Balance",#N/A,TRUE,"Bal";"Cflow",#N/A,TRUE,"Cash"}</definedName>
    <definedName name="rup" localSheetId="8" hidden="1">{"AnnInc",#N/A,TRUE,"Inc";"QtrInc1",#N/A,TRUE,"Inc";"Balance",#N/A,TRUE,"Bal";"Cflow",#N/A,TRUE,"Cash"}</definedName>
    <definedName name="rup" localSheetId="10" hidden="1">{"AnnInc",#N/A,TRUE,"Inc";"QtrInc1",#N/A,TRUE,"Inc";"Balance",#N/A,TRUE,"Bal";"Cflow",#N/A,TRUE,"Cash"}</definedName>
    <definedName name="rup" localSheetId="12" hidden="1">{"AnnInc",#N/A,TRUE,"Inc";"QtrInc1",#N/A,TRUE,"Inc";"Balance",#N/A,TRUE,"Bal";"Cflow",#N/A,TRUE,"Cash"}</definedName>
    <definedName name="rup" localSheetId="14" hidden="1">{"AnnInc",#N/A,TRUE,"Inc";"QtrInc1",#N/A,TRUE,"Inc";"Balance",#N/A,TRUE,"Bal";"Cflow",#N/A,TRUE,"Cash"}</definedName>
    <definedName name="rup" localSheetId="16" hidden="1">{"AnnInc",#N/A,TRUE,"Inc";"QtrInc1",#N/A,TRUE,"Inc";"Balance",#N/A,TRUE,"Bal";"Cflow",#N/A,TRUE,"Cash"}</definedName>
    <definedName name="rup" localSheetId="22" hidden="1">{"AnnInc",#N/A,TRUE,"Inc";"QtrInc1",#N/A,TRUE,"Inc";"Balance",#N/A,TRUE,"Bal";"Cflow",#N/A,TRUE,"Cash"}</definedName>
    <definedName name="rup" localSheetId="24" hidden="1">{"AnnInc",#N/A,TRUE,"Inc";"QtrInc1",#N/A,TRUE,"Inc";"Balance",#N/A,TRUE,"Bal";"Cflow",#N/A,TRUE,"Cash"}</definedName>
    <definedName name="rup" localSheetId="26" hidden="1">{"AnnInc",#N/A,TRUE,"Inc";"QtrInc1",#N/A,TRUE,"Inc";"Balance",#N/A,TRUE,"Bal";"Cflow",#N/A,TRUE,"Cash"}</definedName>
    <definedName name="rup" localSheetId="28" hidden="1">{"AnnInc",#N/A,TRUE,"Inc";"QtrInc1",#N/A,TRUE,"Inc";"Balance",#N/A,TRUE,"Bal";"Cflow",#N/A,TRUE,"Cash"}</definedName>
    <definedName name="rup" localSheetId="30" hidden="1">{"AnnInc",#N/A,TRUE,"Inc";"QtrInc1",#N/A,TRUE,"Inc";"Balance",#N/A,TRUE,"Bal";"Cflow",#N/A,TRUE,"Cash"}</definedName>
    <definedName name="rup" localSheetId="32" hidden="1">{"AnnInc",#N/A,TRUE,"Inc";"QtrInc1",#N/A,TRUE,"Inc";"Balance",#N/A,TRUE,"Bal";"Cflow",#N/A,TRUE,"Cash"}</definedName>
    <definedName name="rup" localSheetId="34" hidden="1">{"AnnInc",#N/A,TRUE,"Inc";"QtrInc1",#N/A,TRUE,"Inc";"Balance",#N/A,TRUE,"Bal";"Cflow",#N/A,TRUE,"Cash"}</definedName>
    <definedName name="rup" localSheetId="36" hidden="1">{"AnnInc",#N/A,TRUE,"Inc";"QtrInc1",#N/A,TRUE,"Inc";"Balance",#N/A,TRUE,"Bal";"Cflow",#N/A,TRUE,"Cash"}</definedName>
    <definedName name="rup" localSheetId="38" hidden="1">{"AnnInc",#N/A,TRUE,"Inc";"QtrInc1",#N/A,TRUE,"Inc";"Balance",#N/A,TRUE,"Bal";"Cflow",#N/A,TRUE,"Cash"}</definedName>
    <definedName name="rup" hidden="1">{"AnnInc",#N/A,TRUE,"Inc";"QtrInc1",#N/A,TRUE,"Inc";"Balance",#N/A,TRUE,"Bal";"Cflow",#N/A,TRUE,"Cash"}</definedName>
    <definedName name="Russia">#REF!</definedName>
    <definedName name="rx" localSheetId="3" hidden="1">{"'Sheet1'!$A$1:$G$26"}</definedName>
    <definedName name="rx" localSheetId="5" hidden="1">{"'Sheet1'!$A$1:$G$26"}</definedName>
    <definedName name="rx" localSheetId="8" hidden="1">{"'Sheet1'!$A$1:$G$26"}</definedName>
    <definedName name="rx" localSheetId="10" hidden="1">{"'Sheet1'!$A$1:$G$26"}</definedName>
    <definedName name="rx" localSheetId="12" hidden="1">{"'Sheet1'!$A$1:$G$26"}</definedName>
    <definedName name="rx" localSheetId="14" hidden="1">{"'Sheet1'!$A$1:$G$26"}</definedName>
    <definedName name="rx" localSheetId="16" hidden="1">{"'Sheet1'!$A$1:$G$26"}</definedName>
    <definedName name="rx" localSheetId="22" hidden="1">{"'Sheet1'!$A$1:$G$26"}</definedName>
    <definedName name="rx" localSheetId="24" hidden="1">{"'Sheet1'!$A$1:$G$26"}</definedName>
    <definedName name="rx" localSheetId="26" hidden="1">{"'Sheet1'!$A$1:$G$26"}</definedName>
    <definedName name="rx" localSheetId="28" hidden="1">{"'Sheet1'!$A$1:$G$26"}</definedName>
    <definedName name="rx" localSheetId="30" hidden="1">{"'Sheet1'!$A$1:$G$26"}</definedName>
    <definedName name="rx" localSheetId="32" hidden="1">{"'Sheet1'!$A$1:$G$26"}</definedName>
    <definedName name="rx" localSheetId="34" hidden="1">{"'Sheet1'!$A$1:$G$26"}</definedName>
    <definedName name="rx" localSheetId="36" hidden="1">{"'Sheet1'!$A$1:$G$26"}</definedName>
    <definedName name="rx" localSheetId="38" hidden="1">{"'Sheet1'!$A$1:$G$26"}</definedName>
    <definedName name="rx" hidden="1">{"'Sheet1'!$A$1:$G$26"}</definedName>
    <definedName name="S">#REF!</definedName>
    <definedName name="s_c_list">#REF!</definedName>
    <definedName name="saaaa">#REF!</definedName>
    <definedName name="sadf"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lary">#REF!</definedName>
    <definedName name="SalesRep">#REF!</definedName>
    <definedName name="sample">#REF!</definedName>
    <definedName name="saweewq" localSheetId="3" hidden="1">{#N/A,#N/A,FALSE,"PRESENT";#N/A,#N/A,FALSE,"INDICE";#N/A,#N/A,FALSE,"DIV_CONS";#N/A,#N/A,FALSE,"DIV_GRUP";#N/A,#N/A,FALSE,"DIV_BIM";#N/A,#N/A,FALSE,"DIV_UMPL";#N/A,#N/A,FALSE,"DIV_BDBAS";#N/A,#N/A,FALSE,"B_SRL";#N/A,#N/A,FALSE,"MQ_SRL"}</definedName>
    <definedName name="saweewq" localSheetId="5" hidden="1">{#N/A,#N/A,FALSE,"PRESENT";#N/A,#N/A,FALSE,"INDICE";#N/A,#N/A,FALSE,"DIV_CONS";#N/A,#N/A,FALSE,"DIV_GRUP";#N/A,#N/A,FALSE,"DIV_BIM";#N/A,#N/A,FALSE,"DIV_UMPL";#N/A,#N/A,FALSE,"DIV_BDBAS";#N/A,#N/A,FALSE,"B_SRL";#N/A,#N/A,FALSE,"MQ_SRL"}</definedName>
    <definedName name="saweewq" localSheetId="8" hidden="1">{#N/A,#N/A,FALSE,"PRESENT";#N/A,#N/A,FALSE,"INDICE";#N/A,#N/A,FALSE,"DIV_CONS";#N/A,#N/A,FALSE,"DIV_GRUP";#N/A,#N/A,FALSE,"DIV_BIM";#N/A,#N/A,FALSE,"DIV_UMPL";#N/A,#N/A,FALSE,"DIV_BDBAS";#N/A,#N/A,FALSE,"B_SRL";#N/A,#N/A,FALSE,"MQ_SRL"}</definedName>
    <definedName name="saweewq" localSheetId="10" hidden="1">{#N/A,#N/A,FALSE,"PRESENT";#N/A,#N/A,FALSE,"INDICE";#N/A,#N/A,FALSE,"DIV_CONS";#N/A,#N/A,FALSE,"DIV_GRUP";#N/A,#N/A,FALSE,"DIV_BIM";#N/A,#N/A,FALSE,"DIV_UMPL";#N/A,#N/A,FALSE,"DIV_BDBAS";#N/A,#N/A,FALSE,"B_SRL";#N/A,#N/A,FALSE,"MQ_SRL"}</definedName>
    <definedName name="saweewq" localSheetId="12" hidden="1">{#N/A,#N/A,FALSE,"PRESENT";#N/A,#N/A,FALSE,"INDICE";#N/A,#N/A,FALSE,"DIV_CONS";#N/A,#N/A,FALSE,"DIV_GRUP";#N/A,#N/A,FALSE,"DIV_BIM";#N/A,#N/A,FALSE,"DIV_UMPL";#N/A,#N/A,FALSE,"DIV_BDBAS";#N/A,#N/A,FALSE,"B_SRL";#N/A,#N/A,FALSE,"MQ_SRL"}</definedName>
    <definedName name="saweewq" localSheetId="14" hidden="1">{#N/A,#N/A,FALSE,"PRESENT";#N/A,#N/A,FALSE,"INDICE";#N/A,#N/A,FALSE,"DIV_CONS";#N/A,#N/A,FALSE,"DIV_GRUP";#N/A,#N/A,FALSE,"DIV_BIM";#N/A,#N/A,FALSE,"DIV_UMPL";#N/A,#N/A,FALSE,"DIV_BDBAS";#N/A,#N/A,FALSE,"B_SRL";#N/A,#N/A,FALSE,"MQ_SRL"}</definedName>
    <definedName name="saweewq" localSheetId="16" hidden="1">{#N/A,#N/A,FALSE,"PRESENT";#N/A,#N/A,FALSE,"INDICE";#N/A,#N/A,FALSE,"DIV_CONS";#N/A,#N/A,FALSE,"DIV_GRUP";#N/A,#N/A,FALSE,"DIV_BIM";#N/A,#N/A,FALSE,"DIV_UMPL";#N/A,#N/A,FALSE,"DIV_BDBAS";#N/A,#N/A,FALSE,"B_SRL";#N/A,#N/A,FALSE,"MQ_SRL"}</definedName>
    <definedName name="saweewq" localSheetId="22" hidden="1">{#N/A,#N/A,FALSE,"PRESENT";#N/A,#N/A,FALSE,"INDICE";#N/A,#N/A,FALSE,"DIV_CONS";#N/A,#N/A,FALSE,"DIV_GRUP";#N/A,#N/A,FALSE,"DIV_BIM";#N/A,#N/A,FALSE,"DIV_UMPL";#N/A,#N/A,FALSE,"DIV_BDBAS";#N/A,#N/A,FALSE,"B_SRL";#N/A,#N/A,FALSE,"MQ_SRL"}</definedName>
    <definedName name="saweewq" localSheetId="24" hidden="1">{#N/A,#N/A,FALSE,"PRESENT";#N/A,#N/A,FALSE,"INDICE";#N/A,#N/A,FALSE,"DIV_CONS";#N/A,#N/A,FALSE,"DIV_GRUP";#N/A,#N/A,FALSE,"DIV_BIM";#N/A,#N/A,FALSE,"DIV_UMPL";#N/A,#N/A,FALSE,"DIV_BDBAS";#N/A,#N/A,FALSE,"B_SRL";#N/A,#N/A,FALSE,"MQ_SRL"}</definedName>
    <definedName name="saweewq" localSheetId="26" hidden="1">{#N/A,#N/A,FALSE,"PRESENT";#N/A,#N/A,FALSE,"INDICE";#N/A,#N/A,FALSE,"DIV_CONS";#N/A,#N/A,FALSE,"DIV_GRUP";#N/A,#N/A,FALSE,"DIV_BIM";#N/A,#N/A,FALSE,"DIV_UMPL";#N/A,#N/A,FALSE,"DIV_BDBAS";#N/A,#N/A,FALSE,"B_SRL";#N/A,#N/A,FALSE,"MQ_SRL"}</definedName>
    <definedName name="saweewq" localSheetId="28" hidden="1">{#N/A,#N/A,FALSE,"PRESENT";#N/A,#N/A,FALSE,"INDICE";#N/A,#N/A,FALSE,"DIV_CONS";#N/A,#N/A,FALSE,"DIV_GRUP";#N/A,#N/A,FALSE,"DIV_BIM";#N/A,#N/A,FALSE,"DIV_UMPL";#N/A,#N/A,FALSE,"DIV_BDBAS";#N/A,#N/A,FALSE,"B_SRL";#N/A,#N/A,FALSE,"MQ_SRL"}</definedName>
    <definedName name="saweewq" localSheetId="30" hidden="1">{#N/A,#N/A,FALSE,"PRESENT";#N/A,#N/A,FALSE,"INDICE";#N/A,#N/A,FALSE,"DIV_CONS";#N/A,#N/A,FALSE,"DIV_GRUP";#N/A,#N/A,FALSE,"DIV_BIM";#N/A,#N/A,FALSE,"DIV_UMPL";#N/A,#N/A,FALSE,"DIV_BDBAS";#N/A,#N/A,FALSE,"B_SRL";#N/A,#N/A,FALSE,"MQ_SRL"}</definedName>
    <definedName name="saweewq" localSheetId="32" hidden="1">{#N/A,#N/A,FALSE,"PRESENT";#N/A,#N/A,FALSE,"INDICE";#N/A,#N/A,FALSE,"DIV_CONS";#N/A,#N/A,FALSE,"DIV_GRUP";#N/A,#N/A,FALSE,"DIV_BIM";#N/A,#N/A,FALSE,"DIV_UMPL";#N/A,#N/A,FALSE,"DIV_BDBAS";#N/A,#N/A,FALSE,"B_SRL";#N/A,#N/A,FALSE,"MQ_SRL"}</definedName>
    <definedName name="saweewq" localSheetId="34" hidden="1">{#N/A,#N/A,FALSE,"PRESENT";#N/A,#N/A,FALSE,"INDICE";#N/A,#N/A,FALSE,"DIV_CONS";#N/A,#N/A,FALSE,"DIV_GRUP";#N/A,#N/A,FALSE,"DIV_BIM";#N/A,#N/A,FALSE,"DIV_UMPL";#N/A,#N/A,FALSE,"DIV_BDBAS";#N/A,#N/A,FALSE,"B_SRL";#N/A,#N/A,FALSE,"MQ_SRL"}</definedName>
    <definedName name="saweewq" localSheetId="36" hidden="1">{#N/A,#N/A,FALSE,"PRESENT";#N/A,#N/A,FALSE,"INDICE";#N/A,#N/A,FALSE,"DIV_CONS";#N/A,#N/A,FALSE,"DIV_GRUP";#N/A,#N/A,FALSE,"DIV_BIM";#N/A,#N/A,FALSE,"DIV_UMPL";#N/A,#N/A,FALSE,"DIV_BDBAS";#N/A,#N/A,FALSE,"B_SRL";#N/A,#N/A,FALSE,"MQ_SRL"}</definedName>
    <definedName name="saweewq" localSheetId="38" hidden="1">{#N/A,#N/A,FALSE,"PRESENT";#N/A,#N/A,FALSE,"INDICE";#N/A,#N/A,FALSE,"DIV_CONS";#N/A,#N/A,FALSE,"DIV_GRUP";#N/A,#N/A,FALSE,"DIV_BIM";#N/A,#N/A,FALSE,"DIV_UMPL";#N/A,#N/A,FALSE,"DIV_BDBAS";#N/A,#N/A,FALSE,"B_SRL";#N/A,#N/A,FALSE,"MQ_SRL"}</definedName>
    <definedName name="saweewq" hidden="1">{#N/A,#N/A,FALSE,"PRESENT";#N/A,#N/A,FALSE,"INDICE";#N/A,#N/A,FALSE,"DIV_CONS";#N/A,#N/A,FALSE,"DIV_GRUP";#N/A,#N/A,FALSE,"DIV_BIM";#N/A,#N/A,FALSE,"DIV_UMPL";#N/A,#N/A,FALSE,"DIV_BDBAS";#N/A,#N/A,FALSE,"B_SRL";#N/A,#N/A,FALSE,"MQ_SRL"}</definedName>
    <definedName name="sbvsb" localSheetId="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bvsb" localSheetId="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bvsb" localSheetId="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bvsb"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bvsb" localSheetId="1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bvsb" localSheetId="1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bvsb" localSheetId="1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bvsb" localSheetId="2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bvsb" localSheetId="2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bvsb" localSheetId="2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bvsb" localSheetId="2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bvsb" localSheetId="3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bvsb" localSheetId="3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bvsb" localSheetId="3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bvsb" localSheetId="3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bvsb" localSheetId="3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bvsb"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CG">#REF!</definedName>
    <definedName name="Sched_Pay">#REF!</definedName>
    <definedName name="Scheduled_Extra_Payments">#REF!</definedName>
    <definedName name="Scheduled_Interest_Rate">#REF!</definedName>
    <definedName name="Scheduled_Monthly_Payment">#REF!</definedName>
    <definedName name="Score">#REF!</definedName>
    <definedName name="scwe" localSheetId="3" hidden="1">{#N/A,#N/A,TRUE,"Proposal";#N/A,#N/A,TRUE,"Assumptions";#N/A,#N/A,TRUE,"Net Income";#N/A,#N/A,TRUE,"Balsheet";#N/A,#N/A,TRUE,"Capex";#N/A,#N/A,TRUE,"Volumes";#N/A,#N/A,TRUE,"Revenues";#N/A,#N/A,TRUE,"Var.Costs";#N/A,#N/A,TRUE,"Personnel";#N/A,#N/A,TRUE,"Other costs";#N/A,#N/A,TRUE,"MKTG and G&amp;A"}</definedName>
    <definedName name="scwe" localSheetId="5" hidden="1">{#N/A,#N/A,TRUE,"Proposal";#N/A,#N/A,TRUE,"Assumptions";#N/A,#N/A,TRUE,"Net Income";#N/A,#N/A,TRUE,"Balsheet";#N/A,#N/A,TRUE,"Capex";#N/A,#N/A,TRUE,"Volumes";#N/A,#N/A,TRUE,"Revenues";#N/A,#N/A,TRUE,"Var.Costs";#N/A,#N/A,TRUE,"Personnel";#N/A,#N/A,TRUE,"Other costs";#N/A,#N/A,TRUE,"MKTG and G&amp;A"}</definedName>
    <definedName name="scwe" localSheetId="8" hidden="1">{#N/A,#N/A,TRUE,"Proposal";#N/A,#N/A,TRUE,"Assumptions";#N/A,#N/A,TRUE,"Net Income";#N/A,#N/A,TRUE,"Balsheet";#N/A,#N/A,TRUE,"Capex";#N/A,#N/A,TRUE,"Volumes";#N/A,#N/A,TRUE,"Revenues";#N/A,#N/A,TRUE,"Var.Costs";#N/A,#N/A,TRUE,"Personnel";#N/A,#N/A,TRUE,"Other costs";#N/A,#N/A,TRUE,"MKTG and G&amp;A"}</definedName>
    <definedName name="scwe" localSheetId="10" hidden="1">{#N/A,#N/A,TRUE,"Proposal";#N/A,#N/A,TRUE,"Assumptions";#N/A,#N/A,TRUE,"Net Income";#N/A,#N/A,TRUE,"Balsheet";#N/A,#N/A,TRUE,"Capex";#N/A,#N/A,TRUE,"Volumes";#N/A,#N/A,TRUE,"Revenues";#N/A,#N/A,TRUE,"Var.Costs";#N/A,#N/A,TRUE,"Personnel";#N/A,#N/A,TRUE,"Other costs";#N/A,#N/A,TRUE,"MKTG and G&amp;A"}</definedName>
    <definedName name="scwe" localSheetId="12" hidden="1">{#N/A,#N/A,TRUE,"Proposal";#N/A,#N/A,TRUE,"Assumptions";#N/A,#N/A,TRUE,"Net Income";#N/A,#N/A,TRUE,"Balsheet";#N/A,#N/A,TRUE,"Capex";#N/A,#N/A,TRUE,"Volumes";#N/A,#N/A,TRUE,"Revenues";#N/A,#N/A,TRUE,"Var.Costs";#N/A,#N/A,TRUE,"Personnel";#N/A,#N/A,TRUE,"Other costs";#N/A,#N/A,TRUE,"MKTG and G&amp;A"}</definedName>
    <definedName name="scwe" localSheetId="14" hidden="1">{#N/A,#N/A,TRUE,"Proposal";#N/A,#N/A,TRUE,"Assumptions";#N/A,#N/A,TRUE,"Net Income";#N/A,#N/A,TRUE,"Balsheet";#N/A,#N/A,TRUE,"Capex";#N/A,#N/A,TRUE,"Volumes";#N/A,#N/A,TRUE,"Revenues";#N/A,#N/A,TRUE,"Var.Costs";#N/A,#N/A,TRUE,"Personnel";#N/A,#N/A,TRUE,"Other costs";#N/A,#N/A,TRUE,"MKTG and G&amp;A"}</definedName>
    <definedName name="scwe" localSheetId="16" hidden="1">{#N/A,#N/A,TRUE,"Proposal";#N/A,#N/A,TRUE,"Assumptions";#N/A,#N/A,TRUE,"Net Income";#N/A,#N/A,TRUE,"Balsheet";#N/A,#N/A,TRUE,"Capex";#N/A,#N/A,TRUE,"Volumes";#N/A,#N/A,TRUE,"Revenues";#N/A,#N/A,TRUE,"Var.Costs";#N/A,#N/A,TRUE,"Personnel";#N/A,#N/A,TRUE,"Other costs";#N/A,#N/A,TRUE,"MKTG and G&amp;A"}</definedName>
    <definedName name="scwe" localSheetId="22" hidden="1">{#N/A,#N/A,TRUE,"Proposal";#N/A,#N/A,TRUE,"Assumptions";#N/A,#N/A,TRUE,"Net Income";#N/A,#N/A,TRUE,"Balsheet";#N/A,#N/A,TRUE,"Capex";#N/A,#N/A,TRUE,"Volumes";#N/A,#N/A,TRUE,"Revenues";#N/A,#N/A,TRUE,"Var.Costs";#N/A,#N/A,TRUE,"Personnel";#N/A,#N/A,TRUE,"Other costs";#N/A,#N/A,TRUE,"MKTG and G&amp;A"}</definedName>
    <definedName name="scwe" localSheetId="24" hidden="1">{#N/A,#N/A,TRUE,"Proposal";#N/A,#N/A,TRUE,"Assumptions";#N/A,#N/A,TRUE,"Net Income";#N/A,#N/A,TRUE,"Balsheet";#N/A,#N/A,TRUE,"Capex";#N/A,#N/A,TRUE,"Volumes";#N/A,#N/A,TRUE,"Revenues";#N/A,#N/A,TRUE,"Var.Costs";#N/A,#N/A,TRUE,"Personnel";#N/A,#N/A,TRUE,"Other costs";#N/A,#N/A,TRUE,"MKTG and G&amp;A"}</definedName>
    <definedName name="scwe" localSheetId="26" hidden="1">{#N/A,#N/A,TRUE,"Proposal";#N/A,#N/A,TRUE,"Assumptions";#N/A,#N/A,TRUE,"Net Income";#N/A,#N/A,TRUE,"Balsheet";#N/A,#N/A,TRUE,"Capex";#N/A,#N/A,TRUE,"Volumes";#N/A,#N/A,TRUE,"Revenues";#N/A,#N/A,TRUE,"Var.Costs";#N/A,#N/A,TRUE,"Personnel";#N/A,#N/A,TRUE,"Other costs";#N/A,#N/A,TRUE,"MKTG and G&amp;A"}</definedName>
    <definedName name="scwe" localSheetId="28" hidden="1">{#N/A,#N/A,TRUE,"Proposal";#N/A,#N/A,TRUE,"Assumptions";#N/A,#N/A,TRUE,"Net Income";#N/A,#N/A,TRUE,"Balsheet";#N/A,#N/A,TRUE,"Capex";#N/A,#N/A,TRUE,"Volumes";#N/A,#N/A,TRUE,"Revenues";#N/A,#N/A,TRUE,"Var.Costs";#N/A,#N/A,TRUE,"Personnel";#N/A,#N/A,TRUE,"Other costs";#N/A,#N/A,TRUE,"MKTG and G&amp;A"}</definedName>
    <definedName name="scwe" localSheetId="30" hidden="1">{#N/A,#N/A,TRUE,"Proposal";#N/A,#N/A,TRUE,"Assumptions";#N/A,#N/A,TRUE,"Net Income";#N/A,#N/A,TRUE,"Balsheet";#N/A,#N/A,TRUE,"Capex";#N/A,#N/A,TRUE,"Volumes";#N/A,#N/A,TRUE,"Revenues";#N/A,#N/A,TRUE,"Var.Costs";#N/A,#N/A,TRUE,"Personnel";#N/A,#N/A,TRUE,"Other costs";#N/A,#N/A,TRUE,"MKTG and G&amp;A"}</definedName>
    <definedName name="scwe" localSheetId="32" hidden="1">{#N/A,#N/A,TRUE,"Proposal";#N/A,#N/A,TRUE,"Assumptions";#N/A,#N/A,TRUE,"Net Income";#N/A,#N/A,TRUE,"Balsheet";#N/A,#N/A,TRUE,"Capex";#N/A,#N/A,TRUE,"Volumes";#N/A,#N/A,TRUE,"Revenues";#N/A,#N/A,TRUE,"Var.Costs";#N/A,#N/A,TRUE,"Personnel";#N/A,#N/A,TRUE,"Other costs";#N/A,#N/A,TRUE,"MKTG and G&amp;A"}</definedName>
    <definedName name="scwe" localSheetId="34" hidden="1">{#N/A,#N/A,TRUE,"Proposal";#N/A,#N/A,TRUE,"Assumptions";#N/A,#N/A,TRUE,"Net Income";#N/A,#N/A,TRUE,"Balsheet";#N/A,#N/A,TRUE,"Capex";#N/A,#N/A,TRUE,"Volumes";#N/A,#N/A,TRUE,"Revenues";#N/A,#N/A,TRUE,"Var.Costs";#N/A,#N/A,TRUE,"Personnel";#N/A,#N/A,TRUE,"Other costs";#N/A,#N/A,TRUE,"MKTG and G&amp;A"}</definedName>
    <definedName name="scwe" localSheetId="36" hidden="1">{#N/A,#N/A,TRUE,"Proposal";#N/A,#N/A,TRUE,"Assumptions";#N/A,#N/A,TRUE,"Net Income";#N/A,#N/A,TRUE,"Balsheet";#N/A,#N/A,TRUE,"Capex";#N/A,#N/A,TRUE,"Volumes";#N/A,#N/A,TRUE,"Revenues";#N/A,#N/A,TRUE,"Var.Costs";#N/A,#N/A,TRUE,"Personnel";#N/A,#N/A,TRUE,"Other costs";#N/A,#N/A,TRUE,"MKTG and G&amp;A"}</definedName>
    <definedName name="scwe" localSheetId="38" hidden="1">{#N/A,#N/A,TRUE,"Proposal";#N/A,#N/A,TRUE,"Assumptions";#N/A,#N/A,TRUE,"Net Income";#N/A,#N/A,TRUE,"Balsheet";#N/A,#N/A,TRUE,"Capex";#N/A,#N/A,TRUE,"Volumes";#N/A,#N/A,TRUE,"Revenues";#N/A,#N/A,TRUE,"Var.Costs";#N/A,#N/A,TRUE,"Personnel";#N/A,#N/A,TRUE,"Other costs";#N/A,#N/A,TRUE,"MKTG and G&amp;A"}</definedName>
    <definedName name="scwe" hidden="1">{#N/A,#N/A,TRUE,"Proposal";#N/A,#N/A,TRUE,"Assumptions";#N/A,#N/A,TRUE,"Net Income";#N/A,#N/A,TRUE,"Balsheet";#N/A,#N/A,TRUE,"Capex";#N/A,#N/A,TRUE,"Volumes";#N/A,#N/A,TRUE,"Revenues";#N/A,#N/A,TRUE,"Var.Costs";#N/A,#N/A,TRUE,"Personnel";#N/A,#N/A,TRUE,"Other costs";#N/A,#N/A,TRUE,"MKTG and G&amp;A"}</definedName>
    <definedName name="SDF" localSheetId="3" hidden="1">{#N/A,#N/A,FALSE,"MONTHDET";#N/A,#N/A,FALSE,"ACTUAL"}</definedName>
    <definedName name="SDF" localSheetId="5" hidden="1">{#N/A,#N/A,FALSE,"MONTHDET";#N/A,#N/A,FALSE,"ACTUAL"}</definedName>
    <definedName name="SDF" localSheetId="8" hidden="1">{#N/A,#N/A,FALSE,"MONTHDET";#N/A,#N/A,FALSE,"ACTUAL"}</definedName>
    <definedName name="SDF" localSheetId="10" hidden="1">{#N/A,#N/A,FALSE,"MONTHDET";#N/A,#N/A,FALSE,"ACTUAL"}</definedName>
    <definedName name="SDF" localSheetId="12" hidden="1">{#N/A,#N/A,FALSE,"MONTHDET";#N/A,#N/A,FALSE,"ACTUAL"}</definedName>
    <definedName name="SDF" localSheetId="14" hidden="1">{#N/A,#N/A,FALSE,"MONTHDET";#N/A,#N/A,FALSE,"ACTUAL"}</definedName>
    <definedName name="SDF" localSheetId="16" hidden="1">{#N/A,#N/A,FALSE,"MONTHDET";#N/A,#N/A,FALSE,"ACTUAL"}</definedName>
    <definedName name="SDF" localSheetId="22" hidden="1">{#N/A,#N/A,FALSE,"MONTHDET";#N/A,#N/A,FALSE,"ACTUAL"}</definedName>
    <definedName name="SDF" localSheetId="24" hidden="1">{#N/A,#N/A,FALSE,"MONTHDET";#N/A,#N/A,FALSE,"ACTUAL"}</definedName>
    <definedName name="SDF" localSheetId="26" hidden="1">{#N/A,#N/A,FALSE,"MONTHDET";#N/A,#N/A,FALSE,"ACTUAL"}</definedName>
    <definedName name="SDF" localSheetId="28" hidden="1">{#N/A,#N/A,FALSE,"MONTHDET";#N/A,#N/A,FALSE,"ACTUAL"}</definedName>
    <definedName name="SDF" localSheetId="30" hidden="1">{#N/A,#N/A,FALSE,"MONTHDET";#N/A,#N/A,FALSE,"ACTUAL"}</definedName>
    <definedName name="SDF" localSheetId="32" hidden="1">{#N/A,#N/A,FALSE,"MONTHDET";#N/A,#N/A,FALSE,"ACTUAL"}</definedName>
    <definedName name="SDF" localSheetId="34" hidden="1">{#N/A,#N/A,FALSE,"MONTHDET";#N/A,#N/A,FALSE,"ACTUAL"}</definedName>
    <definedName name="SDF" localSheetId="36" hidden="1">{#N/A,#N/A,FALSE,"MONTHDET";#N/A,#N/A,FALSE,"ACTUAL"}</definedName>
    <definedName name="SDF" localSheetId="38" hidden="1">{#N/A,#N/A,FALSE,"MONTHDET";#N/A,#N/A,FALSE,"ACTUAL"}</definedName>
    <definedName name="SDF" hidden="1">{#N/A,#N/A,FALSE,"MONTHDET";#N/A,#N/A,FALSE,"ACTUAL"}</definedName>
    <definedName name="SDLCPhase">#REF!</definedName>
    <definedName name="sdlfee">#REF!</definedName>
    <definedName name="SellPrice">#REF!</definedName>
    <definedName name="sencount" hidden="1">1</definedName>
    <definedName name="sfjgfjgfj" localSheetId="3"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jgfjgfj" localSheetId="5"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jgfjgfj" localSheetId="8"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jgfjgfj" localSheetId="10"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jgfjgfj" localSheetId="12"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jgfjgfj" localSheetId="14"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jgfjgfj" localSheetId="16"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jgfjgfj" localSheetId="22"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jgfjgfj" localSheetId="24"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jgfjgfj" localSheetId="26"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jgfjgfj" localSheetId="28"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jgfjgfj" localSheetId="30"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jgfjgfj" localSheetId="32"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jgfjgfj" localSheetId="34"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jgfjgfj" localSheetId="36"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jgfjgfj" localSheetId="38"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jgfjgfj"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sd">#REF!</definedName>
    <definedName name="SGD">#REF!</definedName>
    <definedName name="Sheet1">#REF!</definedName>
    <definedName name="Sheet12">#REF!</definedName>
    <definedName name="Sheet9">#REF!</definedName>
    <definedName name="SheetList">#REF!</definedName>
    <definedName name="slkdjf" localSheetId="3" hidden="1">{#N/A,#N/A,TRUE,"Asmp";#N/A,#N/A,TRUE,"CF"}</definedName>
    <definedName name="slkdjf" localSheetId="5" hidden="1">{#N/A,#N/A,TRUE,"Asmp";#N/A,#N/A,TRUE,"CF"}</definedName>
    <definedName name="slkdjf" localSheetId="8" hidden="1">{#N/A,#N/A,TRUE,"Asmp";#N/A,#N/A,TRUE,"CF"}</definedName>
    <definedName name="slkdjf" localSheetId="10" hidden="1">{#N/A,#N/A,TRUE,"Asmp";#N/A,#N/A,TRUE,"CF"}</definedName>
    <definedName name="slkdjf" localSheetId="12" hidden="1">{#N/A,#N/A,TRUE,"Asmp";#N/A,#N/A,TRUE,"CF"}</definedName>
    <definedName name="slkdjf" localSheetId="14" hidden="1">{#N/A,#N/A,TRUE,"Asmp";#N/A,#N/A,TRUE,"CF"}</definedName>
    <definedName name="slkdjf" localSheetId="16" hidden="1">{#N/A,#N/A,TRUE,"Asmp";#N/A,#N/A,TRUE,"CF"}</definedName>
    <definedName name="slkdjf" localSheetId="22" hidden="1">{#N/A,#N/A,TRUE,"Asmp";#N/A,#N/A,TRUE,"CF"}</definedName>
    <definedName name="slkdjf" localSheetId="24" hidden="1">{#N/A,#N/A,TRUE,"Asmp";#N/A,#N/A,TRUE,"CF"}</definedName>
    <definedName name="slkdjf" localSheetId="26" hidden="1">{#N/A,#N/A,TRUE,"Asmp";#N/A,#N/A,TRUE,"CF"}</definedName>
    <definedName name="slkdjf" localSheetId="28" hidden="1">{#N/A,#N/A,TRUE,"Asmp";#N/A,#N/A,TRUE,"CF"}</definedName>
    <definedName name="slkdjf" localSheetId="30" hidden="1">{#N/A,#N/A,TRUE,"Asmp";#N/A,#N/A,TRUE,"CF"}</definedName>
    <definedName name="slkdjf" localSheetId="32" hidden="1">{#N/A,#N/A,TRUE,"Asmp";#N/A,#N/A,TRUE,"CF"}</definedName>
    <definedName name="slkdjf" localSheetId="34" hidden="1">{#N/A,#N/A,TRUE,"Asmp";#N/A,#N/A,TRUE,"CF"}</definedName>
    <definedName name="slkdjf" localSheetId="36" hidden="1">{#N/A,#N/A,TRUE,"Asmp";#N/A,#N/A,TRUE,"CF"}</definedName>
    <definedName name="slkdjf" localSheetId="38" hidden="1">{#N/A,#N/A,TRUE,"Asmp";#N/A,#N/A,TRUE,"CF"}</definedName>
    <definedName name="slkdjf" hidden="1">{#N/A,#N/A,TRUE,"Asmp";#N/A,#N/A,TRUE,"CF"}</definedName>
    <definedName name="SMA_HOUSE">#REF!</definedName>
    <definedName name="SN3K_Redundancy">#REF!</definedName>
    <definedName name="solar_ratio">#REF!</definedName>
    <definedName name="Spec">#REF!</definedName>
    <definedName name="Special_Escrow_Cash_Amount">#REF!</definedName>
    <definedName name="Special_Escrow_Stock_Amount">#REF!</definedName>
    <definedName name="SpecialPrice" hidden="1">#REF!</definedName>
    <definedName name="SPRAct">#REF!</definedName>
    <definedName name="SR">#REF!</definedName>
    <definedName name="SS" localSheetId="3" hidden="1">{#N/A,#N/A,TRUE,"Proposal";#N/A,#N/A,TRUE,"Assumptions";#N/A,#N/A,TRUE,"Net Income";#N/A,#N/A,TRUE,"Balsheet";#N/A,#N/A,TRUE,"Capex";#N/A,#N/A,TRUE,"Volumes";#N/A,#N/A,TRUE,"Revenues";#N/A,#N/A,TRUE,"Var.Costs";#N/A,#N/A,TRUE,"Personnel";#N/A,#N/A,TRUE,"Other costs";#N/A,#N/A,TRUE,"MKTG and G&amp;A"}</definedName>
    <definedName name="SS" localSheetId="5" hidden="1">{#N/A,#N/A,TRUE,"Proposal";#N/A,#N/A,TRUE,"Assumptions";#N/A,#N/A,TRUE,"Net Income";#N/A,#N/A,TRUE,"Balsheet";#N/A,#N/A,TRUE,"Capex";#N/A,#N/A,TRUE,"Volumes";#N/A,#N/A,TRUE,"Revenues";#N/A,#N/A,TRUE,"Var.Costs";#N/A,#N/A,TRUE,"Personnel";#N/A,#N/A,TRUE,"Other costs";#N/A,#N/A,TRUE,"MKTG and G&amp;A"}</definedName>
    <definedName name="SS" localSheetId="8" hidden="1">{#N/A,#N/A,TRUE,"Proposal";#N/A,#N/A,TRUE,"Assumptions";#N/A,#N/A,TRUE,"Net Income";#N/A,#N/A,TRUE,"Balsheet";#N/A,#N/A,TRUE,"Capex";#N/A,#N/A,TRUE,"Volumes";#N/A,#N/A,TRUE,"Revenues";#N/A,#N/A,TRUE,"Var.Costs";#N/A,#N/A,TRUE,"Personnel";#N/A,#N/A,TRUE,"Other costs";#N/A,#N/A,TRUE,"MKTG and G&amp;A"}</definedName>
    <definedName name="SS" localSheetId="10" hidden="1">{#N/A,#N/A,TRUE,"Proposal";#N/A,#N/A,TRUE,"Assumptions";#N/A,#N/A,TRUE,"Net Income";#N/A,#N/A,TRUE,"Balsheet";#N/A,#N/A,TRUE,"Capex";#N/A,#N/A,TRUE,"Volumes";#N/A,#N/A,TRUE,"Revenues";#N/A,#N/A,TRUE,"Var.Costs";#N/A,#N/A,TRUE,"Personnel";#N/A,#N/A,TRUE,"Other costs";#N/A,#N/A,TRUE,"MKTG and G&amp;A"}</definedName>
    <definedName name="SS" localSheetId="12" hidden="1">{#N/A,#N/A,TRUE,"Proposal";#N/A,#N/A,TRUE,"Assumptions";#N/A,#N/A,TRUE,"Net Income";#N/A,#N/A,TRUE,"Balsheet";#N/A,#N/A,TRUE,"Capex";#N/A,#N/A,TRUE,"Volumes";#N/A,#N/A,TRUE,"Revenues";#N/A,#N/A,TRUE,"Var.Costs";#N/A,#N/A,TRUE,"Personnel";#N/A,#N/A,TRUE,"Other costs";#N/A,#N/A,TRUE,"MKTG and G&amp;A"}</definedName>
    <definedName name="SS" localSheetId="14" hidden="1">{#N/A,#N/A,TRUE,"Proposal";#N/A,#N/A,TRUE,"Assumptions";#N/A,#N/A,TRUE,"Net Income";#N/A,#N/A,TRUE,"Balsheet";#N/A,#N/A,TRUE,"Capex";#N/A,#N/A,TRUE,"Volumes";#N/A,#N/A,TRUE,"Revenues";#N/A,#N/A,TRUE,"Var.Costs";#N/A,#N/A,TRUE,"Personnel";#N/A,#N/A,TRUE,"Other costs";#N/A,#N/A,TRUE,"MKTG and G&amp;A"}</definedName>
    <definedName name="SS" localSheetId="16" hidden="1">{#N/A,#N/A,TRUE,"Proposal";#N/A,#N/A,TRUE,"Assumptions";#N/A,#N/A,TRUE,"Net Income";#N/A,#N/A,TRUE,"Balsheet";#N/A,#N/A,TRUE,"Capex";#N/A,#N/A,TRUE,"Volumes";#N/A,#N/A,TRUE,"Revenues";#N/A,#N/A,TRUE,"Var.Costs";#N/A,#N/A,TRUE,"Personnel";#N/A,#N/A,TRUE,"Other costs";#N/A,#N/A,TRUE,"MKTG and G&amp;A"}</definedName>
    <definedName name="SS" localSheetId="22" hidden="1">{#N/A,#N/A,TRUE,"Proposal";#N/A,#N/A,TRUE,"Assumptions";#N/A,#N/A,TRUE,"Net Income";#N/A,#N/A,TRUE,"Balsheet";#N/A,#N/A,TRUE,"Capex";#N/A,#N/A,TRUE,"Volumes";#N/A,#N/A,TRUE,"Revenues";#N/A,#N/A,TRUE,"Var.Costs";#N/A,#N/A,TRUE,"Personnel";#N/A,#N/A,TRUE,"Other costs";#N/A,#N/A,TRUE,"MKTG and G&amp;A"}</definedName>
    <definedName name="SS" localSheetId="24" hidden="1">{#N/A,#N/A,TRUE,"Proposal";#N/A,#N/A,TRUE,"Assumptions";#N/A,#N/A,TRUE,"Net Income";#N/A,#N/A,TRUE,"Balsheet";#N/A,#N/A,TRUE,"Capex";#N/A,#N/A,TRUE,"Volumes";#N/A,#N/A,TRUE,"Revenues";#N/A,#N/A,TRUE,"Var.Costs";#N/A,#N/A,TRUE,"Personnel";#N/A,#N/A,TRUE,"Other costs";#N/A,#N/A,TRUE,"MKTG and G&amp;A"}</definedName>
    <definedName name="SS" localSheetId="26" hidden="1">{#N/A,#N/A,TRUE,"Proposal";#N/A,#N/A,TRUE,"Assumptions";#N/A,#N/A,TRUE,"Net Income";#N/A,#N/A,TRUE,"Balsheet";#N/A,#N/A,TRUE,"Capex";#N/A,#N/A,TRUE,"Volumes";#N/A,#N/A,TRUE,"Revenues";#N/A,#N/A,TRUE,"Var.Costs";#N/A,#N/A,TRUE,"Personnel";#N/A,#N/A,TRUE,"Other costs";#N/A,#N/A,TRUE,"MKTG and G&amp;A"}</definedName>
    <definedName name="SS" localSheetId="28" hidden="1">{#N/A,#N/A,TRUE,"Proposal";#N/A,#N/A,TRUE,"Assumptions";#N/A,#N/A,TRUE,"Net Income";#N/A,#N/A,TRUE,"Balsheet";#N/A,#N/A,TRUE,"Capex";#N/A,#N/A,TRUE,"Volumes";#N/A,#N/A,TRUE,"Revenues";#N/A,#N/A,TRUE,"Var.Costs";#N/A,#N/A,TRUE,"Personnel";#N/A,#N/A,TRUE,"Other costs";#N/A,#N/A,TRUE,"MKTG and G&amp;A"}</definedName>
    <definedName name="SS" localSheetId="30" hidden="1">{#N/A,#N/A,TRUE,"Proposal";#N/A,#N/A,TRUE,"Assumptions";#N/A,#N/A,TRUE,"Net Income";#N/A,#N/A,TRUE,"Balsheet";#N/A,#N/A,TRUE,"Capex";#N/A,#N/A,TRUE,"Volumes";#N/A,#N/A,TRUE,"Revenues";#N/A,#N/A,TRUE,"Var.Costs";#N/A,#N/A,TRUE,"Personnel";#N/A,#N/A,TRUE,"Other costs";#N/A,#N/A,TRUE,"MKTG and G&amp;A"}</definedName>
    <definedName name="SS" localSheetId="32" hidden="1">{#N/A,#N/A,TRUE,"Proposal";#N/A,#N/A,TRUE,"Assumptions";#N/A,#N/A,TRUE,"Net Income";#N/A,#N/A,TRUE,"Balsheet";#N/A,#N/A,TRUE,"Capex";#N/A,#N/A,TRUE,"Volumes";#N/A,#N/A,TRUE,"Revenues";#N/A,#N/A,TRUE,"Var.Costs";#N/A,#N/A,TRUE,"Personnel";#N/A,#N/A,TRUE,"Other costs";#N/A,#N/A,TRUE,"MKTG and G&amp;A"}</definedName>
    <definedName name="SS" localSheetId="34" hidden="1">{#N/A,#N/A,TRUE,"Proposal";#N/A,#N/A,TRUE,"Assumptions";#N/A,#N/A,TRUE,"Net Income";#N/A,#N/A,TRUE,"Balsheet";#N/A,#N/A,TRUE,"Capex";#N/A,#N/A,TRUE,"Volumes";#N/A,#N/A,TRUE,"Revenues";#N/A,#N/A,TRUE,"Var.Costs";#N/A,#N/A,TRUE,"Personnel";#N/A,#N/A,TRUE,"Other costs";#N/A,#N/A,TRUE,"MKTG and G&amp;A"}</definedName>
    <definedName name="SS" localSheetId="36" hidden="1">{#N/A,#N/A,TRUE,"Proposal";#N/A,#N/A,TRUE,"Assumptions";#N/A,#N/A,TRUE,"Net Income";#N/A,#N/A,TRUE,"Balsheet";#N/A,#N/A,TRUE,"Capex";#N/A,#N/A,TRUE,"Volumes";#N/A,#N/A,TRUE,"Revenues";#N/A,#N/A,TRUE,"Var.Costs";#N/A,#N/A,TRUE,"Personnel";#N/A,#N/A,TRUE,"Other costs";#N/A,#N/A,TRUE,"MKTG and G&amp;A"}</definedName>
    <definedName name="SS" localSheetId="38" hidden="1">{#N/A,#N/A,TRUE,"Proposal";#N/A,#N/A,TRUE,"Assumptions";#N/A,#N/A,TRUE,"Net Income";#N/A,#N/A,TRUE,"Balsheet";#N/A,#N/A,TRUE,"Capex";#N/A,#N/A,TRUE,"Volumes";#N/A,#N/A,TRUE,"Revenues";#N/A,#N/A,TRUE,"Var.Costs";#N/A,#N/A,TRUE,"Personnel";#N/A,#N/A,TRUE,"Other costs";#N/A,#N/A,TRUE,"MKTG and G&amp;A"}</definedName>
    <definedName name="SS" hidden="1">{#N/A,#N/A,TRUE,"Proposal";#N/A,#N/A,TRUE,"Assumptions";#N/A,#N/A,TRUE,"Net Income";#N/A,#N/A,TRUE,"Balsheet";#N/A,#N/A,TRUE,"Capex";#N/A,#N/A,TRUE,"Volumes";#N/A,#N/A,TRUE,"Revenues";#N/A,#N/A,TRUE,"Var.Costs";#N/A,#N/A,TRUE,"Personnel";#N/A,#N/A,TRUE,"Other costs";#N/A,#N/A,TRUE,"MKTG and G&amp;A"}</definedName>
    <definedName name="ss7fee">#REF!</definedName>
    <definedName name="sss" localSheetId="3" hidden="1">{#N/A,#N/A,FALSE,"MAIN";#N/A,#N/A,FALSE,"MK_ASS_B";#N/A,#N/A,FALSE,"MK_ASS_R";#N/A,#N/A,FALSE,"TR_ASS_B";#N/A,#N/A,FALSE,"TR_ASS_R";#N/A,#N/A,FALSE,"ROAMING";#N/A,#N/A,FALSE,"PR_ASS_B";#N/A,#N/A,FALSE,"PR_ASS_R";#N/A,#N/A,FALSE,"PR_ASS_S"}</definedName>
    <definedName name="sss" localSheetId="5" hidden="1">{#N/A,#N/A,FALSE,"MAIN";#N/A,#N/A,FALSE,"MK_ASS_B";#N/A,#N/A,FALSE,"MK_ASS_R";#N/A,#N/A,FALSE,"TR_ASS_B";#N/A,#N/A,FALSE,"TR_ASS_R";#N/A,#N/A,FALSE,"ROAMING";#N/A,#N/A,FALSE,"PR_ASS_B";#N/A,#N/A,FALSE,"PR_ASS_R";#N/A,#N/A,FALSE,"PR_ASS_S"}</definedName>
    <definedName name="sss" localSheetId="8" hidden="1">{#N/A,#N/A,FALSE,"MAIN";#N/A,#N/A,FALSE,"MK_ASS_B";#N/A,#N/A,FALSE,"MK_ASS_R";#N/A,#N/A,FALSE,"TR_ASS_B";#N/A,#N/A,FALSE,"TR_ASS_R";#N/A,#N/A,FALSE,"ROAMING";#N/A,#N/A,FALSE,"PR_ASS_B";#N/A,#N/A,FALSE,"PR_ASS_R";#N/A,#N/A,FALSE,"PR_ASS_S"}</definedName>
    <definedName name="sss" localSheetId="10" hidden="1">{#N/A,#N/A,FALSE,"MAIN";#N/A,#N/A,FALSE,"MK_ASS_B";#N/A,#N/A,FALSE,"MK_ASS_R";#N/A,#N/A,FALSE,"TR_ASS_B";#N/A,#N/A,FALSE,"TR_ASS_R";#N/A,#N/A,FALSE,"ROAMING";#N/A,#N/A,FALSE,"PR_ASS_B";#N/A,#N/A,FALSE,"PR_ASS_R";#N/A,#N/A,FALSE,"PR_ASS_S"}</definedName>
    <definedName name="sss" localSheetId="12" hidden="1">{#N/A,#N/A,FALSE,"MAIN";#N/A,#N/A,FALSE,"MK_ASS_B";#N/A,#N/A,FALSE,"MK_ASS_R";#N/A,#N/A,FALSE,"TR_ASS_B";#N/A,#N/A,FALSE,"TR_ASS_R";#N/A,#N/A,FALSE,"ROAMING";#N/A,#N/A,FALSE,"PR_ASS_B";#N/A,#N/A,FALSE,"PR_ASS_R";#N/A,#N/A,FALSE,"PR_ASS_S"}</definedName>
    <definedName name="sss" localSheetId="14" hidden="1">{#N/A,#N/A,FALSE,"MAIN";#N/A,#N/A,FALSE,"MK_ASS_B";#N/A,#N/A,FALSE,"MK_ASS_R";#N/A,#N/A,FALSE,"TR_ASS_B";#N/A,#N/A,FALSE,"TR_ASS_R";#N/A,#N/A,FALSE,"ROAMING";#N/A,#N/A,FALSE,"PR_ASS_B";#N/A,#N/A,FALSE,"PR_ASS_R";#N/A,#N/A,FALSE,"PR_ASS_S"}</definedName>
    <definedName name="sss" localSheetId="16" hidden="1">{#N/A,#N/A,FALSE,"MAIN";#N/A,#N/A,FALSE,"MK_ASS_B";#N/A,#N/A,FALSE,"MK_ASS_R";#N/A,#N/A,FALSE,"TR_ASS_B";#N/A,#N/A,FALSE,"TR_ASS_R";#N/A,#N/A,FALSE,"ROAMING";#N/A,#N/A,FALSE,"PR_ASS_B";#N/A,#N/A,FALSE,"PR_ASS_R";#N/A,#N/A,FALSE,"PR_ASS_S"}</definedName>
    <definedName name="sss" localSheetId="22" hidden="1">{#N/A,#N/A,FALSE,"MAIN";#N/A,#N/A,FALSE,"MK_ASS_B";#N/A,#N/A,FALSE,"MK_ASS_R";#N/A,#N/A,FALSE,"TR_ASS_B";#N/A,#N/A,FALSE,"TR_ASS_R";#N/A,#N/A,FALSE,"ROAMING";#N/A,#N/A,FALSE,"PR_ASS_B";#N/A,#N/A,FALSE,"PR_ASS_R";#N/A,#N/A,FALSE,"PR_ASS_S"}</definedName>
    <definedName name="sss" localSheetId="24" hidden="1">{#N/A,#N/A,FALSE,"MAIN";#N/A,#N/A,FALSE,"MK_ASS_B";#N/A,#N/A,FALSE,"MK_ASS_R";#N/A,#N/A,FALSE,"TR_ASS_B";#N/A,#N/A,FALSE,"TR_ASS_R";#N/A,#N/A,FALSE,"ROAMING";#N/A,#N/A,FALSE,"PR_ASS_B";#N/A,#N/A,FALSE,"PR_ASS_R";#N/A,#N/A,FALSE,"PR_ASS_S"}</definedName>
    <definedName name="sss" localSheetId="26" hidden="1">{#N/A,#N/A,FALSE,"MAIN";#N/A,#N/A,FALSE,"MK_ASS_B";#N/A,#N/A,FALSE,"MK_ASS_R";#N/A,#N/A,FALSE,"TR_ASS_B";#N/A,#N/A,FALSE,"TR_ASS_R";#N/A,#N/A,FALSE,"ROAMING";#N/A,#N/A,FALSE,"PR_ASS_B";#N/A,#N/A,FALSE,"PR_ASS_R";#N/A,#N/A,FALSE,"PR_ASS_S"}</definedName>
    <definedName name="sss" localSheetId="28" hidden="1">{#N/A,#N/A,FALSE,"MAIN";#N/A,#N/A,FALSE,"MK_ASS_B";#N/A,#N/A,FALSE,"MK_ASS_R";#N/A,#N/A,FALSE,"TR_ASS_B";#N/A,#N/A,FALSE,"TR_ASS_R";#N/A,#N/A,FALSE,"ROAMING";#N/A,#N/A,FALSE,"PR_ASS_B";#N/A,#N/A,FALSE,"PR_ASS_R";#N/A,#N/A,FALSE,"PR_ASS_S"}</definedName>
    <definedName name="sss" localSheetId="30" hidden="1">{#N/A,#N/A,FALSE,"MAIN";#N/A,#N/A,FALSE,"MK_ASS_B";#N/A,#N/A,FALSE,"MK_ASS_R";#N/A,#N/A,FALSE,"TR_ASS_B";#N/A,#N/A,FALSE,"TR_ASS_R";#N/A,#N/A,FALSE,"ROAMING";#N/A,#N/A,FALSE,"PR_ASS_B";#N/A,#N/A,FALSE,"PR_ASS_R";#N/A,#N/A,FALSE,"PR_ASS_S"}</definedName>
    <definedName name="sss" localSheetId="32" hidden="1">{#N/A,#N/A,FALSE,"MAIN";#N/A,#N/A,FALSE,"MK_ASS_B";#N/A,#N/A,FALSE,"MK_ASS_R";#N/A,#N/A,FALSE,"TR_ASS_B";#N/A,#N/A,FALSE,"TR_ASS_R";#N/A,#N/A,FALSE,"ROAMING";#N/A,#N/A,FALSE,"PR_ASS_B";#N/A,#N/A,FALSE,"PR_ASS_R";#N/A,#N/A,FALSE,"PR_ASS_S"}</definedName>
    <definedName name="sss" localSheetId="34" hidden="1">{#N/A,#N/A,FALSE,"MAIN";#N/A,#N/A,FALSE,"MK_ASS_B";#N/A,#N/A,FALSE,"MK_ASS_R";#N/A,#N/A,FALSE,"TR_ASS_B";#N/A,#N/A,FALSE,"TR_ASS_R";#N/A,#N/A,FALSE,"ROAMING";#N/A,#N/A,FALSE,"PR_ASS_B";#N/A,#N/A,FALSE,"PR_ASS_R";#N/A,#N/A,FALSE,"PR_ASS_S"}</definedName>
    <definedName name="sss" localSheetId="36" hidden="1">{#N/A,#N/A,FALSE,"MAIN";#N/A,#N/A,FALSE,"MK_ASS_B";#N/A,#N/A,FALSE,"MK_ASS_R";#N/A,#N/A,FALSE,"TR_ASS_B";#N/A,#N/A,FALSE,"TR_ASS_R";#N/A,#N/A,FALSE,"ROAMING";#N/A,#N/A,FALSE,"PR_ASS_B";#N/A,#N/A,FALSE,"PR_ASS_R";#N/A,#N/A,FALSE,"PR_ASS_S"}</definedName>
    <definedName name="sss" localSheetId="38" hidden="1">{#N/A,#N/A,FALSE,"MAIN";#N/A,#N/A,FALSE,"MK_ASS_B";#N/A,#N/A,FALSE,"MK_ASS_R";#N/A,#N/A,FALSE,"TR_ASS_B";#N/A,#N/A,FALSE,"TR_ASS_R";#N/A,#N/A,FALSE,"ROAMING";#N/A,#N/A,FALSE,"PR_ASS_B";#N/A,#N/A,FALSE,"PR_ASS_R";#N/A,#N/A,FALSE,"PR_ASS_S"}</definedName>
    <definedName name="sss" hidden="1">{#N/A,#N/A,FALSE,"MAIN";#N/A,#N/A,FALSE,"MK_ASS_B";#N/A,#N/A,FALSE,"MK_ASS_R";#N/A,#N/A,FALSE,"TR_ASS_B";#N/A,#N/A,FALSE,"TR_ASS_R";#N/A,#N/A,FALSE,"ROAMING";#N/A,#N/A,FALSE,"PR_ASS_B";#N/A,#N/A,FALSE,"PR_ASS_R";#N/A,#N/A,FALSE,"PR_ASS_S"}</definedName>
    <definedName name="StaffLimit">#REF!</definedName>
    <definedName name="Stage1">#REF!</definedName>
    <definedName name="Stage101D">#REF!</definedName>
    <definedName name="Stage101P">#REF!</definedName>
    <definedName name="Stage102D">#REF!</definedName>
    <definedName name="Stage102P">#REF!</definedName>
    <definedName name="Stage103D">#REF!</definedName>
    <definedName name="Stage103P">#REF!</definedName>
    <definedName name="Stage104D">#REF!</definedName>
    <definedName name="Stage104P">#REF!</definedName>
    <definedName name="Stage105D">#REF!</definedName>
    <definedName name="Stage105P">#REF!</definedName>
    <definedName name="Stage106D">#REF!</definedName>
    <definedName name="Stage106P">#REF!</definedName>
    <definedName name="Stage107D">#REF!</definedName>
    <definedName name="Stage107P">#REF!</definedName>
    <definedName name="Stage108D">#REF!</definedName>
    <definedName name="Stage108P">#REF!</definedName>
    <definedName name="Stage2">#REF!</definedName>
    <definedName name="Stage201D">#REF!</definedName>
    <definedName name="Stage201P">#REF!</definedName>
    <definedName name="Stage202D">#REF!</definedName>
    <definedName name="Stage202P">#REF!</definedName>
    <definedName name="Stage203D">#REF!</definedName>
    <definedName name="Stage203P">#REF!</definedName>
    <definedName name="Stage204D">#REF!</definedName>
    <definedName name="Stage204P">#REF!</definedName>
    <definedName name="Stage205D">#REF!</definedName>
    <definedName name="Stage205P">#REF!</definedName>
    <definedName name="Stage206D">#REF!</definedName>
    <definedName name="Stage206P">#REF!</definedName>
    <definedName name="Stage207D">#REF!</definedName>
    <definedName name="Stage207P">#REF!</definedName>
    <definedName name="Stage208D">#REF!</definedName>
    <definedName name="Stage208P">#REF!</definedName>
    <definedName name="Stage3">#REF!</definedName>
    <definedName name="Stage301D">#REF!</definedName>
    <definedName name="Stage301P">#REF!</definedName>
    <definedName name="Stage302D">#REF!</definedName>
    <definedName name="Stage302P">#REF!</definedName>
    <definedName name="Stage303">#REF!</definedName>
    <definedName name="Stage303D">#REF!</definedName>
    <definedName name="Stage303P">#REF!</definedName>
    <definedName name="Stage304D">#REF!</definedName>
    <definedName name="Stage304P">#REF!</definedName>
    <definedName name="Stage305D">#REF!</definedName>
    <definedName name="Stage305P">#REF!</definedName>
    <definedName name="Stage306D">#REF!</definedName>
    <definedName name="Stage306P">#REF!</definedName>
    <definedName name="Stage307D">#REF!</definedName>
    <definedName name="Stage307P">#REF!</definedName>
    <definedName name="Stage308D">#REF!</definedName>
    <definedName name="Stage308P">#REF!</definedName>
    <definedName name="Stage4">#REF!</definedName>
    <definedName name="Stage401D">#REF!</definedName>
    <definedName name="Stage401P">#REF!</definedName>
    <definedName name="Stage402D">#REF!</definedName>
    <definedName name="Stage402P">#REF!</definedName>
    <definedName name="Stage403D">#REF!</definedName>
    <definedName name="Stage403P">#REF!</definedName>
    <definedName name="Stage404D">#REF!</definedName>
    <definedName name="Stage404P">#REF!</definedName>
    <definedName name="Stage405D">#REF!</definedName>
    <definedName name="Stage405P">#REF!</definedName>
    <definedName name="Stage406D">#REF!</definedName>
    <definedName name="Stage406P">#REF!</definedName>
    <definedName name="Stage407D">#REF!</definedName>
    <definedName name="Stage407P">#REF!</definedName>
    <definedName name="Stage408D">#REF!</definedName>
    <definedName name="Stage408P">#REF!</definedName>
    <definedName name="Stage5">#REF!</definedName>
    <definedName name="Stage501D">#REF!</definedName>
    <definedName name="Stage501P">#REF!</definedName>
    <definedName name="Stage502D">#REF!</definedName>
    <definedName name="Stage502P">#REF!</definedName>
    <definedName name="Stage503D">#REF!</definedName>
    <definedName name="Stage503P">#REF!</definedName>
    <definedName name="Stage504D">#REF!</definedName>
    <definedName name="Stage504P">#REF!</definedName>
    <definedName name="Stage505D">#REF!</definedName>
    <definedName name="Stage505P">#REF!</definedName>
    <definedName name="Stage506D">#REF!</definedName>
    <definedName name="Stage506P">#REF!</definedName>
    <definedName name="Stage507D">#REF!</definedName>
    <definedName name="Stage507P">#REF!</definedName>
    <definedName name="Stage508D">#REF!</definedName>
    <definedName name="Stage508P">#REF!</definedName>
    <definedName name="Stage6">#REF!</definedName>
    <definedName name="Stage601D">#REF!</definedName>
    <definedName name="Stage601P">#REF!</definedName>
    <definedName name="Stage602D">#REF!</definedName>
    <definedName name="Stage602P">#REF!</definedName>
    <definedName name="Stage603D">#REF!</definedName>
    <definedName name="Stage603P">#REF!</definedName>
    <definedName name="Stage604D">#REF!</definedName>
    <definedName name="Stage604P">#REF!</definedName>
    <definedName name="Stage605D">#REF!</definedName>
    <definedName name="Stage605P">#REF!</definedName>
    <definedName name="Stage606D">#REF!</definedName>
    <definedName name="Stage606P">#REF!</definedName>
    <definedName name="Stage607D">#REF!</definedName>
    <definedName name="Stage607P">#REF!</definedName>
    <definedName name="Stage608D">#REF!</definedName>
    <definedName name="Stage608P">#REF!</definedName>
    <definedName name="Stage7">#REF!</definedName>
    <definedName name="Stage701D">#REF!</definedName>
    <definedName name="Stage701P">#REF!</definedName>
    <definedName name="Stage702D">#REF!</definedName>
    <definedName name="Stage702P">#REF!</definedName>
    <definedName name="Stage703D">#REF!</definedName>
    <definedName name="Stage703P">#REF!</definedName>
    <definedName name="Stage704D">#REF!</definedName>
    <definedName name="Stage704P">#REF!</definedName>
    <definedName name="Stage705D">#REF!</definedName>
    <definedName name="Stage705P">#REF!</definedName>
    <definedName name="Stage706D">#REF!</definedName>
    <definedName name="Stage706P">#REF!</definedName>
    <definedName name="Stage707D">#REF!</definedName>
    <definedName name="Stage707P">#REF!</definedName>
    <definedName name="Stage708D">#REF!</definedName>
    <definedName name="Stage708P">#REF!</definedName>
    <definedName name="Stage8">#REF!</definedName>
    <definedName name="Stage801D">#REF!</definedName>
    <definedName name="Stage801P">#REF!</definedName>
    <definedName name="Stage802D">#REF!</definedName>
    <definedName name="Stage802P">#REF!</definedName>
    <definedName name="Stage803D">#REF!</definedName>
    <definedName name="Stage803P">#REF!</definedName>
    <definedName name="Stage804D">#REF!</definedName>
    <definedName name="Stage804P">#REF!</definedName>
    <definedName name="Stage805D">#REF!</definedName>
    <definedName name="Stage805P">#REF!</definedName>
    <definedName name="Stage806D">#REF!</definedName>
    <definedName name="Stage806P">#REF!</definedName>
    <definedName name="Stage807D">#REF!</definedName>
    <definedName name="Stage807P">#REF!</definedName>
    <definedName name="Stage808D">#REF!</definedName>
    <definedName name="Stage808P">#REF!</definedName>
    <definedName name="StageDisplay">#REF!</definedName>
    <definedName name="star99">#REF!</definedName>
    <definedName name="Start_date">#REF!</definedName>
    <definedName name="StartCellTrash">#REF!</definedName>
    <definedName name="StartColumnIndex">#REF!</definedName>
    <definedName name="StartColumnRowIndex">#REF!</definedName>
    <definedName name="StartRowLineItemIndex">#REF!</definedName>
    <definedName name="State">#REF!</definedName>
    <definedName name="Status1">#REF!</definedName>
    <definedName name="Status2">#REF!</definedName>
    <definedName name="Status3">#REF!</definedName>
    <definedName name="Status4">#REF!</definedName>
    <definedName name="StrategicValue">#REF!</definedName>
    <definedName name="SU">#REF!</definedName>
    <definedName name="Subaccount">#REF!</definedName>
    <definedName name="subsfee">#REF!</definedName>
    <definedName name="SubWorkstreamComplete">#REF!</definedName>
    <definedName name="SubWorkstreamGreen">#REF!</definedName>
    <definedName name="SubWorkstreamNames">#REF!</definedName>
    <definedName name="SubWorkstreamNotStarted">#REF!</definedName>
    <definedName name="SubWorkstreamStatus">#REF!</definedName>
    <definedName name="SubWorkstreamYellow">#REF!</definedName>
    <definedName name="summary">#REF!</definedName>
    <definedName name="Summary_CO">#REF!</definedName>
    <definedName name="SummaryCapTableFullyDilutedShares">#REF!</definedName>
    <definedName name="SUMTOT" localSheetId="3"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SUMTOT" localSheetId="5"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SUMTOT" localSheetId="8"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SUMTOT" localSheetId="10"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SUMTOT" localSheetId="12"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SUMTOT" localSheetId="14"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SUMTOT" localSheetId="16"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SUMTOT" localSheetId="22"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SUMTOT" localSheetId="24"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SUMTOT" localSheetId="26"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SUMTOT" localSheetId="28"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SUMTOT" localSheetId="30"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SUMTOT" localSheetId="32"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SUMTOT" localSheetId="34"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SUMTOT" localSheetId="36"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SUMTOT" localSheetId="38"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SUMTOT"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sxvf" localSheetId="3" hidden="1">{#N/A,#N/A,TRUE,"Proposal";#N/A,#N/A,TRUE,"Assumptions";#N/A,#N/A,TRUE,"Net Income";#N/A,#N/A,TRUE,"Balsheet";#N/A,#N/A,TRUE,"Capex";#N/A,#N/A,TRUE,"Volumes";#N/A,#N/A,TRUE,"Revenues";#N/A,#N/A,TRUE,"Var.Costs";#N/A,#N/A,TRUE,"Personnel";#N/A,#N/A,TRUE,"Other costs";#N/A,#N/A,TRUE,"MKTG and G&amp;A"}</definedName>
    <definedName name="sxvf" localSheetId="5" hidden="1">{#N/A,#N/A,TRUE,"Proposal";#N/A,#N/A,TRUE,"Assumptions";#N/A,#N/A,TRUE,"Net Income";#N/A,#N/A,TRUE,"Balsheet";#N/A,#N/A,TRUE,"Capex";#N/A,#N/A,TRUE,"Volumes";#N/A,#N/A,TRUE,"Revenues";#N/A,#N/A,TRUE,"Var.Costs";#N/A,#N/A,TRUE,"Personnel";#N/A,#N/A,TRUE,"Other costs";#N/A,#N/A,TRUE,"MKTG and G&amp;A"}</definedName>
    <definedName name="sxvf" localSheetId="8" hidden="1">{#N/A,#N/A,TRUE,"Proposal";#N/A,#N/A,TRUE,"Assumptions";#N/A,#N/A,TRUE,"Net Income";#N/A,#N/A,TRUE,"Balsheet";#N/A,#N/A,TRUE,"Capex";#N/A,#N/A,TRUE,"Volumes";#N/A,#N/A,TRUE,"Revenues";#N/A,#N/A,TRUE,"Var.Costs";#N/A,#N/A,TRUE,"Personnel";#N/A,#N/A,TRUE,"Other costs";#N/A,#N/A,TRUE,"MKTG and G&amp;A"}</definedName>
    <definedName name="sxvf" localSheetId="10" hidden="1">{#N/A,#N/A,TRUE,"Proposal";#N/A,#N/A,TRUE,"Assumptions";#N/A,#N/A,TRUE,"Net Income";#N/A,#N/A,TRUE,"Balsheet";#N/A,#N/A,TRUE,"Capex";#N/A,#N/A,TRUE,"Volumes";#N/A,#N/A,TRUE,"Revenues";#N/A,#N/A,TRUE,"Var.Costs";#N/A,#N/A,TRUE,"Personnel";#N/A,#N/A,TRUE,"Other costs";#N/A,#N/A,TRUE,"MKTG and G&amp;A"}</definedName>
    <definedName name="sxvf" localSheetId="12" hidden="1">{#N/A,#N/A,TRUE,"Proposal";#N/A,#N/A,TRUE,"Assumptions";#N/A,#N/A,TRUE,"Net Income";#N/A,#N/A,TRUE,"Balsheet";#N/A,#N/A,TRUE,"Capex";#N/A,#N/A,TRUE,"Volumes";#N/A,#N/A,TRUE,"Revenues";#N/A,#N/A,TRUE,"Var.Costs";#N/A,#N/A,TRUE,"Personnel";#N/A,#N/A,TRUE,"Other costs";#N/A,#N/A,TRUE,"MKTG and G&amp;A"}</definedName>
    <definedName name="sxvf" localSheetId="14" hidden="1">{#N/A,#N/A,TRUE,"Proposal";#N/A,#N/A,TRUE,"Assumptions";#N/A,#N/A,TRUE,"Net Income";#N/A,#N/A,TRUE,"Balsheet";#N/A,#N/A,TRUE,"Capex";#N/A,#N/A,TRUE,"Volumes";#N/A,#N/A,TRUE,"Revenues";#N/A,#N/A,TRUE,"Var.Costs";#N/A,#N/A,TRUE,"Personnel";#N/A,#N/A,TRUE,"Other costs";#N/A,#N/A,TRUE,"MKTG and G&amp;A"}</definedName>
    <definedName name="sxvf" localSheetId="16" hidden="1">{#N/A,#N/A,TRUE,"Proposal";#N/A,#N/A,TRUE,"Assumptions";#N/A,#N/A,TRUE,"Net Income";#N/A,#N/A,TRUE,"Balsheet";#N/A,#N/A,TRUE,"Capex";#N/A,#N/A,TRUE,"Volumes";#N/A,#N/A,TRUE,"Revenues";#N/A,#N/A,TRUE,"Var.Costs";#N/A,#N/A,TRUE,"Personnel";#N/A,#N/A,TRUE,"Other costs";#N/A,#N/A,TRUE,"MKTG and G&amp;A"}</definedName>
    <definedName name="sxvf" localSheetId="22" hidden="1">{#N/A,#N/A,TRUE,"Proposal";#N/A,#N/A,TRUE,"Assumptions";#N/A,#N/A,TRUE,"Net Income";#N/A,#N/A,TRUE,"Balsheet";#N/A,#N/A,TRUE,"Capex";#N/A,#N/A,TRUE,"Volumes";#N/A,#N/A,TRUE,"Revenues";#N/A,#N/A,TRUE,"Var.Costs";#N/A,#N/A,TRUE,"Personnel";#N/A,#N/A,TRUE,"Other costs";#N/A,#N/A,TRUE,"MKTG and G&amp;A"}</definedName>
    <definedName name="sxvf" localSheetId="24" hidden="1">{#N/A,#N/A,TRUE,"Proposal";#N/A,#N/A,TRUE,"Assumptions";#N/A,#N/A,TRUE,"Net Income";#N/A,#N/A,TRUE,"Balsheet";#N/A,#N/A,TRUE,"Capex";#N/A,#N/A,TRUE,"Volumes";#N/A,#N/A,TRUE,"Revenues";#N/A,#N/A,TRUE,"Var.Costs";#N/A,#N/A,TRUE,"Personnel";#N/A,#N/A,TRUE,"Other costs";#N/A,#N/A,TRUE,"MKTG and G&amp;A"}</definedName>
    <definedName name="sxvf" localSheetId="26" hidden="1">{#N/A,#N/A,TRUE,"Proposal";#N/A,#N/A,TRUE,"Assumptions";#N/A,#N/A,TRUE,"Net Income";#N/A,#N/A,TRUE,"Balsheet";#N/A,#N/A,TRUE,"Capex";#N/A,#N/A,TRUE,"Volumes";#N/A,#N/A,TRUE,"Revenues";#N/A,#N/A,TRUE,"Var.Costs";#N/A,#N/A,TRUE,"Personnel";#N/A,#N/A,TRUE,"Other costs";#N/A,#N/A,TRUE,"MKTG and G&amp;A"}</definedName>
    <definedName name="sxvf" localSheetId="28" hidden="1">{#N/A,#N/A,TRUE,"Proposal";#N/A,#N/A,TRUE,"Assumptions";#N/A,#N/A,TRUE,"Net Income";#N/A,#N/A,TRUE,"Balsheet";#N/A,#N/A,TRUE,"Capex";#N/A,#N/A,TRUE,"Volumes";#N/A,#N/A,TRUE,"Revenues";#N/A,#N/A,TRUE,"Var.Costs";#N/A,#N/A,TRUE,"Personnel";#N/A,#N/A,TRUE,"Other costs";#N/A,#N/A,TRUE,"MKTG and G&amp;A"}</definedName>
    <definedName name="sxvf" localSheetId="30" hidden="1">{#N/A,#N/A,TRUE,"Proposal";#N/A,#N/A,TRUE,"Assumptions";#N/A,#N/A,TRUE,"Net Income";#N/A,#N/A,TRUE,"Balsheet";#N/A,#N/A,TRUE,"Capex";#N/A,#N/A,TRUE,"Volumes";#N/A,#N/A,TRUE,"Revenues";#N/A,#N/A,TRUE,"Var.Costs";#N/A,#N/A,TRUE,"Personnel";#N/A,#N/A,TRUE,"Other costs";#N/A,#N/A,TRUE,"MKTG and G&amp;A"}</definedName>
    <definedName name="sxvf" localSheetId="32" hidden="1">{#N/A,#N/A,TRUE,"Proposal";#N/A,#N/A,TRUE,"Assumptions";#N/A,#N/A,TRUE,"Net Income";#N/A,#N/A,TRUE,"Balsheet";#N/A,#N/A,TRUE,"Capex";#N/A,#N/A,TRUE,"Volumes";#N/A,#N/A,TRUE,"Revenues";#N/A,#N/A,TRUE,"Var.Costs";#N/A,#N/A,TRUE,"Personnel";#N/A,#N/A,TRUE,"Other costs";#N/A,#N/A,TRUE,"MKTG and G&amp;A"}</definedName>
    <definedName name="sxvf" localSheetId="34" hidden="1">{#N/A,#N/A,TRUE,"Proposal";#N/A,#N/A,TRUE,"Assumptions";#N/A,#N/A,TRUE,"Net Income";#N/A,#N/A,TRUE,"Balsheet";#N/A,#N/A,TRUE,"Capex";#N/A,#N/A,TRUE,"Volumes";#N/A,#N/A,TRUE,"Revenues";#N/A,#N/A,TRUE,"Var.Costs";#N/A,#N/A,TRUE,"Personnel";#N/A,#N/A,TRUE,"Other costs";#N/A,#N/A,TRUE,"MKTG and G&amp;A"}</definedName>
    <definedName name="sxvf" localSheetId="36" hidden="1">{#N/A,#N/A,TRUE,"Proposal";#N/A,#N/A,TRUE,"Assumptions";#N/A,#N/A,TRUE,"Net Income";#N/A,#N/A,TRUE,"Balsheet";#N/A,#N/A,TRUE,"Capex";#N/A,#N/A,TRUE,"Volumes";#N/A,#N/A,TRUE,"Revenues";#N/A,#N/A,TRUE,"Var.Costs";#N/A,#N/A,TRUE,"Personnel";#N/A,#N/A,TRUE,"Other costs";#N/A,#N/A,TRUE,"MKTG and G&amp;A"}</definedName>
    <definedName name="sxvf" localSheetId="38" hidden="1">{#N/A,#N/A,TRUE,"Proposal";#N/A,#N/A,TRUE,"Assumptions";#N/A,#N/A,TRUE,"Net Income";#N/A,#N/A,TRUE,"Balsheet";#N/A,#N/A,TRUE,"Capex";#N/A,#N/A,TRUE,"Volumes";#N/A,#N/A,TRUE,"Revenues";#N/A,#N/A,TRUE,"Var.Costs";#N/A,#N/A,TRUE,"Personnel";#N/A,#N/A,TRUE,"Other costs";#N/A,#N/A,TRUE,"MKTG and G&amp;A"}</definedName>
    <definedName name="sxvf" hidden="1">{#N/A,#N/A,TRUE,"Proposal";#N/A,#N/A,TRUE,"Assumptions";#N/A,#N/A,TRUE,"Net Income";#N/A,#N/A,TRUE,"Balsheet";#N/A,#N/A,TRUE,"Capex";#N/A,#N/A,TRUE,"Volumes";#N/A,#N/A,TRUE,"Revenues";#N/A,#N/A,TRUE,"Var.Costs";#N/A,#N/A,TRUE,"Personnel";#N/A,#N/A,TRUE,"Other costs";#N/A,#N/A,TRUE,"MKTG and G&amp;A"}</definedName>
    <definedName name="sycamore">#REF!</definedName>
    <definedName name="Sylvan_Learning_Systems__Inc.">"Detail view"</definedName>
    <definedName name="t" hidden="1">#REF!</definedName>
    <definedName name="t4wqd" localSheetId="3" hidden="1">{"AnnInc",#N/A,TRUE,"Inc";"QtrInc1",#N/A,TRUE,"Inc";"Balance",#N/A,TRUE,"Bal";"Cflow",#N/A,TRUE,"Cash"}</definedName>
    <definedName name="t4wqd" localSheetId="5" hidden="1">{"AnnInc",#N/A,TRUE,"Inc";"QtrInc1",#N/A,TRUE,"Inc";"Balance",#N/A,TRUE,"Bal";"Cflow",#N/A,TRUE,"Cash"}</definedName>
    <definedName name="t4wqd" localSheetId="8" hidden="1">{"AnnInc",#N/A,TRUE,"Inc";"QtrInc1",#N/A,TRUE,"Inc";"Balance",#N/A,TRUE,"Bal";"Cflow",#N/A,TRUE,"Cash"}</definedName>
    <definedName name="t4wqd" localSheetId="10" hidden="1">{"AnnInc",#N/A,TRUE,"Inc";"QtrInc1",#N/A,TRUE,"Inc";"Balance",#N/A,TRUE,"Bal";"Cflow",#N/A,TRUE,"Cash"}</definedName>
    <definedName name="t4wqd" localSheetId="12" hidden="1">{"AnnInc",#N/A,TRUE,"Inc";"QtrInc1",#N/A,TRUE,"Inc";"Balance",#N/A,TRUE,"Bal";"Cflow",#N/A,TRUE,"Cash"}</definedName>
    <definedName name="t4wqd" localSheetId="14" hidden="1">{"AnnInc",#N/A,TRUE,"Inc";"QtrInc1",#N/A,TRUE,"Inc";"Balance",#N/A,TRUE,"Bal";"Cflow",#N/A,TRUE,"Cash"}</definedName>
    <definedName name="t4wqd" localSheetId="16" hidden="1">{"AnnInc",#N/A,TRUE,"Inc";"QtrInc1",#N/A,TRUE,"Inc";"Balance",#N/A,TRUE,"Bal";"Cflow",#N/A,TRUE,"Cash"}</definedName>
    <definedName name="t4wqd" localSheetId="22" hidden="1">{"AnnInc",#N/A,TRUE,"Inc";"QtrInc1",#N/A,TRUE,"Inc";"Balance",#N/A,TRUE,"Bal";"Cflow",#N/A,TRUE,"Cash"}</definedName>
    <definedName name="t4wqd" localSheetId="24" hidden="1">{"AnnInc",#N/A,TRUE,"Inc";"QtrInc1",#N/A,TRUE,"Inc";"Balance",#N/A,TRUE,"Bal";"Cflow",#N/A,TRUE,"Cash"}</definedName>
    <definedName name="t4wqd" localSheetId="26" hidden="1">{"AnnInc",#N/A,TRUE,"Inc";"QtrInc1",#N/A,TRUE,"Inc";"Balance",#N/A,TRUE,"Bal";"Cflow",#N/A,TRUE,"Cash"}</definedName>
    <definedName name="t4wqd" localSheetId="28" hidden="1">{"AnnInc",#N/A,TRUE,"Inc";"QtrInc1",#N/A,TRUE,"Inc";"Balance",#N/A,TRUE,"Bal";"Cflow",#N/A,TRUE,"Cash"}</definedName>
    <definedName name="t4wqd" localSheetId="30" hidden="1">{"AnnInc",#N/A,TRUE,"Inc";"QtrInc1",#N/A,TRUE,"Inc";"Balance",#N/A,TRUE,"Bal";"Cflow",#N/A,TRUE,"Cash"}</definedName>
    <definedName name="t4wqd" localSheetId="32" hidden="1">{"AnnInc",#N/A,TRUE,"Inc";"QtrInc1",#N/A,TRUE,"Inc";"Balance",#N/A,TRUE,"Bal";"Cflow",#N/A,TRUE,"Cash"}</definedName>
    <definedName name="t4wqd" localSheetId="34" hidden="1">{"AnnInc",#N/A,TRUE,"Inc";"QtrInc1",#N/A,TRUE,"Inc";"Balance",#N/A,TRUE,"Bal";"Cflow",#N/A,TRUE,"Cash"}</definedName>
    <definedName name="t4wqd" localSheetId="36" hidden="1">{"AnnInc",#N/A,TRUE,"Inc";"QtrInc1",#N/A,TRUE,"Inc";"Balance",#N/A,TRUE,"Bal";"Cflow",#N/A,TRUE,"Cash"}</definedName>
    <definedName name="t4wqd" localSheetId="38" hidden="1">{"AnnInc",#N/A,TRUE,"Inc";"QtrInc1",#N/A,TRUE,"Inc";"Balance",#N/A,TRUE,"Bal";"Cflow",#N/A,TRUE,"Cash"}</definedName>
    <definedName name="t4wqd" hidden="1">{"AnnInc",#N/A,TRUE,"Inc";"QtrInc1",#N/A,TRUE,"Inc";"Balance",#N/A,TRUE,"Bal";"Cflow",#N/A,TRUE,"Cash"}</definedName>
    <definedName name="Tabla">#REF!</definedName>
    <definedName name="table">#REF!</definedName>
    <definedName name="TaskplanActualCompleteDate">#REF!</definedName>
    <definedName name="TaskplanAll">#REF!</definedName>
    <definedName name="TaskplanCompletion">#REF!</definedName>
    <definedName name="TaskplanDay1">#REF!</definedName>
    <definedName name="TaskplanId">#REF!</definedName>
    <definedName name="TaskplanMilestones">#REF!</definedName>
    <definedName name="TaskplanScheduled">#REF!</definedName>
    <definedName name="TaskplanSubWorkstream">#REF!</definedName>
    <definedName name="TaskplanTaskId">#REF!</definedName>
    <definedName name="Tax">#REF!</definedName>
    <definedName name="Tax_build">#REF!</definedName>
    <definedName name="Tax_depr">#REF!</definedName>
    <definedName name="tbl_ProdInfo" hidden="1">#REF!</definedName>
    <definedName name="Tejas_Control_Card_Disount">#REF!</definedName>
    <definedName name="Tejas_Hardware_Discount">#REF!</definedName>
    <definedName name="Tejas_Softaware_Discount">#REF!</definedName>
    <definedName name="tes" localSheetId="3" hidden="1">{"NOPCAPEVA",#N/A,FALSE,"Nopat";"FCFCSTAR",#N/A,FALSE,"FCFVAL";"EVAVL",#N/A,FALSE,"EVAVAL";"LEASE",#N/A,FALSE,"OpLease"}</definedName>
    <definedName name="tes" localSheetId="5" hidden="1">{"NOPCAPEVA",#N/A,FALSE,"Nopat";"FCFCSTAR",#N/A,FALSE,"FCFVAL";"EVAVL",#N/A,FALSE,"EVAVAL";"LEASE",#N/A,FALSE,"OpLease"}</definedName>
    <definedName name="tes" localSheetId="8" hidden="1">{"NOPCAPEVA",#N/A,FALSE,"Nopat";"FCFCSTAR",#N/A,FALSE,"FCFVAL";"EVAVL",#N/A,FALSE,"EVAVAL";"LEASE",#N/A,FALSE,"OpLease"}</definedName>
    <definedName name="tes" localSheetId="10" hidden="1">{"NOPCAPEVA",#N/A,FALSE,"Nopat";"FCFCSTAR",#N/A,FALSE,"FCFVAL";"EVAVL",#N/A,FALSE,"EVAVAL";"LEASE",#N/A,FALSE,"OpLease"}</definedName>
    <definedName name="tes" localSheetId="12" hidden="1">{"NOPCAPEVA",#N/A,FALSE,"Nopat";"FCFCSTAR",#N/A,FALSE,"FCFVAL";"EVAVL",#N/A,FALSE,"EVAVAL";"LEASE",#N/A,FALSE,"OpLease"}</definedName>
    <definedName name="tes" localSheetId="14" hidden="1">{"NOPCAPEVA",#N/A,FALSE,"Nopat";"FCFCSTAR",#N/A,FALSE,"FCFVAL";"EVAVL",#N/A,FALSE,"EVAVAL";"LEASE",#N/A,FALSE,"OpLease"}</definedName>
    <definedName name="tes" localSheetId="16" hidden="1">{"NOPCAPEVA",#N/A,FALSE,"Nopat";"FCFCSTAR",#N/A,FALSE,"FCFVAL";"EVAVL",#N/A,FALSE,"EVAVAL";"LEASE",#N/A,FALSE,"OpLease"}</definedName>
    <definedName name="tes" localSheetId="22" hidden="1">{"NOPCAPEVA",#N/A,FALSE,"Nopat";"FCFCSTAR",#N/A,FALSE,"FCFVAL";"EVAVL",#N/A,FALSE,"EVAVAL";"LEASE",#N/A,FALSE,"OpLease"}</definedName>
    <definedName name="tes" localSheetId="24" hidden="1">{"NOPCAPEVA",#N/A,FALSE,"Nopat";"FCFCSTAR",#N/A,FALSE,"FCFVAL";"EVAVL",#N/A,FALSE,"EVAVAL";"LEASE",#N/A,FALSE,"OpLease"}</definedName>
    <definedName name="tes" localSheetId="26" hidden="1">{"NOPCAPEVA",#N/A,FALSE,"Nopat";"FCFCSTAR",#N/A,FALSE,"FCFVAL";"EVAVL",#N/A,FALSE,"EVAVAL";"LEASE",#N/A,FALSE,"OpLease"}</definedName>
    <definedName name="tes" localSheetId="28" hidden="1">{"NOPCAPEVA",#N/A,FALSE,"Nopat";"FCFCSTAR",#N/A,FALSE,"FCFVAL";"EVAVL",#N/A,FALSE,"EVAVAL";"LEASE",#N/A,FALSE,"OpLease"}</definedName>
    <definedName name="tes" localSheetId="30" hidden="1">{"NOPCAPEVA",#N/A,FALSE,"Nopat";"FCFCSTAR",#N/A,FALSE,"FCFVAL";"EVAVL",#N/A,FALSE,"EVAVAL";"LEASE",#N/A,FALSE,"OpLease"}</definedName>
    <definedName name="tes" localSheetId="32" hidden="1">{"NOPCAPEVA",#N/A,FALSE,"Nopat";"FCFCSTAR",#N/A,FALSE,"FCFVAL";"EVAVL",#N/A,FALSE,"EVAVAL";"LEASE",#N/A,FALSE,"OpLease"}</definedName>
    <definedName name="tes" localSheetId="34" hidden="1">{"NOPCAPEVA",#N/A,FALSE,"Nopat";"FCFCSTAR",#N/A,FALSE,"FCFVAL";"EVAVL",#N/A,FALSE,"EVAVAL";"LEASE",#N/A,FALSE,"OpLease"}</definedName>
    <definedName name="tes" localSheetId="36" hidden="1">{"NOPCAPEVA",#N/A,FALSE,"Nopat";"FCFCSTAR",#N/A,FALSE,"FCFVAL";"EVAVL",#N/A,FALSE,"EVAVAL";"LEASE",#N/A,FALSE,"OpLease"}</definedName>
    <definedName name="tes" localSheetId="38" hidden="1">{"NOPCAPEVA",#N/A,FALSE,"Nopat";"FCFCSTAR",#N/A,FALSE,"FCFVAL";"EVAVL",#N/A,FALSE,"EVAVAL";"LEASE",#N/A,FALSE,"OpLease"}</definedName>
    <definedName name="tes" hidden="1">{"NOPCAPEVA",#N/A,FALSE,"Nopat";"FCFCSTAR",#N/A,FALSE,"FCFVAL";"EVAVL",#N/A,FALSE,"EVAVAL";"LEASE",#N/A,FALSE,"OpLease"}</definedName>
    <definedName name="test">#REF!</definedName>
    <definedName name="TextBox1a">#REF!</definedName>
    <definedName name="TextBox1b">#REF!</definedName>
    <definedName name="TextBox1c">#REF!</definedName>
    <definedName name="TextBox2a">#REF!</definedName>
    <definedName name="TextBox2b">#REF!</definedName>
    <definedName name="TextBox2c">#REF!</definedName>
    <definedName name="TextBox2d">#REF!</definedName>
    <definedName name="TextBox2e">#REF!</definedName>
    <definedName name="TextBox3a">#REF!</definedName>
    <definedName name="TextBox4a">#REF!</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49">#REF!</definedName>
    <definedName name="TextRefCopy5">#REF!</definedName>
    <definedName name="TextRefCopy50">#REF!</definedName>
    <definedName name="TextRefCopy51">#REF!</definedName>
    <definedName name="TextRefCopy52">#REF!</definedName>
    <definedName name="TextRefCopy53">#REF!</definedName>
    <definedName name="TextRefCopy56">#REF!</definedName>
    <definedName name="TextRefCopy57">#REF!</definedName>
    <definedName name="TextRefCopy58">#REF!</definedName>
    <definedName name="TextRefCopy6">#REF!</definedName>
    <definedName name="TextRefCopy60">#REF!</definedName>
    <definedName name="TextRefCopy7">#REF!</definedName>
    <definedName name="TextRefCopy72">#REF!</definedName>
    <definedName name="TextRefCopy73">#REF!</definedName>
    <definedName name="TextRefCopy8">#REF!</definedName>
    <definedName name="TextRefCopy9">#REF!</definedName>
    <definedName name="TextRefCopyRangeCount">42</definedName>
    <definedName name="thelist">#REF!</definedName>
    <definedName name="tier1">#REF!</definedName>
    <definedName name="tiers">#REF!</definedName>
    <definedName name="time_span">#REF!</definedName>
    <definedName name="TimeToMarket">#REF!</definedName>
    <definedName name="tjhrw" localSheetId="3" hidden="1">{"NOPCAPEVA",#N/A,FALSE,"Nopat";"FCFCSTAR",#N/A,FALSE,"FCFVAL";"EVAVL",#N/A,FALSE,"EVAVAL";"LEASE",#N/A,FALSE,"OpLease"}</definedName>
    <definedName name="tjhrw" localSheetId="5" hidden="1">{"NOPCAPEVA",#N/A,FALSE,"Nopat";"FCFCSTAR",#N/A,FALSE,"FCFVAL";"EVAVL",#N/A,FALSE,"EVAVAL";"LEASE",#N/A,FALSE,"OpLease"}</definedName>
    <definedName name="tjhrw" localSheetId="8" hidden="1">{"NOPCAPEVA",#N/A,FALSE,"Nopat";"FCFCSTAR",#N/A,FALSE,"FCFVAL";"EVAVL",#N/A,FALSE,"EVAVAL";"LEASE",#N/A,FALSE,"OpLease"}</definedName>
    <definedName name="tjhrw" localSheetId="10" hidden="1">{"NOPCAPEVA",#N/A,FALSE,"Nopat";"FCFCSTAR",#N/A,FALSE,"FCFVAL";"EVAVL",#N/A,FALSE,"EVAVAL";"LEASE",#N/A,FALSE,"OpLease"}</definedName>
    <definedName name="tjhrw" localSheetId="12" hidden="1">{"NOPCAPEVA",#N/A,FALSE,"Nopat";"FCFCSTAR",#N/A,FALSE,"FCFVAL";"EVAVL",#N/A,FALSE,"EVAVAL";"LEASE",#N/A,FALSE,"OpLease"}</definedName>
    <definedName name="tjhrw" localSheetId="14" hidden="1">{"NOPCAPEVA",#N/A,FALSE,"Nopat";"FCFCSTAR",#N/A,FALSE,"FCFVAL";"EVAVL",#N/A,FALSE,"EVAVAL";"LEASE",#N/A,FALSE,"OpLease"}</definedName>
    <definedName name="tjhrw" localSheetId="16" hidden="1">{"NOPCAPEVA",#N/A,FALSE,"Nopat";"FCFCSTAR",#N/A,FALSE,"FCFVAL";"EVAVL",#N/A,FALSE,"EVAVAL";"LEASE",#N/A,FALSE,"OpLease"}</definedName>
    <definedName name="tjhrw" localSheetId="22" hidden="1">{"NOPCAPEVA",#N/A,FALSE,"Nopat";"FCFCSTAR",#N/A,FALSE,"FCFVAL";"EVAVL",#N/A,FALSE,"EVAVAL";"LEASE",#N/A,FALSE,"OpLease"}</definedName>
    <definedName name="tjhrw" localSheetId="24" hidden="1">{"NOPCAPEVA",#N/A,FALSE,"Nopat";"FCFCSTAR",#N/A,FALSE,"FCFVAL";"EVAVL",#N/A,FALSE,"EVAVAL";"LEASE",#N/A,FALSE,"OpLease"}</definedName>
    <definedName name="tjhrw" localSheetId="26" hidden="1">{"NOPCAPEVA",#N/A,FALSE,"Nopat";"FCFCSTAR",#N/A,FALSE,"FCFVAL";"EVAVL",#N/A,FALSE,"EVAVAL";"LEASE",#N/A,FALSE,"OpLease"}</definedName>
    <definedName name="tjhrw" localSheetId="28" hidden="1">{"NOPCAPEVA",#N/A,FALSE,"Nopat";"FCFCSTAR",#N/A,FALSE,"FCFVAL";"EVAVL",#N/A,FALSE,"EVAVAL";"LEASE",#N/A,FALSE,"OpLease"}</definedName>
    <definedName name="tjhrw" localSheetId="30" hidden="1">{"NOPCAPEVA",#N/A,FALSE,"Nopat";"FCFCSTAR",#N/A,FALSE,"FCFVAL";"EVAVL",#N/A,FALSE,"EVAVAL";"LEASE",#N/A,FALSE,"OpLease"}</definedName>
    <definedName name="tjhrw" localSheetId="32" hidden="1">{"NOPCAPEVA",#N/A,FALSE,"Nopat";"FCFCSTAR",#N/A,FALSE,"FCFVAL";"EVAVL",#N/A,FALSE,"EVAVAL";"LEASE",#N/A,FALSE,"OpLease"}</definedName>
    <definedName name="tjhrw" localSheetId="34" hidden="1">{"NOPCAPEVA",#N/A,FALSE,"Nopat";"FCFCSTAR",#N/A,FALSE,"FCFVAL";"EVAVL",#N/A,FALSE,"EVAVAL";"LEASE",#N/A,FALSE,"OpLease"}</definedName>
    <definedName name="tjhrw" localSheetId="36" hidden="1">{"NOPCAPEVA",#N/A,FALSE,"Nopat";"FCFCSTAR",#N/A,FALSE,"FCFVAL";"EVAVL",#N/A,FALSE,"EVAVAL";"LEASE",#N/A,FALSE,"OpLease"}</definedName>
    <definedName name="tjhrw" localSheetId="38" hidden="1">{"NOPCAPEVA",#N/A,FALSE,"Nopat";"FCFCSTAR",#N/A,FALSE,"FCFVAL";"EVAVL",#N/A,FALSE,"EVAVAL";"LEASE",#N/A,FALSE,"OpLease"}</definedName>
    <definedName name="tjhrw" hidden="1">{"NOPCAPEVA",#N/A,FALSE,"Nopat";"FCFCSTAR",#N/A,FALSE,"FCFVAL";"EVAVL",#N/A,FALSE,"EVAVAL";"LEASE",#N/A,FALSE,"OpLease"}</definedName>
    <definedName name="TM1REBUILDOPTION">1</definedName>
    <definedName name="Toggle" localSheetId="3">[2]Dashboard!$C$4</definedName>
    <definedName name="Toggle" localSheetId="5">[3]Dashboard!$C$4</definedName>
    <definedName name="Toggle" localSheetId="8">[2]Dashboard!$C$4</definedName>
    <definedName name="Toggle" localSheetId="10">[3]Dashboard!$C$4</definedName>
    <definedName name="Toggle" localSheetId="12">[3]Dashboard!$C$4</definedName>
    <definedName name="Toggle" localSheetId="14">[2]Dashboard!$C$4</definedName>
    <definedName name="Toggle" localSheetId="16">[2]Dashboard!$C$4</definedName>
    <definedName name="Toggle" localSheetId="22">[3]Dashboard!$C$4</definedName>
    <definedName name="Toggle" localSheetId="24">[3]Dashboard!$C$4</definedName>
    <definedName name="Toggle" localSheetId="28">[2]Dashboard!$C$4</definedName>
    <definedName name="Toggle" localSheetId="30">[2]Dashboard!$C$4</definedName>
    <definedName name="Toggle" localSheetId="32">[2]Dashboard!$C$4</definedName>
    <definedName name="Toggle" localSheetId="34">[2]Dashboard!$C$4</definedName>
    <definedName name="Toggle" localSheetId="36">[2]Dashboard!$C$4</definedName>
    <definedName name="Toggle" localSheetId="38">[2]Dashboard!$C$4</definedName>
    <definedName name="Toggle">#REF!</definedName>
    <definedName name="toolbox">#REF!</definedName>
    <definedName name="Total_Interest">#REF!</definedName>
    <definedName name="Total_Pay">#REF!</definedName>
    <definedName name="Total_Payment" localSheetId="5">Scheduled_Payment+Extra_Payment</definedName>
    <definedName name="Total_Payment" localSheetId="10">Scheduled_Payment+Extra_Payment</definedName>
    <definedName name="Total_Payment" localSheetId="12">Scheduled_Payment+Extra_Payment</definedName>
    <definedName name="Total_Payment" localSheetId="22">Scheduled_Payment+Extra_Payment</definedName>
    <definedName name="Total_Payment" localSheetId="24">Scheduled_Payment+Extra_Payment</definedName>
    <definedName name="Total_Payment">Scheduled_Payment+Extra_Payment</definedName>
    <definedName name="TotalProfit">#REF!</definedName>
    <definedName name="tre" localSheetId="3" hidden="1">{"NOPCAPEVA",#N/A,FALSE,"Nopat";"FCFCSTAR",#N/A,FALSE,"FCFVAL";"EVAVL",#N/A,FALSE,"EVAVAL";"LEASE",#N/A,FALSE,"OpLease"}</definedName>
    <definedName name="tre" localSheetId="5" hidden="1">{"NOPCAPEVA",#N/A,FALSE,"Nopat";"FCFCSTAR",#N/A,FALSE,"FCFVAL";"EVAVL",#N/A,FALSE,"EVAVAL";"LEASE",#N/A,FALSE,"OpLease"}</definedName>
    <definedName name="tre" localSheetId="8" hidden="1">{"NOPCAPEVA",#N/A,FALSE,"Nopat";"FCFCSTAR",#N/A,FALSE,"FCFVAL";"EVAVL",#N/A,FALSE,"EVAVAL";"LEASE",#N/A,FALSE,"OpLease"}</definedName>
    <definedName name="tre" localSheetId="10" hidden="1">{"NOPCAPEVA",#N/A,FALSE,"Nopat";"FCFCSTAR",#N/A,FALSE,"FCFVAL";"EVAVL",#N/A,FALSE,"EVAVAL";"LEASE",#N/A,FALSE,"OpLease"}</definedName>
    <definedName name="tre" localSheetId="12" hidden="1">{"NOPCAPEVA",#N/A,FALSE,"Nopat";"FCFCSTAR",#N/A,FALSE,"FCFVAL";"EVAVL",#N/A,FALSE,"EVAVAL";"LEASE",#N/A,FALSE,"OpLease"}</definedName>
    <definedName name="tre" localSheetId="14" hidden="1">{"NOPCAPEVA",#N/A,FALSE,"Nopat";"FCFCSTAR",#N/A,FALSE,"FCFVAL";"EVAVL",#N/A,FALSE,"EVAVAL";"LEASE",#N/A,FALSE,"OpLease"}</definedName>
    <definedName name="tre" localSheetId="16" hidden="1">{"NOPCAPEVA",#N/A,FALSE,"Nopat";"FCFCSTAR",#N/A,FALSE,"FCFVAL";"EVAVL",#N/A,FALSE,"EVAVAL";"LEASE",#N/A,FALSE,"OpLease"}</definedName>
    <definedName name="tre" localSheetId="22" hidden="1">{"NOPCAPEVA",#N/A,FALSE,"Nopat";"FCFCSTAR",#N/A,FALSE,"FCFVAL";"EVAVL",#N/A,FALSE,"EVAVAL";"LEASE",#N/A,FALSE,"OpLease"}</definedName>
    <definedName name="tre" localSheetId="24" hidden="1">{"NOPCAPEVA",#N/A,FALSE,"Nopat";"FCFCSTAR",#N/A,FALSE,"FCFVAL";"EVAVL",#N/A,FALSE,"EVAVAL";"LEASE",#N/A,FALSE,"OpLease"}</definedName>
    <definedName name="tre" localSheetId="26" hidden="1">{"NOPCAPEVA",#N/A,FALSE,"Nopat";"FCFCSTAR",#N/A,FALSE,"FCFVAL";"EVAVL",#N/A,FALSE,"EVAVAL";"LEASE",#N/A,FALSE,"OpLease"}</definedName>
    <definedName name="tre" localSheetId="28" hidden="1">{"NOPCAPEVA",#N/A,FALSE,"Nopat";"FCFCSTAR",#N/A,FALSE,"FCFVAL";"EVAVL",#N/A,FALSE,"EVAVAL";"LEASE",#N/A,FALSE,"OpLease"}</definedName>
    <definedName name="tre" localSheetId="30" hidden="1">{"NOPCAPEVA",#N/A,FALSE,"Nopat";"FCFCSTAR",#N/A,FALSE,"FCFVAL";"EVAVL",#N/A,FALSE,"EVAVAL";"LEASE",#N/A,FALSE,"OpLease"}</definedName>
    <definedName name="tre" localSheetId="32" hidden="1">{"NOPCAPEVA",#N/A,FALSE,"Nopat";"FCFCSTAR",#N/A,FALSE,"FCFVAL";"EVAVL",#N/A,FALSE,"EVAVAL";"LEASE",#N/A,FALSE,"OpLease"}</definedName>
    <definedName name="tre" localSheetId="34" hidden="1">{"NOPCAPEVA",#N/A,FALSE,"Nopat";"FCFCSTAR",#N/A,FALSE,"FCFVAL";"EVAVL",#N/A,FALSE,"EVAVAL";"LEASE",#N/A,FALSE,"OpLease"}</definedName>
    <definedName name="tre" localSheetId="36" hidden="1">{"NOPCAPEVA",#N/A,FALSE,"Nopat";"FCFCSTAR",#N/A,FALSE,"FCFVAL";"EVAVL",#N/A,FALSE,"EVAVAL";"LEASE",#N/A,FALSE,"OpLease"}</definedName>
    <definedName name="tre" localSheetId="38" hidden="1">{"NOPCAPEVA",#N/A,FALSE,"Nopat";"FCFCSTAR",#N/A,FALSE,"FCFVAL";"EVAVL",#N/A,FALSE,"EVAVAL";"LEASE",#N/A,FALSE,"OpLease"}</definedName>
    <definedName name="tre" hidden="1">{"NOPCAPEVA",#N/A,FALSE,"Nopat";"FCFCSTAR",#N/A,FALSE,"FCFVAL";"EVAVL",#N/A,FALSE,"EVAVAL";"LEASE",#N/A,FALSE,"OpLease"}</definedName>
    <definedName name="TrueValue">#REF!</definedName>
    <definedName name="tt"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DesiredLevelOfEvidenceItems">#REF!</definedName>
    <definedName name="TTT" localSheetId="3"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 localSheetId="5"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 localSheetId="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 localSheetId="10"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 localSheetId="1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 localSheetId="1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 localSheetId="1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 localSheetId="2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 localSheetId="2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 localSheetId="2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 localSheetId="2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 localSheetId="30"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 localSheetId="3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 localSheetId="3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 localSheetId="3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 localSheetId="3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t"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#REF!</definedName>
    <definedName name="tttttttt" hidden="1">#REF!</definedName>
    <definedName name="ttttttttt" localSheetId="3" hidden="1">{"'Set-Out'!$A$1:$H$30"}</definedName>
    <definedName name="ttttttttt" localSheetId="5" hidden="1">{"'Set-Out'!$A$1:$H$30"}</definedName>
    <definedName name="ttttttttt" localSheetId="8" hidden="1">{"'Set-Out'!$A$1:$H$30"}</definedName>
    <definedName name="ttttttttt" localSheetId="10" hidden="1">{"'Set-Out'!$A$1:$H$30"}</definedName>
    <definedName name="ttttttttt" localSheetId="12" hidden="1">{"'Set-Out'!$A$1:$H$30"}</definedName>
    <definedName name="ttttttttt" localSheetId="14" hidden="1">{"'Set-Out'!$A$1:$H$30"}</definedName>
    <definedName name="ttttttttt" localSheetId="16" hidden="1">{"'Set-Out'!$A$1:$H$30"}</definedName>
    <definedName name="ttttttttt" localSheetId="22" hidden="1">{"'Set-Out'!$A$1:$H$30"}</definedName>
    <definedName name="ttttttttt" localSheetId="24" hidden="1">{"'Set-Out'!$A$1:$H$30"}</definedName>
    <definedName name="ttttttttt" localSheetId="26" hidden="1">{"'Set-Out'!$A$1:$H$30"}</definedName>
    <definedName name="ttttttttt" localSheetId="28" hidden="1">{"'Set-Out'!$A$1:$H$30"}</definedName>
    <definedName name="ttttttttt" localSheetId="30" hidden="1">{"'Set-Out'!$A$1:$H$30"}</definedName>
    <definedName name="ttttttttt" localSheetId="32" hidden="1">{"'Set-Out'!$A$1:$H$30"}</definedName>
    <definedName name="ttttttttt" localSheetId="34" hidden="1">{"'Set-Out'!$A$1:$H$30"}</definedName>
    <definedName name="ttttttttt" localSheetId="36" hidden="1">{"'Set-Out'!$A$1:$H$30"}</definedName>
    <definedName name="ttttttttt" localSheetId="38" hidden="1">{"'Set-Out'!$A$1:$H$30"}</definedName>
    <definedName name="ttttttttt" hidden="1">{"'Set-Out'!$A$1:$H$30"}</definedName>
    <definedName name="ttttttttttttttt"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 hidden="1">#REF!</definedName>
    <definedName name="tttttttttttttttttttttttt" localSheetId="3"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tttttttttttttttttttttttt" localSheetId="5"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tttttttttttttttttttttttt" localSheetId="8"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tttttttttttttttttttttttt" localSheetId="10"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tttttttttttttttttttttttt" localSheetId="12"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tttttttttttttttttttttttt" localSheetId="14"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tttttttttttttttttttttttt" localSheetId="16"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tttttttttttttttttttttttt" localSheetId="22"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tttttttttttttttttttttttt" localSheetId="24"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tttttttttttttttttttttttt" localSheetId="26"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tttttttttttttttttttttttt" localSheetId="28"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tttttttttttttttttttttttt" localSheetId="30"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tttttttttttttttttttttttt" localSheetId="32"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tttttttttttttttttttttttt" localSheetId="34"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tttttttttttttttttttttttt" localSheetId="36"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tttttttttttttttttttttttt" localSheetId="38"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tttttttttttttttttttttttt"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tttttttttttttttttttttttttttttt" localSheetId="3" hidden="1">{#N/A,#N/A,FALSE,"Aging Summary";#N/A,#N/A,FALSE,"Ratio Analysis";#N/A,#N/A,FALSE,"Test 120 Day Accts";#N/A,#N/A,FALSE,"Tickmarks"}</definedName>
    <definedName name="tttttttttttttttttttttttttttttt" localSheetId="5" hidden="1">{#N/A,#N/A,FALSE,"Aging Summary";#N/A,#N/A,FALSE,"Ratio Analysis";#N/A,#N/A,FALSE,"Test 120 Day Accts";#N/A,#N/A,FALSE,"Tickmarks"}</definedName>
    <definedName name="tttttttttttttttttttttttttttttt" localSheetId="8" hidden="1">{#N/A,#N/A,FALSE,"Aging Summary";#N/A,#N/A,FALSE,"Ratio Analysis";#N/A,#N/A,FALSE,"Test 120 Day Accts";#N/A,#N/A,FALSE,"Tickmarks"}</definedName>
    <definedName name="tttttttttttttttttttttttttttttt" localSheetId="10" hidden="1">{#N/A,#N/A,FALSE,"Aging Summary";#N/A,#N/A,FALSE,"Ratio Analysis";#N/A,#N/A,FALSE,"Test 120 Day Accts";#N/A,#N/A,FALSE,"Tickmarks"}</definedName>
    <definedName name="tttttttttttttttttttttttttttttt" localSheetId="12" hidden="1">{#N/A,#N/A,FALSE,"Aging Summary";#N/A,#N/A,FALSE,"Ratio Analysis";#N/A,#N/A,FALSE,"Test 120 Day Accts";#N/A,#N/A,FALSE,"Tickmarks"}</definedName>
    <definedName name="tttttttttttttttttttttttttttttt" localSheetId="14" hidden="1">{#N/A,#N/A,FALSE,"Aging Summary";#N/A,#N/A,FALSE,"Ratio Analysis";#N/A,#N/A,FALSE,"Test 120 Day Accts";#N/A,#N/A,FALSE,"Tickmarks"}</definedName>
    <definedName name="tttttttttttttttttttttttttttttt" localSheetId="16" hidden="1">{#N/A,#N/A,FALSE,"Aging Summary";#N/A,#N/A,FALSE,"Ratio Analysis";#N/A,#N/A,FALSE,"Test 120 Day Accts";#N/A,#N/A,FALSE,"Tickmarks"}</definedName>
    <definedName name="tttttttttttttttttttttttttttttt" localSheetId="22" hidden="1">{#N/A,#N/A,FALSE,"Aging Summary";#N/A,#N/A,FALSE,"Ratio Analysis";#N/A,#N/A,FALSE,"Test 120 Day Accts";#N/A,#N/A,FALSE,"Tickmarks"}</definedName>
    <definedName name="tttttttttttttttttttttttttttttt" localSheetId="24" hidden="1">{#N/A,#N/A,FALSE,"Aging Summary";#N/A,#N/A,FALSE,"Ratio Analysis";#N/A,#N/A,FALSE,"Test 120 Day Accts";#N/A,#N/A,FALSE,"Tickmarks"}</definedName>
    <definedName name="tttttttttttttttttttttttttttttt" localSheetId="26" hidden="1">{#N/A,#N/A,FALSE,"Aging Summary";#N/A,#N/A,FALSE,"Ratio Analysis";#N/A,#N/A,FALSE,"Test 120 Day Accts";#N/A,#N/A,FALSE,"Tickmarks"}</definedName>
    <definedName name="tttttttttttttttttttttttttttttt" localSheetId="28" hidden="1">{#N/A,#N/A,FALSE,"Aging Summary";#N/A,#N/A,FALSE,"Ratio Analysis";#N/A,#N/A,FALSE,"Test 120 Day Accts";#N/A,#N/A,FALSE,"Tickmarks"}</definedName>
    <definedName name="tttttttttttttttttttttttttttttt" localSheetId="30" hidden="1">{#N/A,#N/A,FALSE,"Aging Summary";#N/A,#N/A,FALSE,"Ratio Analysis";#N/A,#N/A,FALSE,"Test 120 Day Accts";#N/A,#N/A,FALSE,"Tickmarks"}</definedName>
    <definedName name="tttttttttttttttttttttttttttttt" localSheetId="32" hidden="1">{#N/A,#N/A,FALSE,"Aging Summary";#N/A,#N/A,FALSE,"Ratio Analysis";#N/A,#N/A,FALSE,"Test 120 Day Accts";#N/A,#N/A,FALSE,"Tickmarks"}</definedName>
    <definedName name="tttttttttttttttttttttttttttttt" localSheetId="34" hidden="1">{#N/A,#N/A,FALSE,"Aging Summary";#N/A,#N/A,FALSE,"Ratio Analysis";#N/A,#N/A,FALSE,"Test 120 Day Accts";#N/A,#N/A,FALSE,"Tickmarks"}</definedName>
    <definedName name="tttttttttttttttttttttttttttttt" localSheetId="36" hidden="1">{#N/A,#N/A,FALSE,"Aging Summary";#N/A,#N/A,FALSE,"Ratio Analysis";#N/A,#N/A,FALSE,"Test 120 Day Accts";#N/A,#N/A,FALSE,"Tickmarks"}</definedName>
    <definedName name="tttttttttttttttttttttttttttttt" localSheetId="38" hidden="1">{#N/A,#N/A,FALSE,"Aging Summary";#N/A,#N/A,FALSE,"Ratio Analysis";#N/A,#N/A,FALSE,"Test 120 Day Accts";#N/A,#N/A,FALSE,"Tickmarks"}</definedName>
    <definedName name="tttttttttttttttttttttttttttttt" hidden="1">{#N/A,#N/A,FALSE,"Aging Summary";#N/A,#N/A,FALSE,"Ratio Analysis";#N/A,#N/A,FALSE,"Test 120 Day Accts";#N/A,#N/A,FALSE,"Tickmarks"}</definedName>
    <definedName name="ttttttttttttttttttttttttttttttttt"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ttttttttttttt"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ttttttttttttt"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ttttttttttttt"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ttttttttttttt"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ttttttttttttt"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ttttttttttttt"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ttttttttttttt"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ttttttttttttt"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ttttttttttttt"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ttttttttttttt"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ttttttttttttt"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ttttttttttttt"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ttttttttttttt"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ttttttttttttt"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ttttttttttttt"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ttttttttttttt"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ttttttttttttttttttttttttttttttttttttttttt" localSheetId="3" hidden="1">{"cebank",#N/A,FALSE,"P9498BAR";"spbank",#N/A,FALSE,"P9498BAR";"renfinbank",#N/A,FALSE,"P9498BAR";"indici",#N/A,FALSE,"P9498BAR"}</definedName>
    <definedName name="tttttttttttttttttttttttttttttttttttttttttt" localSheetId="5" hidden="1">{"cebank",#N/A,FALSE,"P9498BAR";"spbank",#N/A,FALSE,"P9498BAR";"renfinbank",#N/A,FALSE,"P9498BAR";"indici",#N/A,FALSE,"P9498BAR"}</definedName>
    <definedName name="tttttttttttttttttttttttttttttttttttttttttt" localSheetId="8" hidden="1">{"cebank",#N/A,FALSE,"P9498BAR";"spbank",#N/A,FALSE,"P9498BAR";"renfinbank",#N/A,FALSE,"P9498BAR";"indici",#N/A,FALSE,"P9498BAR"}</definedName>
    <definedName name="tttttttttttttttttttttttttttttttttttttttttt" localSheetId="10" hidden="1">{"cebank",#N/A,FALSE,"P9498BAR";"spbank",#N/A,FALSE,"P9498BAR";"renfinbank",#N/A,FALSE,"P9498BAR";"indici",#N/A,FALSE,"P9498BAR"}</definedName>
    <definedName name="tttttttttttttttttttttttttttttttttttttttttt" localSheetId="12" hidden="1">{"cebank",#N/A,FALSE,"P9498BAR";"spbank",#N/A,FALSE,"P9498BAR";"renfinbank",#N/A,FALSE,"P9498BAR";"indici",#N/A,FALSE,"P9498BAR"}</definedName>
    <definedName name="tttttttttttttttttttttttttttttttttttttttttt" localSheetId="14" hidden="1">{"cebank",#N/A,FALSE,"P9498BAR";"spbank",#N/A,FALSE,"P9498BAR";"renfinbank",#N/A,FALSE,"P9498BAR";"indici",#N/A,FALSE,"P9498BAR"}</definedName>
    <definedName name="tttttttttttttttttttttttttttttttttttttttttt" localSheetId="16" hidden="1">{"cebank",#N/A,FALSE,"P9498BAR";"spbank",#N/A,FALSE,"P9498BAR";"renfinbank",#N/A,FALSE,"P9498BAR";"indici",#N/A,FALSE,"P9498BAR"}</definedName>
    <definedName name="tttttttttttttttttttttttttttttttttttttttttt" localSheetId="22" hidden="1">{"cebank",#N/A,FALSE,"P9498BAR";"spbank",#N/A,FALSE,"P9498BAR";"renfinbank",#N/A,FALSE,"P9498BAR";"indici",#N/A,FALSE,"P9498BAR"}</definedName>
    <definedName name="tttttttttttttttttttttttttttttttttttttttttt" localSheetId="24" hidden="1">{"cebank",#N/A,FALSE,"P9498BAR";"spbank",#N/A,FALSE,"P9498BAR";"renfinbank",#N/A,FALSE,"P9498BAR";"indici",#N/A,FALSE,"P9498BAR"}</definedName>
    <definedName name="tttttttttttttttttttttttttttttttttttttttttt" localSheetId="26" hidden="1">{"cebank",#N/A,FALSE,"P9498BAR";"spbank",#N/A,FALSE,"P9498BAR";"renfinbank",#N/A,FALSE,"P9498BAR";"indici",#N/A,FALSE,"P9498BAR"}</definedName>
    <definedName name="tttttttttttttttttttttttttttttttttttttttttt" localSheetId="28" hidden="1">{"cebank",#N/A,FALSE,"P9498BAR";"spbank",#N/A,FALSE,"P9498BAR";"renfinbank",#N/A,FALSE,"P9498BAR";"indici",#N/A,FALSE,"P9498BAR"}</definedName>
    <definedName name="tttttttttttttttttttttttttttttttttttttttttt" localSheetId="30" hidden="1">{"cebank",#N/A,FALSE,"P9498BAR";"spbank",#N/A,FALSE,"P9498BAR";"renfinbank",#N/A,FALSE,"P9498BAR";"indici",#N/A,FALSE,"P9498BAR"}</definedName>
    <definedName name="tttttttttttttttttttttttttttttttttttttttttt" localSheetId="32" hidden="1">{"cebank",#N/A,FALSE,"P9498BAR";"spbank",#N/A,FALSE,"P9498BAR";"renfinbank",#N/A,FALSE,"P9498BAR";"indici",#N/A,FALSE,"P9498BAR"}</definedName>
    <definedName name="tttttttttttttttttttttttttttttttttttttttttt" localSheetId="34" hidden="1">{"cebank",#N/A,FALSE,"P9498BAR";"spbank",#N/A,FALSE,"P9498BAR";"renfinbank",#N/A,FALSE,"P9498BAR";"indici",#N/A,FALSE,"P9498BAR"}</definedName>
    <definedName name="tttttttttttttttttttttttttttttttttttttttttt" localSheetId="36" hidden="1">{"cebank",#N/A,FALSE,"P9498BAR";"spbank",#N/A,FALSE,"P9498BAR";"renfinbank",#N/A,FALSE,"P9498BAR";"indici",#N/A,FALSE,"P9498BAR"}</definedName>
    <definedName name="tttttttttttttttttttttttttttttttttttttttttt" localSheetId="38" hidden="1">{"cebank",#N/A,FALSE,"P9498BAR";"spbank",#N/A,FALSE,"P9498BAR";"renfinbank",#N/A,FALSE,"P9498BAR";"indici",#N/A,FALSE,"P9498BAR"}</definedName>
    <definedName name="tttttttttttttttttttttttttttttttttttttttttt" hidden="1">{"cebank",#N/A,FALSE,"P9498BAR";"spbank",#N/A,FALSE,"P9498BAR";"renfinbank",#N/A,FALSE,"P9498BAR";"indici",#N/A,FALSE,"P9498BAR"}</definedName>
    <definedName name="TwoStepMisstatementIdentified">#REF!</definedName>
    <definedName name="TwoStepTolerableEstMisstmtCalc">#REF!</definedName>
    <definedName name="twre" localSheetId="3" hidden="1">{"NOPCAPEVA",#N/A,FALSE,"Nopat";"FCFCSTAR",#N/A,FALSE,"FCFVAL";"EVAVL",#N/A,FALSE,"EVAVAL";"LEASE",#N/A,FALSE,"OpLease"}</definedName>
    <definedName name="twre" localSheetId="5" hidden="1">{"NOPCAPEVA",#N/A,FALSE,"Nopat";"FCFCSTAR",#N/A,FALSE,"FCFVAL";"EVAVL",#N/A,FALSE,"EVAVAL";"LEASE",#N/A,FALSE,"OpLease"}</definedName>
    <definedName name="twre" localSheetId="8" hidden="1">{"NOPCAPEVA",#N/A,FALSE,"Nopat";"FCFCSTAR",#N/A,FALSE,"FCFVAL";"EVAVL",#N/A,FALSE,"EVAVAL";"LEASE",#N/A,FALSE,"OpLease"}</definedName>
    <definedName name="twre" localSheetId="10" hidden="1">{"NOPCAPEVA",#N/A,FALSE,"Nopat";"FCFCSTAR",#N/A,FALSE,"FCFVAL";"EVAVL",#N/A,FALSE,"EVAVAL";"LEASE",#N/A,FALSE,"OpLease"}</definedName>
    <definedName name="twre" localSheetId="12" hidden="1">{"NOPCAPEVA",#N/A,FALSE,"Nopat";"FCFCSTAR",#N/A,FALSE,"FCFVAL";"EVAVL",#N/A,FALSE,"EVAVAL";"LEASE",#N/A,FALSE,"OpLease"}</definedName>
    <definedName name="twre" localSheetId="14" hidden="1">{"NOPCAPEVA",#N/A,FALSE,"Nopat";"FCFCSTAR",#N/A,FALSE,"FCFVAL";"EVAVL",#N/A,FALSE,"EVAVAL";"LEASE",#N/A,FALSE,"OpLease"}</definedName>
    <definedName name="twre" localSheetId="16" hidden="1">{"NOPCAPEVA",#N/A,FALSE,"Nopat";"FCFCSTAR",#N/A,FALSE,"FCFVAL";"EVAVL",#N/A,FALSE,"EVAVAL";"LEASE",#N/A,FALSE,"OpLease"}</definedName>
    <definedName name="twre" localSheetId="22" hidden="1">{"NOPCAPEVA",#N/A,FALSE,"Nopat";"FCFCSTAR",#N/A,FALSE,"FCFVAL";"EVAVL",#N/A,FALSE,"EVAVAL";"LEASE",#N/A,FALSE,"OpLease"}</definedName>
    <definedName name="twre" localSheetId="24" hidden="1">{"NOPCAPEVA",#N/A,FALSE,"Nopat";"FCFCSTAR",#N/A,FALSE,"FCFVAL";"EVAVL",#N/A,FALSE,"EVAVAL";"LEASE",#N/A,FALSE,"OpLease"}</definedName>
    <definedName name="twre" localSheetId="26" hidden="1">{"NOPCAPEVA",#N/A,FALSE,"Nopat";"FCFCSTAR",#N/A,FALSE,"FCFVAL";"EVAVL",#N/A,FALSE,"EVAVAL";"LEASE",#N/A,FALSE,"OpLease"}</definedName>
    <definedName name="twre" localSheetId="28" hidden="1">{"NOPCAPEVA",#N/A,FALSE,"Nopat";"FCFCSTAR",#N/A,FALSE,"FCFVAL";"EVAVL",#N/A,FALSE,"EVAVAL";"LEASE",#N/A,FALSE,"OpLease"}</definedName>
    <definedName name="twre" localSheetId="30" hidden="1">{"NOPCAPEVA",#N/A,FALSE,"Nopat";"FCFCSTAR",#N/A,FALSE,"FCFVAL";"EVAVL",#N/A,FALSE,"EVAVAL";"LEASE",#N/A,FALSE,"OpLease"}</definedName>
    <definedName name="twre" localSheetId="32" hidden="1">{"NOPCAPEVA",#N/A,FALSE,"Nopat";"FCFCSTAR",#N/A,FALSE,"FCFVAL";"EVAVL",#N/A,FALSE,"EVAVAL";"LEASE",#N/A,FALSE,"OpLease"}</definedName>
    <definedName name="twre" localSheetId="34" hidden="1">{"NOPCAPEVA",#N/A,FALSE,"Nopat";"FCFCSTAR",#N/A,FALSE,"FCFVAL";"EVAVL",#N/A,FALSE,"EVAVAL";"LEASE",#N/A,FALSE,"OpLease"}</definedName>
    <definedName name="twre" localSheetId="36" hidden="1">{"NOPCAPEVA",#N/A,FALSE,"Nopat";"FCFCSTAR",#N/A,FALSE,"FCFVAL";"EVAVL",#N/A,FALSE,"EVAVAL";"LEASE",#N/A,FALSE,"OpLease"}</definedName>
    <definedName name="twre" localSheetId="38" hidden="1">{"NOPCAPEVA",#N/A,FALSE,"Nopat";"FCFCSTAR",#N/A,FALSE,"FCFVAL";"EVAVL",#N/A,FALSE,"EVAVAL";"LEASE",#N/A,FALSE,"OpLease"}</definedName>
    <definedName name="twre" hidden="1">{"NOPCAPEVA",#N/A,FALSE,"Nopat";"FCFCSTAR",#N/A,FALSE,"FCFVAL";"EVAVL",#N/A,FALSE,"EVAVAL";"LEASE",#N/A,FALSE,"OpLease"}</definedName>
    <definedName name="tyi"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ii" localSheetId="3"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ii" localSheetId="5"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ii" localSheetId="8"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ii" localSheetId="10"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ii" localSheetId="12"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ii" localSheetId="14"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ii" localSheetId="16"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ii" localSheetId="22"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ii" localSheetId="24"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ii" localSheetId="26"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ii" localSheetId="28"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ii" localSheetId="30"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ii" localSheetId="32"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ii" localSheetId="34"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ii" localSheetId="36"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ii" localSheetId="38"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ii"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pe">#REF!</definedName>
    <definedName name="TypeOptionClause">#REF!</definedName>
    <definedName name="UFPrn20030908143611">#REF!</definedName>
    <definedName name="UFPrn20050126142405">#REF!</definedName>
    <definedName name="UFPrn20050126143103">#REF!</definedName>
    <definedName name="UFPrn20050126143513">#REF!</definedName>
    <definedName name="UFPrn20050126144136">#REF!</definedName>
    <definedName name="UFPrn20050126144416">#REF!</definedName>
    <definedName name="UFPrn20050128102612">#REF!</definedName>
    <definedName name="UFPrn20050128102832">#REF!</definedName>
    <definedName name="UFPrn20050128103035">#REF!</definedName>
    <definedName name="UFPrn20050128103244">#REF!</definedName>
    <definedName name="UFPrn20050128103417">#REF!</definedName>
    <definedName name="UFPrn20050128103510">#REF!</definedName>
    <definedName name="UFPrn20050128103606">#REF!</definedName>
    <definedName name="UFPrn20050128103644">#REF!</definedName>
    <definedName name="UFPrn20050128105133">#REF!</definedName>
    <definedName name="UFPrn20050128113557">#REF!</definedName>
    <definedName name="UFPrn20050128114157">#REF!</definedName>
    <definedName name="UFPrn20050130143720">#REF!</definedName>
    <definedName name="UFPrn20050130145438">#REF!</definedName>
    <definedName name="UFPrn20090228133330">#REF!</definedName>
    <definedName name="UFPrn20101117103600">#REF!</definedName>
    <definedName name="ug" localSheetId="3" hidden="1">{"NOPCAPEVA",#N/A,FALSE,"Nopat";"FCFCSTAR",#N/A,FALSE,"FCFVAL";"EVAVL",#N/A,FALSE,"EVAVAL";"LEASE",#N/A,FALSE,"OpLease"}</definedName>
    <definedName name="ug" localSheetId="5" hidden="1">{"NOPCAPEVA",#N/A,FALSE,"Nopat";"FCFCSTAR",#N/A,FALSE,"FCFVAL";"EVAVL",#N/A,FALSE,"EVAVAL";"LEASE",#N/A,FALSE,"OpLease"}</definedName>
    <definedName name="ug" localSheetId="8" hidden="1">{"NOPCAPEVA",#N/A,FALSE,"Nopat";"FCFCSTAR",#N/A,FALSE,"FCFVAL";"EVAVL",#N/A,FALSE,"EVAVAL";"LEASE",#N/A,FALSE,"OpLease"}</definedName>
    <definedName name="ug" localSheetId="10" hidden="1">{"NOPCAPEVA",#N/A,FALSE,"Nopat";"FCFCSTAR",#N/A,FALSE,"FCFVAL";"EVAVL",#N/A,FALSE,"EVAVAL";"LEASE",#N/A,FALSE,"OpLease"}</definedName>
    <definedName name="ug" localSheetId="12" hidden="1">{"NOPCAPEVA",#N/A,FALSE,"Nopat";"FCFCSTAR",#N/A,FALSE,"FCFVAL";"EVAVL",#N/A,FALSE,"EVAVAL";"LEASE",#N/A,FALSE,"OpLease"}</definedName>
    <definedName name="ug" localSheetId="14" hidden="1">{"NOPCAPEVA",#N/A,FALSE,"Nopat";"FCFCSTAR",#N/A,FALSE,"FCFVAL";"EVAVL",#N/A,FALSE,"EVAVAL";"LEASE",#N/A,FALSE,"OpLease"}</definedName>
    <definedName name="ug" localSheetId="16" hidden="1">{"NOPCAPEVA",#N/A,FALSE,"Nopat";"FCFCSTAR",#N/A,FALSE,"FCFVAL";"EVAVL",#N/A,FALSE,"EVAVAL";"LEASE",#N/A,FALSE,"OpLease"}</definedName>
    <definedName name="ug" localSheetId="22" hidden="1">{"NOPCAPEVA",#N/A,FALSE,"Nopat";"FCFCSTAR",#N/A,FALSE,"FCFVAL";"EVAVL",#N/A,FALSE,"EVAVAL";"LEASE",#N/A,FALSE,"OpLease"}</definedName>
    <definedName name="ug" localSheetId="24" hidden="1">{"NOPCAPEVA",#N/A,FALSE,"Nopat";"FCFCSTAR",#N/A,FALSE,"FCFVAL";"EVAVL",#N/A,FALSE,"EVAVAL";"LEASE",#N/A,FALSE,"OpLease"}</definedName>
    <definedName name="ug" localSheetId="26" hidden="1">{"NOPCAPEVA",#N/A,FALSE,"Nopat";"FCFCSTAR",#N/A,FALSE,"FCFVAL";"EVAVL",#N/A,FALSE,"EVAVAL";"LEASE",#N/A,FALSE,"OpLease"}</definedName>
    <definedName name="ug" localSheetId="28" hidden="1">{"NOPCAPEVA",#N/A,FALSE,"Nopat";"FCFCSTAR",#N/A,FALSE,"FCFVAL";"EVAVL",#N/A,FALSE,"EVAVAL";"LEASE",#N/A,FALSE,"OpLease"}</definedName>
    <definedName name="ug" localSheetId="30" hidden="1">{"NOPCAPEVA",#N/A,FALSE,"Nopat";"FCFCSTAR",#N/A,FALSE,"FCFVAL";"EVAVL",#N/A,FALSE,"EVAVAL";"LEASE",#N/A,FALSE,"OpLease"}</definedName>
    <definedName name="ug" localSheetId="32" hidden="1">{"NOPCAPEVA",#N/A,FALSE,"Nopat";"FCFCSTAR",#N/A,FALSE,"FCFVAL";"EVAVL",#N/A,FALSE,"EVAVAL";"LEASE",#N/A,FALSE,"OpLease"}</definedName>
    <definedName name="ug" localSheetId="34" hidden="1">{"NOPCAPEVA",#N/A,FALSE,"Nopat";"FCFCSTAR",#N/A,FALSE,"FCFVAL";"EVAVL",#N/A,FALSE,"EVAVAL";"LEASE",#N/A,FALSE,"OpLease"}</definedName>
    <definedName name="ug" localSheetId="36" hidden="1">{"NOPCAPEVA",#N/A,FALSE,"Nopat";"FCFCSTAR",#N/A,FALSE,"FCFVAL";"EVAVL",#N/A,FALSE,"EVAVAL";"LEASE",#N/A,FALSE,"OpLease"}</definedName>
    <definedName name="ug" localSheetId="38" hidden="1">{"NOPCAPEVA",#N/A,FALSE,"Nopat";"FCFCSTAR",#N/A,FALSE,"FCFVAL";"EVAVL",#N/A,FALSE,"EVAVAL";"LEASE",#N/A,FALSE,"OpLease"}</definedName>
    <definedName name="ug" hidden="1">{"NOPCAPEVA",#N/A,FALSE,"Nopat";"FCFCSTAR",#N/A,FALSE,"FCFVAL";"EVAVL",#N/A,FALSE,"EVAVAL";"LEASE",#N/A,FALSE,"OpLease"}</definedName>
    <definedName name="ui" localSheetId="3" hidden="1">{"NOPCAPEVA",#N/A,FALSE,"Nopat";"FCFCSTAR",#N/A,FALSE,"FCFVAL";"EVAVL",#N/A,FALSE,"EVAVAL";"LEASE",#N/A,FALSE,"OpLease"}</definedName>
    <definedName name="ui" localSheetId="5" hidden="1">{"NOPCAPEVA",#N/A,FALSE,"Nopat";"FCFCSTAR",#N/A,FALSE,"FCFVAL";"EVAVL",#N/A,FALSE,"EVAVAL";"LEASE",#N/A,FALSE,"OpLease"}</definedName>
    <definedName name="ui" localSheetId="8" hidden="1">{"NOPCAPEVA",#N/A,FALSE,"Nopat";"FCFCSTAR",#N/A,FALSE,"FCFVAL";"EVAVL",#N/A,FALSE,"EVAVAL";"LEASE",#N/A,FALSE,"OpLease"}</definedName>
    <definedName name="ui" localSheetId="10" hidden="1">{"NOPCAPEVA",#N/A,FALSE,"Nopat";"FCFCSTAR",#N/A,FALSE,"FCFVAL";"EVAVL",#N/A,FALSE,"EVAVAL";"LEASE",#N/A,FALSE,"OpLease"}</definedName>
    <definedName name="ui" localSheetId="12" hidden="1">{"NOPCAPEVA",#N/A,FALSE,"Nopat";"FCFCSTAR",#N/A,FALSE,"FCFVAL";"EVAVL",#N/A,FALSE,"EVAVAL";"LEASE",#N/A,FALSE,"OpLease"}</definedName>
    <definedName name="ui" localSheetId="14" hidden="1">{"NOPCAPEVA",#N/A,FALSE,"Nopat";"FCFCSTAR",#N/A,FALSE,"FCFVAL";"EVAVL",#N/A,FALSE,"EVAVAL";"LEASE",#N/A,FALSE,"OpLease"}</definedName>
    <definedName name="ui" localSheetId="16" hidden="1">{"NOPCAPEVA",#N/A,FALSE,"Nopat";"FCFCSTAR",#N/A,FALSE,"FCFVAL";"EVAVL",#N/A,FALSE,"EVAVAL";"LEASE",#N/A,FALSE,"OpLease"}</definedName>
    <definedName name="ui" localSheetId="22" hidden="1">{"NOPCAPEVA",#N/A,FALSE,"Nopat";"FCFCSTAR",#N/A,FALSE,"FCFVAL";"EVAVL",#N/A,FALSE,"EVAVAL";"LEASE",#N/A,FALSE,"OpLease"}</definedName>
    <definedName name="ui" localSheetId="24" hidden="1">{"NOPCAPEVA",#N/A,FALSE,"Nopat";"FCFCSTAR",#N/A,FALSE,"FCFVAL";"EVAVL",#N/A,FALSE,"EVAVAL";"LEASE",#N/A,FALSE,"OpLease"}</definedName>
    <definedName name="ui" localSheetId="26" hidden="1">{"NOPCAPEVA",#N/A,FALSE,"Nopat";"FCFCSTAR",#N/A,FALSE,"FCFVAL";"EVAVL",#N/A,FALSE,"EVAVAL";"LEASE",#N/A,FALSE,"OpLease"}</definedName>
    <definedName name="ui" localSheetId="28" hidden="1">{"NOPCAPEVA",#N/A,FALSE,"Nopat";"FCFCSTAR",#N/A,FALSE,"FCFVAL";"EVAVL",#N/A,FALSE,"EVAVAL";"LEASE",#N/A,FALSE,"OpLease"}</definedName>
    <definedName name="ui" localSheetId="30" hidden="1">{"NOPCAPEVA",#N/A,FALSE,"Nopat";"FCFCSTAR",#N/A,FALSE,"FCFVAL";"EVAVL",#N/A,FALSE,"EVAVAL";"LEASE",#N/A,FALSE,"OpLease"}</definedName>
    <definedName name="ui" localSheetId="32" hidden="1">{"NOPCAPEVA",#N/A,FALSE,"Nopat";"FCFCSTAR",#N/A,FALSE,"FCFVAL";"EVAVL",#N/A,FALSE,"EVAVAL";"LEASE",#N/A,FALSE,"OpLease"}</definedName>
    <definedName name="ui" localSheetId="34" hidden="1">{"NOPCAPEVA",#N/A,FALSE,"Nopat";"FCFCSTAR",#N/A,FALSE,"FCFVAL";"EVAVL",#N/A,FALSE,"EVAVAL";"LEASE",#N/A,FALSE,"OpLease"}</definedName>
    <definedName name="ui" localSheetId="36" hidden="1">{"NOPCAPEVA",#N/A,FALSE,"Nopat";"FCFCSTAR",#N/A,FALSE,"FCFVAL";"EVAVL",#N/A,FALSE,"EVAVAL";"LEASE",#N/A,FALSE,"OpLease"}</definedName>
    <definedName name="ui" localSheetId="38" hidden="1">{"NOPCAPEVA",#N/A,FALSE,"Nopat";"FCFCSTAR",#N/A,FALSE,"FCFVAL";"EVAVL",#N/A,FALSE,"EVAVAL";"LEASE",#N/A,FALSE,"OpLease"}</definedName>
    <definedName name="ui" hidden="1">{"NOPCAPEVA",#N/A,FALSE,"Nopat";"FCFCSTAR",#N/A,FALSE,"FCFVAL";"EVAVL",#N/A,FALSE,"EVAVAL";"LEASE",#N/A,FALSE,"OpLease"}</definedName>
    <definedName name="ujkry" localSheetId="3" hidden="1">{"NOPCAPEVA",#N/A,FALSE,"Nopat";"FCFCSTAR",#N/A,FALSE,"FCFVAL";"EVAVL",#N/A,FALSE,"EVAVAL";"LEASE",#N/A,FALSE,"OpLease"}</definedName>
    <definedName name="ujkry" localSheetId="5" hidden="1">{"NOPCAPEVA",#N/A,FALSE,"Nopat";"FCFCSTAR",#N/A,FALSE,"FCFVAL";"EVAVL",#N/A,FALSE,"EVAVAL";"LEASE",#N/A,FALSE,"OpLease"}</definedName>
    <definedName name="ujkry" localSheetId="8" hidden="1">{"NOPCAPEVA",#N/A,FALSE,"Nopat";"FCFCSTAR",#N/A,FALSE,"FCFVAL";"EVAVL",#N/A,FALSE,"EVAVAL";"LEASE",#N/A,FALSE,"OpLease"}</definedName>
    <definedName name="ujkry" localSheetId="10" hidden="1">{"NOPCAPEVA",#N/A,FALSE,"Nopat";"FCFCSTAR",#N/A,FALSE,"FCFVAL";"EVAVL",#N/A,FALSE,"EVAVAL";"LEASE",#N/A,FALSE,"OpLease"}</definedName>
    <definedName name="ujkry" localSheetId="12" hidden="1">{"NOPCAPEVA",#N/A,FALSE,"Nopat";"FCFCSTAR",#N/A,FALSE,"FCFVAL";"EVAVL",#N/A,FALSE,"EVAVAL";"LEASE",#N/A,FALSE,"OpLease"}</definedName>
    <definedName name="ujkry" localSheetId="14" hidden="1">{"NOPCAPEVA",#N/A,FALSE,"Nopat";"FCFCSTAR",#N/A,FALSE,"FCFVAL";"EVAVL",#N/A,FALSE,"EVAVAL";"LEASE",#N/A,FALSE,"OpLease"}</definedName>
    <definedName name="ujkry" localSheetId="16" hidden="1">{"NOPCAPEVA",#N/A,FALSE,"Nopat";"FCFCSTAR",#N/A,FALSE,"FCFVAL";"EVAVL",#N/A,FALSE,"EVAVAL";"LEASE",#N/A,FALSE,"OpLease"}</definedName>
    <definedName name="ujkry" localSheetId="22" hidden="1">{"NOPCAPEVA",#N/A,FALSE,"Nopat";"FCFCSTAR",#N/A,FALSE,"FCFVAL";"EVAVL",#N/A,FALSE,"EVAVAL";"LEASE",#N/A,FALSE,"OpLease"}</definedName>
    <definedName name="ujkry" localSheetId="24" hidden="1">{"NOPCAPEVA",#N/A,FALSE,"Nopat";"FCFCSTAR",#N/A,FALSE,"FCFVAL";"EVAVL",#N/A,FALSE,"EVAVAL";"LEASE",#N/A,FALSE,"OpLease"}</definedName>
    <definedName name="ujkry" localSheetId="26" hidden="1">{"NOPCAPEVA",#N/A,FALSE,"Nopat";"FCFCSTAR",#N/A,FALSE,"FCFVAL";"EVAVL",#N/A,FALSE,"EVAVAL";"LEASE",#N/A,FALSE,"OpLease"}</definedName>
    <definedName name="ujkry" localSheetId="28" hidden="1">{"NOPCAPEVA",#N/A,FALSE,"Nopat";"FCFCSTAR",#N/A,FALSE,"FCFVAL";"EVAVL",#N/A,FALSE,"EVAVAL";"LEASE",#N/A,FALSE,"OpLease"}</definedName>
    <definedName name="ujkry" localSheetId="30" hidden="1">{"NOPCAPEVA",#N/A,FALSE,"Nopat";"FCFCSTAR",#N/A,FALSE,"FCFVAL";"EVAVL",#N/A,FALSE,"EVAVAL";"LEASE",#N/A,FALSE,"OpLease"}</definedName>
    <definedName name="ujkry" localSheetId="32" hidden="1">{"NOPCAPEVA",#N/A,FALSE,"Nopat";"FCFCSTAR",#N/A,FALSE,"FCFVAL";"EVAVL",#N/A,FALSE,"EVAVAL";"LEASE",#N/A,FALSE,"OpLease"}</definedName>
    <definedName name="ujkry" localSheetId="34" hidden="1">{"NOPCAPEVA",#N/A,FALSE,"Nopat";"FCFCSTAR",#N/A,FALSE,"FCFVAL";"EVAVL",#N/A,FALSE,"EVAVAL";"LEASE",#N/A,FALSE,"OpLease"}</definedName>
    <definedName name="ujkry" localSheetId="36" hidden="1">{"NOPCAPEVA",#N/A,FALSE,"Nopat";"FCFCSTAR",#N/A,FALSE,"FCFVAL";"EVAVL",#N/A,FALSE,"EVAVAL";"LEASE",#N/A,FALSE,"OpLease"}</definedName>
    <definedName name="ujkry" localSheetId="38" hidden="1">{"NOPCAPEVA",#N/A,FALSE,"Nopat";"FCFCSTAR",#N/A,FALSE,"FCFVAL";"EVAVL",#N/A,FALSE,"EVAVAL";"LEASE",#N/A,FALSE,"OpLease"}</definedName>
    <definedName name="ujkry" hidden="1">{"NOPCAPEVA",#N/A,FALSE,"Nopat";"FCFCSTAR",#N/A,FALSE,"FCFVAL";"EVAVL",#N/A,FALSE,"EVAVAL";"LEASE",#N/A,FALSE,"OpLease"}</definedName>
    <definedName name="UnitFactor">#REF!</definedName>
    <definedName name="Unitholder_Closing_Consideration">#REF!</definedName>
    <definedName name="upstDataMap">#REF!</definedName>
    <definedName name="upstDataSeg19">#REF!</definedName>
    <definedName name="urt" localSheetId="3" hidden="1">{"NOPCAPEVA",#N/A,FALSE,"Nopat";"FCFCSTAR",#N/A,FALSE,"FCFVAL";"EVAVL",#N/A,FALSE,"EVAVAL";"LEASE",#N/A,FALSE,"OpLease"}</definedName>
    <definedName name="urt" localSheetId="5" hidden="1">{"NOPCAPEVA",#N/A,FALSE,"Nopat";"FCFCSTAR",#N/A,FALSE,"FCFVAL";"EVAVL",#N/A,FALSE,"EVAVAL";"LEASE",#N/A,FALSE,"OpLease"}</definedName>
    <definedName name="urt" localSheetId="8" hidden="1">{"NOPCAPEVA",#N/A,FALSE,"Nopat";"FCFCSTAR",#N/A,FALSE,"FCFVAL";"EVAVL",#N/A,FALSE,"EVAVAL";"LEASE",#N/A,FALSE,"OpLease"}</definedName>
    <definedName name="urt" localSheetId="10" hidden="1">{"NOPCAPEVA",#N/A,FALSE,"Nopat";"FCFCSTAR",#N/A,FALSE,"FCFVAL";"EVAVL",#N/A,FALSE,"EVAVAL";"LEASE",#N/A,FALSE,"OpLease"}</definedName>
    <definedName name="urt" localSheetId="12" hidden="1">{"NOPCAPEVA",#N/A,FALSE,"Nopat";"FCFCSTAR",#N/A,FALSE,"FCFVAL";"EVAVL",#N/A,FALSE,"EVAVAL";"LEASE",#N/A,FALSE,"OpLease"}</definedName>
    <definedName name="urt" localSheetId="14" hidden="1">{"NOPCAPEVA",#N/A,FALSE,"Nopat";"FCFCSTAR",#N/A,FALSE,"FCFVAL";"EVAVL",#N/A,FALSE,"EVAVAL";"LEASE",#N/A,FALSE,"OpLease"}</definedName>
    <definedName name="urt" localSheetId="16" hidden="1">{"NOPCAPEVA",#N/A,FALSE,"Nopat";"FCFCSTAR",#N/A,FALSE,"FCFVAL";"EVAVL",#N/A,FALSE,"EVAVAL";"LEASE",#N/A,FALSE,"OpLease"}</definedName>
    <definedName name="urt" localSheetId="22" hidden="1">{"NOPCAPEVA",#N/A,FALSE,"Nopat";"FCFCSTAR",#N/A,FALSE,"FCFVAL";"EVAVL",#N/A,FALSE,"EVAVAL";"LEASE",#N/A,FALSE,"OpLease"}</definedName>
    <definedName name="urt" localSheetId="24" hidden="1">{"NOPCAPEVA",#N/A,FALSE,"Nopat";"FCFCSTAR",#N/A,FALSE,"FCFVAL";"EVAVL",#N/A,FALSE,"EVAVAL";"LEASE",#N/A,FALSE,"OpLease"}</definedName>
    <definedName name="urt" localSheetId="26" hidden="1">{"NOPCAPEVA",#N/A,FALSE,"Nopat";"FCFCSTAR",#N/A,FALSE,"FCFVAL";"EVAVL",#N/A,FALSE,"EVAVAL";"LEASE",#N/A,FALSE,"OpLease"}</definedName>
    <definedName name="urt" localSheetId="28" hidden="1">{"NOPCAPEVA",#N/A,FALSE,"Nopat";"FCFCSTAR",#N/A,FALSE,"FCFVAL";"EVAVL",#N/A,FALSE,"EVAVAL";"LEASE",#N/A,FALSE,"OpLease"}</definedName>
    <definedName name="urt" localSheetId="30" hidden="1">{"NOPCAPEVA",#N/A,FALSE,"Nopat";"FCFCSTAR",#N/A,FALSE,"FCFVAL";"EVAVL",#N/A,FALSE,"EVAVAL";"LEASE",#N/A,FALSE,"OpLease"}</definedName>
    <definedName name="urt" localSheetId="32" hidden="1">{"NOPCAPEVA",#N/A,FALSE,"Nopat";"FCFCSTAR",#N/A,FALSE,"FCFVAL";"EVAVL",#N/A,FALSE,"EVAVAL";"LEASE",#N/A,FALSE,"OpLease"}</definedName>
    <definedName name="urt" localSheetId="34" hidden="1">{"NOPCAPEVA",#N/A,FALSE,"Nopat";"FCFCSTAR",#N/A,FALSE,"FCFVAL";"EVAVL",#N/A,FALSE,"EVAVAL";"LEASE",#N/A,FALSE,"OpLease"}</definedName>
    <definedName name="urt" localSheetId="36" hidden="1">{"NOPCAPEVA",#N/A,FALSE,"Nopat";"FCFCSTAR",#N/A,FALSE,"FCFVAL";"EVAVL",#N/A,FALSE,"EVAVAL";"LEASE",#N/A,FALSE,"OpLease"}</definedName>
    <definedName name="urt" localSheetId="38" hidden="1">{"NOPCAPEVA",#N/A,FALSE,"Nopat";"FCFCSTAR",#N/A,FALSE,"FCFVAL";"EVAVL",#N/A,FALSE,"EVAVAL";"LEASE",#N/A,FALSE,"OpLease"}</definedName>
    <definedName name="urt" hidden="1">{"NOPCAPEVA",#N/A,FALSE,"Nopat";"FCFCSTAR",#N/A,FALSE,"FCFVAL";"EVAVL",#N/A,FALSE,"EVAVAL";"LEASE",#N/A,FALSE,"OpLease"}</definedName>
    <definedName name="USD">#REF!</definedName>
    <definedName name="uuuu" localSheetId="3" hidden="1">{#N/A,#N/A,TRUE,"Proposal";#N/A,#N/A,TRUE,"Assumptions";#N/A,#N/A,TRUE,"Net Income";#N/A,#N/A,TRUE,"Balsheet";#N/A,#N/A,TRUE,"Capex";#N/A,#N/A,TRUE,"Volumes";#N/A,#N/A,TRUE,"Revenues";#N/A,#N/A,TRUE,"Var.Costs";#N/A,#N/A,TRUE,"Personnel";#N/A,#N/A,TRUE,"Other costs";#N/A,#N/A,TRUE,"MKTG and G&amp;A"}</definedName>
    <definedName name="uuuu" localSheetId="5" hidden="1">{#N/A,#N/A,TRUE,"Proposal";#N/A,#N/A,TRUE,"Assumptions";#N/A,#N/A,TRUE,"Net Income";#N/A,#N/A,TRUE,"Balsheet";#N/A,#N/A,TRUE,"Capex";#N/A,#N/A,TRUE,"Volumes";#N/A,#N/A,TRUE,"Revenues";#N/A,#N/A,TRUE,"Var.Costs";#N/A,#N/A,TRUE,"Personnel";#N/A,#N/A,TRUE,"Other costs";#N/A,#N/A,TRUE,"MKTG and G&amp;A"}</definedName>
    <definedName name="uuuu" localSheetId="8" hidden="1">{#N/A,#N/A,TRUE,"Proposal";#N/A,#N/A,TRUE,"Assumptions";#N/A,#N/A,TRUE,"Net Income";#N/A,#N/A,TRUE,"Balsheet";#N/A,#N/A,TRUE,"Capex";#N/A,#N/A,TRUE,"Volumes";#N/A,#N/A,TRUE,"Revenues";#N/A,#N/A,TRUE,"Var.Costs";#N/A,#N/A,TRUE,"Personnel";#N/A,#N/A,TRUE,"Other costs";#N/A,#N/A,TRUE,"MKTG and G&amp;A"}</definedName>
    <definedName name="uuuu" localSheetId="10" hidden="1">{#N/A,#N/A,TRUE,"Proposal";#N/A,#N/A,TRUE,"Assumptions";#N/A,#N/A,TRUE,"Net Income";#N/A,#N/A,TRUE,"Balsheet";#N/A,#N/A,TRUE,"Capex";#N/A,#N/A,TRUE,"Volumes";#N/A,#N/A,TRUE,"Revenues";#N/A,#N/A,TRUE,"Var.Costs";#N/A,#N/A,TRUE,"Personnel";#N/A,#N/A,TRUE,"Other costs";#N/A,#N/A,TRUE,"MKTG and G&amp;A"}</definedName>
    <definedName name="uuuu" localSheetId="12" hidden="1">{#N/A,#N/A,TRUE,"Proposal";#N/A,#N/A,TRUE,"Assumptions";#N/A,#N/A,TRUE,"Net Income";#N/A,#N/A,TRUE,"Balsheet";#N/A,#N/A,TRUE,"Capex";#N/A,#N/A,TRUE,"Volumes";#N/A,#N/A,TRUE,"Revenues";#N/A,#N/A,TRUE,"Var.Costs";#N/A,#N/A,TRUE,"Personnel";#N/A,#N/A,TRUE,"Other costs";#N/A,#N/A,TRUE,"MKTG and G&amp;A"}</definedName>
    <definedName name="uuuu" localSheetId="14" hidden="1">{#N/A,#N/A,TRUE,"Proposal";#N/A,#N/A,TRUE,"Assumptions";#N/A,#N/A,TRUE,"Net Income";#N/A,#N/A,TRUE,"Balsheet";#N/A,#N/A,TRUE,"Capex";#N/A,#N/A,TRUE,"Volumes";#N/A,#N/A,TRUE,"Revenues";#N/A,#N/A,TRUE,"Var.Costs";#N/A,#N/A,TRUE,"Personnel";#N/A,#N/A,TRUE,"Other costs";#N/A,#N/A,TRUE,"MKTG and G&amp;A"}</definedName>
    <definedName name="uuuu" localSheetId="16" hidden="1">{#N/A,#N/A,TRUE,"Proposal";#N/A,#N/A,TRUE,"Assumptions";#N/A,#N/A,TRUE,"Net Income";#N/A,#N/A,TRUE,"Balsheet";#N/A,#N/A,TRUE,"Capex";#N/A,#N/A,TRUE,"Volumes";#N/A,#N/A,TRUE,"Revenues";#N/A,#N/A,TRUE,"Var.Costs";#N/A,#N/A,TRUE,"Personnel";#N/A,#N/A,TRUE,"Other costs";#N/A,#N/A,TRUE,"MKTG and G&amp;A"}</definedName>
    <definedName name="uuuu" localSheetId="22" hidden="1">{#N/A,#N/A,TRUE,"Proposal";#N/A,#N/A,TRUE,"Assumptions";#N/A,#N/A,TRUE,"Net Income";#N/A,#N/A,TRUE,"Balsheet";#N/A,#N/A,TRUE,"Capex";#N/A,#N/A,TRUE,"Volumes";#N/A,#N/A,TRUE,"Revenues";#N/A,#N/A,TRUE,"Var.Costs";#N/A,#N/A,TRUE,"Personnel";#N/A,#N/A,TRUE,"Other costs";#N/A,#N/A,TRUE,"MKTG and G&amp;A"}</definedName>
    <definedName name="uuuu" localSheetId="24" hidden="1">{#N/A,#N/A,TRUE,"Proposal";#N/A,#N/A,TRUE,"Assumptions";#N/A,#N/A,TRUE,"Net Income";#N/A,#N/A,TRUE,"Balsheet";#N/A,#N/A,TRUE,"Capex";#N/A,#N/A,TRUE,"Volumes";#N/A,#N/A,TRUE,"Revenues";#N/A,#N/A,TRUE,"Var.Costs";#N/A,#N/A,TRUE,"Personnel";#N/A,#N/A,TRUE,"Other costs";#N/A,#N/A,TRUE,"MKTG and G&amp;A"}</definedName>
    <definedName name="uuuu" localSheetId="26" hidden="1">{#N/A,#N/A,TRUE,"Proposal";#N/A,#N/A,TRUE,"Assumptions";#N/A,#N/A,TRUE,"Net Income";#N/A,#N/A,TRUE,"Balsheet";#N/A,#N/A,TRUE,"Capex";#N/A,#N/A,TRUE,"Volumes";#N/A,#N/A,TRUE,"Revenues";#N/A,#N/A,TRUE,"Var.Costs";#N/A,#N/A,TRUE,"Personnel";#N/A,#N/A,TRUE,"Other costs";#N/A,#N/A,TRUE,"MKTG and G&amp;A"}</definedName>
    <definedName name="uuuu" localSheetId="28" hidden="1">{#N/A,#N/A,TRUE,"Proposal";#N/A,#N/A,TRUE,"Assumptions";#N/A,#N/A,TRUE,"Net Income";#N/A,#N/A,TRUE,"Balsheet";#N/A,#N/A,TRUE,"Capex";#N/A,#N/A,TRUE,"Volumes";#N/A,#N/A,TRUE,"Revenues";#N/A,#N/A,TRUE,"Var.Costs";#N/A,#N/A,TRUE,"Personnel";#N/A,#N/A,TRUE,"Other costs";#N/A,#N/A,TRUE,"MKTG and G&amp;A"}</definedName>
    <definedName name="uuuu" localSheetId="30" hidden="1">{#N/A,#N/A,TRUE,"Proposal";#N/A,#N/A,TRUE,"Assumptions";#N/A,#N/A,TRUE,"Net Income";#N/A,#N/A,TRUE,"Balsheet";#N/A,#N/A,TRUE,"Capex";#N/A,#N/A,TRUE,"Volumes";#N/A,#N/A,TRUE,"Revenues";#N/A,#N/A,TRUE,"Var.Costs";#N/A,#N/A,TRUE,"Personnel";#N/A,#N/A,TRUE,"Other costs";#N/A,#N/A,TRUE,"MKTG and G&amp;A"}</definedName>
    <definedName name="uuuu" localSheetId="32" hidden="1">{#N/A,#N/A,TRUE,"Proposal";#N/A,#N/A,TRUE,"Assumptions";#N/A,#N/A,TRUE,"Net Income";#N/A,#N/A,TRUE,"Balsheet";#N/A,#N/A,TRUE,"Capex";#N/A,#N/A,TRUE,"Volumes";#N/A,#N/A,TRUE,"Revenues";#N/A,#N/A,TRUE,"Var.Costs";#N/A,#N/A,TRUE,"Personnel";#N/A,#N/A,TRUE,"Other costs";#N/A,#N/A,TRUE,"MKTG and G&amp;A"}</definedName>
    <definedName name="uuuu" localSheetId="34" hidden="1">{#N/A,#N/A,TRUE,"Proposal";#N/A,#N/A,TRUE,"Assumptions";#N/A,#N/A,TRUE,"Net Income";#N/A,#N/A,TRUE,"Balsheet";#N/A,#N/A,TRUE,"Capex";#N/A,#N/A,TRUE,"Volumes";#N/A,#N/A,TRUE,"Revenues";#N/A,#N/A,TRUE,"Var.Costs";#N/A,#N/A,TRUE,"Personnel";#N/A,#N/A,TRUE,"Other costs";#N/A,#N/A,TRUE,"MKTG and G&amp;A"}</definedName>
    <definedName name="uuuu" localSheetId="36" hidden="1">{#N/A,#N/A,TRUE,"Proposal";#N/A,#N/A,TRUE,"Assumptions";#N/A,#N/A,TRUE,"Net Income";#N/A,#N/A,TRUE,"Balsheet";#N/A,#N/A,TRUE,"Capex";#N/A,#N/A,TRUE,"Volumes";#N/A,#N/A,TRUE,"Revenues";#N/A,#N/A,TRUE,"Var.Costs";#N/A,#N/A,TRUE,"Personnel";#N/A,#N/A,TRUE,"Other costs";#N/A,#N/A,TRUE,"MKTG and G&amp;A"}</definedName>
    <definedName name="uuuu" localSheetId="38" hidden="1">{#N/A,#N/A,TRUE,"Proposal";#N/A,#N/A,TRUE,"Assumptions";#N/A,#N/A,TRUE,"Net Income";#N/A,#N/A,TRUE,"Balsheet";#N/A,#N/A,TRUE,"Capex";#N/A,#N/A,TRUE,"Volumes";#N/A,#N/A,TRUE,"Revenues";#N/A,#N/A,TRUE,"Var.Costs";#N/A,#N/A,TRUE,"Personnel";#N/A,#N/A,TRUE,"Other costs";#N/A,#N/A,TRUE,"MKTG and G&amp;A"}</definedName>
    <definedName name="uuuu" hidden="1">{#N/A,#N/A,TRUE,"Proposal";#N/A,#N/A,TRUE,"Assumptions";#N/A,#N/A,TRUE,"Net Income";#N/A,#N/A,TRUE,"Balsheet";#N/A,#N/A,TRUE,"Capex";#N/A,#N/A,TRUE,"Volumes";#N/A,#N/A,TRUE,"Revenues";#N/A,#N/A,TRUE,"Var.Costs";#N/A,#N/A,TRUE,"Personnel";#N/A,#N/A,TRUE,"Other costs";#N/A,#N/A,TRUE,"MKTG and G&amp;A"}</definedName>
    <definedName name="uuuuuuuuuuuu" localSheetId="3" hidden="1">{#N/A,#N/A,TRUE,"Main Issues";#N/A,#N/A,TRUE,"Income statement ($)"}</definedName>
    <definedName name="uuuuuuuuuuuu" localSheetId="5" hidden="1">{#N/A,#N/A,TRUE,"Main Issues";#N/A,#N/A,TRUE,"Income statement ($)"}</definedName>
    <definedName name="uuuuuuuuuuuu" localSheetId="8" hidden="1">{#N/A,#N/A,TRUE,"Main Issues";#N/A,#N/A,TRUE,"Income statement ($)"}</definedName>
    <definedName name="uuuuuuuuuuuu" localSheetId="10" hidden="1">{#N/A,#N/A,TRUE,"Main Issues";#N/A,#N/A,TRUE,"Income statement ($)"}</definedName>
    <definedName name="uuuuuuuuuuuu" localSheetId="12" hidden="1">{#N/A,#N/A,TRUE,"Main Issues";#N/A,#N/A,TRUE,"Income statement ($)"}</definedName>
    <definedName name="uuuuuuuuuuuu" localSheetId="14" hidden="1">{#N/A,#N/A,TRUE,"Main Issues";#N/A,#N/A,TRUE,"Income statement ($)"}</definedName>
    <definedName name="uuuuuuuuuuuu" localSheetId="16" hidden="1">{#N/A,#N/A,TRUE,"Main Issues";#N/A,#N/A,TRUE,"Income statement ($)"}</definedName>
    <definedName name="uuuuuuuuuuuu" localSheetId="22" hidden="1">{#N/A,#N/A,TRUE,"Main Issues";#N/A,#N/A,TRUE,"Income statement ($)"}</definedName>
    <definedName name="uuuuuuuuuuuu" localSheetId="24" hidden="1">{#N/A,#N/A,TRUE,"Main Issues";#N/A,#N/A,TRUE,"Income statement ($)"}</definedName>
    <definedName name="uuuuuuuuuuuu" localSheetId="26" hidden="1">{#N/A,#N/A,TRUE,"Main Issues";#N/A,#N/A,TRUE,"Income statement ($)"}</definedName>
    <definedName name="uuuuuuuuuuuu" localSheetId="28" hidden="1">{#N/A,#N/A,TRUE,"Main Issues";#N/A,#N/A,TRUE,"Income statement ($)"}</definedName>
    <definedName name="uuuuuuuuuuuu" localSheetId="30" hidden="1">{#N/A,#N/A,TRUE,"Main Issues";#N/A,#N/A,TRUE,"Income statement ($)"}</definedName>
    <definedName name="uuuuuuuuuuuu" localSheetId="32" hidden="1">{#N/A,#N/A,TRUE,"Main Issues";#N/A,#N/A,TRUE,"Income statement ($)"}</definedName>
    <definedName name="uuuuuuuuuuuu" localSheetId="34" hidden="1">{#N/A,#N/A,TRUE,"Main Issues";#N/A,#N/A,TRUE,"Income statement ($)"}</definedName>
    <definedName name="uuuuuuuuuuuu" localSheetId="36" hidden="1">{#N/A,#N/A,TRUE,"Main Issues";#N/A,#N/A,TRUE,"Income statement ($)"}</definedName>
    <definedName name="uuuuuuuuuuuu" localSheetId="38" hidden="1">{#N/A,#N/A,TRUE,"Main Issues";#N/A,#N/A,TRUE,"Income statement ($)"}</definedName>
    <definedName name="uuuuuuuuuuuu" hidden="1">{#N/A,#N/A,TRUE,"Main Issues";#N/A,#N/A,TRUE,"Income statement ($)"}</definedName>
    <definedName name="uuuuuuuuuuuuu" localSheetId="3" hidden="1">{#N/A,#N/A,FALSE,"Aging Summary";#N/A,#N/A,FALSE,"Ratio Analysis";#N/A,#N/A,FALSE,"Test 120 Day Accts";#N/A,#N/A,FALSE,"Tickmarks"}</definedName>
    <definedName name="uuuuuuuuuuuuu" localSheetId="5" hidden="1">{#N/A,#N/A,FALSE,"Aging Summary";#N/A,#N/A,FALSE,"Ratio Analysis";#N/A,#N/A,FALSE,"Test 120 Day Accts";#N/A,#N/A,FALSE,"Tickmarks"}</definedName>
    <definedName name="uuuuuuuuuuuuu" localSheetId="8" hidden="1">{#N/A,#N/A,FALSE,"Aging Summary";#N/A,#N/A,FALSE,"Ratio Analysis";#N/A,#N/A,FALSE,"Test 120 Day Accts";#N/A,#N/A,FALSE,"Tickmarks"}</definedName>
    <definedName name="uuuuuuuuuuuuu" localSheetId="10" hidden="1">{#N/A,#N/A,FALSE,"Aging Summary";#N/A,#N/A,FALSE,"Ratio Analysis";#N/A,#N/A,FALSE,"Test 120 Day Accts";#N/A,#N/A,FALSE,"Tickmarks"}</definedName>
    <definedName name="uuuuuuuuuuuuu" localSheetId="12" hidden="1">{#N/A,#N/A,FALSE,"Aging Summary";#N/A,#N/A,FALSE,"Ratio Analysis";#N/A,#N/A,FALSE,"Test 120 Day Accts";#N/A,#N/A,FALSE,"Tickmarks"}</definedName>
    <definedName name="uuuuuuuuuuuuu" localSheetId="14" hidden="1">{#N/A,#N/A,FALSE,"Aging Summary";#N/A,#N/A,FALSE,"Ratio Analysis";#N/A,#N/A,FALSE,"Test 120 Day Accts";#N/A,#N/A,FALSE,"Tickmarks"}</definedName>
    <definedName name="uuuuuuuuuuuuu" localSheetId="16" hidden="1">{#N/A,#N/A,FALSE,"Aging Summary";#N/A,#N/A,FALSE,"Ratio Analysis";#N/A,#N/A,FALSE,"Test 120 Day Accts";#N/A,#N/A,FALSE,"Tickmarks"}</definedName>
    <definedName name="uuuuuuuuuuuuu" localSheetId="22" hidden="1">{#N/A,#N/A,FALSE,"Aging Summary";#N/A,#N/A,FALSE,"Ratio Analysis";#N/A,#N/A,FALSE,"Test 120 Day Accts";#N/A,#N/A,FALSE,"Tickmarks"}</definedName>
    <definedName name="uuuuuuuuuuuuu" localSheetId="24" hidden="1">{#N/A,#N/A,FALSE,"Aging Summary";#N/A,#N/A,FALSE,"Ratio Analysis";#N/A,#N/A,FALSE,"Test 120 Day Accts";#N/A,#N/A,FALSE,"Tickmarks"}</definedName>
    <definedName name="uuuuuuuuuuuuu" localSheetId="26" hidden="1">{#N/A,#N/A,FALSE,"Aging Summary";#N/A,#N/A,FALSE,"Ratio Analysis";#N/A,#N/A,FALSE,"Test 120 Day Accts";#N/A,#N/A,FALSE,"Tickmarks"}</definedName>
    <definedName name="uuuuuuuuuuuuu" localSheetId="28" hidden="1">{#N/A,#N/A,FALSE,"Aging Summary";#N/A,#N/A,FALSE,"Ratio Analysis";#N/A,#N/A,FALSE,"Test 120 Day Accts";#N/A,#N/A,FALSE,"Tickmarks"}</definedName>
    <definedName name="uuuuuuuuuuuuu" localSheetId="30" hidden="1">{#N/A,#N/A,FALSE,"Aging Summary";#N/A,#N/A,FALSE,"Ratio Analysis";#N/A,#N/A,FALSE,"Test 120 Day Accts";#N/A,#N/A,FALSE,"Tickmarks"}</definedName>
    <definedName name="uuuuuuuuuuuuu" localSheetId="32" hidden="1">{#N/A,#N/A,FALSE,"Aging Summary";#N/A,#N/A,FALSE,"Ratio Analysis";#N/A,#N/A,FALSE,"Test 120 Day Accts";#N/A,#N/A,FALSE,"Tickmarks"}</definedName>
    <definedName name="uuuuuuuuuuuuu" localSheetId="34" hidden="1">{#N/A,#N/A,FALSE,"Aging Summary";#N/A,#N/A,FALSE,"Ratio Analysis";#N/A,#N/A,FALSE,"Test 120 Day Accts";#N/A,#N/A,FALSE,"Tickmarks"}</definedName>
    <definedName name="uuuuuuuuuuuuu" localSheetId="36" hidden="1">{#N/A,#N/A,FALSE,"Aging Summary";#N/A,#N/A,FALSE,"Ratio Analysis";#N/A,#N/A,FALSE,"Test 120 Day Accts";#N/A,#N/A,FALSE,"Tickmarks"}</definedName>
    <definedName name="uuuuuuuuuuuuu" localSheetId="38" hidden="1">{#N/A,#N/A,FALSE,"Aging Summary";#N/A,#N/A,FALSE,"Ratio Analysis";#N/A,#N/A,FALSE,"Test 120 Day Accts";#N/A,#N/A,FALSE,"Tickmarks"}</definedName>
    <definedName name="uuuuuuuuuuuuu" hidden="1">{#N/A,#N/A,FALSE,"Aging Summary";#N/A,#N/A,FALSE,"Ratio Analysis";#N/A,#N/A,FALSE,"Test 120 Day Accts";#N/A,#N/A,FALSE,"Tickmarks"}</definedName>
    <definedName name="uuuuuuuuuuuuuuuuu" localSheetId="3"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uuuuuuuuuuuuuuuuu" localSheetId="5"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uuuuuuuuuuuuuuuuu" localSheetId="8"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uuuuuuuuuuuuuuuuu" localSheetId="10"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uuuuuuuuuuuuuuuuu" localSheetId="1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uuuuuuuuuuuuuuuuu" localSheetId="14"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uuuuuuuuuuuuuuuuu" localSheetId="16"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uuuuuuuuuuuuuuuuu" localSheetId="2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uuuuuuuuuuuuuuuuu" localSheetId="24"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uuuuuuuuuuuuuuuuu" localSheetId="26"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uuuuuuuuuuuuuuuuu" localSheetId="28"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uuuuuuuuuuuuuuuuu" localSheetId="30"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uuuuuuuuuuuuuuuuu" localSheetId="3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uuuuuuuuuuuuuuuuu" localSheetId="34"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uuuuuuuuuuuuuuuuu" localSheetId="36"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uuuuuuuuuuuuuuuuu" localSheetId="38"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uuuuuuuuuuuuuuuuu"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uuuuuuuuuuuuuuuuuu" localSheetId="3" hidden="1">{#N/A,#N/A,TRUE,"Asmp";#N/A,#N/A,TRUE,"CF"}</definedName>
    <definedName name="uuuuuuuuuuuuuuuuuu" localSheetId="5" hidden="1">{#N/A,#N/A,TRUE,"Asmp";#N/A,#N/A,TRUE,"CF"}</definedName>
    <definedName name="uuuuuuuuuuuuuuuuuu" localSheetId="8" hidden="1">{#N/A,#N/A,TRUE,"Asmp";#N/A,#N/A,TRUE,"CF"}</definedName>
    <definedName name="uuuuuuuuuuuuuuuuuu" localSheetId="10" hidden="1">{#N/A,#N/A,TRUE,"Asmp";#N/A,#N/A,TRUE,"CF"}</definedName>
    <definedName name="uuuuuuuuuuuuuuuuuu" localSheetId="12" hidden="1">{#N/A,#N/A,TRUE,"Asmp";#N/A,#N/A,TRUE,"CF"}</definedName>
    <definedName name="uuuuuuuuuuuuuuuuuu" localSheetId="14" hidden="1">{#N/A,#N/A,TRUE,"Asmp";#N/A,#N/A,TRUE,"CF"}</definedName>
    <definedName name="uuuuuuuuuuuuuuuuuu" localSheetId="16" hidden="1">{#N/A,#N/A,TRUE,"Asmp";#N/A,#N/A,TRUE,"CF"}</definedName>
    <definedName name="uuuuuuuuuuuuuuuuuu" localSheetId="22" hidden="1">{#N/A,#N/A,TRUE,"Asmp";#N/A,#N/A,TRUE,"CF"}</definedName>
    <definedName name="uuuuuuuuuuuuuuuuuu" localSheetId="24" hidden="1">{#N/A,#N/A,TRUE,"Asmp";#N/A,#N/A,TRUE,"CF"}</definedName>
    <definedName name="uuuuuuuuuuuuuuuuuu" localSheetId="26" hidden="1">{#N/A,#N/A,TRUE,"Asmp";#N/A,#N/A,TRUE,"CF"}</definedName>
    <definedName name="uuuuuuuuuuuuuuuuuu" localSheetId="28" hidden="1">{#N/A,#N/A,TRUE,"Asmp";#N/A,#N/A,TRUE,"CF"}</definedName>
    <definedName name="uuuuuuuuuuuuuuuuuu" localSheetId="30" hidden="1">{#N/A,#N/A,TRUE,"Asmp";#N/A,#N/A,TRUE,"CF"}</definedName>
    <definedName name="uuuuuuuuuuuuuuuuuu" localSheetId="32" hidden="1">{#N/A,#N/A,TRUE,"Asmp";#N/A,#N/A,TRUE,"CF"}</definedName>
    <definedName name="uuuuuuuuuuuuuuuuuu" localSheetId="34" hidden="1">{#N/A,#N/A,TRUE,"Asmp";#N/A,#N/A,TRUE,"CF"}</definedName>
    <definedName name="uuuuuuuuuuuuuuuuuu" localSheetId="36" hidden="1">{#N/A,#N/A,TRUE,"Asmp";#N/A,#N/A,TRUE,"CF"}</definedName>
    <definedName name="uuuuuuuuuuuuuuuuuu" localSheetId="38" hidden="1">{#N/A,#N/A,TRUE,"Asmp";#N/A,#N/A,TRUE,"CF"}</definedName>
    <definedName name="uuuuuuuuuuuuuuuuuu" hidden="1">{#N/A,#N/A,TRUE,"Asmp";#N/A,#N/A,TRUE,"CF"}</definedName>
    <definedName name="uw"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yj" localSheetId="3" hidden="1">{"AnnInc",#N/A,TRUE,"Inc";"QtrInc1",#N/A,TRUE,"Inc";"Balance",#N/A,TRUE,"Bal";"Cflow",#N/A,TRUE,"Cash"}</definedName>
    <definedName name="uyj" localSheetId="5" hidden="1">{"AnnInc",#N/A,TRUE,"Inc";"QtrInc1",#N/A,TRUE,"Inc";"Balance",#N/A,TRUE,"Bal";"Cflow",#N/A,TRUE,"Cash"}</definedName>
    <definedName name="uyj" localSheetId="8" hidden="1">{"AnnInc",#N/A,TRUE,"Inc";"QtrInc1",#N/A,TRUE,"Inc";"Balance",#N/A,TRUE,"Bal";"Cflow",#N/A,TRUE,"Cash"}</definedName>
    <definedName name="uyj" localSheetId="10" hidden="1">{"AnnInc",#N/A,TRUE,"Inc";"QtrInc1",#N/A,TRUE,"Inc";"Balance",#N/A,TRUE,"Bal";"Cflow",#N/A,TRUE,"Cash"}</definedName>
    <definedName name="uyj" localSheetId="12" hidden="1">{"AnnInc",#N/A,TRUE,"Inc";"QtrInc1",#N/A,TRUE,"Inc";"Balance",#N/A,TRUE,"Bal";"Cflow",#N/A,TRUE,"Cash"}</definedName>
    <definedName name="uyj" localSheetId="14" hidden="1">{"AnnInc",#N/A,TRUE,"Inc";"QtrInc1",#N/A,TRUE,"Inc";"Balance",#N/A,TRUE,"Bal";"Cflow",#N/A,TRUE,"Cash"}</definedName>
    <definedName name="uyj" localSheetId="16" hidden="1">{"AnnInc",#N/A,TRUE,"Inc";"QtrInc1",#N/A,TRUE,"Inc";"Balance",#N/A,TRUE,"Bal";"Cflow",#N/A,TRUE,"Cash"}</definedName>
    <definedName name="uyj" localSheetId="22" hidden="1">{"AnnInc",#N/A,TRUE,"Inc";"QtrInc1",#N/A,TRUE,"Inc";"Balance",#N/A,TRUE,"Bal";"Cflow",#N/A,TRUE,"Cash"}</definedName>
    <definedName name="uyj" localSheetId="24" hidden="1">{"AnnInc",#N/A,TRUE,"Inc";"QtrInc1",#N/A,TRUE,"Inc";"Balance",#N/A,TRUE,"Bal";"Cflow",#N/A,TRUE,"Cash"}</definedName>
    <definedName name="uyj" localSheetId="26" hidden="1">{"AnnInc",#N/A,TRUE,"Inc";"QtrInc1",#N/A,TRUE,"Inc";"Balance",#N/A,TRUE,"Bal";"Cflow",#N/A,TRUE,"Cash"}</definedName>
    <definedName name="uyj" localSheetId="28" hidden="1">{"AnnInc",#N/A,TRUE,"Inc";"QtrInc1",#N/A,TRUE,"Inc";"Balance",#N/A,TRUE,"Bal";"Cflow",#N/A,TRUE,"Cash"}</definedName>
    <definedName name="uyj" localSheetId="30" hidden="1">{"AnnInc",#N/A,TRUE,"Inc";"QtrInc1",#N/A,TRUE,"Inc";"Balance",#N/A,TRUE,"Bal";"Cflow",#N/A,TRUE,"Cash"}</definedName>
    <definedName name="uyj" localSheetId="32" hidden="1">{"AnnInc",#N/A,TRUE,"Inc";"QtrInc1",#N/A,TRUE,"Inc";"Balance",#N/A,TRUE,"Bal";"Cflow",#N/A,TRUE,"Cash"}</definedName>
    <definedName name="uyj" localSheetId="34" hidden="1">{"AnnInc",#N/A,TRUE,"Inc";"QtrInc1",#N/A,TRUE,"Inc";"Balance",#N/A,TRUE,"Bal";"Cflow",#N/A,TRUE,"Cash"}</definedName>
    <definedName name="uyj" localSheetId="36" hidden="1">{"AnnInc",#N/A,TRUE,"Inc";"QtrInc1",#N/A,TRUE,"Inc";"Balance",#N/A,TRUE,"Bal";"Cflow",#N/A,TRUE,"Cash"}</definedName>
    <definedName name="uyj" localSheetId="38" hidden="1">{"AnnInc",#N/A,TRUE,"Inc";"QtrInc1",#N/A,TRUE,"Inc";"Balance",#N/A,TRUE,"Bal";"Cflow",#N/A,TRUE,"Cash"}</definedName>
    <definedName name="uyj" hidden="1">{"AnnInc",#N/A,TRUE,"Inc";"QtrInc1",#N/A,TRUE,"Inc";"Balance",#N/A,TRUE,"Bal";"Cflow",#N/A,TRUE,"Cash"}</definedName>
    <definedName name="uyt">#REF!</definedName>
    <definedName name="uyte" localSheetId="3" hidden="1">{"AnnInc",#N/A,TRUE,"Inc";"QtrInc1",#N/A,TRUE,"Inc";"Balance",#N/A,TRUE,"Bal";"Cflow",#N/A,TRUE,"Cash"}</definedName>
    <definedName name="uyte" localSheetId="5" hidden="1">{"AnnInc",#N/A,TRUE,"Inc";"QtrInc1",#N/A,TRUE,"Inc";"Balance",#N/A,TRUE,"Bal";"Cflow",#N/A,TRUE,"Cash"}</definedName>
    <definedName name="uyte" localSheetId="8" hidden="1">{"AnnInc",#N/A,TRUE,"Inc";"QtrInc1",#N/A,TRUE,"Inc";"Balance",#N/A,TRUE,"Bal";"Cflow",#N/A,TRUE,"Cash"}</definedName>
    <definedName name="uyte" localSheetId="10" hidden="1">{"AnnInc",#N/A,TRUE,"Inc";"QtrInc1",#N/A,TRUE,"Inc";"Balance",#N/A,TRUE,"Bal";"Cflow",#N/A,TRUE,"Cash"}</definedName>
    <definedName name="uyte" localSheetId="12" hidden="1">{"AnnInc",#N/A,TRUE,"Inc";"QtrInc1",#N/A,TRUE,"Inc";"Balance",#N/A,TRUE,"Bal";"Cflow",#N/A,TRUE,"Cash"}</definedName>
    <definedName name="uyte" localSheetId="14" hidden="1">{"AnnInc",#N/A,TRUE,"Inc";"QtrInc1",#N/A,TRUE,"Inc";"Balance",#N/A,TRUE,"Bal";"Cflow",#N/A,TRUE,"Cash"}</definedName>
    <definedName name="uyte" localSheetId="16" hidden="1">{"AnnInc",#N/A,TRUE,"Inc";"QtrInc1",#N/A,TRUE,"Inc";"Balance",#N/A,TRUE,"Bal";"Cflow",#N/A,TRUE,"Cash"}</definedName>
    <definedName name="uyte" localSheetId="22" hidden="1">{"AnnInc",#N/A,TRUE,"Inc";"QtrInc1",#N/A,TRUE,"Inc";"Balance",#N/A,TRUE,"Bal";"Cflow",#N/A,TRUE,"Cash"}</definedName>
    <definedName name="uyte" localSheetId="24" hidden="1">{"AnnInc",#N/A,TRUE,"Inc";"QtrInc1",#N/A,TRUE,"Inc";"Balance",#N/A,TRUE,"Bal";"Cflow",#N/A,TRUE,"Cash"}</definedName>
    <definedName name="uyte" localSheetId="26" hidden="1">{"AnnInc",#N/A,TRUE,"Inc";"QtrInc1",#N/A,TRUE,"Inc";"Balance",#N/A,TRUE,"Bal";"Cflow",#N/A,TRUE,"Cash"}</definedName>
    <definedName name="uyte" localSheetId="28" hidden="1">{"AnnInc",#N/A,TRUE,"Inc";"QtrInc1",#N/A,TRUE,"Inc";"Balance",#N/A,TRUE,"Bal";"Cflow",#N/A,TRUE,"Cash"}</definedName>
    <definedName name="uyte" localSheetId="30" hidden="1">{"AnnInc",#N/A,TRUE,"Inc";"QtrInc1",#N/A,TRUE,"Inc";"Balance",#N/A,TRUE,"Bal";"Cflow",#N/A,TRUE,"Cash"}</definedName>
    <definedName name="uyte" localSheetId="32" hidden="1">{"AnnInc",#N/A,TRUE,"Inc";"QtrInc1",#N/A,TRUE,"Inc";"Balance",#N/A,TRUE,"Bal";"Cflow",#N/A,TRUE,"Cash"}</definedName>
    <definedName name="uyte" localSheetId="34" hidden="1">{"AnnInc",#N/A,TRUE,"Inc";"QtrInc1",#N/A,TRUE,"Inc";"Balance",#N/A,TRUE,"Bal";"Cflow",#N/A,TRUE,"Cash"}</definedName>
    <definedName name="uyte" localSheetId="36" hidden="1">{"AnnInc",#N/A,TRUE,"Inc";"QtrInc1",#N/A,TRUE,"Inc";"Balance",#N/A,TRUE,"Bal";"Cflow",#N/A,TRUE,"Cash"}</definedName>
    <definedName name="uyte" localSheetId="38" hidden="1">{"AnnInc",#N/A,TRUE,"Inc";"QtrInc1",#N/A,TRUE,"Inc";"Balance",#N/A,TRUE,"Bal";"Cflow",#N/A,TRUE,"Cash"}</definedName>
    <definedName name="uyte" hidden="1">{"AnnInc",#N/A,TRUE,"Inc";"QtrInc1",#N/A,TRUE,"Inc";"Balance",#N/A,TRUE,"Bal";"Cflow",#N/A,TRUE,"Cash"}</definedName>
    <definedName name="U房屋及建筑">#REF!</definedName>
    <definedName name="v" localSheetId="3" hidden="1">{#N/A,#N/A,FALSE,"BANNERS";#N/A,#N/A,FALSE,"Market";#N/A,#N/A,FALSE,"# of POP MAN";#N/A,#N/A,FALSE,"Penet Input";#N/A,#N/A,FALSE,"Tel Rev";#N/A,#N/A,FALSE,"Invest";#N/A,#N/A,FALSE,"Op Cost1";#N/A,#N/A,FALSE,"Op Cost2";#N/A,#N/A,FALSE,"Oth_&amp;_Tot_Revenues";#N/A,#N/A,FALSE,"Fin Mod";#N/A,#N/A,FALSE,"P&amp;E Burocrat";#N/A,#N/A,FALSE,"cash flow"}</definedName>
    <definedName name="v" localSheetId="5" hidden="1">{#N/A,#N/A,FALSE,"BANNERS";#N/A,#N/A,FALSE,"Market";#N/A,#N/A,FALSE,"# of POP MAN";#N/A,#N/A,FALSE,"Penet Input";#N/A,#N/A,FALSE,"Tel Rev";#N/A,#N/A,FALSE,"Invest";#N/A,#N/A,FALSE,"Op Cost1";#N/A,#N/A,FALSE,"Op Cost2";#N/A,#N/A,FALSE,"Oth_&amp;_Tot_Revenues";#N/A,#N/A,FALSE,"Fin Mod";#N/A,#N/A,FALSE,"P&amp;E Burocrat";#N/A,#N/A,FALSE,"cash flow"}</definedName>
    <definedName name="v" localSheetId="8" hidden="1">{#N/A,#N/A,FALSE,"BANNERS";#N/A,#N/A,FALSE,"Market";#N/A,#N/A,FALSE,"# of POP MAN";#N/A,#N/A,FALSE,"Penet Input";#N/A,#N/A,FALSE,"Tel Rev";#N/A,#N/A,FALSE,"Invest";#N/A,#N/A,FALSE,"Op Cost1";#N/A,#N/A,FALSE,"Op Cost2";#N/A,#N/A,FALSE,"Oth_&amp;_Tot_Revenues";#N/A,#N/A,FALSE,"Fin Mod";#N/A,#N/A,FALSE,"P&amp;E Burocrat";#N/A,#N/A,FALSE,"cash flow"}</definedName>
    <definedName name="v" localSheetId="10" hidden="1">{#N/A,#N/A,FALSE,"BANNERS";#N/A,#N/A,FALSE,"Market";#N/A,#N/A,FALSE,"# of POP MAN";#N/A,#N/A,FALSE,"Penet Input";#N/A,#N/A,FALSE,"Tel Rev";#N/A,#N/A,FALSE,"Invest";#N/A,#N/A,FALSE,"Op Cost1";#N/A,#N/A,FALSE,"Op Cost2";#N/A,#N/A,FALSE,"Oth_&amp;_Tot_Revenues";#N/A,#N/A,FALSE,"Fin Mod";#N/A,#N/A,FALSE,"P&amp;E Burocrat";#N/A,#N/A,FALSE,"cash flow"}</definedName>
    <definedName name="v" localSheetId="12" hidden="1">{#N/A,#N/A,FALSE,"BANNERS";#N/A,#N/A,FALSE,"Market";#N/A,#N/A,FALSE,"# of POP MAN";#N/A,#N/A,FALSE,"Penet Input";#N/A,#N/A,FALSE,"Tel Rev";#N/A,#N/A,FALSE,"Invest";#N/A,#N/A,FALSE,"Op Cost1";#N/A,#N/A,FALSE,"Op Cost2";#N/A,#N/A,FALSE,"Oth_&amp;_Tot_Revenues";#N/A,#N/A,FALSE,"Fin Mod";#N/A,#N/A,FALSE,"P&amp;E Burocrat";#N/A,#N/A,FALSE,"cash flow"}</definedName>
    <definedName name="v" localSheetId="14" hidden="1">{#N/A,#N/A,FALSE,"BANNERS";#N/A,#N/A,FALSE,"Market";#N/A,#N/A,FALSE,"# of POP MAN";#N/A,#N/A,FALSE,"Penet Input";#N/A,#N/A,FALSE,"Tel Rev";#N/A,#N/A,FALSE,"Invest";#N/A,#N/A,FALSE,"Op Cost1";#N/A,#N/A,FALSE,"Op Cost2";#N/A,#N/A,FALSE,"Oth_&amp;_Tot_Revenues";#N/A,#N/A,FALSE,"Fin Mod";#N/A,#N/A,FALSE,"P&amp;E Burocrat";#N/A,#N/A,FALSE,"cash flow"}</definedName>
    <definedName name="v" localSheetId="16" hidden="1">{#N/A,#N/A,FALSE,"BANNERS";#N/A,#N/A,FALSE,"Market";#N/A,#N/A,FALSE,"# of POP MAN";#N/A,#N/A,FALSE,"Penet Input";#N/A,#N/A,FALSE,"Tel Rev";#N/A,#N/A,FALSE,"Invest";#N/A,#N/A,FALSE,"Op Cost1";#N/A,#N/A,FALSE,"Op Cost2";#N/A,#N/A,FALSE,"Oth_&amp;_Tot_Revenues";#N/A,#N/A,FALSE,"Fin Mod";#N/A,#N/A,FALSE,"P&amp;E Burocrat";#N/A,#N/A,FALSE,"cash flow"}</definedName>
    <definedName name="v" localSheetId="22" hidden="1">{#N/A,#N/A,FALSE,"BANNERS";#N/A,#N/A,FALSE,"Market";#N/A,#N/A,FALSE,"# of POP MAN";#N/A,#N/A,FALSE,"Penet Input";#N/A,#N/A,FALSE,"Tel Rev";#N/A,#N/A,FALSE,"Invest";#N/A,#N/A,FALSE,"Op Cost1";#N/A,#N/A,FALSE,"Op Cost2";#N/A,#N/A,FALSE,"Oth_&amp;_Tot_Revenues";#N/A,#N/A,FALSE,"Fin Mod";#N/A,#N/A,FALSE,"P&amp;E Burocrat";#N/A,#N/A,FALSE,"cash flow"}</definedName>
    <definedName name="v" localSheetId="24" hidden="1">{#N/A,#N/A,FALSE,"BANNERS";#N/A,#N/A,FALSE,"Market";#N/A,#N/A,FALSE,"# of POP MAN";#N/A,#N/A,FALSE,"Penet Input";#N/A,#N/A,FALSE,"Tel Rev";#N/A,#N/A,FALSE,"Invest";#N/A,#N/A,FALSE,"Op Cost1";#N/A,#N/A,FALSE,"Op Cost2";#N/A,#N/A,FALSE,"Oth_&amp;_Tot_Revenues";#N/A,#N/A,FALSE,"Fin Mod";#N/A,#N/A,FALSE,"P&amp;E Burocrat";#N/A,#N/A,FALSE,"cash flow"}</definedName>
    <definedName name="v" localSheetId="26" hidden="1">{#N/A,#N/A,FALSE,"BANNERS";#N/A,#N/A,FALSE,"Market";#N/A,#N/A,FALSE,"# of POP MAN";#N/A,#N/A,FALSE,"Penet Input";#N/A,#N/A,FALSE,"Tel Rev";#N/A,#N/A,FALSE,"Invest";#N/A,#N/A,FALSE,"Op Cost1";#N/A,#N/A,FALSE,"Op Cost2";#N/A,#N/A,FALSE,"Oth_&amp;_Tot_Revenues";#N/A,#N/A,FALSE,"Fin Mod";#N/A,#N/A,FALSE,"P&amp;E Burocrat";#N/A,#N/A,FALSE,"cash flow"}</definedName>
    <definedName name="v" localSheetId="28" hidden="1">{#N/A,#N/A,FALSE,"BANNERS";#N/A,#N/A,FALSE,"Market";#N/A,#N/A,FALSE,"# of POP MAN";#N/A,#N/A,FALSE,"Penet Input";#N/A,#N/A,FALSE,"Tel Rev";#N/A,#N/A,FALSE,"Invest";#N/A,#N/A,FALSE,"Op Cost1";#N/A,#N/A,FALSE,"Op Cost2";#N/A,#N/A,FALSE,"Oth_&amp;_Tot_Revenues";#N/A,#N/A,FALSE,"Fin Mod";#N/A,#N/A,FALSE,"P&amp;E Burocrat";#N/A,#N/A,FALSE,"cash flow"}</definedName>
    <definedName name="v" localSheetId="30" hidden="1">{#N/A,#N/A,FALSE,"BANNERS";#N/A,#N/A,FALSE,"Market";#N/A,#N/A,FALSE,"# of POP MAN";#N/A,#N/A,FALSE,"Penet Input";#N/A,#N/A,FALSE,"Tel Rev";#N/A,#N/A,FALSE,"Invest";#N/A,#N/A,FALSE,"Op Cost1";#N/A,#N/A,FALSE,"Op Cost2";#N/A,#N/A,FALSE,"Oth_&amp;_Tot_Revenues";#N/A,#N/A,FALSE,"Fin Mod";#N/A,#N/A,FALSE,"P&amp;E Burocrat";#N/A,#N/A,FALSE,"cash flow"}</definedName>
    <definedName name="v" localSheetId="32" hidden="1">{#N/A,#N/A,FALSE,"BANNERS";#N/A,#N/A,FALSE,"Market";#N/A,#N/A,FALSE,"# of POP MAN";#N/A,#N/A,FALSE,"Penet Input";#N/A,#N/A,FALSE,"Tel Rev";#N/A,#N/A,FALSE,"Invest";#N/A,#N/A,FALSE,"Op Cost1";#N/A,#N/A,FALSE,"Op Cost2";#N/A,#N/A,FALSE,"Oth_&amp;_Tot_Revenues";#N/A,#N/A,FALSE,"Fin Mod";#N/A,#N/A,FALSE,"P&amp;E Burocrat";#N/A,#N/A,FALSE,"cash flow"}</definedName>
    <definedName name="v" localSheetId="34" hidden="1">{#N/A,#N/A,FALSE,"BANNERS";#N/A,#N/A,FALSE,"Market";#N/A,#N/A,FALSE,"# of POP MAN";#N/A,#N/A,FALSE,"Penet Input";#N/A,#N/A,FALSE,"Tel Rev";#N/A,#N/A,FALSE,"Invest";#N/A,#N/A,FALSE,"Op Cost1";#N/A,#N/A,FALSE,"Op Cost2";#N/A,#N/A,FALSE,"Oth_&amp;_Tot_Revenues";#N/A,#N/A,FALSE,"Fin Mod";#N/A,#N/A,FALSE,"P&amp;E Burocrat";#N/A,#N/A,FALSE,"cash flow"}</definedName>
    <definedName name="v" localSheetId="36" hidden="1">{#N/A,#N/A,FALSE,"BANNERS";#N/A,#N/A,FALSE,"Market";#N/A,#N/A,FALSE,"# of POP MAN";#N/A,#N/A,FALSE,"Penet Input";#N/A,#N/A,FALSE,"Tel Rev";#N/A,#N/A,FALSE,"Invest";#N/A,#N/A,FALSE,"Op Cost1";#N/A,#N/A,FALSE,"Op Cost2";#N/A,#N/A,FALSE,"Oth_&amp;_Tot_Revenues";#N/A,#N/A,FALSE,"Fin Mod";#N/A,#N/A,FALSE,"P&amp;E Burocrat";#N/A,#N/A,FALSE,"cash flow"}</definedName>
    <definedName name="v" localSheetId="38" hidden="1">{#N/A,#N/A,FALSE,"BANNERS";#N/A,#N/A,FALSE,"Market";#N/A,#N/A,FALSE,"# of POP MAN";#N/A,#N/A,FALSE,"Penet Input";#N/A,#N/A,FALSE,"Tel Rev";#N/A,#N/A,FALSE,"Invest";#N/A,#N/A,FALSE,"Op Cost1";#N/A,#N/A,FALSE,"Op Cost2";#N/A,#N/A,FALSE,"Oth_&amp;_Tot_Revenues";#N/A,#N/A,FALSE,"Fin Mod";#N/A,#N/A,FALSE,"P&amp;E Burocrat";#N/A,#N/A,FALSE,"cash flow"}</definedName>
    <definedName name="v" hidden="1">{#N/A,#N/A,FALSE,"BANNERS";#N/A,#N/A,FALSE,"Market";#N/A,#N/A,FALSE,"# of POP MAN";#N/A,#N/A,FALSE,"Penet Input";#N/A,#N/A,FALSE,"Tel Rev";#N/A,#N/A,FALSE,"Invest";#N/A,#N/A,FALSE,"Op Cost1";#N/A,#N/A,FALSE,"Op Cost2";#N/A,#N/A,FALSE,"Oth_&amp;_Tot_Revenues";#N/A,#N/A,FALSE,"Fin Mod";#N/A,#N/A,FALSE,"P&amp;E Burocrat";#N/A,#N/A,FALSE,"cash flow"}</definedName>
    <definedName name="V5.1Fee">#REF!</definedName>
    <definedName name="ValidBankList">#REF!</definedName>
    <definedName name="ValidCompanyList">#REF!</definedName>
    <definedName name="ValidCurrencyList">#REF!</definedName>
    <definedName name="ValidFacilitiesTypeList">#REF!</definedName>
    <definedName name="ValidTenorList">#REF!</definedName>
    <definedName name="Values_Entered" localSheetId="3">IF(Loan_Amount*Interest_Rate*Loan_Years*Loan_Start&gt;0,1,0)</definedName>
    <definedName name="Values_Entered" localSheetId="5">IF(Loan_Amount*Interest_Rate*Loan_Years*Loan_Start&gt;0,1,0)</definedName>
    <definedName name="Values_Entered" localSheetId="8">IF(Loan_Amount*Interest_Rate*Loan_Years*Loan_Start&gt;0,1,0)</definedName>
    <definedName name="Values_Entered" localSheetId="10">IF(Loan_Amount*Interest_Rate*Loan_Years*Loan_Start&gt;0,1,0)</definedName>
    <definedName name="Values_Entered" localSheetId="12">IF(Loan_Amount*Interest_Rate*Loan_Years*Loan_Start&gt;0,1,0)</definedName>
    <definedName name="Values_Entered" localSheetId="14">IF(Loan_Amount*Interest_Rate*Loan_Years*Loan_Start&gt;0,1,0)</definedName>
    <definedName name="Values_Entered" localSheetId="16">IF(Loan_Amount*Interest_Rate*Loan_Years*Loan_Start&gt;0,1,0)</definedName>
    <definedName name="Values_Entered" localSheetId="22">IF(Loan_Amount*Interest_Rate*Loan_Years*Loan_Start&gt;0,1,0)</definedName>
    <definedName name="Values_Entered" localSheetId="24">IF(Loan_Amount*Interest_Rate*Loan_Years*Loan_Start&gt;0,1,0)</definedName>
    <definedName name="Values_Entered" localSheetId="26">IF(Loan_Amount*Interest_Rate*Loan_Years*Loan_Start&gt;0,1,0)</definedName>
    <definedName name="Values_Entered" localSheetId="28">IF(Loan_Amount*Interest_Rate*Loan_Years*Loan_Start&gt;0,1,0)</definedName>
    <definedName name="Values_Entered" localSheetId="30">IF(Loan_Amount*Interest_Rate*Loan_Years*Loan_Start&gt;0,1,0)</definedName>
    <definedName name="Values_Entered" localSheetId="32">IF(Loan_Amount*Interest_Rate*Loan_Years*Loan_Start&gt;0,1,0)</definedName>
    <definedName name="Values_Entered" localSheetId="34">IF(Loan_Amount*Interest_Rate*Loan_Years*Loan_Start&gt;0,1,0)</definedName>
    <definedName name="Values_Entered" localSheetId="36">IF(Loan_Amount*Interest_Rate*Loan_Years*Loan_Start&gt;0,1,0)</definedName>
    <definedName name="Values_Entered" localSheetId="38">IF(Loan_Amount*Interest_Rate*Loan_Years*Loan_Start&gt;0,1,0)</definedName>
    <definedName name="Values_Entered">IF(Loan_Amount*Interest_Rate*Loan_Years*Loan_Start&gt;0,1,0)</definedName>
    <definedName name="vbcz" localSheetId="3" hidden="1">{"NOPCAPEVA",#N/A,FALSE,"Nopat";"FCFCSTAR",#N/A,FALSE,"FCFVAL";"EVAVL",#N/A,FALSE,"EVAVAL";"LEASE",#N/A,FALSE,"OpLease"}</definedName>
    <definedName name="vbcz" localSheetId="5" hidden="1">{"NOPCAPEVA",#N/A,FALSE,"Nopat";"FCFCSTAR",#N/A,FALSE,"FCFVAL";"EVAVL",#N/A,FALSE,"EVAVAL";"LEASE",#N/A,FALSE,"OpLease"}</definedName>
    <definedName name="vbcz" localSheetId="8" hidden="1">{"NOPCAPEVA",#N/A,FALSE,"Nopat";"FCFCSTAR",#N/A,FALSE,"FCFVAL";"EVAVL",#N/A,FALSE,"EVAVAL";"LEASE",#N/A,FALSE,"OpLease"}</definedName>
    <definedName name="vbcz" localSheetId="10" hidden="1">{"NOPCAPEVA",#N/A,FALSE,"Nopat";"FCFCSTAR",#N/A,FALSE,"FCFVAL";"EVAVL",#N/A,FALSE,"EVAVAL";"LEASE",#N/A,FALSE,"OpLease"}</definedName>
    <definedName name="vbcz" localSheetId="12" hidden="1">{"NOPCAPEVA",#N/A,FALSE,"Nopat";"FCFCSTAR",#N/A,FALSE,"FCFVAL";"EVAVL",#N/A,FALSE,"EVAVAL";"LEASE",#N/A,FALSE,"OpLease"}</definedName>
    <definedName name="vbcz" localSheetId="14" hidden="1">{"NOPCAPEVA",#N/A,FALSE,"Nopat";"FCFCSTAR",#N/A,FALSE,"FCFVAL";"EVAVL",#N/A,FALSE,"EVAVAL";"LEASE",#N/A,FALSE,"OpLease"}</definedName>
    <definedName name="vbcz" localSheetId="16" hidden="1">{"NOPCAPEVA",#N/A,FALSE,"Nopat";"FCFCSTAR",#N/A,FALSE,"FCFVAL";"EVAVL",#N/A,FALSE,"EVAVAL";"LEASE",#N/A,FALSE,"OpLease"}</definedName>
    <definedName name="vbcz" localSheetId="22" hidden="1">{"NOPCAPEVA",#N/A,FALSE,"Nopat";"FCFCSTAR",#N/A,FALSE,"FCFVAL";"EVAVL",#N/A,FALSE,"EVAVAL";"LEASE",#N/A,FALSE,"OpLease"}</definedName>
    <definedName name="vbcz" localSheetId="24" hidden="1">{"NOPCAPEVA",#N/A,FALSE,"Nopat";"FCFCSTAR",#N/A,FALSE,"FCFVAL";"EVAVL",#N/A,FALSE,"EVAVAL";"LEASE",#N/A,FALSE,"OpLease"}</definedName>
    <definedName name="vbcz" localSheetId="26" hidden="1">{"NOPCAPEVA",#N/A,FALSE,"Nopat";"FCFCSTAR",#N/A,FALSE,"FCFVAL";"EVAVL",#N/A,FALSE,"EVAVAL";"LEASE",#N/A,FALSE,"OpLease"}</definedName>
    <definedName name="vbcz" localSheetId="28" hidden="1">{"NOPCAPEVA",#N/A,FALSE,"Nopat";"FCFCSTAR",#N/A,FALSE,"FCFVAL";"EVAVL",#N/A,FALSE,"EVAVAL";"LEASE",#N/A,FALSE,"OpLease"}</definedName>
    <definedName name="vbcz" localSheetId="30" hidden="1">{"NOPCAPEVA",#N/A,FALSE,"Nopat";"FCFCSTAR",#N/A,FALSE,"FCFVAL";"EVAVL",#N/A,FALSE,"EVAVAL";"LEASE",#N/A,FALSE,"OpLease"}</definedName>
    <definedName name="vbcz" localSheetId="32" hidden="1">{"NOPCAPEVA",#N/A,FALSE,"Nopat";"FCFCSTAR",#N/A,FALSE,"FCFVAL";"EVAVL",#N/A,FALSE,"EVAVAL";"LEASE",#N/A,FALSE,"OpLease"}</definedName>
    <definedName name="vbcz" localSheetId="34" hidden="1">{"NOPCAPEVA",#N/A,FALSE,"Nopat";"FCFCSTAR",#N/A,FALSE,"FCFVAL";"EVAVL",#N/A,FALSE,"EVAVAL";"LEASE",#N/A,FALSE,"OpLease"}</definedName>
    <definedName name="vbcz" localSheetId="36" hidden="1">{"NOPCAPEVA",#N/A,FALSE,"Nopat";"FCFCSTAR",#N/A,FALSE,"FCFVAL";"EVAVL",#N/A,FALSE,"EVAVAL";"LEASE",#N/A,FALSE,"OpLease"}</definedName>
    <definedName name="vbcz" localSheetId="38" hidden="1">{"NOPCAPEVA",#N/A,FALSE,"Nopat";"FCFCSTAR",#N/A,FALSE,"FCFVAL";"EVAVL",#N/A,FALSE,"EVAVAL";"LEASE",#N/A,FALSE,"OpLease"}</definedName>
    <definedName name="vbcz" hidden="1">{"NOPCAPEVA",#N/A,FALSE,"Nopat";"FCFCSTAR",#N/A,FALSE,"FCFVAL";"EVAVL",#N/A,FALSE,"EVAVAL";"LEASE",#N/A,FALSE,"OpLease"}</definedName>
    <definedName name="vcxf" localSheetId="3" hidden="1">{"NOPCAPEVA",#N/A,FALSE,"Nopat";"FCFCSTAR",#N/A,FALSE,"FCFVAL";"EVAVL",#N/A,FALSE,"EVAVAL";"LEASE",#N/A,FALSE,"OpLease"}</definedName>
    <definedName name="vcxf" localSheetId="5" hidden="1">{"NOPCAPEVA",#N/A,FALSE,"Nopat";"FCFCSTAR",#N/A,FALSE,"FCFVAL";"EVAVL",#N/A,FALSE,"EVAVAL";"LEASE",#N/A,FALSE,"OpLease"}</definedName>
    <definedName name="vcxf" localSheetId="8" hidden="1">{"NOPCAPEVA",#N/A,FALSE,"Nopat";"FCFCSTAR",#N/A,FALSE,"FCFVAL";"EVAVL",#N/A,FALSE,"EVAVAL";"LEASE",#N/A,FALSE,"OpLease"}</definedName>
    <definedName name="vcxf" localSheetId="10" hidden="1">{"NOPCAPEVA",#N/A,FALSE,"Nopat";"FCFCSTAR",#N/A,FALSE,"FCFVAL";"EVAVL",#N/A,FALSE,"EVAVAL";"LEASE",#N/A,FALSE,"OpLease"}</definedName>
    <definedName name="vcxf" localSheetId="12" hidden="1">{"NOPCAPEVA",#N/A,FALSE,"Nopat";"FCFCSTAR",#N/A,FALSE,"FCFVAL";"EVAVL",#N/A,FALSE,"EVAVAL";"LEASE",#N/A,FALSE,"OpLease"}</definedName>
    <definedName name="vcxf" localSheetId="14" hidden="1">{"NOPCAPEVA",#N/A,FALSE,"Nopat";"FCFCSTAR",#N/A,FALSE,"FCFVAL";"EVAVL",#N/A,FALSE,"EVAVAL";"LEASE",#N/A,FALSE,"OpLease"}</definedName>
    <definedName name="vcxf" localSheetId="16" hidden="1">{"NOPCAPEVA",#N/A,FALSE,"Nopat";"FCFCSTAR",#N/A,FALSE,"FCFVAL";"EVAVL",#N/A,FALSE,"EVAVAL";"LEASE",#N/A,FALSE,"OpLease"}</definedName>
    <definedName name="vcxf" localSheetId="22" hidden="1">{"NOPCAPEVA",#N/A,FALSE,"Nopat";"FCFCSTAR",#N/A,FALSE,"FCFVAL";"EVAVL",#N/A,FALSE,"EVAVAL";"LEASE",#N/A,FALSE,"OpLease"}</definedName>
    <definedName name="vcxf" localSheetId="24" hidden="1">{"NOPCAPEVA",#N/A,FALSE,"Nopat";"FCFCSTAR",#N/A,FALSE,"FCFVAL";"EVAVL",#N/A,FALSE,"EVAVAL";"LEASE",#N/A,FALSE,"OpLease"}</definedName>
    <definedName name="vcxf" localSheetId="26" hidden="1">{"NOPCAPEVA",#N/A,FALSE,"Nopat";"FCFCSTAR",#N/A,FALSE,"FCFVAL";"EVAVL",#N/A,FALSE,"EVAVAL";"LEASE",#N/A,FALSE,"OpLease"}</definedName>
    <definedName name="vcxf" localSheetId="28" hidden="1">{"NOPCAPEVA",#N/A,FALSE,"Nopat";"FCFCSTAR",#N/A,FALSE,"FCFVAL";"EVAVL",#N/A,FALSE,"EVAVAL";"LEASE",#N/A,FALSE,"OpLease"}</definedName>
    <definedName name="vcxf" localSheetId="30" hidden="1">{"NOPCAPEVA",#N/A,FALSE,"Nopat";"FCFCSTAR",#N/A,FALSE,"FCFVAL";"EVAVL",#N/A,FALSE,"EVAVAL";"LEASE",#N/A,FALSE,"OpLease"}</definedName>
    <definedName name="vcxf" localSheetId="32" hidden="1">{"NOPCAPEVA",#N/A,FALSE,"Nopat";"FCFCSTAR",#N/A,FALSE,"FCFVAL";"EVAVL",#N/A,FALSE,"EVAVAL";"LEASE",#N/A,FALSE,"OpLease"}</definedName>
    <definedName name="vcxf" localSheetId="34" hidden="1">{"NOPCAPEVA",#N/A,FALSE,"Nopat";"FCFCSTAR",#N/A,FALSE,"FCFVAL";"EVAVL",#N/A,FALSE,"EVAVAL";"LEASE",#N/A,FALSE,"OpLease"}</definedName>
    <definedName name="vcxf" localSheetId="36" hidden="1">{"NOPCAPEVA",#N/A,FALSE,"Nopat";"FCFCSTAR",#N/A,FALSE,"FCFVAL";"EVAVL",#N/A,FALSE,"EVAVAL";"LEASE",#N/A,FALSE,"OpLease"}</definedName>
    <definedName name="vcxf" localSheetId="38" hidden="1">{"NOPCAPEVA",#N/A,FALSE,"Nopat";"FCFCSTAR",#N/A,FALSE,"FCFVAL";"EVAVL",#N/A,FALSE,"EVAVAL";"LEASE",#N/A,FALSE,"OpLease"}</definedName>
    <definedName name="vcxf" hidden="1">{"NOPCAPEVA",#N/A,FALSE,"Nopat";"FCFCSTAR",#N/A,FALSE,"FCFVAL";"EVAVL",#N/A,FALSE,"EVAVAL";"LEASE",#N/A,FALSE,"OpLease"}</definedName>
    <definedName name="vcxz" localSheetId="3" hidden="1">{"NOPCAPEVA",#N/A,FALSE,"Nopat";"FCFCSTAR",#N/A,FALSE,"FCFVAL";"EVAVL",#N/A,FALSE,"EVAVAL";"LEASE",#N/A,FALSE,"OpLease"}</definedName>
    <definedName name="vcxz" localSheetId="5" hidden="1">{"NOPCAPEVA",#N/A,FALSE,"Nopat";"FCFCSTAR",#N/A,FALSE,"FCFVAL";"EVAVL",#N/A,FALSE,"EVAVAL";"LEASE",#N/A,FALSE,"OpLease"}</definedName>
    <definedName name="vcxz" localSheetId="8" hidden="1">{"NOPCAPEVA",#N/A,FALSE,"Nopat";"FCFCSTAR",#N/A,FALSE,"FCFVAL";"EVAVL",#N/A,FALSE,"EVAVAL";"LEASE",#N/A,FALSE,"OpLease"}</definedName>
    <definedName name="vcxz" localSheetId="10" hidden="1">{"NOPCAPEVA",#N/A,FALSE,"Nopat";"FCFCSTAR",#N/A,FALSE,"FCFVAL";"EVAVL",#N/A,FALSE,"EVAVAL";"LEASE",#N/A,FALSE,"OpLease"}</definedName>
    <definedName name="vcxz" localSheetId="12" hidden="1">{"NOPCAPEVA",#N/A,FALSE,"Nopat";"FCFCSTAR",#N/A,FALSE,"FCFVAL";"EVAVL",#N/A,FALSE,"EVAVAL";"LEASE",#N/A,FALSE,"OpLease"}</definedName>
    <definedName name="vcxz" localSheetId="14" hidden="1">{"NOPCAPEVA",#N/A,FALSE,"Nopat";"FCFCSTAR",#N/A,FALSE,"FCFVAL";"EVAVL",#N/A,FALSE,"EVAVAL";"LEASE",#N/A,FALSE,"OpLease"}</definedName>
    <definedName name="vcxz" localSheetId="16" hidden="1">{"NOPCAPEVA",#N/A,FALSE,"Nopat";"FCFCSTAR",#N/A,FALSE,"FCFVAL";"EVAVL",#N/A,FALSE,"EVAVAL";"LEASE",#N/A,FALSE,"OpLease"}</definedName>
    <definedName name="vcxz" localSheetId="22" hidden="1">{"NOPCAPEVA",#N/A,FALSE,"Nopat";"FCFCSTAR",#N/A,FALSE,"FCFVAL";"EVAVL",#N/A,FALSE,"EVAVAL";"LEASE",#N/A,FALSE,"OpLease"}</definedName>
    <definedName name="vcxz" localSheetId="24" hidden="1">{"NOPCAPEVA",#N/A,FALSE,"Nopat";"FCFCSTAR",#N/A,FALSE,"FCFVAL";"EVAVL",#N/A,FALSE,"EVAVAL";"LEASE",#N/A,FALSE,"OpLease"}</definedName>
    <definedName name="vcxz" localSheetId="26" hidden="1">{"NOPCAPEVA",#N/A,FALSE,"Nopat";"FCFCSTAR",#N/A,FALSE,"FCFVAL";"EVAVL",#N/A,FALSE,"EVAVAL";"LEASE",#N/A,FALSE,"OpLease"}</definedName>
    <definedName name="vcxz" localSheetId="28" hidden="1">{"NOPCAPEVA",#N/A,FALSE,"Nopat";"FCFCSTAR",#N/A,FALSE,"FCFVAL";"EVAVL",#N/A,FALSE,"EVAVAL";"LEASE",#N/A,FALSE,"OpLease"}</definedName>
    <definedName name="vcxz" localSheetId="30" hidden="1">{"NOPCAPEVA",#N/A,FALSE,"Nopat";"FCFCSTAR",#N/A,FALSE,"FCFVAL";"EVAVL",#N/A,FALSE,"EVAVAL";"LEASE",#N/A,FALSE,"OpLease"}</definedName>
    <definedName name="vcxz" localSheetId="32" hidden="1">{"NOPCAPEVA",#N/A,FALSE,"Nopat";"FCFCSTAR",#N/A,FALSE,"FCFVAL";"EVAVL",#N/A,FALSE,"EVAVAL";"LEASE",#N/A,FALSE,"OpLease"}</definedName>
    <definedName name="vcxz" localSheetId="34" hidden="1">{"NOPCAPEVA",#N/A,FALSE,"Nopat";"FCFCSTAR",#N/A,FALSE,"FCFVAL";"EVAVL",#N/A,FALSE,"EVAVAL";"LEASE",#N/A,FALSE,"OpLease"}</definedName>
    <definedName name="vcxz" localSheetId="36" hidden="1">{"NOPCAPEVA",#N/A,FALSE,"Nopat";"FCFCSTAR",#N/A,FALSE,"FCFVAL";"EVAVL",#N/A,FALSE,"EVAVAL";"LEASE",#N/A,FALSE,"OpLease"}</definedName>
    <definedName name="vcxz" localSheetId="38" hidden="1">{"NOPCAPEVA",#N/A,FALSE,"Nopat";"FCFCSTAR",#N/A,FALSE,"FCFVAL";"EVAVL",#N/A,FALSE,"EVAVAL";"LEASE",#N/A,FALSE,"OpLease"}</definedName>
    <definedName name="vcxz" hidden="1">{"NOPCAPEVA",#N/A,FALSE,"Nopat";"FCFCSTAR",#N/A,FALSE,"FCFVAL";"EVAVL",#N/A,FALSE,"EVAVAL";"LEASE",#N/A,FALSE,"OpLease"}</definedName>
    <definedName name="vczxdf" localSheetId="3" hidden="1">{"AnnInc",#N/A,TRUE,"Inc";"QtrInc1",#N/A,TRUE,"Inc";"Balance",#N/A,TRUE,"Bal";"Cflow",#N/A,TRUE,"Cash"}</definedName>
    <definedName name="vczxdf" localSheetId="5" hidden="1">{"AnnInc",#N/A,TRUE,"Inc";"QtrInc1",#N/A,TRUE,"Inc";"Balance",#N/A,TRUE,"Bal";"Cflow",#N/A,TRUE,"Cash"}</definedName>
    <definedName name="vczxdf" localSheetId="8" hidden="1">{"AnnInc",#N/A,TRUE,"Inc";"QtrInc1",#N/A,TRUE,"Inc";"Balance",#N/A,TRUE,"Bal";"Cflow",#N/A,TRUE,"Cash"}</definedName>
    <definedName name="vczxdf" localSheetId="10" hidden="1">{"AnnInc",#N/A,TRUE,"Inc";"QtrInc1",#N/A,TRUE,"Inc";"Balance",#N/A,TRUE,"Bal";"Cflow",#N/A,TRUE,"Cash"}</definedName>
    <definedName name="vczxdf" localSheetId="12" hidden="1">{"AnnInc",#N/A,TRUE,"Inc";"QtrInc1",#N/A,TRUE,"Inc";"Balance",#N/A,TRUE,"Bal";"Cflow",#N/A,TRUE,"Cash"}</definedName>
    <definedName name="vczxdf" localSheetId="14" hidden="1">{"AnnInc",#N/A,TRUE,"Inc";"QtrInc1",#N/A,TRUE,"Inc";"Balance",#N/A,TRUE,"Bal";"Cflow",#N/A,TRUE,"Cash"}</definedName>
    <definedName name="vczxdf" localSheetId="16" hidden="1">{"AnnInc",#N/A,TRUE,"Inc";"QtrInc1",#N/A,TRUE,"Inc";"Balance",#N/A,TRUE,"Bal";"Cflow",#N/A,TRUE,"Cash"}</definedName>
    <definedName name="vczxdf" localSheetId="22" hidden="1">{"AnnInc",#N/A,TRUE,"Inc";"QtrInc1",#N/A,TRUE,"Inc";"Balance",#N/A,TRUE,"Bal";"Cflow",#N/A,TRUE,"Cash"}</definedName>
    <definedName name="vczxdf" localSheetId="24" hidden="1">{"AnnInc",#N/A,TRUE,"Inc";"QtrInc1",#N/A,TRUE,"Inc";"Balance",#N/A,TRUE,"Bal";"Cflow",#N/A,TRUE,"Cash"}</definedName>
    <definedName name="vczxdf" localSheetId="26" hidden="1">{"AnnInc",#N/A,TRUE,"Inc";"QtrInc1",#N/A,TRUE,"Inc";"Balance",#N/A,TRUE,"Bal";"Cflow",#N/A,TRUE,"Cash"}</definedName>
    <definedName name="vczxdf" localSheetId="28" hidden="1">{"AnnInc",#N/A,TRUE,"Inc";"QtrInc1",#N/A,TRUE,"Inc";"Balance",#N/A,TRUE,"Bal";"Cflow",#N/A,TRUE,"Cash"}</definedName>
    <definedName name="vczxdf" localSheetId="30" hidden="1">{"AnnInc",#N/A,TRUE,"Inc";"QtrInc1",#N/A,TRUE,"Inc";"Balance",#N/A,TRUE,"Bal";"Cflow",#N/A,TRUE,"Cash"}</definedName>
    <definedName name="vczxdf" localSheetId="32" hidden="1">{"AnnInc",#N/A,TRUE,"Inc";"QtrInc1",#N/A,TRUE,"Inc";"Balance",#N/A,TRUE,"Bal";"Cflow",#N/A,TRUE,"Cash"}</definedName>
    <definedName name="vczxdf" localSheetId="34" hidden="1">{"AnnInc",#N/A,TRUE,"Inc";"QtrInc1",#N/A,TRUE,"Inc";"Balance",#N/A,TRUE,"Bal";"Cflow",#N/A,TRUE,"Cash"}</definedName>
    <definedName name="vczxdf" localSheetId="36" hidden="1">{"AnnInc",#N/A,TRUE,"Inc";"QtrInc1",#N/A,TRUE,"Inc";"Balance",#N/A,TRUE,"Bal";"Cflow",#N/A,TRUE,"Cash"}</definedName>
    <definedName name="vczxdf" localSheetId="38" hidden="1">{"AnnInc",#N/A,TRUE,"Inc";"QtrInc1",#N/A,TRUE,"Inc";"Balance",#N/A,TRUE,"Bal";"Cflow",#N/A,TRUE,"Cash"}</definedName>
    <definedName name="vczxdf" hidden="1">{"AnnInc",#N/A,TRUE,"Inc";"QtrInc1",#N/A,TRUE,"Inc";"Balance",#N/A,TRUE,"Bal";"Cflow",#N/A,TRUE,"Cash"}</definedName>
    <definedName name="vdce" localSheetId="3" hidden="1">{#N/A,#N/A,TRUE,"Main Issues";#N/A,#N/A,TRUE,"Income statement ($)"}</definedName>
    <definedName name="vdce" localSheetId="5" hidden="1">{#N/A,#N/A,TRUE,"Main Issues";#N/A,#N/A,TRUE,"Income statement ($)"}</definedName>
    <definedName name="vdce" localSheetId="8" hidden="1">{#N/A,#N/A,TRUE,"Main Issues";#N/A,#N/A,TRUE,"Income statement ($)"}</definedName>
    <definedName name="vdce" localSheetId="10" hidden="1">{#N/A,#N/A,TRUE,"Main Issues";#N/A,#N/A,TRUE,"Income statement ($)"}</definedName>
    <definedName name="vdce" localSheetId="12" hidden="1">{#N/A,#N/A,TRUE,"Main Issues";#N/A,#N/A,TRUE,"Income statement ($)"}</definedName>
    <definedName name="vdce" localSheetId="14" hidden="1">{#N/A,#N/A,TRUE,"Main Issues";#N/A,#N/A,TRUE,"Income statement ($)"}</definedName>
    <definedName name="vdce" localSheetId="16" hidden="1">{#N/A,#N/A,TRUE,"Main Issues";#N/A,#N/A,TRUE,"Income statement ($)"}</definedName>
    <definedName name="vdce" localSheetId="22" hidden="1">{#N/A,#N/A,TRUE,"Main Issues";#N/A,#N/A,TRUE,"Income statement ($)"}</definedName>
    <definedName name="vdce" localSheetId="24" hidden="1">{#N/A,#N/A,TRUE,"Main Issues";#N/A,#N/A,TRUE,"Income statement ($)"}</definedName>
    <definedName name="vdce" localSheetId="26" hidden="1">{#N/A,#N/A,TRUE,"Main Issues";#N/A,#N/A,TRUE,"Income statement ($)"}</definedName>
    <definedName name="vdce" localSheetId="28" hidden="1">{#N/A,#N/A,TRUE,"Main Issues";#N/A,#N/A,TRUE,"Income statement ($)"}</definedName>
    <definedName name="vdce" localSheetId="30" hidden="1">{#N/A,#N/A,TRUE,"Main Issues";#N/A,#N/A,TRUE,"Income statement ($)"}</definedName>
    <definedName name="vdce" localSheetId="32" hidden="1">{#N/A,#N/A,TRUE,"Main Issues";#N/A,#N/A,TRUE,"Income statement ($)"}</definedName>
    <definedName name="vdce" localSheetId="34" hidden="1">{#N/A,#N/A,TRUE,"Main Issues";#N/A,#N/A,TRUE,"Income statement ($)"}</definedName>
    <definedName name="vdce" localSheetId="36" hidden="1">{#N/A,#N/A,TRUE,"Main Issues";#N/A,#N/A,TRUE,"Income statement ($)"}</definedName>
    <definedName name="vdce" localSheetId="38" hidden="1">{#N/A,#N/A,TRUE,"Main Issues";#N/A,#N/A,TRUE,"Income statement ($)"}</definedName>
    <definedName name="vdce" hidden="1">{#N/A,#N/A,TRUE,"Main Issues";#N/A,#N/A,TRUE,"Income statement ($)"}</definedName>
    <definedName name="vedvc" localSheetId="3" hidden="1">{#N/A,#N/A,TRUE,"Main Issues";#N/A,#N/A,TRUE,"Income statement ($)"}</definedName>
    <definedName name="vedvc" localSheetId="5" hidden="1">{#N/A,#N/A,TRUE,"Main Issues";#N/A,#N/A,TRUE,"Income statement ($)"}</definedName>
    <definedName name="vedvc" localSheetId="8" hidden="1">{#N/A,#N/A,TRUE,"Main Issues";#N/A,#N/A,TRUE,"Income statement ($)"}</definedName>
    <definedName name="vedvc" localSheetId="10" hidden="1">{#N/A,#N/A,TRUE,"Main Issues";#N/A,#N/A,TRUE,"Income statement ($)"}</definedName>
    <definedName name="vedvc" localSheetId="12" hidden="1">{#N/A,#N/A,TRUE,"Main Issues";#N/A,#N/A,TRUE,"Income statement ($)"}</definedName>
    <definedName name="vedvc" localSheetId="14" hidden="1">{#N/A,#N/A,TRUE,"Main Issues";#N/A,#N/A,TRUE,"Income statement ($)"}</definedName>
    <definedName name="vedvc" localSheetId="16" hidden="1">{#N/A,#N/A,TRUE,"Main Issues";#N/A,#N/A,TRUE,"Income statement ($)"}</definedName>
    <definedName name="vedvc" localSheetId="22" hidden="1">{#N/A,#N/A,TRUE,"Main Issues";#N/A,#N/A,TRUE,"Income statement ($)"}</definedName>
    <definedName name="vedvc" localSheetId="24" hidden="1">{#N/A,#N/A,TRUE,"Main Issues";#N/A,#N/A,TRUE,"Income statement ($)"}</definedName>
    <definedName name="vedvc" localSheetId="26" hidden="1">{#N/A,#N/A,TRUE,"Main Issues";#N/A,#N/A,TRUE,"Income statement ($)"}</definedName>
    <definedName name="vedvc" localSheetId="28" hidden="1">{#N/A,#N/A,TRUE,"Main Issues";#N/A,#N/A,TRUE,"Income statement ($)"}</definedName>
    <definedName name="vedvc" localSheetId="30" hidden="1">{#N/A,#N/A,TRUE,"Main Issues";#N/A,#N/A,TRUE,"Income statement ($)"}</definedName>
    <definedName name="vedvc" localSheetId="32" hidden="1">{#N/A,#N/A,TRUE,"Main Issues";#N/A,#N/A,TRUE,"Income statement ($)"}</definedName>
    <definedName name="vedvc" localSheetId="34" hidden="1">{#N/A,#N/A,TRUE,"Main Issues";#N/A,#N/A,TRUE,"Income statement ($)"}</definedName>
    <definedName name="vedvc" localSheetId="36" hidden="1">{#N/A,#N/A,TRUE,"Main Issues";#N/A,#N/A,TRUE,"Income statement ($)"}</definedName>
    <definedName name="vedvc" localSheetId="38" hidden="1">{#N/A,#N/A,TRUE,"Main Issues";#N/A,#N/A,TRUE,"Income statement ($)"}</definedName>
    <definedName name="vedvc" hidden="1">{#N/A,#N/A,TRUE,"Main Issues";#N/A,#N/A,TRUE,"Income statement ($)"}</definedName>
    <definedName name="vfdc" localSheetId="3" hidden="1">{#N/A,#N/A,TRUE,"Proposal";#N/A,#N/A,TRUE,"Assumptions";#N/A,#N/A,TRUE,"Net Income";#N/A,#N/A,TRUE,"Balsheet";#N/A,#N/A,TRUE,"Capex";#N/A,#N/A,TRUE,"Volumes";#N/A,#N/A,TRUE,"Revenues";#N/A,#N/A,TRUE,"Var.Costs";#N/A,#N/A,TRUE,"Personnel";#N/A,#N/A,TRUE,"Other costs";#N/A,#N/A,TRUE,"MKTG and G&amp;A"}</definedName>
    <definedName name="vfdc" localSheetId="5" hidden="1">{#N/A,#N/A,TRUE,"Proposal";#N/A,#N/A,TRUE,"Assumptions";#N/A,#N/A,TRUE,"Net Income";#N/A,#N/A,TRUE,"Balsheet";#N/A,#N/A,TRUE,"Capex";#N/A,#N/A,TRUE,"Volumes";#N/A,#N/A,TRUE,"Revenues";#N/A,#N/A,TRUE,"Var.Costs";#N/A,#N/A,TRUE,"Personnel";#N/A,#N/A,TRUE,"Other costs";#N/A,#N/A,TRUE,"MKTG and G&amp;A"}</definedName>
    <definedName name="vfdc" localSheetId="8" hidden="1">{#N/A,#N/A,TRUE,"Proposal";#N/A,#N/A,TRUE,"Assumptions";#N/A,#N/A,TRUE,"Net Income";#N/A,#N/A,TRUE,"Balsheet";#N/A,#N/A,TRUE,"Capex";#N/A,#N/A,TRUE,"Volumes";#N/A,#N/A,TRUE,"Revenues";#N/A,#N/A,TRUE,"Var.Costs";#N/A,#N/A,TRUE,"Personnel";#N/A,#N/A,TRUE,"Other costs";#N/A,#N/A,TRUE,"MKTG and G&amp;A"}</definedName>
    <definedName name="vfdc" localSheetId="10" hidden="1">{#N/A,#N/A,TRUE,"Proposal";#N/A,#N/A,TRUE,"Assumptions";#N/A,#N/A,TRUE,"Net Income";#N/A,#N/A,TRUE,"Balsheet";#N/A,#N/A,TRUE,"Capex";#N/A,#N/A,TRUE,"Volumes";#N/A,#N/A,TRUE,"Revenues";#N/A,#N/A,TRUE,"Var.Costs";#N/A,#N/A,TRUE,"Personnel";#N/A,#N/A,TRUE,"Other costs";#N/A,#N/A,TRUE,"MKTG and G&amp;A"}</definedName>
    <definedName name="vfdc" localSheetId="12" hidden="1">{#N/A,#N/A,TRUE,"Proposal";#N/A,#N/A,TRUE,"Assumptions";#N/A,#N/A,TRUE,"Net Income";#N/A,#N/A,TRUE,"Balsheet";#N/A,#N/A,TRUE,"Capex";#N/A,#N/A,TRUE,"Volumes";#N/A,#N/A,TRUE,"Revenues";#N/A,#N/A,TRUE,"Var.Costs";#N/A,#N/A,TRUE,"Personnel";#N/A,#N/A,TRUE,"Other costs";#N/A,#N/A,TRUE,"MKTG and G&amp;A"}</definedName>
    <definedName name="vfdc" localSheetId="14" hidden="1">{#N/A,#N/A,TRUE,"Proposal";#N/A,#N/A,TRUE,"Assumptions";#N/A,#N/A,TRUE,"Net Income";#N/A,#N/A,TRUE,"Balsheet";#N/A,#N/A,TRUE,"Capex";#N/A,#N/A,TRUE,"Volumes";#N/A,#N/A,TRUE,"Revenues";#N/A,#N/A,TRUE,"Var.Costs";#N/A,#N/A,TRUE,"Personnel";#N/A,#N/A,TRUE,"Other costs";#N/A,#N/A,TRUE,"MKTG and G&amp;A"}</definedName>
    <definedName name="vfdc" localSheetId="16" hidden="1">{#N/A,#N/A,TRUE,"Proposal";#N/A,#N/A,TRUE,"Assumptions";#N/A,#N/A,TRUE,"Net Income";#N/A,#N/A,TRUE,"Balsheet";#N/A,#N/A,TRUE,"Capex";#N/A,#N/A,TRUE,"Volumes";#N/A,#N/A,TRUE,"Revenues";#N/A,#N/A,TRUE,"Var.Costs";#N/A,#N/A,TRUE,"Personnel";#N/A,#N/A,TRUE,"Other costs";#N/A,#N/A,TRUE,"MKTG and G&amp;A"}</definedName>
    <definedName name="vfdc" localSheetId="22" hidden="1">{#N/A,#N/A,TRUE,"Proposal";#N/A,#N/A,TRUE,"Assumptions";#N/A,#N/A,TRUE,"Net Income";#N/A,#N/A,TRUE,"Balsheet";#N/A,#N/A,TRUE,"Capex";#N/A,#N/A,TRUE,"Volumes";#N/A,#N/A,TRUE,"Revenues";#N/A,#N/A,TRUE,"Var.Costs";#N/A,#N/A,TRUE,"Personnel";#N/A,#N/A,TRUE,"Other costs";#N/A,#N/A,TRUE,"MKTG and G&amp;A"}</definedName>
    <definedName name="vfdc" localSheetId="24" hidden="1">{#N/A,#N/A,TRUE,"Proposal";#N/A,#N/A,TRUE,"Assumptions";#N/A,#N/A,TRUE,"Net Income";#N/A,#N/A,TRUE,"Balsheet";#N/A,#N/A,TRUE,"Capex";#N/A,#N/A,TRUE,"Volumes";#N/A,#N/A,TRUE,"Revenues";#N/A,#N/A,TRUE,"Var.Costs";#N/A,#N/A,TRUE,"Personnel";#N/A,#N/A,TRUE,"Other costs";#N/A,#N/A,TRUE,"MKTG and G&amp;A"}</definedName>
    <definedName name="vfdc" localSheetId="26" hidden="1">{#N/A,#N/A,TRUE,"Proposal";#N/A,#N/A,TRUE,"Assumptions";#N/A,#N/A,TRUE,"Net Income";#N/A,#N/A,TRUE,"Balsheet";#N/A,#N/A,TRUE,"Capex";#N/A,#N/A,TRUE,"Volumes";#N/A,#N/A,TRUE,"Revenues";#N/A,#N/A,TRUE,"Var.Costs";#N/A,#N/A,TRUE,"Personnel";#N/A,#N/A,TRUE,"Other costs";#N/A,#N/A,TRUE,"MKTG and G&amp;A"}</definedName>
    <definedName name="vfdc" localSheetId="28" hidden="1">{#N/A,#N/A,TRUE,"Proposal";#N/A,#N/A,TRUE,"Assumptions";#N/A,#N/A,TRUE,"Net Income";#N/A,#N/A,TRUE,"Balsheet";#N/A,#N/A,TRUE,"Capex";#N/A,#N/A,TRUE,"Volumes";#N/A,#N/A,TRUE,"Revenues";#N/A,#N/A,TRUE,"Var.Costs";#N/A,#N/A,TRUE,"Personnel";#N/A,#N/A,TRUE,"Other costs";#N/A,#N/A,TRUE,"MKTG and G&amp;A"}</definedName>
    <definedName name="vfdc" localSheetId="30" hidden="1">{#N/A,#N/A,TRUE,"Proposal";#N/A,#N/A,TRUE,"Assumptions";#N/A,#N/A,TRUE,"Net Income";#N/A,#N/A,TRUE,"Balsheet";#N/A,#N/A,TRUE,"Capex";#N/A,#N/A,TRUE,"Volumes";#N/A,#N/A,TRUE,"Revenues";#N/A,#N/A,TRUE,"Var.Costs";#N/A,#N/A,TRUE,"Personnel";#N/A,#N/A,TRUE,"Other costs";#N/A,#N/A,TRUE,"MKTG and G&amp;A"}</definedName>
    <definedName name="vfdc" localSheetId="32" hidden="1">{#N/A,#N/A,TRUE,"Proposal";#N/A,#N/A,TRUE,"Assumptions";#N/A,#N/A,TRUE,"Net Income";#N/A,#N/A,TRUE,"Balsheet";#N/A,#N/A,TRUE,"Capex";#N/A,#N/A,TRUE,"Volumes";#N/A,#N/A,TRUE,"Revenues";#N/A,#N/A,TRUE,"Var.Costs";#N/A,#N/A,TRUE,"Personnel";#N/A,#N/A,TRUE,"Other costs";#N/A,#N/A,TRUE,"MKTG and G&amp;A"}</definedName>
    <definedName name="vfdc" localSheetId="34" hidden="1">{#N/A,#N/A,TRUE,"Proposal";#N/A,#N/A,TRUE,"Assumptions";#N/A,#N/A,TRUE,"Net Income";#N/A,#N/A,TRUE,"Balsheet";#N/A,#N/A,TRUE,"Capex";#N/A,#N/A,TRUE,"Volumes";#N/A,#N/A,TRUE,"Revenues";#N/A,#N/A,TRUE,"Var.Costs";#N/A,#N/A,TRUE,"Personnel";#N/A,#N/A,TRUE,"Other costs";#N/A,#N/A,TRUE,"MKTG and G&amp;A"}</definedName>
    <definedName name="vfdc" localSheetId="36" hidden="1">{#N/A,#N/A,TRUE,"Proposal";#N/A,#N/A,TRUE,"Assumptions";#N/A,#N/A,TRUE,"Net Income";#N/A,#N/A,TRUE,"Balsheet";#N/A,#N/A,TRUE,"Capex";#N/A,#N/A,TRUE,"Volumes";#N/A,#N/A,TRUE,"Revenues";#N/A,#N/A,TRUE,"Var.Costs";#N/A,#N/A,TRUE,"Personnel";#N/A,#N/A,TRUE,"Other costs";#N/A,#N/A,TRUE,"MKTG and G&amp;A"}</definedName>
    <definedName name="vfdc" localSheetId="38" hidden="1">{#N/A,#N/A,TRUE,"Proposal";#N/A,#N/A,TRUE,"Assumptions";#N/A,#N/A,TRUE,"Net Income";#N/A,#N/A,TRUE,"Balsheet";#N/A,#N/A,TRUE,"Capex";#N/A,#N/A,TRUE,"Volumes";#N/A,#N/A,TRUE,"Revenues";#N/A,#N/A,TRUE,"Var.Costs";#N/A,#N/A,TRUE,"Personnel";#N/A,#N/A,TRUE,"Other costs";#N/A,#N/A,TRUE,"MKTG and G&amp;A"}</definedName>
    <definedName name="vfdc" hidden="1">{#N/A,#N/A,TRUE,"Proposal";#N/A,#N/A,TRUE,"Assumptions";#N/A,#N/A,TRUE,"Net Income";#N/A,#N/A,TRUE,"Balsheet";#N/A,#N/A,TRUE,"Capex";#N/A,#N/A,TRUE,"Volumes";#N/A,#N/A,TRUE,"Revenues";#N/A,#N/A,TRUE,"Var.Costs";#N/A,#N/A,TRUE,"Personnel";#N/A,#N/A,TRUE,"Other costs";#N/A,#N/A,TRUE,"MKTG and G&amp;A"}</definedName>
    <definedName name="vfdcvd" localSheetId="3" hidden="1">{#N/A,#N/A,TRUE,"Main Issues";#N/A,#N/A,TRUE,"Income statement ($)"}</definedName>
    <definedName name="vfdcvd" localSheetId="5" hidden="1">{#N/A,#N/A,TRUE,"Main Issues";#N/A,#N/A,TRUE,"Income statement ($)"}</definedName>
    <definedName name="vfdcvd" localSheetId="8" hidden="1">{#N/A,#N/A,TRUE,"Main Issues";#N/A,#N/A,TRUE,"Income statement ($)"}</definedName>
    <definedName name="vfdcvd" localSheetId="10" hidden="1">{#N/A,#N/A,TRUE,"Main Issues";#N/A,#N/A,TRUE,"Income statement ($)"}</definedName>
    <definedName name="vfdcvd" localSheetId="12" hidden="1">{#N/A,#N/A,TRUE,"Main Issues";#N/A,#N/A,TRUE,"Income statement ($)"}</definedName>
    <definedName name="vfdcvd" localSheetId="14" hidden="1">{#N/A,#N/A,TRUE,"Main Issues";#N/A,#N/A,TRUE,"Income statement ($)"}</definedName>
    <definedName name="vfdcvd" localSheetId="16" hidden="1">{#N/A,#N/A,TRUE,"Main Issues";#N/A,#N/A,TRUE,"Income statement ($)"}</definedName>
    <definedName name="vfdcvd" localSheetId="22" hidden="1">{#N/A,#N/A,TRUE,"Main Issues";#N/A,#N/A,TRUE,"Income statement ($)"}</definedName>
    <definedName name="vfdcvd" localSheetId="24" hidden="1">{#N/A,#N/A,TRUE,"Main Issues";#N/A,#N/A,TRUE,"Income statement ($)"}</definedName>
    <definedName name="vfdcvd" localSheetId="26" hidden="1">{#N/A,#N/A,TRUE,"Main Issues";#N/A,#N/A,TRUE,"Income statement ($)"}</definedName>
    <definedName name="vfdcvd" localSheetId="28" hidden="1">{#N/A,#N/A,TRUE,"Main Issues";#N/A,#N/A,TRUE,"Income statement ($)"}</definedName>
    <definedName name="vfdcvd" localSheetId="30" hidden="1">{#N/A,#N/A,TRUE,"Main Issues";#N/A,#N/A,TRUE,"Income statement ($)"}</definedName>
    <definedName name="vfdcvd" localSheetId="32" hidden="1">{#N/A,#N/A,TRUE,"Main Issues";#N/A,#N/A,TRUE,"Income statement ($)"}</definedName>
    <definedName name="vfdcvd" localSheetId="34" hidden="1">{#N/A,#N/A,TRUE,"Main Issues";#N/A,#N/A,TRUE,"Income statement ($)"}</definedName>
    <definedName name="vfdcvd" localSheetId="36" hidden="1">{#N/A,#N/A,TRUE,"Main Issues";#N/A,#N/A,TRUE,"Income statement ($)"}</definedName>
    <definedName name="vfdcvd" localSheetId="38" hidden="1">{#N/A,#N/A,TRUE,"Main Issues";#N/A,#N/A,TRUE,"Income statement ($)"}</definedName>
    <definedName name="vfdcvd" hidden="1">{#N/A,#N/A,TRUE,"Main Issues";#N/A,#N/A,TRUE,"Income statement ($)"}</definedName>
    <definedName name="vfdz" localSheetId="3" hidden="1">{"NOPCAPEVA",#N/A,FALSE,"Nopat";"FCFCSTAR",#N/A,FALSE,"FCFVAL";"EVAVL",#N/A,FALSE,"EVAVAL";"LEASE",#N/A,FALSE,"OpLease"}</definedName>
    <definedName name="vfdz" localSheetId="5" hidden="1">{"NOPCAPEVA",#N/A,FALSE,"Nopat";"FCFCSTAR",#N/A,FALSE,"FCFVAL";"EVAVL",#N/A,FALSE,"EVAVAL";"LEASE",#N/A,FALSE,"OpLease"}</definedName>
    <definedName name="vfdz" localSheetId="8" hidden="1">{"NOPCAPEVA",#N/A,FALSE,"Nopat";"FCFCSTAR",#N/A,FALSE,"FCFVAL";"EVAVL",#N/A,FALSE,"EVAVAL";"LEASE",#N/A,FALSE,"OpLease"}</definedName>
    <definedName name="vfdz" localSheetId="10" hidden="1">{"NOPCAPEVA",#N/A,FALSE,"Nopat";"FCFCSTAR",#N/A,FALSE,"FCFVAL";"EVAVL",#N/A,FALSE,"EVAVAL";"LEASE",#N/A,FALSE,"OpLease"}</definedName>
    <definedName name="vfdz" localSheetId="12" hidden="1">{"NOPCAPEVA",#N/A,FALSE,"Nopat";"FCFCSTAR",#N/A,FALSE,"FCFVAL";"EVAVL",#N/A,FALSE,"EVAVAL";"LEASE",#N/A,FALSE,"OpLease"}</definedName>
    <definedName name="vfdz" localSheetId="14" hidden="1">{"NOPCAPEVA",#N/A,FALSE,"Nopat";"FCFCSTAR",#N/A,FALSE,"FCFVAL";"EVAVL",#N/A,FALSE,"EVAVAL";"LEASE",#N/A,FALSE,"OpLease"}</definedName>
    <definedName name="vfdz" localSheetId="16" hidden="1">{"NOPCAPEVA",#N/A,FALSE,"Nopat";"FCFCSTAR",#N/A,FALSE,"FCFVAL";"EVAVL",#N/A,FALSE,"EVAVAL";"LEASE",#N/A,FALSE,"OpLease"}</definedName>
    <definedName name="vfdz" localSheetId="22" hidden="1">{"NOPCAPEVA",#N/A,FALSE,"Nopat";"FCFCSTAR",#N/A,FALSE,"FCFVAL";"EVAVL",#N/A,FALSE,"EVAVAL";"LEASE",#N/A,FALSE,"OpLease"}</definedName>
    <definedName name="vfdz" localSheetId="24" hidden="1">{"NOPCAPEVA",#N/A,FALSE,"Nopat";"FCFCSTAR",#N/A,FALSE,"FCFVAL";"EVAVL",#N/A,FALSE,"EVAVAL";"LEASE",#N/A,FALSE,"OpLease"}</definedName>
    <definedName name="vfdz" localSheetId="26" hidden="1">{"NOPCAPEVA",#N/A,FALSE,"Nopat";"FCFCSTAR",#N/A,FALSE,"FCFVAL";"EVAVL",#N/A,FALSE,"EVAVAL";"LEASE",#N/A,FALSE,"OpLease"}</definedName>
    <definedName name="vfdz" localSheetId="28" hidden="1">{"NOPCAPEVA",#N/A,FALSE,"Nopat";"FCFCSTAR",#N/A,FALSE,"FCFVAL";"EVAVL",#N/A,FALSE,"EVAVAL";"LEASE",#N/A,FALSE,"OpLease"}</definedName>
    <definedName name="vfdz" localSheetId="30" hidden="1">{"NOPCAPEVA",#N/A,FALSE,"Nopat";"FCFCSTAR",#N/A,FALSE,"FCFVAL";"EVAVL",#N/A,FALSE,"EVAVAL";"LEASE",#N/A,FALSE,"OpLease"}</definedName>
    <definedName name="vfdz" localSheetId="32" hidden="1">{"NOPCAPEVA",#N/A,FALSE,"Nopat";"FCFCSTAR",#N/A,FALSE,"FCFVAL";"EVAVL",#N/A,FALSE,"EVAVAL";"LEASE",#N/A,FALSE,"OpLease"}</definedName>
    <definedName name="vfdz" localSheetId="34" hidden="1">{"NOPCAPEVA",#N/A,FALSE,"Nopat";"FCFCSTAR",#N/A,FALSE,"FCFVAL";"EVAVL",#N/A,FALSE,"EVAVAL";"LEASE",#N/A,FALSE,"OpLease"}</definedName>
    <definedName name="vfdz" localSheetId="36" hidden="1">{"NOPCAPEVA",#N/A,FALSE,"Nopat";"FCFCSTAR",#N/A,FALSE,"FCFVAL";"EVAVL",#N/A,FALSE,"EVAVAL";"LEASE",#N/A,FALSE,"OpLease"}</definedName>
    <definedName name="vfdz" localSheetId="38" hidden="1">{"NOPCAPEVA",#N/A,FALSE,"Nopat";"FCFCSTAR",#N/A,FALSE,"FCFVAL";"EVAVL",#N/A,FALSE,"EVAVAL";"LEASE",#N/A,FALSE,"OpLease"}</definedName>
    <definedName name="vfdz" hidden="1">{"NOPCAPEVA",#N/A,FALSE,"Nopat";"FCFCSTAR",#N/A,FALSE,"FCFVAL";"EVAVL",#N/A,FALSE,"EVAVAL";"LEASE",#N/A,FALSE,"OpLease"}</definedName>
    <definedName name="VFR" localSheetId="3" hidden="1">{#N/A,#N/A,FALSE,"MAIN";#N/A,#N/A,FALSE,"MK_ASS_B";#N/A,#N/A,FALSE,"MK_ASS_R";#N/A,#N/A,FALSE,"TR_ASS_B";#N/A,#N/A,FALSE,"TR_ASS_R";#N/A,#N/A,FALSE,"ROAMING";#N/A,#N/A,FALSE,"PR_ASS_B";#N/A,#N/A,FALSE,"PR_ASS_R";#N/A,#N/A,FALSE,"PR_ASS_S"}</definedName>
    <definedName name="VFR" localSheetId="5" hidden="1">{#N/A,#N/A,FALSE,"MAIN";#N/A,#N/A,FALSE,"MK_ASS_B";#N/A,#N/A,FALSE,"MK_ASS_R";#N/A,#N/A,FALSE,"TR_ASS_B";#N/A,#N/A,FALSE,"TR_ASS_R";#N/A,#N/A,FALSE,"ROAMING";#N/A,#N/A,FALSE,"PR_ASS_B";#N/A,#N/A,FALSE,"PR_ASS_R";#N/A,#N/A,FALSE,"PR_ASS_S"}</definedName>
    <definedName name="VFR" localSheetId="8" hidden="1">{#N/A,#N/A,FALSE,"MAIN";#N/A,#N/A,FALSE,"MK_ASS_B";#N/A,#N/A,FALSE,"MK_ASS_R";#N/A,#N/A,FALSE,"TR_ASS_B";#N/A,#N/A,FALSE,"TR_ASS_R";#N/A,#N/A,FALSE,"ROAMING";#N/A,#N/A,FALSE,"PR_ASS_B";#N/A,#N/A,FALSE,"PR_ASS_R";#N/A,#N/A,FALSE,"PR_ASS_S"}</definedName>
    <definedName name="VFR" localSheetId="10" hidden="1">{#N/A,#N/A,FALSE,"MAIN";#N/A,#N/A,FALSE,"MK_ASS_B";#N/A,#N/A,FALSE,"MK_ASS_R";#N/A,#N/A,FALSE,"TR_ASS_B";#N/A,#N/A,FALSE,"TR_ASS_R";#N/A,#N/A,FALSE,"ROAMING";#N/A,#N/A,FALSE,"PR_ASS_B";#N/A,#N/A,FALSE,"PR_ASS_R";#N/A,#N/A,FALSE,"PR_ASS_S"}</definedName>
    <definedName name="VFR" localSheetId="12" hidden="1">{#N/A,#N/A,FALSE,"MAIN";#N/A,#N/A,FALSE,"MK_ASS_B";#N/A,#N/A,FALSE,"MK_ASS_R";#N/A,#N/A,FALSE,"TR_ASS_B";#N/A,#N/A,FALSE,"TR_ASS_R";#N/A,#N/A,FALSE,"ROAMING";#N/A,#N/A,FALSE,"PR_ASS_B";#N/A,#N/A,FALSE,"PR_ASS_R";#N/A,#N/A,FALSE,"PR_ASS_S"}</definedName>
    <definedName name="VFR" localSheetId="14" hidden="1">{#N/A,#N/A,FALSE,"MAIN";#N/A,#N/A,FALSE,"MK_ASS_B";#N/A,#N/A,FALSE,"MK_ASS_R";#N/A,#N/A,FALSE,"TR_ASS_B";#N/A,#N/A,FALSE,"TR_ASS_R";#N/A,#N/A,FALSE,"ROAMING";#N/A,#N/A,FALSE,"PR_ASS_B";#N/A,#N/A,FALSE,"PR_ASS_R";#N/A,#N/A,FALSE,"PR_ASS_S"}</definedName>
    <definedName name="VFR" localSheetId="16" hidden="1">{#N/A,#N/A,FALSE,"MAIN";#N/A,#N/A,FALSE,"MK_ASS_B";#N/A,#N/A,FALSE,"MK_ASS_R";#N/A,#N/A,FALSE,"TR_ASS_B";#N/A,#N/A,FALSE,"TR_ASS_R";#N/A,#N/A,FALSE,"ROAMING";#N/A,#N/A,FALSE,"PR_ASS_B";#N/A,#N/A,FALSE,"PR_ASS_R";#N/A,#N/A,FALSE,"PR_ASS_S"}</definedName>
    <definedName name="VFR" localSheetId="22" hidden="1">{#N/A,#N/A,FALSE,"MAIN";#N/A,#N/A,FALSE,"MK_ASS_B";#N/A,#N/A,FALSE,"MK_ASS_R";#N/A,#N/A,FALSE,"TR_ASS_B";#N/A,#N/A,FALSE,"TR_ASS_R";#N/A,#N/A,FALSE,"ROAMING";#N/A,#N/A,FALSE,"PR_ASS_B";#N/A,#N/A,FALSE,"PR_ASS_R";#N/A,#N/A,FALSE,"PR_ASS_S"}</definedName>
    <definedName name="VFR" localSheetId="24" hidden="1">{#N/A,#N/A,FALSE,"MAIN";#N/A,#N/A,FALSE,"MK_ASS_B";#N/A,#N/A,FALSE,"MK_ASS_R";#N/A,#N/A,FALSE,"TR_ASS_B";#N/A,#N/A,FALSE,"TR_ASS_R";#N/A,#N/A,FALSE,"ROAMING";#N/A,#N/A,FALSE,"PR_ASS_B";#N/A,#N/A,FALSE,"PR_ASS_R";#N/A,#N/A,FALSE,"PR_ASS_S"}</definedName>
    <definedName name="VFR" localSheetId="26" hidden="1">{#N/A,#N/A,FALSE,"MAIN";#N/A,#N/A,FALSE,"MK_ASS_B";#N/A,#N/A,FALSE,"MK_ASS_R";#N/A,#N/A,FALSE,"TR_ASS_B";#N/A,#N/A,FALSE,"TR_ASS_R";#N/A,#N/A,FALSE,"ROAMING";#N/A,#N/A,FALSE,"PR_ASS_B";#N/A,#N/A,FALSE,"PR_ASS_R";#N/A,#N/A,FALSE,"PR_ASS_S"}</definedName>
    <definedName name="VFR" localSheetId="28" hidden="1">{#N/A,#N/A,FALSE,"MAIN";#N/A,#N/A,FALSE,"MK_ASS_B";#N/A,#N/A,FALSE,"MK_ASS_R";#N/A,#N/A,FALSE,"TR_ASS_B";#N/A,#N/A,FALSE,"TR_ASS_R";#N/A,#N/A,FALSE,"ROAMING";#N/A,#N/A,FALSE,"PR_ASS_B";#N/A,#N/A,FALSE,"PR_ASS_R";#N/A,#N/A,FALSE,"PR_ASS_S"}</definedName>
    <definedName name="VFR" localSheetId="30" hidden="1">{#N/A,#N/A,FALSE,"MAIN";#N/A,#N/A,FALSE,"MK_ASS_B";#N/A,#N/A,FALSE,"MK_ASS_R";#N/A,#N/A,FALSE,"TR_ASS_B";#N/A,#N/A,FALSE,"TR_ASS_R";#N/A,#N/A,FALSE,"ROAMING";#N/A,#N/A,FALSE,"PR_ASS_B";#N/A,#N/A,FALSE,"PR_ASS_R";#N/A,#N/A,FALSE,"PR_ASS_S"}</definedName>
    <definedName name="VFR" localSheetId="32" hidden="1">{#N/A,#N/A,FALSE,"MAIN";#N/A,#N/A,FALSE,"MK_ASS_B";#N/A,#N/A,FALSE,"MK_ASS_R";#N/A,#N/A,FALSE,"TR_ASS_B";#N/A,#N/A,FALSE,"TR_ASS_R";#N/A,#N/A,FALSE,"ROAMING";#N/A,#N/A,FALSE,"PR_ASS_B";#N/A,#N/A,FALSE,"PR_ASS_R";#N/A,#N/A,FALSE,"PR_ASS_S"}</definedName>
    <definedName name="VFR" localSheetId="34" hidden="1">{#N/A,#N/A,FALSE,"MAIN";#N/A,#N/A,FALSE,"MK_ASS_B";#N/A,#N/A,FALSE,"MK_ASS_R";#N/A,#N/A,FALSE,"TR_ASS_B";#N/A,#N/A,FALSE,"TR_ASS_R";#N/A,#N/A,FALSE,"ROAMING";#N/A,#N/A,FALSE,"PR_ASS_B";#N/A,#N/A,FALSE,"PR_ASS_R";#N/A,#N/A,FALSE,"PR_ASS_S"}</definedName>
    <definedName name="VFR" localSheetId="36" hidden="1">{#N/A,#N/A,FALSE,"MAIN";#N/A,#N/A,FALSE,"MK_ASS_B";#N/A,#N/A,FALSE,"MK_ASS_R";#N/A,#N/A,FALSE,"TR_ASS_B";#N/A,#N/A,FALSE,"TR_ASS_R";#N/A,#N/A,FALSE,"ROAMING";#N/A,#N/A,FALSE,"PR_ASS_B";#N/A,#N/A,FALSE,"PR_ASS_R";#N/A,#N/A,FALSE,"PR_ASS_S"}</definedName>
    <definedName name="VFR" localSheetId="38" hidden="1">{#N/A,#N/A,FALSE,"MAIN";#N/A,#N/A,FALSE,"MK_ASS_B";#N/A,#N/A,FALSE,"MK_ASS_R";#N/A,#N/A,FALSE,"TR_ASS_B";#N/A,#N/A,FALSE,"TR_ASS_R";#N/A,#N/A,FALSE,"ROAMING";#N/A,#N/A,FALSE,"PR_ASS_B";#N/A,#N/A,FALSE,"PR_ASS_R";#N/A,#N/A,FALSE,"PR_ASS_S"}</definedName>
    <definedName name="VFR" hidden="1">{#N/A,#N/A,FALSE,"MAIN";#N/A,#N/A,FALSE,"MK_ASS_B";#N/A,#N/A,FALSE,"MK_ASS_R";#N/A,#N/A,FALSE,"TR_ASS_B";#N/A,#N/A,FALSE,"TR_ASS_R";#N/A,#N/A,FALSE,"ROAMING";#N/A,#N/A,FALSE,"PR_ASS_B";#N/A,#N/A,FALSE,"PR_ASS_R";#N/A,#N/A,FALSE,"PR_ASS_S"}</definedName>
    <definedName name="vrcr" localSheetId="3" hidden="1">{#N/A,#N/A,TRUE,"Proposal";#N/A,#N/A,TRUE,"Assumptions";#N/A,#N/A,TRUE,"Net Income";#N/A,#N/A,TRUE,"Balsheet";#N/A,#N/A,TRUE,"Capex";#N/A,#N/A,TRUE,"Volumes";#N/A,#N/A,TRUE,"Revenues";#N/A,#N/A,TRUE,"Var.Costs";#N/A,#N/A,TRUE,"Personnel";#N/A,#N/A,TRUE,"Other costs";#N/A,#N/A,TRUE,"MKTG and G&amp;A"}</definedName>
    <definedName name="vrcr" localSheetId="5" hidden="1">{#N/A,#N/A,TRUE,"Proposal";#N/A,#N/A,TRUE,"Assumptions";#N/A,#N/A,TRUE,"Net Income";#N/A,#N/A,TRUE,"Balsheet";#N/A,#N/A,TRUE,"Capex";#N/A,#N/A,TRUE,"Volumes";#N/A,#N/A,TRUE,"Revenues";#N/A,#N/A,TRUE,"Var.Costs";#N/A,#N/A,TRUE,"Personnel";#N/A,#N/A,TRUE,"Other costs";#N/A,#N/A,TRUE,"MKTG and G&amp;A"}</definedName>
    <definedName name="vrcr" localSheetId="8" hidden="1">{#N/A,#N/A,TRUE,"Proposal";#N/A,#N/A,TRUE,"Assumptions";#N/A,#N/A,TRUE,"Net Income";#N/A,#N/A,TRUE,"Balsheet";#N/A,#N/A,TRUE,"Capex";#N/A,#N/A,TRUE,"Volumes";#N/A,#N/A,TRUE,"Revenues";#N/A,#N/A,TRUE,"Var.Costs";#N/A,#N/A,TRUE,"Personnel";#N/A,#N/A,TRUE,"Other costs";#N/A,#N/A,TRUE,"MKTG and G&amp;A"}</definedName>
    <definedName name="vrcr" localSheetId="10" hidden="1">{#N/A,#N/A,TRUE,"Proposal";#N/A,#N/A,TRUE,"Assumptions";#N/A,#N/A,TRUE,"Net Income";#N/A,#N/A,TRUE,"Balsheet";#N/A,#N/A,TRUE,"Capex";#N/A,#N/A,TRUE,"Volumes";#N/A,#N/A,TRUE,"Revenues";#N/A,#N/A,TRUE,"Var.Costs";#N/A,#N/A,TRUE,"Personnel";#N/A,#N/A,TRUE,"Other costs";#N/A,#N/A,TRUE,"MKTG and G&amp;A"}</definedName>
    <definedName name="vrcr" localSheetId="12" hidden="1">{#N/A,#N/A,TRUE,"Proposal";#N/A,#N/A,TRUE,"Assumptions";#N/A,#N/A,TRUE,"Net Income";#N/A,#N/A,TRUE,"Balsheet";#N/A,#N/A,TRUE,"Capex";#N/A,#N/A,TRUE,"Volumes";#N/A,#N/A,TRUE,"Revenues";#N/A,#N/A,TRUE,"Var.Costs";#N/A,#N/A,TRUE,"Personnel";#N/A,#N/A,TRUE,"Other costs";#N/A,#N/A,TRUE,"MKTG and G&amp;A"}</definedName>
    <definedName name="vrcr" localSheetId="14" hidden="1">{#N/A,#N/A,TRUE,"Proposal";#N/A,#N/A,TRUE,"Assumptions";#N/A,#N/A,TRUE,"Net Income";#N/A,#N/A,TRUE,"Balsheet";#N/A,#N/A,TRUE,"Capex";#N/A,#N/A,TRUE,"Volumes";#N/A,#N/A,TRUE,"Revenues";#N/A,#N/A,TRUE,"Var.Costs";#N/A,#N/A,TRUE,"Personnel";#N/A,#N/A,TRUE,"Other costs";#N/A,#N/A,TRUE,"MKTG and G&amp;A"}</definedName>
    <definedName name="vrcr" localSheetId="16" hidden="1">{#N/A,#N/A,TRUE,"Proposal";#N/A,#N/A,TRUE,"Assumptions";#N/A,#N/A,TRUE,"Net Income";#N/A,#N/A,TRUE,"Balsheet";#N/A,#N/A,TRUE,"Capex";#N/A,#N/A,TRUE,"Volumes";#N/A,#N/A,TRUE,"Revenues";#N/A,#N/A,TRUE,"Var.Costs";#N/A,#N/A,TRUE,"Personnel";#N/A,#N/A,TRUE,"Other costs";#N/A,#N/A,TRUE,"MKTG and G&amp;A"}</definedName>
    <definedName name="vrcr" localSheetId="22" hidden="1">{#N/A,#N/A,TRUE,"Proposal";#N/A,#N/A,TRUE,"Assumptions";#N/A,#N/A,TRUE,"Net Income";#N/A,#N/A,TRUE,"Balsheet";#N/A,#N/A,TRUE,"Capex";#N/A,#N/A,TRUE,"Volumes";#N/A,#N/A,TRUE,"Revenues";#N/A,#N/A,TRUE,"Var.Costs";#N/A,#N/A,TRUE,"Personnel";#N/A,#N/A,TRUE,"Other costs";#N/A,#N/A,TRUE,"MKTG and G&amp;A"}</definedName>
    <definedName name="vrcr" localSheetId="24" hidden="1">{#N/A,#N/A,TRUE,"Proposal";#N/A,#N/A,TRUE,"Assumptions";#N/A,#N/A,TRUE,"Net Income";#N/A,#N/A,TRUE,"Balsheet";#N/A,#N/A,TRUE,"Capex";#N/A,#N/A,TRUE,"Volumes";#N/A,#N/A,TRUE,"Revenues";#N/A,#N/A,TRUE,"Var.Costs";#N/A,#N/A,TRUE,"Personnel";#N/A,#N/A,TRUE,"Other costs";#N/A,#N/A,TRUE,"MKTG and G&amp;A"}</definedName>
    <definedName name="vrcr" localSheetId="26" hidden="1">{#N/A,#N/A,TRUE,"Proposal";#N/A,#N/A,TRUE,"Assumptions";#N/A,#N/A,TRUE,"Net Income";#N/A,#N/A,TRUE,"Balsheet";#N/A,#N/A,TRUE,"Capex";#N/A,#N/A,TRUE,"Volumes";#N/A,#N/A,TRUE,"Revenues";#N/A,#N/A,TRUE,"Var.Costs";#N/A,#N/A,TRUE,"Personnel";#N/A,#N/A,TRUE,"Other costs";#N/A,#N/A,TRUE,"MKTG and G&amp;A"}</definedName>
    <definedName name="vrcr" localSheetId="28" hidden="1">{#N/A,#N/A,TRUE,"Proposal";#N/A,#N/A,TRUE,"Assumptions";#N/A,#N/A,TRUE,"Net Income";#N/A,#N/A,TRUE,"Balsheet";#N/A,#N/A,TRUE,"Capex";#N/A,#N/A,TRUE,"Volumes";#N/A,#N/A,TRUE,"Revenues";#N/A,#N/A,TRUE,"Var.Costs";#N/A,#N/A,TRUE,"Personnel";#N/A,#N/A,TRUE,"Other costs";#N/A,#N/A,TRUE,"MKTG and G&amp;A"}</definedName>
    <definedName name="vrcr" localSheetId="30" hidden="1">{#N/A,#N/A,TRUE,"Proposal";#N/A,#N/A,TRUE,"Assumptions";#N/A,#N/A,TRUE,"Net Income";#N/A,#N/A,TRUE,"Balsheet";#N/A,#N/A,TRUE,"Capex";#N/A,#N/A,TRUE,"Volumes";#N/A,#N/A,TRUE,"Revenues";#N/A,#N/A,TRUE,"Var.Costs";#N/A,#N/A,TRUE,"Personnel";#N/A,#N/A,TRUE,"Other costs";#N/A,#N/A,TRUE,"MKTG and G&amp;A"}</definedName>
    <definedName name="vrcr" localSheetId="32" hidden="1">{#N/A,#N/A,TRUE,"Proposal";#N/A,#N/A,TRUE,"Assumptions";#N/A,#N/A,TRUE,"Net Income";#N/A,#N/A,TRUE,"Balsheet";#N/A,#N/A,TRUE,"Capex";#N/A,#N/A,TRUE,"Volumes";#N/A,#N/A,TRUE,"Revenues";#N/A,#N/A,TRUE,"Var.Costs";#N/A,#N/A,TRUE,"Personnel";#N/A,#N/A,TRUE,"Other costs";#N/A,#N/A,TRUE,"MKTG and G&amp;A"}</definedName>
    <definedName name="vrcr" localSheetId="34" hidden="1">{#N/A,#N/A,TRUE,"Proposal";#N/A,#N/A,TRUE,"Assumptions";#N/A,#N/A,TRUE,"Net Income";#N/A,#N/A,TRUE,"Balsheet";#N/A,#N/A,TRUE,"Capex";#N/A,#N/A,TRUE,"Volumes";#N/A,#N/A,TRUE,"Revenues";#N/A,#N/A,TRUE,"Var.Costs";#N/A,#N/A,TRUE,"Personnel";#N/A,#N/A,TRUE,"Other costs";#N/A,#N/A,TRUE,"MKTG and G&amp;A"}</definedName>
    <definedName name="vrcr" localSheetId="36" hidden="1">{#N/A,#N/A,TRUE,"Proposal";#N/A,#N/A,TRUE,"Assumptions";#N/A,#N/A,TRUE,"Net Income";#N/A,#N/A,TRUE,"Balsheet";#N/A,#N/A,TRUE,"Capex";#N/A,#N/A,TRUE,"Volumes";#N/A,#N/A,TRUE,"Revenues";#N/A,#N/A,TRUE,"Var.Costs";#N/A,#N/A,TRUE,"Personnel";#N/A,#N/A,TRUE,"Other costs";#N/A,#N/A,TRUE,"MKTG and G&amp;A"}</definedName>
    <definedName name="vrcr" localSheetId="38" hidden="1">{#N/A,#N/A,TRUE,"Proposal";#N/A,#N/A,TRUE,"Assumptions";#N/A,#N/A,TRUE,"Net Income";#N/A,#N/A,TRUE,"Balsheet";#N/A,#N/A,TRUE,"Capex";#N/A,#N/A,TRUE,"Volumes";#N/A,#N/A,TRUE,"Revenues";#N/A,#N/A,TRUE,"Var.Costs";#N/A,#N/A,TRUE,"Personnel";#N/A,#N/A,TRUE,"Other costs";#N/A,#N/A,TRUE,"MKTG and G&amp;A"}</definedName>
    <definedName name="vrcr" hidden="1">{#N/A,#N/A,TRUE,"Proposal";#N/A,#N/A,TRUE,"Assumptions";#N/A,#N/A,TRUE,"Net Income";#N/A,#N/A,TRUE,"Balsheet";#N/A,#N/A,TRUE,"Capex";#N/A,#N/A,TRUE,"Volumes";#N/A,#N/A,TRUE,"Revenues";#N/A,#N/A,TRUE,"Var.Costs";#N/A,#N/A,TRUE,"Personnel";#N/A,#N/A,TRUE,"Other costs";#N/A,#N/A,TRUE,"MKTG and G&amp;A"}</definedName>
    <definedName name="vrcsrvc" localSheetId="3" hidden="1">{#N/A,#N/A,TRUE,"Proposal";#N/A,#N/A,TRUE,"Assumptions";#N/A,#N/A,TRUE,"Net Income";#N/A,#N/A,TRUE,"Balsheet";#N/A,#N/A,TRUE,"Capex";#N/A,#N/A,TRUE,"Volumes";#N/A,#N/A,TRUE,"Revenues";#N/A,#N/A,TRUE,"Var.Costs";#N/A,#N/A,TRUE,"Personnel";#N/A,#N/A,TRUE,"Other costs";#N/A,#N/A,TRUE,"MKTG and G&amp;A"}</definedName>
    <definedName name="vrcsrvc" localSheetId="5" hidden="1">{#N/A,#N/A,TRUE,"Proposal";#N/A,#N/A,TRUE,"Assumptions";#N/A,#N/A,TRUE,"Net Income";#N/A,#N/A,TRUE,"Balsheet";#N/A,#N/A,TRUE,"Capex";#N/A,#N/A,TRUE,"Volumes";#N/A,#N/A,TRUE,"Revenues";#N/A,#N/A,TRUE,"Var.Costs";#N/A,#N/A,TRUE,"Personnel";#N/A,#N/A,TRUE,"Other costs";#N/A,#N/A,TRUE,"MKTG and G&amp;A"}</definedName>
    <definedName name="vrcsrvc" localSheetId="8" hidden="1">{#N/A,#N/A,TRUE,"Proposal";#N/A,#N/A,TRUE,"Assumptions";#N/A,#N/A,TRUE,"Net Income";#N/A,#N/A,TRUE,"Balsheet";#N/A,#N/A,TRUE,"Capex";#N/A,#N/A,TRUE,"Volumes";#N/A,#N/A,TRUE,"Revenues";#N/A,#N/A,TRUE,"Var.Costs";#N/A,#N/A,TRUE,"Personnel";#N/A,#N/A,TRUE,"Other costs";#N/A,#N/A,TRUE,"MKTG and G&amp;A"}</definedName>
    <definedName name="vrcsrvc" localSheetId="10" hidden="1">{#N/A,#N/A,TRUE,"Proposal";#N/A,#N/A,TRUE,"Assumptions";#N/A,#N/A,TRUE,"Net Income";#N/A,#N/A,TRUE,"Balsheet";#N/A,#N/A,TRUE,"Capex";#N/A,#N/A,TRUE,"Volumes";#N/A,#N/A,TRUE,"Revenues";#N/A,#N/A,TRUE,"Var.Costs";#N/A,#N/A,TRUE,"Personnel";#N/A,#N/A,TRUE,"Other costs";#N/A,#N/A,TRUE,"MKTG and G&amp;A"}</definedName>
    <definedName name="vrcsrvc" localSheetId="12" hidden="1">{#N/A,#N/A,TRUE,"Proposal";#N/A,#N/A,TRUE,"Assumptions";#N/A,#N/A,TRUE,"Net Income";#N/A,#N/A,TRUE,"Balsheet";#N/A,#N/A,TRUE,"Capex";#N/A,#N/A,TRUE,"Volumes";#N/A,#N/A,TRUE,"Revenues";#N/A,#N/A,TRUE,"Var.Costs";#N/A,#N/A,TRUE,"Personnel";#N/A,#N/A,TRUE,"Other costs";#N/A,#N/A,TRUE,"MKTG and G&amp;A"}</definedName>
    <definedName name="vrcsrvc" localSheetId="14" hidden="1">{#N/A,#N/A,TRUE,"Proposal";#N/A,#N/A,TRUE,"Assumptions";#N/A,#N/A,TRUE,"Net Income";#N/A,#N/A,TRUE,"Balsheet";#N/A,#N/A,TRUE,"Capex";#N/A,#N/A,TRUE,"Volumes";#N/A,#N/A,TRUE,"Revenues";#N/A,#N/A,TRUE,"Var.Costs";#N/A,#N/A,TRUE,"Personnel";#N/A,#N/A,TRUE,"Other costs";#N/A,#N/A,TRUE,"MKTG and G&amp;A"}</definedName>
    <definedName name="vrcsrvc" localSheetId="16" hidden="1">{#N/A,#N/A,TRUE,"Proposal";#N/A,#N/A,TRUE,"Assumptions";#N/A,#N/A,TRUE,"Net Income";#N/A,#N/A,TRUE,"Balsheet";#N/A,#N/A,TRUE,"Capex";#N/A,#N/A,TRUE,"Volumes";#N/A,#N/A,TRUE,"Revenues";#N/A,#N/A,TRUE,"Var.Costs";#N/A,#N/A,TRUE,"Personnel";#N/A,#N/A,TRUE,"Other costs";#N/A,#N/A,TRUE,"MKTG and G&amp;A"}</definedName>
    <definedName name="vrcsrvc" localSheetId="22" hidden="1">{#N/A,#N/A,TRUE,"Proposal";#N/A,#N/A,TRUE,"Assumptions";#N/A,#N/A,TRUE,"Net Income";#N/A,#N/A,TRUE,"Balsheet";#N/A,#N/A,TRUE,"Capex";#N/A,#N/A,TRUE,"Volumes";#N/A,#N/A,TRUE,"Revenues";#N/A,#N/A,TRUE,"Var.Costs";#N/A,#N/A,TRUE,"Personnel";#N/A,#N/A,TRUE,"Other costs";#N/A,#N/A,TRUE,"MKTG and G&amp;A"}</definedName>
    <definedName name="vrcsrvc" localSheetId="24" hidden="1">{#N/A,#N/A,TRUE,"Proposal";#N/A,#N/A,TRUE,"Assumptions";#N/A,#N/A,TRUE,"Net Income";#N/A,#N/A,TRUE,"Balsheet";#N/A,#N/A,TRUE,"Capex";#N/A,#N/A,TRUE,"Volumes";#N/A,#N/A,TRUE,"Revenues";#N/A,#N/A,TRUE,"Var.Costs";#N/A,#N/A,TRUE,"Personnel";#N/A,#N/A,TRUE,"Other costs";#N/A,#N/A,TRUE,"MKTG and G&amp;A"}</definedName>
    <definedName name="vrcsrvc" localSheetId="26" hidden="1">{#N/A,#N/A,TRUE,"Proposal";#N/A,#N/A,TRUE,"Assumptions";#N/A,#N/A,TRUE,"Net Income";#N/A,#N/A,TRUE,"Balsheet";#N/A,#N/A,TRUE,"Capex";#N/A,#N/A,TRUE,"Volumes";#N/A,#N/A,TRUE,"Revenues";#N/A,#N/A,TRUE,"Var.Costs";#N/A,#N/A,TRUE,"Personnel";#N/A,#N/A,TRUE,"Other costs";#N/A,#N/A,TRUE,"MKTG and G&amp;A"}</definedName>
    <definedName name="vrcsrvc" localSheetId="28" hidden="1">{#N/A,#N/A,TRUE,"Proposal";#N/A,#N/A,TRUE,"Assumptions";#N/A,#N/A,TRUE,"Net Income";#N/A,#N/A,TRUE,"Balsheet";#N/A,#N/A,TRUE,"Capex";#N/A,#N/A,TRUE,"Volumes";#N/A,#N/A,TRUE,"Revenues";#N/A,#N/A,TRUE,"Var.Costs";#N/A,#N/A,TRUE,"Personnel";#N/A,#N/A,TRUE,"Other costs";#N/A,#N/A,TRUE,"MKTG and G&amp;A"}</definedName>
    <definedName name="vrcsrvc" localSheetId="30" hidden="1">{#N/A,#N/A,TRUE,"Proposal";#N/A,#N/A,TRUE,"Assumptions";#N/A,#N/A,TRUE,"Net Income";#N/A,#N/A,TRUE,"Balsheet";#N/A,#N/A,TRUE,"Capex";#N/A,#N/A,TRUE,"Volumes";#N/A,#N/A,TRUE,"Revenues";#N/A,#N/A,TRUE,"Var.Costs";#N/A,#N/A,TRUE,"Personnel";#N/A,#N/A,TRUE,"Other costs";#N/A,#N/A,TRUE,"MKTG and G&amp;A"}</definedName>
    <definedName name="vrcsrvc" localSheetId="32" hidden="1">{#N/A,#N/A,TRUE,"Proposal";#N/A,#N/A,TRUE,"Assumptions";#N/A,#N/A,TRUE,"Net Income";#N/A,#N/A,TRUE,"Balsheet";#N/A,#N/A,TRUE,"Capex";#N/A,#N/A,TRUE,"Volumes";#N/A,#N/A,TRUE,"Revenues";#N/A,#N/A,TRUE,"Var.Costs";#N/A,#N/A,TRUE,"Personnel";#N/A,#N/A,TRUE,"Other costs";#N/A,#N/A,TRUE,"MKTG and G&amp;A"}</definedName>
    <definedName name="vrcsrvc" localSheetId="34" hidden="1">{#N/A,#N/A,TRUE,"Proposal";#N/A,#N/A,TRUE,"Assumptions";#N/A,#N/A,TRUE,"Net Income";#N/A,#N/A,TRUE,"Balsheet";#N/A,#N/A,TRUE,"Capex";#N/A,#N/A,TRUE,"Volumes";#N/A,#N/A,TRUE,"Revenues";#N/A,#N/A,TRUE,"Var.Costs";#N/A,#N/A,TRUE,"Personnel";#N/A,#N/A,TRUE,"Other costs";#N/A,#N/A,TRUE,"MKTG and G&amp;A"}</definedName>
    <definedName name="vrcsrvc" localSheetId="36" hidden="1">{#N/A,#N/A,TRUE,"Proposal";#N/A,#N/A,TRUE,"Assumptions";#N/A,#N/A,TRUE,"Net Income";#N/A,#N/A,TRUE,"Balsheet";#N/A,#N/A,TRUE,"Capex";#N/A,#N/A,TRUE,"Volumes";#N/A,#N/A,TRUE,"Revenues";#N/A,#N/A,TRUE,"Var.Costs";#N/A,#N/A,TRUE,"Personnel";#N/A,#N/A,TRUE,"Other costs";#N/A,#N/A,TRUE,"MKTG and G&amp;A"}</definedName>
    <definedName name="vrcsrvc" localSheetId="38" hidden="1">{#N/A,#N/A,TRUE,"Proposal";#N/A,#N/A,TRUE,"Assumptions";#N/A,#N/A,TRUE,"Net Income";#N/A,#N/A,TRUE,"Balsheet";#N/A,#N/A,TRUE,"Capex";#N/A,#N/A,TRUE,"Volumes";#N/A,#N/A,TRUE,"Revenues";#N/A,#N/A,TRUE,"Var.Costs";#N/A,#N/A,TRUE,"Personnel";#N/A,#N/A,TRUE,"Other costs";#N/A,#N/A,TRUE,"MKTG and G&amp;A"}</definedName>
    <definedName name="vrcsrvc" hidden="1">{#N/A,#N/A,TRUE,"Proposal";#N/A,#N/A,TRUE,"Assumptions";#N/A,#N/A,TRUE,"Net Income";#N/A,#N/A,TRUE,"Balsheet";#N/A,#N/A,TRUE,"Capex";#N/A,#N/A,TRUE,"Volumes";#N/A,#N/A,TRUE,"Revenues";#N/A,#N/A,TRUE,"Var.Costs";#N/A,#N/A,TRUE,"Personnel";#N/A,#N/A,TRUE,"Other costs";#N/A,#N/A,TRUE,"MKTG and G&amp;A"}</definedName>
    <definedName name="vrn2.book." localSheetId="3" hidden="1">{#N/A,#N/A,FALSE,"PRESENT";#N/A,#N/A,FALSE,"INDICE";#N/A,#N/A,FALSE,"DIV_CONS";#N/A,#N/A,FALSE,"DIV_GRUP";#N/A,#N/A,FALSE,"DIV_BIM";#N/A,#N/A,FALSE,"DIV_UMPL";#N/A,#N/A,FALSE,"DIV_BDBAS";#N/A,#N/A,FALSE,"B_SRL";#N/A,#N/A,FALSE,"MQ_SRL"}</definedName>
    <definedName name="vrn2.book." localSheetId="5" hidden="1">{#N/A,#N/A,FALSE,"PRESENT";#N/A,#N/A,FALSE,"INDICE";#N/A,#N/A,FALSE,"DIV_CONS";#N/A,#N/A,FALSE,"DIV_GRUP";#N/A,#N/A,FALSE,"DIV_BIM";#N/A,#N/A,FALSE,"DIV_UMPL";#N/A,#N/A,FALSE,"DIV_BDBAS";#N/A,#N/A,FALSE,"B_SRL";#N/A,#N/A,FALSE,"MQ_SRL"}</definedName>
    <definedName name="vrn2.book." localSheetId="8" hidden="1">{#N/A,#N/A,FALSE,"PRESENT";#N/A,#N/A,FALSE,"INDICE";#N/A,#N/A,FALSE,"DIV_CONS";#N/A,#N/A,FALSE,"DIV_GRUP";#N/A,#N/A,FALSE,"DIV_BIM";#N/A,#N/A,FALSE,"DIV_UMPL";#N/A,#N/A,FALSE,"DIV_BDBAS";#N/A,#N/A,FALSE,"B_SRL";#N/A,#N/A,FALSE,"MQ_SRL"}</definedName>
    <definedName name="vrn2.book." localSheetId="10" hidden="1">{#N/A,#N/A,FALSE,"PRESENT";#N/A,#N/A,FALSE,"INDICE";#N/A,#N/A,FALSE,"DIV_CONS";#N/A,#N/A,FALSE,"DIV_GRUP";#N/A,#N/A,FALSE,"DIV_BIM";#N/A,#N/A,FALSE,"DIV_UMPL";#N/A,#N/A,FALSE,"DIV_BDBAS";#N/A,#N/A,FALSE,"B_SRL";#N/A,#N/A,FALSE,"MQ_SRL"}</definedName>
    <definedName name="vrn2.book." localSheetId="12" hidden="1">{#N/A,#N/A,FALSE,"PRESENT";#N/A,#N/A,FALSE,"INDICE";#N/A,#N/A,FALSE,"DIV_CONS";#N/A,#N/A,FALSE,"DIV_GRUP";#N/A,#N/A,FALSE,"DIV_BIM";#N/A,#N/A,FALSE,"DIV_UMPL";#N/A,#N/A,FALSE,"DIV_BDBAS";#N/A,#N/A,FALSE,"B_SRL";#N/A,#N/A,FALSE,"MQ_SRL"}</definedName>
    <definedName name="vrn2.book." localSheetId="14" hidden="1">{#N/A,#N/A,FALSE,"PRESENT";#N/A,#N/A,FALSE,"INDICE";#N/A,#N/A,FALSE,"DIV_CONS";#N/A,#N/A,FALSE,"DIV_GRUP";#N/A,#N/A,FALSE,"DIV_BIM";#N/A,#N/A,FALSE,"DIV_UMPL";#N/A,#N/A,FALSE,"DIV_BDBAS";#N/A,#N/A,FALSE,"B_SRL";#N/A,#N/A,FALSE,"MQ_SRL"}</definedName>
    <definedName name="vrn2.book." localSheetId="16" hidden="1">{#N/A,#N/A,FALSE,"PRESENT";#N/A,#N/A,FALSE,"INDICE";#N/A,#N/A,FALSE,"DIV_CONS";#N/A,#N/A,FALSE,"DIV_GRUP";#N/A,#N/A,FALSE,"DIV_BIM";#N/A,#N/A,FALSE,"DIV_UMPL";#N/A,#N/A,FALSE,"DIV_BDBAS";#N/A,#N/A,FALSE,"B_SRL";#N/A,#N/A,FALSE,"MQ_SRL"}</definedName>
    <definedName name="vrn2.book." localSheetId="22" hidden="1">{#N/A,#N/A,FALSE,"PRESENT";#N/A,#N/A,FALSE,"INDICE";#N/A,#N/A,FALSE,"DIV_CONS";#N/A,#N/A,FALSE,"DIV_GRUP";#N/A,#N/A,FALSE,"DIV_BIM";#N/A,#N/A,FALSE,"DIV_UMPL";#N/A,#N/A,FALSE,"DIV_BDBAS";#N/A,#N/A,FALSE,"B_SRL";#N/A,#N/A,FALSE,"MQ_SRL"}</definedName>
    <definedName name="vrn2.book." localSheetId="24" hidden="1">{#N/A,#N/A,FALSE,"PRESENT";#N/A,#N/A,FALSE,"INDICE";#N/A,#N/A,FALSE,"DIV_CONS";#N/A,#N/A,FALSE,"DIV_GRUP";#N/A,#N/A,FALSE,"DIV_BIM";#N/A,#N/A,FALSE,"DIV_UMPL";#N/A,#N/A,FALSE,"DIV_BDBAS";#N/A,#N/A,FALSE,"B_SRL";#N/A,#N/A,FALSE,"MQ_SRL"}</definedName>
    <definedName name="vrn2.book." localSheetId="26" hidden="1">{#N/A,#N/A,FALSE,"PRESENT";#N/A,#N/A,FALSE,"INDICE";#N/A,#N/A,FALSE,"DIV_CONS";#N/A,#N/A,FALSE,"DIV_GRUP";#N/A,#N/A,FALSE,"DIV_BIM";#N/A,#N/A,FALSE,"DIV_UMPL";#N/A,#N/A,FALSE,"DIV_BDBAS";#N/A,#N/A,FALSE,"B_SRL";#N/A,#N/A,FALSE,"MQ_SRL"}</definedName>
    <definedName name="vrn2.book." localSheetId="28" hidden="1">{#N/A,#N/A,FALSE,"PRESENT";#N/A,#N/A,FALSE,"INDICE";#N/A,#N/A,FALSE,"DIV_CONS";#N/A,#N/A,FALSE,"DIV_GRUP";#N/A,#N/A,FALSE,"DIV_BIM";#N/A,#N/A,FALSE,"DIV_UMPL";#N/A,#N/A,FALSE,"DIV_BDBAS";#N/A,#N/A,FALSE,"B_SRL";#N/A,#N/A,FALSE,"MQ_SRL"}</definedName>
    <definedName name="vrn2.book." localSheetId="30" hidden="1">{#N/A,#N/A,FALSE,"PRESENT";#N/A,#N/A,FALSE,"INDICE";#N/A,#N/A,FALSE,"DIV_CONS";#N/A,#N/A,FALSE,"DIV_GRUP";#N/A,#N/A,FALSE,"DIV_BIM";#N/A,#N/A,FALSE,"DIV_UMPL";#N/A,#N/A,FALSE,"DIV_BDBAS";#N/A,#N/A,FALSE,"B_SRL";#N/A,#N/A,FALSE,"MQ_SRL"}</definedName>
    <definedName name="vrn2.book." localSheetId="32" hidden="1">{#N/A,#N/A,FALSE,"PRESENT";#N/A,#N/A,FALSE,"INDICE";#N/A,#N/A,FALSE,"DIV_CONS";#N/A,#N/A,FALSE,"DIV_GRUP";#N/A,#N/A,FALSE,"DIV_BIM";#N/A,#N/A,FALSE,"DIV_UMPL";#N/A,#N/A,FALSE,"DIV_BDBAS";#N/A,#N/A,FALSE,"B_SRL";#N/A,#N/A,FALSE,"MQ_SRL"}</definedName>
    <definedName name="vrn2.book." localSheetId="34" hidden="1">{#N/A,#N/A,FALSE,"PRESENT";#N/A,#N/A,FALSE,"INDICE";#N/A,#N/A,FALSE,"DIV_CONS";#N/A,#N/A,FALSE,"DIV_GRUP";#N/A,#N/A,FALSE,"DIV_BIM";#N/A,#N/A,FALSE,"DIV_UMPL";#N/A,#N/A,FALSE,"DIV_BDBAS";#N/A,#N/A,FALSE,"B_SRL";#N/A,#N/A,FALSE,"MQ_SRL"}</definedName>
    <definedName name="vrn2.book." localSheetId="36" hidden="1">{#N/A,#N/A,FALSE,"PRESENT";#N/A,#N/A,FALSE,"INDICE";#N/A,#N/A,FALSE,"DIV_CONS";#N/A,#N/A,FALSE,"DIV_GRUP";#N/A,#N/A,FALSE,"DIV_BIM";#N/A,#N/A,FALSE,"DIV_UMPL";#N/A,#N/A,FALSE,"DIV_BDBAS";#N/A,#N/A,FALSE,"B_SRL";#N/A,#N/A,FALSE,"MQ_SRL"}</definedName>
    <definedName name="vrn2.book." localSheetId="38" hidden="1">{#N/A,#N/A,FALSE,"PRESENT";#N/A,#N/A,FALSE,"INDICE";#N/A,#N/A,FALSE,"DIV_CONS";#N/A,#N/A,FALSE,"DIV_GRUP";#N/A,#N/A,FALSE,"DIV_BIM";#N/A,#N/A,FALSE,"DIV_UMPL";#N/A,#N/A,FALSE,"DIV_BDBAS";#N/A,#N/A,FALSE,"B_SRL";#N/A,#N/A,FALSE,"MQ_SRL"}</definedName>
    <definedName name="vrn2.book." hidden="1">{#N/A,#N/A,FALSE,"PRESENT";#N/A,#N/A,FALSE,"INDICE";#N/A,#N/A,FALSE,"DIV_CONS";#N/A,#N/A,FALSE,"DIV_GRUP";#N/A,#N/A,FALSE,"DIV_BIM";#N/A,#N/A,FALSE,"DIV_UMPL";#N/A,#N/A,FALSE,"DIV_BDBAS";#N/A,#N/A,FALSE,"B_SRL";#N/A,#N/A,FALSE,"MQ_SRL"}</definedName>
    <definedName name="vzdxf" localSheetId="3" hidden="1">{"NOPCAPEVA",#N/A,FALSE,"Nopat";"FCFCSTAR",#N/A,FALSE,"FCFVAL";"EVAVL",#N/A,FALSE,"EVAVAL";"LEASE",#N/A,FALSE,"OpLease"}</definedName>
    <definedName name="vzdxf" localSheetId="5" hidden="1">{"NOPCAPEVA",#N/A,FALSE,"Nopat";"FCFCSTAR",#N/A,FALSE,"FCFVAL";"EVAVL",#N/A,FALSE,"EVAVAL";"LEASE",#N/A,FALSE,"OpLease"}</definedName>
    <definedName name="vzdxf" localSheetId="8" hidden="1">{"NOPCAPEVA",#N/A,FALSE,"Nopat";"FCFCSTAR",#N/A,FALSE,"FCFVAL";"EVAVL",#N/A,FALSE,"EVAVAL";"LEASE",#N/A,FALSE,"OpLease"}</definedName>
    <definedName name="vzdxf" localSheetId="10" hidden="1">{"NOPCAPEVA",#N/A,FALSE,"Nopat";"FCFCSTAR",#N/A,FALSE,"FCFVAL";"EVAVL",#N/A,FALSE,"EVAVAL";"LEASE",#N/A,FALSE,"OpLease"}</definedName>
    <definedName name="vzdxf" localSheetId="12" hidden="1">{"NOPCAPEVA",#N/A,FALSE,"Nopat";"FCFCSTAR",#N/A,FALSE,"FCFVAL";"EVAVL",#N/A,FALSE,"EVAVAL";"LEASE",#N/A,FALSE,"OpLease"}</definedName>
    <definedName name="vzdxf" localSheetId="14" hidden="1">{"NOPCAPEVA",#N/A,FALSE,"Nopat";"FCFCSTAR",#N/A,FALSE,"FCFVAL";"EVAVL",#N/A,FALSE,"EVAVAL";"LEASE",#N/A,FALSE,"OpLease"}</definedName>
    <definedName name="vzdxf" localSheetId="16" hidden="1">{"NOPCAPEVA",#N/A,FALSE,"Nopat";"FCFCSTAR",#N/A,FALSE,"FCFVAL";"EVAVL",#N/A,FALSE,"EVAVAL";"LEASE",#N/A,FALSE,"OpLease"}</definedName>
    <definedName name="vzdxf" localSheetId="22" hidden="1">{"NOPCAPEVA",#N/A,FALSE,"Nopat";"FCFCSTAR",#N/A,FALSE,"FCFVAL";"EVAVL",#N/A,FALSE,"EVAVAL";"LEASE",#N/A,FALSE,"OpLease"}</definedName>
    <definedName name="vzdxf" localSheetId="24" hidden="1">{"NOPCAPEVA",#N/A,FALSE,"Nopat";"FCFCSTAR",#N/A,FALSE,"FCFVAL";"EVAVL",#N/A,FALSE,"EVAVAL";"LEASE",#N/A,FALSE,"OpLease"}</definedName>
    <definedName name="vzdxf" localSheetId="26" hidden="1">{"NOPCAPEVA",#N/A,FALSE,"Nopat";"FCFCSTAR",#N/A,FALSE,"FCFVAL";"EVAVL",#N/A,FALSE,"EVAVAL";"LEASE",#N/A,FALSE,"OpLease"}</definedName>
    <definedName name="vzdxf" localSheetId="28" hidden="1">{"NOPCAPEVA",#N/A,FALSE,"Nopat";"FCFCSTAR",#N/A,FALSE,"FCFVAL";"EVAVL",#N/A,FALSE,"EVAVAL";"LEASE",#N/A,FALSE,"OpLease"}</definedName>
    <definedName name="vzdxf" localSheetId="30" hidden="1">{"NOPCAPEVA",#N/A,FALSE,"Nopat";"FCFCSTAR",#N/A,FALSE,"FCFVAL";"EVAVL",#N/A,FALSE,"EVAVAL";"LEASE",#N/A,FALSE,"OpLease"}</definedName>
    <definedName name="vzdxf" localSheetId="32" hidden="1">{"NOPCAPEVA",#N/A,FALSE,"Nopat";"FCFCSTAR",#N/A,FALSE,"FCFVAL";"EVAVL",#N/A,FALSE,"EVAVAL";"LEASE",#N/A,FALSE,"OpLease"}</definedName>
    <definedName name="vzdxf" localSheetId="34" hidden="1">{"NOPCAPEVA",#N/A,FALSE,"Nopat";"FCFCSTAR",#N/A,FALSE,"FCFVAL";"EVAVL",#N/A,FALSE,"EVAVAL";"LEASE",#N/A,FALSE,"OpLease"}</definedName>
    <definedName name="vzdxf" localSheetId="36" hidden="1">{"NOPCAPEVA",#N/A,FALSE,"Nopat";"FCFCSTAR",#N/A,FALSE,"FCFVAL";"EVAVL",#N/A,FALSE,"EVAVAL";"LEASE",#N/A,FALSE,"OpLease"}</definedName>
    <definedName name="vzdxf" localSheetId="38" hidden="1">{"NOPCAPEVA",#N/A,FALSE,"Nopat";"FCFCSTAR",#N/A,FALSE,"FCFVAL";"EVAVL",#N/A,FALSE,"EVAVAL";"LEASE",#N/A,FALSE,"OpLease"}</definedName>
    <definedName name="vzdxf" hidden="1">{"NOPCAPEVA",#N/A,FALSE,"Nopat";"FCFCSTAR",#N/A,FALSE,"FCFVAL";"EVAVL",#N/A,FALSE,"EVAVAL";"LEASE",#N/A,FALSE,"OpLease"}</definedName>
    <definedName name="W" localSheetId="3" hidden="1">{"'Set-Out'!$A$1:$H$30"}</definedName>
    <definedName name="W" localSheetId="5" hidden="1">{"'Set-Out'!$A$1:$H$30"}</definedName>
    <definedName name="W" localSheetId="8" hidden="1">{"'Set-Out'!$A$1:$H$30"}</definedName>
    <definedName name="W" localSheetId="10" hidden="1">{"'Set-Out'!$A$1:$H$30"}</definedName>
    <definedName name="W" localSheetId="12" hidden="1">{"'Set-Out'!$A$1:$H$30"}</definedName>
    <definedName name="W" localSheetId="14" hidden="1">{"'Set-Out'!$A$1:$H$30"}</definedName>
    <definedName name="W" localSheetId="16" hidden="1">{"'Set-Out'!$A$1:$H$30"}</definedName>
    <definedName name="W" localSheetId="22" hidden="1">{"'Set-Out'!$A$1:$H$30"}</definedName>
    <definedName name="W" localSheetId="24" hidden="1">{"'Set-Out'!$A$1:$H$30"}</definedName>
    <definedName name="W" localSheetId="26" hidden="1">{"'Set-Out'!$A$1:$H$30"}</definedName>
    <definedName name="W" localSheetId="28" hidden="1">{"'Set-Out'!$A$1:$H$30"}</definedName>
    <definedName name="W" localSheetId="30" hidden="1">{"'Set-Out'!$A$1:$H$30"}</definedName>
    <definedName name="W" localSheetId="32" hidden="1">{"'Set-Out'!$A$1:$H$30"}</definedName>
    <definedName name="W" localSheetId="34" hidden="1">{"'Set-Out'!$A$1:$H$30"}</definedName>
    <definedName name="W" localSheetId="36" hidden="1">{"'Set-Out'!$A$1:$H$30"}</definedName>
    <definedName name="W" localSheetId="38" hidden="1">{"'Set-Out'!$A$1:$H$30"}</definedName>
    <definedName name="W" hidden="1">{"'Set-Out'!$A$1:$H$30"}</definedName>
    <definedName name="WBSNumber">#REF!</definedName>
    <definedName name="WDaysAPR">#REF!</definedName>
    <definedName name="WDaysAUG">#REF!</definedName>
    <definedName name="WDaysDEC">#REF!</definedName>
    <definedName name="WDaysFEB">#REF!</definedName>
    <definedName name="WDaysJAN">#REF!</definedName>
    <definedName name="WDaysJUL">#REF!</definedName>
    <definedName name="WDaysJUN">#REF!</definedName>
    <definedName name="WDaysMAR">#REF!</definedName>
    <definedName name="WDaysMAY">#REF!</definedName>
    <definedName name="WDaysNOV">#REF!</definedName>
    <definedName name="WDaysOCT">#REF!</definedName>
    <definedName name="WDaysSEP">#REF!</definedName>
    <definedName name="WeekEnd">#REF!</definedName>
    <definedName name="weg" localSheetId="3" hidden="1">{"AnnInc",#N/A,TRUE,"Inc";"QtrInc1",#N/A,TRUE,"Inc";"Balance",#N/A,TRUE,"Bal";"Cflow",#N/A,TRUE,"Cash"}</definedName>
    <definedName name="weg" localSheetId="5" hidden="1">{"AnnInc",#N/A,TRUE,"Inc";"QtrInc1",#N/A,TRUE,"Inc";"Balance",#N/A,TRUE,"Bal";"Cflow",#N/A,TRUE,"Cash"}</definedName>
    <definedName name="weg" localSheetId="8" hidden="1">{"AnnInc",#N/A,TRUE,"Inc";"QtrInc1",#N/A,TRUE,"Inc";"Balance",#N/A,TRUE,"Bal";"Cflow",#N/A,TRUE,"Cash"}</definedName>
    <definedName name="weg" localSheetId="10" hidden="1">{"AnnInc",#N/A,TRUE,"Inc";"QtrInc1",#N/A,TRUE,"Inc";"Balance",#N/A,TRUE,"Bal";"Cflow",#N/A,TRUE,"Cash"}</definedName>
    <definedName name="weg" localSheetId="12" hidden="1">{"AnnInc",#N/A,TRUE,"Inc";"QtrInc1",#N/A,TRUE,"Inc";"Balance",#N/A,TRUE,"Bal";"Cflow",#N/A,TRUE,"Cash"}</definedName>
    <definedName name="weg" localSheetId="14" hidden="1">{"AnnInc",#N/A,TRUE,"Inc";"QtrInc1",#N/A,TRUE,"Inc";"Balance",#N/A,TRUE,"Bal";"Cflow",#N/A,TRUE,"Cash"}</definedName>
    <definedName name="weg" localSheetId="16" hidden="1">{"AnnInc",#N/A,TRUE,"Inc";"QtrInc1",#N/A,TRUE,"Inc";"Balance",#N/A,TRUE,"Bal";"Cflow",#N/A,TRUE,"Cash"}</definedName>
    <definedName name="weg" localSheetId="22" hidden="1">{"AnnInc",#N/A,TRUE,"Inc";"QtrInc1",#N/A,TRUE,"Inc";"Balance",#N/A,TRUE,"Bal";"Cflow",#N/A,TRUE,"Cash"}</definedName>
    <definedName name="weg" localSheetId="24" hidden="1">{"AnnInc",#N/A,TRUE,"Inc";"QtrInc1",#N/A,TRUE,"Inc";"Balance",#N/A,TRUE,"Bal";"Cflow",#N/A,TRUE,"Cash"}</definedName>
    <definedName name="weg" localSheetId="26" hidden="1">{"AnnInc",#N/A,TRUE,"Inc";"QtrInc1",#N/A,TRUE,"Inc";"Balance",#N/A,TRUE,"Bal";"Cflow",#N/A,TRUE,"Cash"}</definedName>
    <definedName name="weg" localSheetId="28" hidden="1">{"AnnInc",#N/A,TRUE,"Inc";"QtrInc1",#N/A,TRUE,"Inc";"Balance",#N/A,TRUE,"Bal";"Cflow",#N/A,TRUE,"Cash"}</definedName>
    <definedName name="weg" localSheetId="30" hidden="1">{"AnnInc",#N/A,TRUE,"Inc";"QtrInc1",#N/A,TRUE,"Inc";"Balance",#N/A,TRUE,"Bal";"Cflow",#N/A,TRUE,"Cash"}</definedName>
    <definedName name="weg" localSheetId="32" hidden="1">{"AnnInc",#N/A,TRUE,"Inc";"QtrInc1",#N/A,TRUE,"Inc";"Balance",#N/A,TRUE,"Bal";"Cflow",#N/A,TRUE,"Cash"}</definedName>
    <definedName name="weg" localSheetId="34" hidden="1">{"AnnInc",#N/A,TRUE,"Inc";"QtrInc1",#N/A,TRUE,"Inc";"Balance",#N/A,TRUE,"Bal";"Cflow",#N/A,TRUE,"Cash"}</definedName>
    <definedName name="weg" localSheetId="36" hidden="1">{"AnnInc",#N/A,TRUE,"Inc";"QtrInc1",#N/A,TRUE,"Inc";"Balance",#N/A,TRUE,"Bal";"Cflow",#N/A,TRUE,"Cash"}</definedName>
    <definedName name="weg" localSheetId="38" hidden="1">{"AnnInc",#N/A,TRUE,"Inc";"QtrInc1",#N/A,TRUE,"Inc";"Balance",#N/A,TRUE,"Bal";"Cflow",#N/A,TRUE,"Cash"}</definedName>
    <definedName name="weg" hidden="1">{"AnnInc",#N/A,TRUE,"Inc";"QtrInc1",#N/A,TRUE,"Inc";"Balance",#N/A,TRUE,"Bal";"Cflow",#N/A,TRUE,"Cash"}</definedName>
    <definedName name="WER" localSheetId="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R" localSheetId="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R" localSheetId="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R"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R" localSheetId="1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R" localSheetId="1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R" localSheetId="1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R" localSheetId="2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R" localSheetId="2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R" localSheetId="2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R" localSheetId="2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R" localSheetId="3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R" localSheetId="3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R" localSheetId="3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R" localSheetId="3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R" localSheetId="3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R"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erq" localSheetId="3" hidden="1">{"NOPCAPEVA",#N/A,FALSE,"Nopat";"FCFCSTAR",#N/A,FALSE,"FCFVAL";"EVAVL",#N/A,FALSE,"EVAVAL";"LEASE",#N/A,FALSE,"OpLease"}</definedName>
    <definedName name="werq" localSheetId="5" hidden="1">{"NOPCAPEVA",#N/A,FALSE,"Nopat";"FCFCSTAR",#N/A,FALSE,"FCFVAL";"EVAVL",#N/A,FALSE,"EVAVAL";"LEASE",#N/A,FALSE,"OpLease"}</definedName>
    <definedName name="werq" localSheetId="8" hidden="1">{"NOPCAPEVA",#N/A,FALSE,"Nopat";"FCFCSTAR",#N/A,FALSE,"FCFVAL";"EVAVL",#N/A,FALSE,"EVAVAL";"LEASE",#N/A,FALSE,"OpLease"}</definedName>
    <definedName name="werq" localSheetId="10" hidden="1">{"NOPCAPEVA",#N/A,FALSE,"Nopat";"FCFCSTAR",#N/A,FALSE,"FCFVAL";"EVAVL",#N/A,FALSE,"EVAVAL";"LEASE",#N/A,FALSE,"OpLease"}</definedName>
    <definedName name="werq" localSheetId="12" hidden="1">{"NOPCAPEVA",#N/A,FALSE,"Nopat";"FCFCSTAR",#N/A,FALSE,"FCFVAL";"EVAVL",#N/A,FALSE,"EVAVAL";"LEASE",#N/A,FALSE,"OpLease"}</definedName>
    <definedName name="werq" localSheetId="14" hidden="1">{"NOPCAPEVA",#N/A,FALSE,"Nopat";"FCFCSTAR",#N/A,FALSE,"FCFVAL";"EVAVL",#N/A,FALSE,"EVAVAL";"LEASE",#N/A,FALSE,"OpLease"}</definedName>
    <definedName name="werq" localSheetId="16" hidden="1">{"NOPCAPEVA",#N/A,FALSE,"Nopat";"FCFCSTAR",#N/A,FALSE,"FCFVAL";"EVAVL",#N/A,FALSE,"EVAVAL";"LEASE",#N/A,FALSE,"OpLease"}</definedName>
    <definedName name="werq" localSheetId="22" hidden="1">{"NOPCAPEVA",#N/A,FALSE,"Nopat";"FCFCSTAR",#N/A,FALSE,"FCFVAL";"EVAVL",#N/A,FALSE,"EVAVAL";"LEASE",#N/A,FALSE,"OpLease"}</definedName>
    <definedName name="werq" localSheetId="24" hidden="1">{"NOPCAPEVA",#N/A,FALSE,"Nopat";"FCFCSTAR",#N/A,FALSE,"FCFVAL";"EVAVL",#N/A,FALSE,"EVAVAL";"LEASE",#N/A,FALSE,"OpLease"}</definedName>
    <definedName name="werq" localSheetId="26" hidden="1">{"NOPCAPEVA",#N/A,FALSE,"Nopat";"FCFCSTAR",#N/A,FALSE,"FCFVAL";"EVAVL",#N/A,FALSE,"EVAVAL";"LEASE",#N/A,FALSE,"OpLease"}</definedName>
    <definedName name="werq" localSheetId="28" hidden="1">{"NOPCAPEVA",#N/A,FALSE,"Nopat";"FCFCSTAR",#N/A,FALSE,"FCFVAL";"EVAVL",#N/A,FALSE,"EVAVAL";"LEASE",#N/A,FALSE,"OpLease"}</definedName>
    <definedName name="werq" localSheetId="30" hidden="1">{"NOPCAPEVA",#N/A,FALSE,"Nopat";"FCFCSTAR",#N/A,FALSE,"FCFVAL";"EVAVL",#N/A,FALSE,"EVAVAL";"LEASE",#N/A,FALSE,"OpLease"}</definedName>
    <definedName name="werq" localSheetId="32" hidden="1">{"NOPCAPEVA",#N/A,FALSE,"Nopat";"FCFCSTAR",#N/A,FALSE,"FCFVAL";"EVAVL",#N/A,FALSE,"EVAVAL";"LEASE",#N/A,FALSE,"OpLease"}</definedName>
    <definedName name="werq" localSheetId="34" hidden="1">{"NOPCAPEVA",#N/A,FALSE,"Nopat";"FCFCSTAR",#N/A,FALSE,"FCFVAL";"EVAVL",#N/A,FALSE,"EVAVAL";"LEASE",#N/A,FALSE,"OpLease"}</definedName>
    <definedName name="werq" localSheetId="36" hidden="1">{"NOPCAPEVA",#N/A,FALSE,"Nopat";"FCFCSTAR",#N/A,FALSE,"FCFVAL";"EVAVL",#N/A,FALSE,"EVAVAL";"LEASE",#N/A,FALSE,"OpLease"}</definedName>
    <definedName name="werq" localSheetId="38" hidden="1">{"NOPCAPEVA",#N/A,FALSE,"Nopat";"FCFCSTAR",#N/A,FALSE,"FCFVAL";"EVAVL",#N/A,FALSE,"EVAVAL";"LEASE",#N/A,FALSE,"OpLease"}</definedName>
    <definedName name="werq" hidden="1">{"NOPCAPEVA",#N/A,FALSE,"Nopat";"FCFCSTAR",#N/A,FALSE,"FCFVAL";"EVAVL",#N/A,FALSE,"EVAVAL";"LEASE",#N/A,FALSE,"OpLease"}</definedName>
    <definedName name="werter" localSheetId="3"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r" localSheetId="5"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r" localSheetId="8"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r" localSheetId="10"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r" localSheetId="12"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r" localSheetId="14"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r" localSheetId="16"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r" localSheetId="22"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r" localSheetId="24"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r" localSheetId="26"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r" localSheetId="28"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r" localSheetId="30"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r" localSheetId="32"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r" localSheetId="34"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r" localSheetId="36"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r" localSheetId="38"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r"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hat_is_the_entity_s_current_depreciation_policy_on_fixed_assets__e.g.__straight_line__sum_of_year__etc._?">#REF!</definedName>
    <definedName name="WHrsAPR">#REF!</definedName>
    <definedName name="WHrsAUG">#REF!</definedName>
    <definedName name="WHrsDEC">#REF!</definedName>
    <definedName name="WHrsFEB">#REF!</definedName>
    <definedName name="WHrsJAN">#REF!</definedName>
    <definedName name="WHrsJUL">#REF!</definedName>
    <definedName name="WHrsJUN">#REF!</definedName>
    <definedName name="WHrsMAR">#REF!</definedName>
    <definedName name="WHrsMAY">#REF!</definedName>
    <definedName name="WHrsNOV">#REF!</definedName>
    <definedName name="WHrsOCT">#REF!</definedName>
    <definedName name="WHrsSEP">#REF!</definedName>
    <definedName name="wnd" localSheetId="3" hidden="1">{#N/A,#N/A,TRUE,"Proposal";#N/A,#N/A,TRUE,"Assumptions";#N/A,#N/A,TRUE,"Net Income";#N/A,#N/A,TRUE,"Balsheet";#N/A,#N/A,TRUE,"Capex";#N/A,#N/A,TRUE,"Volumes";#N/A,#N/A,TRUE,"Revenues";#N/A,#N/A,TRUE,"Var.Costs";#N/A,#N/A,TRUE,"Personnel";#N/A,#N/A,TRUE,"Other costs";#N/A,#N/A,TRUE,"MKTG and G&amp;A"}</definedName>
    <definedName name="wnd" localSheetId="5" hidden="1">{#N/A,#N/A,TRUE,"Proposal";#N/A,#N/A,TRUE,"Assumptions";#N/A,#N/A,TRUE,"Net Income";#N/A,#N/A,TRUE,"Balsheet";#N/A,#N/A,TRUE,"Capex";#N/A,#N/A,TRUE,"Volumes";#N/A,#N/A,TRUE,"Revenues";#N/A,#N/A,TRUE,"Var.Costs";#N/A,#N/A,TRUE,"Personnel";#N/A,#N/A,TRUE,"Other costs";#N/A,#N/A,TRUE,"MKTG and G&amp;A"}</definedName>
    <definedName name="wnd" localSheetId="8" hidden="1">{#N/A,#N/A,TRUE,"Proposal";#N/A,#N/A,TRUE,"Assumptions";#N/A,#N/A,TRUE,"Net Income";#N/A,#N/A,TRUE,"Balsheet";#N/A,#N/A,TRUE,"Capex";#N/A,#N/A,TRUE,"Volumes";#N/A,#N/A,TRUE,"Revenues";#N/A,#N/A,TRUE,"Var.Costs";#N/A,#N/A,TRUE,"Personnel";#N/A,#N/A,TRUE,"Other costs";#N/A,#N/A,TRUE,"MKTG and G&amp;A"}</definedName>
    <definedName name="wnd" localSheetId="10" hidden="1">{#N/A,#N/A,TRUE,"Proposal";#N/A,#N/A,TRUE,"Assumptions";#N/A,#N/A,TRUE,"Net Income";#N/A,#N/A,TRUE,"Balsheet";#N/A,#N/A,TRUE,"Capex";#N/A,#N/A,TRUE,"Volumes";#N/A,#N/A,TRUE,"Revenues";#N/A,#N/A,TRUE,"Var.Costs";#N/A,#N/A,TRUE,"Personnel";#N/A,#N/A,TRUE,"Other costs";#N/A,#N/A,TRUE,"MKTG and G&amp;A"}</definedName>
    <definedName name="wnd" localSheetId="12" hidden="1">{#N/A,#N/A,TRUE,"Proposal";#N/A,#N/A,TRUE,"Assumptions";#N/A,#N/A,TRUE,"Net Income";#N/A,#N/A,TRUE,"Balsheet";#N/A,#N/A,TRUE,"Capex";#N/A,#N/A,TRUE,"Volumes";#N/A,#N/A,TRUE,"Revenues";#N/A,#N/A,TRUE,"Var.Costs";#N/A,#N/A,TRUE,"Personnel";#N/A,#N/A,TRUE,"Other costs";#N/A,#N/A,TRUE,"MKTG and G&amp;A"}</definedName>
    <definedName name="wnd" localSheetId="14" hidden="1">{#N/A,#N/A,TRUE,"Proposal";#N/A,#N/A,TRUE,"Assumptions";#N/A,#N/A,TRUE,"Net Income";#N/A,#N/A,TRUE,"Balsheet";#N/A,#N/A,TRUE,"Capex";#N/A,#N/A,TRUE,"Volumes";#N/A,#N/A,TRUE,"Revenues";#N/A,#N/A,TRUE,"Var.Costs";#N/A,#N/A,TRUE,"Personnel";#N/A,#N/A,TRUE,"Other costs";#N/A,#N/A,TRUE,"MKTG and G&amp;A"}</definedName>
    <definedName name="wnd" localSheetId="16" hidden="1">{#N/A,#N/A,TRUE,"Proposal";#N/A,#N/A,TRUE,"Assumptions";#N/A,#N/A,TRUE,"Net Income";#N/A,#N/A,TRUE,"Balsheet";#N/A,#N/A,TRUE,"Capex";#N/A,#N/A,TRUE,"Volumes";#N/A,#N/A,TRUE,"Revenues";#N/A,#N/A,TRUE,"Var.Costs";#N/A,#N/A,TRUE,"Personnel";#N/A,#N/A,TRUE,"Other costs";#N/A,#N/A,TRUE,"MKTG and G&amp;A"}</definedName>
    <definedName name="wnd" localSheetId="22" hidden="1">{#N/A,#N/A,TRUE,"Proposal";#N/A,#N/A,TRUE,"Assumptions";#N/A,#N/A,TRUE,"Net Income";#N/A,#N/A,TRUE,"Balsheet";#N/A,#N/A,TRUE,"Capex";#N/A,#N/A,TRUE,"Volumes";#N/A,#N/A,TRUE,"Revenues";#N/A,#N/A,TRUE,"Var.Costs";#N/A,#N/A,TRUE,"Personnel";#N/A,#N/A,TRUE,"Other costs";#N/A,#N/A,TRUE,"MKTG and G&amp;A"}</definedName>
    <definedName name="wnd" localSheetId="24" hidden="1">{#N/A,#N/A,TRUE,"Proposal";#N/A,#N/A,TRUE,"Assumptions";#N/A,#N/A,TRUE,"Net Income";#N/A,#N/A,TRUE,"Balsheet";#N/A,#N/A,TRUE,"Capex";#N/A,#N/A,TRUE,"Volumes";#N/A,#N/A,TRUE,"Revenues";#N/A,#N/A,TRUE,"Var.Costs";#N/A,#N/A,TRUE,"Personnel";#N/A,#N/A,TRUE,"Other costs";#N/A,#N/A,TRUE,"MKTG and G&amp;A"}</definedName>
    <definedName name="wnd" localSheetId="26" hidden="1">{#N/A,#N/A,TRUE,"Proposal";#N/A,#N/A,TRUE,"Assumptions";#N/A,#N/A,TRUE,"Net Income";#N/A,#N/A,TRUE,"Balsheet";#N/A,#N/A,TRUE,"Capex";#N/A,#N/A,TRUE,"Volumes";#N/A,#N/A,TRUE,"Revenues";#N/A,#N/A,TRUE,"Var.Costs";#N/A,#N/A,TRUE,"Personnel";#N/A,#N/A,TRUE,"Other costs";#N/A,#N/A,TRUE,"MKTG and G&amp;A"}</definedName>
    <definedName name="wnd" localSheetId="28" hidden="1">{#N/A,#N/A,TRUE,"Proposal";#N/A,#N/A,TRUE,"Assumptions";#N/A,#N/A,TRUE,"Net Income";#N/A,#N/A,TRUE,"Balsheet";#N/A,#N/A,TRUE,"Capex";#N/A,#N/A,TRUE,"Volumes";#N/A,#N/A,TRUE,"Revenues";#N/A,#N/A,TRUE,"Var.Costs";#N/A,#N/A,TRUE,"Personnel";#N/A,#N/A,TRUE,"Other costs";#N/A,#N/A,TRUE,"MKTG and G&amp;A"}</definedName>
    <definedName name="wnd" localSheetId="30" hidden="1">{#N/A,#N/A,TRUE,"Proposal";#N/A,#N/A,TRUE,"Assumptions";#N/A,#N/A,TRUE,"Net Income";#N/A,#N/A,TRUE,"Balsheet";#N/A,#N/A,TRUE,"Capex";#N/A,#N/A,TRUE,"Volumes";#N/A,#N/A,TRUE,"Revenues";#N/A,#N/A,TRUE,"Var.Costs";#N/A,#N/A,TRUE,"Personnel";#N/A,#N/A,TRUE,"Other costs";#N/A,#N/A,TRUE,"MKTG and G&amp;A"}</definedName>
    <definedName name="wnd" localSheetId="32" hidden="1">{#N/A,#N/A,TRUE,"Proposal";#N/A,#N/A,TRUE,"Assumptions";#N/A,#N/A,TRUE,"Net Income";#N/A,#N/A,TRUE,"Balsheet";#N/A,#N/A,TRUE,"Capex";#N/A,#N/A,TRUE,"Volumes";#N/A,#N/A,TRUE,"Revenues";#N/A,#N/A,TRUE,"Var.Costs";#N/A,#N/A,TRUE,"Personnel";#N/A,#N/A,TRUE,"Other costs";#N/A,#N/A,TRUE,"MKTG and G&amp;A"}</definedName>
    <definedName name="wnd" localSheetId="34" hidden="1">{#N/A,#N/A,TRUE,"Proposal";#N/A,#N/A,TRUE,"Assumptions";#N/A,#N/A,TRUE,"Net Income";#N/A,#N/A,TRUE,"Balsheet";#N/A,#N/A,TRUE,"Capex";#N/A,#N/A,TRUE,"Volumes";#N/A,#N/A,TRUE,"Revenues";#N/A,#N/A,TRUE,"Var.Costs";#N/A,#N/A,TRUE,"Personnel";#N/A,#N/A,TRUE,"Other costs";#N/A,#N/A,TRUE,"MKTG and G&amp;A"}</definedName>
    <definedName name="wnd" localSheetId="36" hidden="1">{#N/A,#N/A,TRUE,"Proposal";#N/A,#N/A,TRUE,"Assumptions";#N/A,#N/A,TRUE,"Net Income";#N/A,#N/A,TRUE,"Balsheet";#N/A,#N/A,TRUE,"Capex";#N/A,#N/A,TRUE,"Volumes";#N/A,#N/A,TRUE,"Revenues";#N/A,#N/A,TRUE,"Var.Costs";#N/A,#N/A,TRUE,"Personnel";#N/A,#N/A,TRUE,"Other costs";#N/A,#N/A,TRUE,"MKTG and G&amp;A"}</definedName>
    <definedName name="wnd" localSheetId="38" hidden="1">{#N/A,#N/A,TRUE,"Proposal";#N/A,#N/A,TRUE,"Assumptions";#N/A,#N/A,TRUE,"Net Income";#N/A,#N/A,TRUE,"Balsheet";#N/A,#N/A,TRUE,"Capex";#N/A,#N/A,TRUE,"Volumes";#N/A,#N/A,TRUE,"Revenues";#N/A,#N/A,TRUE,"Var.Costs";#N/A,#N/A,TRUE,"Personnel";#N/A,#N/A,TRUE,"Other costs";#N/A,#N/A,TRUE,"MKTG and G&amp;A"}</definedName>
    <definedName name="wnd" hidden="1">{#N/A,#N/A,TRUE,"Proposal";#N/A,#N/A,TRUE,"Assumptions";#N/A,#N/A,TRUE,"Net Income";#N/A,#N/A,TRUE,"Balsheet";#N/A,#N/A,TRUE,"Capex";#N/A,#N/A,TRUE,"Volumes";#N/A,#N/A,TRUE,"Revenues";#N/A,#N/A,TRUE,"Var.Costs";#N/A,#N/A,TRUE,"Personnel";#N/A,#N/A,TRUE,"Other costs";#N/A,#N/A,TRUE,"MKTG and G&amp;A"}</definedName>
    <definedName name="Wole_Bankole">#REF!</definedName>
    <definedName name="Work_Stream_ID">#REF!</definedName>
    <definedName name="Work_Stream_Lead">#REF!</definedName>
    <definedName name="WorkDays">#REF!</definedName>
    <definedName name="wqadink" localSheetId="3" hidden="1">{#N/A,#N/A,FALSE,"Colombo";#N/A,#N/A,FALSE,"Colata";#N/A,#N/A,FALSE,"Colombo + Colata"}</definedName>
    <definedName name="wqadink" localSheetId="5" hidden="1">{#N/A,#N/A,FALSE,"Colombo";#N/A,#N/A,FALSE,"Colata";#N/A,#N/A,FALSE,"Colombo + Colata"}</definedName>
    <definedName name="wqadink" localSheetId="8" hidden="1">{#N/A,#N/A,FALSE,"Colombo";#N/A,#N/A,FALSE,"Colata";#N/A,#N/A,FALSE,"Colombo + Colata"}</definedName>
    <definedName name="wqadink" localSheetId="10" hidden="1">{#N/A,#N/A,FALSE,"Colombo";#N/A,#N/A,FALSE,"Colata";#N/A,#N/A,FALSE,"Colombo + Colata"}</definedName>
    <definedName name="wqadink" localSheetId="12" hidden="1">{#N/A,#N/A,FALSE,"Colombo";#N/A,#N/A,FALSE,"Colata";#N/A,#N/A,FALSE,"Colombo + Colata"}</definedName>
    <definedName name="wqadink" localSheetId="14" hidden="1">{#N/A,#N/A,FALSE,"Colombo";#N/A,#N/A,FALSE,"Colata";#N/A,#N/A,FALSE,"Colombo + Colata"}</definedName>
    <definedName name="wqadink" localSheetId="16" hidden="1">{#N/A,#N/A,FALSE,"Colombo";#N/A,#N/A,FALSE,"Colata";#N/A,#N/A,FALSE,"Colombo + Colata"}</definedName>
    <definedName name="wqadink" localSheetId="22" hidden="1">{#N/A,#N/A,FALSE,"Colombo";#N/A,#N/A,FALSE,"Colata";#N/A,#N/A,FALSE,"Colombo + Colata"}</definedName>
    <definedName name="wqadink" localSheetId="24" hidden="1">{#N/A,#N/A,FALSE,"Colombo";#N/A,#N/A,FALSE,"Colata";#N/A,#N/A,FALSE,"Colombo + Colata"}</definedName>
    <definedName name="wqadink" localSheetId="26" hidden="1">{#N/A,#N/A,FALSE,"Colombo";#N/A,#N/A,FALSE,"Colata";#N/A,#N/A,FALSE,"Colombo + Colata"}</definedName>
    <definedName name="wqadink" localSheetId="28" hidden="1">{#N/A,#N/A,FALSE,"Colombo";#N/A,#N/A,FALSE,"Colata";#N/A,#N/A,FALSE,"Colombo + Colata"}</definedName>
    <definedName name="wqadink" localSheetId="30" hidden="1">{#N/A,#N/A,FALSE,"Colombo";#N/A,#N/A,FALSE,"Colata";#N/A,#N/A,FALSE,"Colombo + Colata"}</definedName>
    <definedName name="wqadink" localSheetId="32" hidden="1">{#N/A,#N/A,FALSE,"Colombo";#N/A,#N/A,FALSE,"Colata";#N/A,#N/A,FALSE,"Colombo + Colata"}</definedName>
    <definedName name="wqadink" localSheetId="34" hidden="1">{#N/A,#N/A,FALSE,"Colombo";#N/A,#N/A,FALSE,"Colata";#N/A,#N/A,FALSE,"Colombo + Colata"}</definedName>
    <definedName name="wqadink" localSheetId="36" hidden="1">{#N/A,#N/A,FALSE,"Colombo";#N/A,#N/A,FALSE,"Colata";#N/A,#N/A,FALSE,"Colombo + Colata"}</definedName>
    <definedName name="wqadink" localSheetId="38" hidden="1">{#N/A,#N/A,FALSE,"Colombo";#N/A,#N/A,FALSE,"Colata";#N/A,#N/A,FALSE,"Colombo + Colata"}</definedName>
    <definedName name="wqadink" hidden="1">{#N/A,#N/A,FALSE,"Colombo";#N/A,#N/A,FALSE,"Colata";#N/A,#N/A,FALSE,"Colombo + Colata"}</definedName>
    <definedName name="wrn.A.._.Cash._.Flow._.Numbers." localSheetId="3" hidden="1">{#N/A,#N/A,FALSE,"Dev";#N/A,#N/A,FALSE,"CF";#N/A,#N/A,FALSE,"Golf CF";#N/A,#N/A,FALSE,"ResMgmt";#N/A,#N/A,FALSE,"F&amp;B";#N/A,#N/A,FALSE,"Banq"}</definedName>
    <definedName name="wrn.A.._.Cash._.Flow._.Numbers." localSheetId="5" hidden="1">{#N/A,#N/A,FALSE,"Dev";#N/A,#N/A,FALSE,"CF";#N/A,#N/A,FALSE,"Golf CF";#N/A,#N/A,FALSE,"ResMgmt";#N/A,#N/A,FALSE,"F&amp;B";#N/A,#N/A,FALSE,"Banq"}</definedName>
    <definedName name="wrn.A.._.Cash._.Flow._.Numbers." localSheetId="8" hidden="1">{#N/A,#N/A,FALSE,"Dev";#N/A,#N/A,FALSE,"CF";#N/A,#N/A,FALSE,"Golf CF";#N/A,#N/A,FALSE,"ResMgmt";#N/A,#N/A,FALSE,"F&amp;B";#N/A,#N/A,FALSE,"Banq"}</definedName>
    <definedName name="wrn.A.._.Cash._.Flow._.Numbers." localSheetId="10" hidden="1">{#N/A,#N/A,FALSE,"Dev";#N/A,#N/A,FALSE,"CF";#N/A,#N/A,FALSE,"Golf CF";#N/A,#N/A,FALSE,"ResMgmt";#N/A,#N/A,FALSE,"F&amp;B";#N/A,#N/A,FALSE,"Banq"}</definedName>
    <definedName name="wrn.A.._.Cash._.Flow._.Numbers." localSheetId="12" hidden="1">{#N/A,#N/A,FALSE,"Dev";#N/A,#N/A,FALSE,"CF";#N/A,#N/A,FALSE,"Golf CF";#N/A,#N/A,FALSE,"ResMgmt";#N/A,#N/A,FALSE,"F&amp;B";#N/A,#N/A,FALSE,"Banq"}</definedName>
    <definedName name="wrn.A.._.Cash._.Flow._.Numbers." localSheetId="14" hidden="1">{#N/A,#N/A,FALSE,"Dev";#N/A,#N/A,FALSE,"CF";#N/A,#N/A,FALSE,"Golf CF";#N/A,#N/A,FALSE,"ResMgmt";#N/A,#N/A,FALSE,"F&amp;B";#N/A,#N/A,FALSE,"Banq"}</definedName>
    <definedName name="wrn.A.._.Cash._.Flow._.Numbers." localSheetId="16" hidden="1">{#N/A,#N/A,FALSE,"Dev";#N/A,#N/A,FALSE,"CF";#N/A,#N/A,FALSE,"Golf CF";#N/A,#N/A,FALSE,"ResMgmt";#N/A,#N/A,FALSE,"F&amp;B";#N/A,#N/A,FALSE,"Banq"}</definedName>
    <definedName name="wrn.A.._.Cash._.Flow._.Numbers." localSheetId="22" hidden="1">{#N/A,#N/A,FALSE,"Dev";#N/A,#N/A,FALSE,"CF";#N/A,#N/A,FALSE,"Golf CF";#N/A,#N/A,FALSE,"ResMgmt";#N/A,#N/A,FALSE,"F&amp;B";#N/A,#N/A,FALSE,"Banq"}</definedName>
    <definedName name="wrn.A.._.Cash._.Flow._.Numbers." localSheetId="24" hidden="1">{#N/A,#N/A,FALSE,"Dev";#N/A,#N/A,FALSE,"CF";#N/A,#N/A,FALSE,"Golf CF";#N/A,#N/A,FALSE,"ResMgmt";#N/A,#N/A,FALSE,"F&amp;B";#N/A,#N/A,FALSE,"Banq"}</definedName>
    <definedName name="wrn.A.._.Cash._.Flow._.Numbers." localSheetId="26" hidden="1">{#N/A,#N/A,FALSE,"Dev";#N/A,#N/A,FALSE,"CF";#N/A,#N/A,FALSE,"Golf CF";#N/A,#N/A,FALSE,"ResMgmt";#N/A,#N/A,FALSE,"F&amp;B";#N/A,#N/A,FALSE,"Banq"}</definedName>
    <definedName name="wrn.A.._.Cash._.Flow._.Numbers." localSheetId="28" hidden="1">{#N/A,#N/A,FALSE,"Dev";#N/A,#N/A,FALSE,"CF";#N/A,#N/A,FALSE,"Golf CF";#N/A,#N/A,FALSE,"ResMgmt";#N/A,#N/A,FALSE,"F&amp;B";#N/A,#N/A,FALSE,"Banq"}</definedName>
    <definedName name="wrn.A.._.Cash._.Flow._.Numbers." localSheetId="30" hidden="1">{#N/A,#N/A,FALSE,"Dev";#N/A,#N/A,FALSE,"CF";#N/A,#N/A,FALSE,"Golf CF";#N/A,#N/A,FALSE,"ResMgmt";#N/A,#N/A,FALSE,"F&amp;B";#N/A,#N/A,FALSE,"Banq"}</definedName>
    <definedName name="wrn.A.._.Cash._.Flow._.Numbers." localSheetId="32" hidden="1">{#N/A,#N/A,FALSE,"Dev";#N/A,#N/A,FALSE,"CF";#N/A,#N/A,FALSE,"Golf CF";#N/A,#N/A,FALSE,"ResMgmt";#N/A,#N/A,FALSE,"F&amp;B";#N/A,#N/A,FALSE,"Banq"}</definedName>
    <definedName name="wrn.A.._.Cash._.Flow._.Numbers." localSheetId="34" hidden="1">{#N/A,#N/A,FALSE,"Dev";#N/A,#N/A,FALSE,"CF";#N/A,#N/A,FALSE,"Golf CF";#N/A,#N/A,FALSE,"ResMgmt";#N/A,#N/A,FALSE,"F&amp;B";#N/A,#N/A,FALSE,"Banq"}</definedName>
    <definedName name="wrn.A.._.Cash._.Flow._.Numbers." localSheetId="36" hidden="1">{#N/A,#N/A,FALSE,"Dev";#N/A,#N/A,FALSE,"CF";#N/A,#N/A,FALSE,"Golf CF";#N/A,#N/A,FALSE,"ResMgmt";#N/A,#N/A,FALSE,"F&amp;B";#N/A,#N/A,FALSE,"Banq"}</definedName>
    <definedName name="wrn.A.._.Cash._.Flow._.Numbers." localSheetId="38" hidden="1">{#N/A,#N/A,FALSE,"Dev";#N/A,#N/A,FALSE,"CF";#N/A,#N/A,FALSE,"Golf CF";#N/A,#N/A,FALSE,"ResMgmt";#N/A,#N/A,FALSE,"F&amp;B";#N/A,#N/A,FALSE,"Banq"}</definedName>
    <definedName name="wrn.A.._.Cash._.Flow._.Numbers." hidden="1">{#N/A,#N/A,FALSE,"Dev";#N/A,#N/A,FALSE,"CF";#N/A,#N/A,FALSE,"Golf CF";#N/A,#N/A,FALSE,"ResMgmt";#N/A,#N/A,FALSE,"F&amp;B";#N/A,#N/A,FALSE,"Banq"}</definedName>
    <definedName name="wrn.ACTUAL._.EXPENSES." localSheetId="3"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CTUAL._.EXPENSES." localSheetId="5"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CTUAL._.EXPENSES." localSheetId="8"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CTUAL._.EXPENSES." localSheetId="10"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CTUAL._.EXPENSES." localSheetId="12"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CTUAL._.EXPENSES." localSheetId="14"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CTUAL._.EXPENSES." localSheetId="16"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CTUAL._.EXPENSES." localSheetId="22"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CTUAL._.EXPENSES." localSheetId="24"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CTUAL._.EXPENSES." localSheetId="26"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CTUAL._.EXPENSES." localSheetId="28"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CTUAL._.EXPENSES." localSheetId="30"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CTUAL._.EXPENSES." localSheetId="32"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CTUAL._.EXPENSES." localSheetId="34"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CTUAL._.EXPENSES." localSheetId="36"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CTUAL._.EXPENSES." localSheetId="38"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CTUAL._.EXPENSES."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Aging._.and._.Trend._.Analysis." localSheetId="3"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12"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localSheetId="16" hidden="1">{#N/A,#N/A,FALSE,"Aging Summary";#N/A,#N/A,FALSE,"Ratio Analysis";#N/A,#N/A,FALSE,"Test 120 Day Accts";#N/A,#N/A,FALSE,"Tickmarks"}</definedName>
    <definedName name="wrn.Aging._.and._.Trend._.Analysis." localSheetId="22" hidden="1">{#N/A,#N/A,FALSE,"Aging Summary";#N/A,#N/A,FALSE,"Ratio Analysis";#N/A,#N/A,FALSE,"Test 120 Day Accts";#N/A,#N/A,FALSE,"Tickmarks"}</definedName>
    <definedName name="wrn.Aging._.and._.Trend._.Analysis." localSheetId="24" hidden="1">{#N/A,#N/A,FALSE,"Aging Summary";#N/A,#N/A,FALSE,"Ratio Analysis";#N/A,#N/A,FALSE,"Test 120 Day Accts";#N/A,#N/A,FALSE,"Tickmarks"}</definedName>
    <definedName name="wrn.Aging._.and._.Trend._.Analysis." localSheetId="26" hidden="1">{#N/A,#N/A,FALSE,"Aging Summary";#N/A,#N/A,FALSE,"Ratio Analysis";#N/A,#N/A,FALSE,"Test 120 Day Accts";#N/A,#N/A,FALSE,"Tickmarks"}</definedName>
    <definedName name="wrn.Aging._.and._.Trend._.Analysis." localSheetId="28" hidden="1">{#N/A,#N/A,FALSE,"Aging Summary";#N/A,#N/A,FALSE,"Ratio Analysis";#N/A,#N/A,FALSE,"Test 120 Day Accts";#N/A,#N/A,FALSE,"Tickmarks"}</definedName>
    <definedName name="wrn.Aging._.and._.Trend._.Analysis." localSheetId="30" hidden="1">{#N/A,#N/A,FALSE,"Aging Summary";#N/A,#N/A,FALSE,"Ratio Analysis";#N/A,#N/A,FALSE,"Test 120 Day Accts";#N/A,#N/A,FALSE,"Tickmarks"}</definedName>
    <definedName name="wrn.Aging._.and._.Trend._.Analysis." localSheetId="32" hidden="1">{#N/A,#N/A,FALSE,"Aging Summary";#N/A,#N/A,FALSE,"Ratio Analysis";#N/A,#N/A,FALSE,"Test 120 Day Accts";#N/A,#N/A,FALSE,"Tickmarks"}</definedName>
    <definedName name="wrn.Aging._.and._.Trend._.Analysis." localSheetId="34" hidden="1">{#N/A,#N/A,FALSE,"Aging Summary";#N/A,#N/A,FALSE,"Ratio Analysis";#N/A,#N/A,FALSE,"Test 120 Day Accts";#N/A,#N/A,FALSE,"Tickmarks"}</definedName>
    <definedName name="wrn.Aging._.and._.Trend._.Analysis." localSheetId="36" hidden="1">{#N/A,#N/A,FALSE,"Aging Summary";#N/A,#N/A,FALSE,"Ratio Analysis";#N/A,#N/A,FALSE,"Test 120 Day Accts";#N/A,#N/A,FALSE,"Tickmarks"}</definedName>
    <definedName name="wrn.Aging._.and._.Trend._.Analysis." localSheetId="38"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ustria." localSheetId="3" hidden="1">{#N/A,#N/A,FALSE,"MK_ASS_B";#N/A,#N/A,FALSE,"MK_ASS_R";#N/A,#N/A,FALSE,"MK_ASS_S";#N/A,#N/A,FALSE,"TR_ASS_B";#N/A,#N/A,FALSE,"TR_ASS_R";#N/A,#N/A,FALSE,"TR_ASS_S";#N/A,#N/A,FALSE,"PR_ASS_B";#N/A,#N/A,FALSE,"PR_ASS_R";#N/A,#N/A,FALSE,"REV_SUM"}</definedName>
    <definedName name="wrn.austria." localSheetId="5" hidden="1">{#N/A,#N/A,FALSE,"MK_ASS_B";#N/A,#N/A,FALSE,"MK_ASS_R";#N/A,#N/A,FALSE,"MK_ASS_S";#N/A,#N/A,FALSE,"TR_ASS_B";#N/A,#N/A,FALSE,"TR_ASS_R";#N/A,#N/A,FALSE,"TR_ASS_S";#N/A,#N/A,FALSE,"PR_ASS_B";#N/A,#N/A,FALSE,"PR_ASS_R";#N/A,#N/A,FALSE,"REV_SUM"}</definedName>
    <definedName name="wrn.austria." localSheetId="8" hidden="1">{#N/A,#N/A,FALSE,"MK_ASS_B";#N/A,#N/A,FALSE,"MK_ASS_R";#N/A,#N/A,FALSE,"MK_ASS_S";#N/A,#N/A,FALSE,"TR_ASS_B";#N/A,#N/A,FALSE,"TR_ASS_R";#N/A,#N/A,FALSE,"TR_ASS_S";#N/A,#N/A,FALSE,"PR_ASS_B";#N/A,#N/A,FALSE,"PR_ASS_R";#N/A,#N/A,FALSE,"REV_SUM"}</definedName>
    <definedName name="wrn.austria." localSheetId="10" hidden="1">{#N/A,#N/A,FALSE,"MK_ASS_B";#N/A,#N/A,FALSE,"MK_ASS_R";#N/A,#N/A,FALSE,"MK_ASS_S";#N/A,#N/A,FALSE,"TR_ASS_B";#N/A,#N/A,FALSE,"TR_ASS_R";#N/A,#N/A,FALSE,"TR_ASS_S";#N/A,#N/A,FALSE,"PR_ASS_B";#N/A,#N/A,FALSE,"PR_ASS_R";#N/A,#N/A,FALSE,"REV_SUM"}</definedName>
    <definedName name="wrn.austria." localSheetId="12" hidden="1">{#N/A,#N/A,FALSE,"MK_ASS_B";#N/A,#N/A,FALSE,"MK_ASS_R";#N/A,#N/A,FALSE,"MK_ASS_S";#N/A,#N/A,FALSE,"TR_ASS_B";#N/A,#N/A,FALSE,"TR_ASS_R";#N/A,#N/A,FALSE,"TR_ASS_S";#N/A,#N/A,FALSE,"PR_ASS_B";#N/A,#N/A,FALSE,"PR_ASS_R";#N/A,#N/A,FALSE,"REV_SUM"}</definedName>
    <definedName name="wrn.austria." localSheetId="14" hidden="1">{#N/A,#N/A,FALSE,"MK_ASS_B";#N/A,#N/A,FALSE,"MK_ASS_R";#N/A,#N/A,FALSE,"MK_ASS_S";#N/A,#N/A,FALSE,"TR_ASS_B";#N/A,#N/A,FALSE,"TR_ASS_R";#N/A,#N/A,FALSE,"TR_ASS_S";#N/A,#N/A,FALSE,"PR_ASS_B";#N/A,#N/A,FALSE,"PR_ASS_R";#N/A,#N/A,FALSE,"REV_SUM"}</definedName>
    <definedName name="wrn.austria." localSheetId="16" hidden="1">{#N/A,#N/A,FALSE,"MK_ASS_B";#N/A,#N/A,FALSE,"MK_ASS_R";#N/A,#N/A,FALSE,"MK_ASS_S";#N/A,#N/A,FALSE,"TR_ASS_B";#N/A,#N/A,FALSE,"TR_ASS_R";#N/A,#N/A,FALSE,"TR_ASS_S";#N/A,#N/A,FALSE,"PR_ASS_B";#N/A,#N/A,FALSE,"PR_ASS_R";#N/A,#N/A,FALSE,"REV_SUM"}</definedName>
    <definedName name="wrn.austria." localSheetId="22" hidden="1">{#N/A,#N/A,FALSE,"MK_ASS_B";#N/A,#N/A,FALSE,"MK_ASS_R";#N/A,#N/A,FALSE,"MK_ASS_S";#N/A,#N/A,FALSE,"TR_ASS_B";#N/A,#N/A,FALSE,"TR_ASS_R";#N/A,#N/A,FALSE,"TR_ASS_S";#N/A,#N/A,FALSE,"PR_ASS_B";#N/A,#N/A,FALSE,"PR_ASS_R";#N/A,#N/A,FALSE,"REV_SUM"}</definedName>
    <definedName name="wrn.austria." localSheetId="24" hidden="1">{#N/A,#N/A,FALSE,"MK_ASS_B";#N/A,#N/A,FALSE,"MK_ASS_R";#N/A,#N/A,FALSE,"MK_ASS_S";#N/A,#N/A,FALSE,"TR_ASS_B";#N/A,#N/A,FALSE,"TR_ASS_R";#N/A,#N/A,FALSE,"TR_ASS_S";#N/A,#N/A,FALSE,"PR_ASS_B";#N/A,#N/A,FALSE,"PR_ASS_R";#N/A,#N/A,FALSE,"REV_SUM"}</definedName>
    <definedName name="wrn.austria." localSheetId="26" hidden="1">{#N/A,#N/A,FALSE,"MK_ASS_B";#N/A,#N/A,FALSE,"MK_ASS_R";#N/A,#N/A,FALSE,"MK_ASS_S";#N/A,#N/A,FALSE,"TR_ASS_B";#N/A,#N/A,FALSE,"TR_ASS_R";#N/A,#N/A,FALSE,"TR_ASS_S";#N/A,#N/A,FALSE,"PR_ASS_B";#N/A,#N/A,FALSE,"PR_ASS_R";#N/A,#N/A,FALSE,"REV_SUM"}</definedName>
    <definedName name="wrn.austria." localSheetId="28" hidden="1">{#N/A,#N/A,FALSE,"MK_ASS_B";#N/A,#N/A,FALSE,"MK_ASS_R";#N/A,#N/A,FALSE,"MK_ASS_S";#N/A,#N/A,FALSE,"TR_ASS_B";#N/A,#N/A,FALSE,"TR_ASS_R";#N/A,#N/A,FALSE,"TR_ASS_S";#N/A,#N/A,FALSE,"PR_ASS_B";#N/A,#N/A,FALSE,"PR_ASS_R";#N/A,#N/A,FALSE,"REV_SUM"}</definedName>
    <definedName name="wrn.austria." localSheetId="30" hidden="1">{#N/A,#N/A,FALSE,"MK_ASS_B";#N/A,#N/A,FALSE,"MK_ASS_R";#N/A,#N/A,FALSE,"MK_ASS_S";#N/A,#N/A,FALSE,"TR_ASS_B";#N/A,#N/A,FALSE,"TR_ASS_R";#N/A,#N/A,FALSE,"TR_ASS_S";#N/A,#N/A,FALSE,"PR_ASS_B";#N/A,#N/A,FALSE,"PR_ASS_R";#N/A,#N/A,FALSE,"REV_SUM"}</definedName>
    <definedName name="wrn.austria." localSheetId="32" hidden="1">{#N/A,#N/A,FALSE,"MK_ASS_B";#N/A,#N/A,FALSE,"MK_ASS_R";#N/A,#N/A,FALSE,"MK_ASS_S";#N/A,#N/A,FALSE,"TR_ASS_B";#N/A,#N/A,FALSE,"TR_ASS_R";#N/A,#N/A,FALSE,"TR_ASS_S";#N/A,#N/A,FALSE,"PR_ASS_B";#N/A,#N/A,FALSE,"PR_ASS_R";#N/A,#N/A,FALSE,"REV_SUM"}</definedName>
    <definedName name="wrn.austria." localSheetId="34" hidden="1">{#N/A,#N/A,FALSE,"MK_ASS_B";#N/A,#N/A,FALSE,"MK_ASS_R";#N/A,#N/A,FALSE,"MK_ASS_S";#N/A,#N/A,FALSE,"TR_ASS_B";#N/A,#N/A,FALSE,"TR_ASS_R";#N/A,#N/A,FALSE,"TR_ASS_S";#N/A,#N/A,FALSE,"PR_ASS_B";#N/A,#N/A,FALSE,"PR_ASS_R";#N/A,#N/A,FALSE,"REV_SUM"}</definedName>
    <definedName name="wrn.austria." localSheetId="36" hidden="1">{#N/A,#N/A,FALSE,"MK_ASS_B";#N/A,#N/A,FALSE,"MK_ASS_R";#N/A,#N/A,FALSE,"MK_ASS_S";#N/A,#N/A,FALSE,"TR_ASS_B";#N/A,#N/A,FALSE,"TR_ASS_R";#N/A,#N/A,FALSE,"TR_ASS_S";#N/A,#N/A,FALSE,"PR_ASS_B";#N/A,#N/A,FALSE,"PR_ASS_R";#N/A,#N/A,FALSE,"REV_SUM"}</definedName>
    <definedName name="wrn.austria." localSheetId="38" hidden="1">{#N/A,#N/A,FALSE,"MK_ASS_B";#N/A,#N/A,FALSE,"MK_ASS_R";#N/A,#N/A,FALSE,"MK_ASS_S";#N/A,#N/A,FALSE,"TR_ASS_B";#N/A,#N/A,FALSE,"TR_ASS_R";#N/A,#N/A,FALSE,"TR_ASS_S";#N/A,#N/A,FALSE,"PR_ASS_B";#N/A,#N/A,FALSE,"PR_ASS_R";#N/A,#N/A,FALSE,"REV_SUM"}</definedName>
    <definedName name="wrn.austria." hidden="1">{#N/A,#N/A,FALSE,"MK_ASS_B";#N/A,#N/A,FALSE,"MK_ASS_R";#N/A,#N/A,FALSE,"MK_ASS_S";#N/A,#N/A,FALSE,"TR_ASS_B";#N/A,#N/A,FALSE,"TR_ASS_R";#N/A,#N/A,FALSE,"TR_ASS_S";#N/A,#N/A,FALSE,"PR_ASS_B";#N/A,#N/A,FALSE,"PR_ASS_R";#N/A,#N/A,FALSE,"REV_SUM"}</definedName>
    <definedName name="wrn.austriaa." localSheetId="3" hidden="1">{#N/A,#N/A,FALSE,"MK_ASS_B";#N/A,#N/A,FALSE,"MK_ASS_R";#N/A,#N/A,FALSE,"MK_ASS_S";#N/A,#N/A,FALSE,"TR_ASS_B";#N/A,#N/A,FALSE,"TR_ASS_R";#N/A,#N/A,FALSE,"TR_ASS_S";#N/A,#N/A,FALSE,"PR_ASS_B";#N/A,#N/A,FALSE,"PR_ASS_R";#N/A,#N/A,FALSE,"REV_SUM"}</definedName>
    <definedName name="wrn.austriaa." localSheetId="5" hidden="1">{#N/A,#N/A,FALSE,"MK_ASS_B";#N/A,#N/A,FALSE,"MK_ASS_R";#N/A,#N/A,FALSE,"MK_ASS_S";#N/A,#N/A,FALSE,"TR_ASS_B";#N/A,#N/A,FALSE,"TR_ASS_R";#N/A,#N/A,FALSE,"TR_ASS_S";#N/A,#N/A,FALSE,"PR_ASS_B";#N/A,#N/A,FALSE,"PR_ASS_R";#N/A,#N/A,FALSE,"REV_SUM"}</definedName>
    <definedName name="wrn.austriaa." localSheetId="8" hidden="1">{#N/A,#N/A,FALSE,"MK_ASS_B";#N/A,#N/A,FALSE,"MK_ASS_R";#N/A,#N/A,FALSE,"MK_ASS_S";#N/A,#N/A,FALSE,"TR_ASS_B";#N/A,#N/A,FALSE,"TR_ASS_R";#N/A,#N/A,FALSE,"TR_ASS_S";#N/A,#N/A,FALSE,"PR_ASS_B";#N/A,#N/A,FALSE,"PR_ASS_R";#N/A,#N/A,FALSE,"REV_SUM"}</definedName>
    <definedName name="wrn.austriaa." localSheetId="10" hidden="1">{#N/A,#N/A,FALSE,"MK_ASS_B";#N/A,#N/A,FALSE,"MK_ASS_R";#N/A,#N/A,FALSE,"MK_ASS_S";#N/A,#N/A,FALSE,"TR_ASS_B";#N/A,#N/A,FALSE,"TR_ASS_R";#N/A,#N/A,FALSE,"TR_ASS_S";#N/A,#N/A,FALSE,"PR_ASS_B";#N/A,#N/A,FALSE,"PR_ASS_R";#N/A,#N/A,FALSE,"REV_SUM"}</definedName>
    <definedName name="wrn.austriaa." localSheetId="12" hidden="1">{#N/A,#N/A,FALSE,"MK_ASS_B";#N/A,#N/A,FALSE,"MK_ASS_R";#N/A,#N/A,FALSE,"MK_ASS_S";#N/A,#N/A,FALSE,"TR_ASS_B";#N/A,#N/A,FALSE,"TR_ASS_R";#N/A,#N/A,FALSE,"TR_ASS_S";#N/A,#N/A,FALSE,"PR_ASS_B";#N/A,#N/A,FALSE,"PR_ASS_R";#N/A,#N/A,FALSE,"REV_SUM"}</definedName>
    <definedName name="wrn.austriaa." localSheetId="14" hidden="1">{#N/A,#N/A,FALSE,"MK_ASS_B";#N/A,#N/A,FALSE,"MK_ASS_R";#N/A,#N/A,FALSE,"MK_ASS_S";#N/A,#N/A,FALSE,"TR_ASS_B";#N/A,#N/A,FALSE,"TR_ASS_R";#N/A,#N/A,FALSE,"TR_ASS_S";#N/A,#N/A,FALSE,"PR_ASS_B";#N/A,#N/A,FALSE,"PR_ASS_R";#N/A,#N/A,FALSE,"REV_SUM"}</definedName>
    <definedName name="wrn.austriaa." localSheetId="16" hidden="1">{#N/A,#N/A,FALSE,"MK_ASS_B";#N/A,#N/A,FALSE,"MK_ASS_R";#N/A,#N/A,FALSE,"MK_ASS_S";#N/A,#N/A,FALSE,"TR_ASS_B";#N/A,#N/A,FALSE,"TR_ASS_R";#N/A,#N/A,FALSE,"TR_ASS_S";#N/A,#N/A,FALSE,"PR_ASS_B";#N/A,#N/A,FALSE,"PR_ASS_R";#N/A,#N/A,FALSE,"REV_SUM"}</definedName>
    <definedName name="wrn.austriaa." localSheetId="22" hidden="1">{#N/A,#N/A,FALSE,"MK_ASS_B";#N/A,#N/A,FALSE,"MK_ASS_R";#N/A,#N/A,FALSE,"MK_ASS_S";#N/A,#N/A,FALSE,"TR_ASS_B";#N/A,#N/A,FALSE,"TR_ASS_R";#N/A,#N/A,FALSE,"TR_ASS_S";#N/A,#N/A,FALSE,"PR_ASS_B";#N/A,#N/A,FALSE,"PR_ASS_R";#N/A,#N/A,FALSE,"REV_SUM"}</definedName>
    <definedName name="wrn.austriaa." localSheetId="24" hidden="1">{#N/A,#N/A,FALSE,"MK_ASS_B";#N/A,#N/A,FALSE,"MK_ASS_R";#N/A,#N/A,FALSE,"MK_ASS_S";#N/A,#N/A,FALSE,"TR_ASS_B";#N/A,#N/A,FALSE,"TR_ASS_R";#N/A,#N/A,FALSE,"TR_ASS_S";#N/A,#N/A,FALSE,"PR_ASS_B";#N/A,#N/A,FALSE,"PR_ASS_R";#N/A,#N/A,FALSE,"REV_SUM"}</definedName>
    <definedName name="wrn.austriaa." localSheetId="26" hidden="1">{#N/A,#N/A,FALSE,"MK_ASS_B";#N/A,#N/A,FALSE,"MK_ASS_R";#N/A,#N/A,FALSE,"MK_ASS_S";#N/A,#N/A,FALSE,"TR_ASS_B";#N/A,#N/A,FALSE,"TR_ASS_R";#N/A,#N/A,FALSE,"TR_ASS_S";#N/A,#N/A,FALSE,"PR_ASS_B";#N/A,#N/A,FALSE,"PR_ASS_R";#N/A,#N/A,FALSE,"REV_SUM"}</definedName>
    <definedName name="wrn.austriaa." localSheetId="28" hidden="1">{#N/A,#N/A,FALSE,"MK_ASS_B";#N/A,#N/A,FALSE,"MK_ASS_R";#N/A,#N/A,FALSE,"MK_ASS_S";#N/A,#N/A,FALSE,"TR_ASS_B";#N/A,#N/A,FALSE,"TR_ASS_R";#N/A,#N/A,FALSE,"TR_ASS_S";#N/A,#N/A,FALSE,"PR_ASS_B";#N/A,#N/A,FALSE,"PR_ASS_R";#N/A,#N/A,FALSE,"REV_SUM"}</definedName>
    <definedName name="wrn.austriaa." localSheetId="30" hidden="1">{#N/A,#N/A,FALSE,"MK_ASS_B";#N/A,#N/A,FALSE,"MK_ASS_R";#N/A,#N/A,FALSE,"MK_ASS_S";#N/A,#N/A,FALSE,"TR_ASS_B";#N/A,#N/A,FALSE,"TR_ASS_R";#N/A,#N/A,FALSE,"TR_ASS_S";#N/A,#N/A,FALSE,"PR_ASS_B";#N/A,#N/A,FALSE,"PR_ASS_R";#N/A,#N/A,FALSE,"REV_SUM"}</definedName>
    <definedName name="wrn.austriaa." localSheetId="32" hidden="1">{#N/A,#N/A,FALSE,"MK_ASS_B";#N/A,#N/A,FALSE,"MK_ASS_R";#N/A,#N/A,FALSE,"MK_ASS_S";#N/A,#N/A,FALSE,"TR_ASS_B";#N/A,#N/A,FALSE,"TR_ASS_R";#N/A,#N/A,FALSE,"TR_ASS_S";#N/A,#N/A,FALSE,"PR_ASS_B";#N/A,#N/A,FALSE,"PR_ASS_R";#N/A,#N/A,FALSE,"REV_SUM"}</definedName>
    <definedName name="wrn.austriaa." localSheetId="34" hidden="1">{#N/A,#N/A,FALSE,"MK_ASS_B";#N/A,#N/A,FALSE,"MK_ASS_R";#N/A,#N/A,FALSE,"MK_ASS_S";#N/A,#N/A,FALSE,"TR_ASS_B";#N/A,#N/A,FALSE,"TR_ASS_R";#N/A,#N/A,FALSE,"TR_ASS_S";#N/A,#N/A,FALSE,"PR_ASS_B";#N/A,#N/A,FALSE,"PR_ASS_R";#N/A,#N/A,FALSE,"REV_SUM"}</definedName>
    <definedName name="wrn.austriaa." localSheetId="36" hidden="1">{#N/A,#N/A,FALSE,"MK_ASS_B";#N/A,#N/A,FALSE,"MK_ASS_R";#N/A,#N/A,FALSE,"MK_ASS_S";#N/A,#N/A,FALSE,"TR_ASS_B";#N/A,#N/A,FALSE,"TR_ASS_R";#N/A,#N/A,FALSE,"TR_ASS_S";#N/A,#N/A,FALSE,"PR_ASS_B";#N/A,#N/A,FALSE,"PR_ASS_R";#N/A,#N/A,FALSE,"REV_SUM"}</definedName>
    <definedName name="wrn.austriaa." localSheetId="38" hidden="1">{#N/A,#N/A,FALSE,"MK_ASS_B";#N/A,#N/A,FALSE,"MK_ASS_R";#N/A,#N/A,FALSE,"MK_ASS_S";#N/A,#N/A,FALSE,"TR_ASS_B";#N/A,#N/A,FALSE,"TR_ASS_R";#N/A,#N/A,FALSE,"TR_ASS_S";#N/A,#N/A,FALSE,"PR_ASS_B";#N/A,#N/A,FALSE,"PR_ASS_R";#N/A,#N/A,FALSE,"REV_SUM"}</definedName>
    <definedName name="wrn.austriaa." hidden="1">{#N/A,#N/A,FALSE,"MK_ASS_B";#N/A,#N/A,FALSE,"MK_ASS_R";#N/A,#N/A,FALSE,"MK_ASS_S";#N/A,#N/A,FALSE,"TR_ASS_B";#N/A,#N/A,FALSE,"TR_ASS_R";#N/A,#N/A,FALSE,"TR_ASS_S";#N/A,#N/A,FALSE,"PR_ASS_B";#N/A,#N/A,FALSE,"PR_ASS_R";#N/A,#N/A,FALSE,"REV_SUM"}</definedName>
    <definedName name="wrn.B.._.Market._.Information." localSheetId="3" hidden="1">{#N/A,#N/A,FALSE,"Mkt";#N/A,#N/A,FALSE,"HotProp";#N/A,#N/A,FALSE,"GolfProp";#N/A,#N/A,FALSE,"ResProp"}</definedName>
    <definedName name="wrn.B.._.Market._.Information." localSheetId="5" hidden="1">{#N/A,#N/A,FALSE,"Mkt";#N/A,#N/A,FALSE,"HotProp";#N/A,#N/A,FALSE,"GolfProp";#N/A,#N/A,FALSE,"ResProp"}</definedName>
    <definedName name="wrn.B.._.Market._.Information." localSheetId="8" hidden="1">{#N/A,#N/A,FALSE,"Mkt";#N/A,#N/A,FALSE,"HotProp";#N/A,#N/A,FALSE,"GolfProp";#N/A,#N/A,FALSE,"ResProp"}</definedName>
    <definedName name="wrn.B.._.Market._.Information." localSheetId="10" hidden="1">{#N/A,#N/A,FALSE,"Mkt";#N/A,#N/A,FALSE,"HotProp";#N/A,#N/A,FALSE,"GolfProp";#N/A,#N/A,FALSE,"ResProp"}</definedName>
    <definedName name="wrn.B.._.Market._.Information." localSheetId="12" hidden="1">{#N/A,#N/A,FALSE,"Mkt";#N/A,#N/A,FALSE,"HotProp";#N/A,#N/A,FALSE,"GolfProp";#N/A,#N/A,FALSE,"ResProp"}</definedName>
    <definedName name="wrn.B.._.Market._.Information." localSheetId="14" hidden="1">{#N/A,#N/A,FALSE,"Mkt";#N/A,#N/A,FALSE,"HotProp";#N/A,#N/A,FALSE,"GolfProp";#N/A,#N/A,FALSE,"ResProp"}</definedName>
    <definedName name="wrn.B.._.Market._.Information." localSheetId="16" hidden="1">{#N/A,#N/A,FALSE,"Mkt";#N/A,#N/A,FALSE,"HotProp";#N/A,#N/A,FALSE,"GolfProp";#N/A,#N/A,FALSE,"ResProp"}</definedName>
    <definedName name="wrn.B.._.Market._.Information." localSheetId="22" hidden="1">{#N/A,#N/A,FALSE,"Mkt";#N/A,#N/A,FALSE,"HotProp";#N/A,#N/A,FALSE,"GolfProp";#N/A,#N/A,FALSE,"ResProp"}</definedName>
    <definedName name="wrn.B.._.Market._.Information." localSheetId="24" hidden="1">{#N/A,#N/A,FALSE,"Mkt";#N/A,#N/A,FALSE,"HotProp";#N/A,#N/A,FALSE,"GolfProp";#N/A,#N/A,FALSE,"ResProp"}</definedName>
    <definedName name="wrn.B.._.Market._.Information." localSheetId="26" hidden="1">{#N/A,#N/A,FALSE,"Mkt";#N/A,#N/A,FALSE,"HotProp";#N/A,#N/A,FALSE,"GolfProp";#N/A,#N/A,FALSE,"ResProp"}</definedName>
    <definedName name="wrn.B.._.Market._.Information." localSheetId="28" hidden="1">{#N/A,#N/A,FALSE,"Mkt";#N/A,#N/A,FALSE,"HotProp";#N/A,#N/A,FALSE,"GolfProp";#N/A,#N/A,FALSE,"ResProp"}</definedName>
    <definedName name="wrn.B.._.Market._.Information." localSheetId="30" hidden="1">{#N/A,#N/A,FALSE,"Mkt";#N/A,#N/A,FALSE,"HotProp";#N/A,#N/A,FALSE,"GolfProp";#N/A,#N/A,FALSE,"ResProp"}</definedName>
    <definedName name="wrn.B.._.Market._.Information." localSheetId="32" hidden="1">{#N/A,#N/A,FALSE,"Mkt";#N/A,#N/A,FALSE,"HotProp";#N/A,#N/A,FALSE,"GolfProp";#N/A,#N/A,FALSE,"ResProp"}</definedName>
    <definedName name="wrn.B.._.Market._.Information." localSheetId="34" hidden="1">{#N/A,#N/A,FALSE,"Mkt";#N/A,#N/A,FALSE,"HotProp";#N/A,#N/A,FALSE,"GolfProp";#N/A,#N/A,FALSE,"ResProp"}</definedName>
    <definedName name="wrn.B.._.Market._.Information." localSheetId="36" hidden="1">{#N/A,#N/A,FALSE,"Mkt";#N/A,#N/A,FALSE,"HotProp";#N/A,#N/A,FALSE,"GolfProp";#N/A,#N/A,FALSE,"ResProp"}</definedName>
    <definedName name="wrn.B.._.Market._.Information." localSheetId="38" hidden="1">{#N/A,#N/A,FALSE,"Mkt";#N/A,#N/A,FALSE,"HotProp";#N/A,#N/A,FALSE,"GolfProp";#N/A,#N/A,FALSE,"ResProp"}</definedName>
    <definedName name="wrn.B.._.Market._.Information." hidden="1">{#N/A,#N/A,FALSE,"Mkt";#N/A,#N/A,FALSE,"HotProp";#N/A,#N/A,FALSE,"GolfProp";#N/A,#N/A,FALSE,"ResProp"}</definedName>
    <definedName name="wrn.BANKPLAN." localSheetId="3" hidden="1">{"cebank",#N/A,FALSE,"P9498BAR";"spbank",#N/A,FALSE,"P9498BAR";"renfinbank",#N/A,FALSE,"P9498BAR";"indici",#N/A,FALSE,"P9498BAR"}</definedName>
    <definedName name="wrn.BANKPLAN." localSheetId="5" hidden="1">{"cebank",#N/A,FALSE,"P9498BAR";"spbank",#N/A,FALSE,"P9498BAR";"renfinbank",#N/A,FALSE,"P9498BAR";"indici",#N/A,FALSE,"P9498BAR"}</definedName>
    <definedName name="wrn.BANKPLAN." localSheetId="8" hidden="1">{"cebank",#N/A,FALSE,"P9498BAR";"spbank",#N/A,FALSE,"P9498BAR";"renfinbank",#N/A,FALSE,"P9498BAR";"indici",#N/A,FALSE,"P9498BAR"}</definedName>
    <definedName name="wrn.BANKPLAN." localSheetId="10" hidden="1">{"cebank",#N/A,FALSE,"P9498BAR";"spbank",#N/A,FALSE,"P9498BAR";"renfinbank",#N/A,FALSE,"P9498BAR";"indici",#N/A,FALSE,"P9498BAR"}</definedName>
    <definedName name="wrn.BANKPLAN." localSheetId="12" hidden="1">{"cebank",#N/A,FALSE,"P9498BAR";"spbank",#N/A,FALSE,"P9498BAR";"renfinbank",#N/A,FALSE,"P9498BAR";"indici",#N/A,FALSE,"P9498BAR"}</definedName>
    <definedName name="wrn.BANKPLAN." localSheetId="14" hidden="1">{"cebank",#N/A,FALSE,"P9498BAR";"spbank",#N/A,FALSE,"P9498BAR";"renfinbank",#N/A,FALSE,"P9498BAR";"indici",#N/A,FALSE,"P9498BAR"}</definedName>
    <definedName name="wrn.BANKPLAN." localSheetId="16" hidden="1">{"cebank",#N/A,FALSE,"P9498BAR";"spbank",#N/A,FALSE,"P9498BAR";"renfinbank",#N/A,FALSE,"P9498BAR";"indici",#N/A,FALSE,"P9498BAR"}</definedName>
    <definedName name="wrn.BANKPLAN." localSheetId="22" hidden="1">{"cebank",#N/A,FALSE,"P9498BAR";"spbank",#N/A,FALSE,"P9498BAR";"renfinbank",#N/A,FALSE,"P9498BAR";"indici",#N/A,FALSE,"P9498BAR"}</definedName>
    <definedName name="wrn.BANKPLAN." localSheetId="24" hidden="1">{"cebank",#N/A,FALSE,"P9498BAR";"spbank",#N/A,FALSE,"P9498BAR";"renfinbank",#N/A,FALSE,"P9498BAR";"indici",#N/A,FALSE,"P9498BAR"}</definedName>
    <definedName name="wrn.BANKPLAN." localSheetId="26" hidden="1">{"cebank",#N/A,FALSE,"P9498BAR";"spbank",#N/A,FALSE,"P9498BAR";"renfinbank",#N/A,FALSE,"P9498BAR";"indici",#N/A,FALSE,"P9498BAR"}</definedName>
    <definedName name="wrn.BANKPLAN." localSheetId="28" hidden="1">{"cebank",#N/A,FALSE,"P9498BAR";"spbank",#N/A,FALSE,"P9498BAR";"renfinbank",#N/A,FALSE,"P9498BAR";"indici",#N/A,FALSE,"P9498BAR"}</definedName>
    <definedName name="wrn.BANKPLAN." localSheetId="30" hidden="1">{"cebank",#N/A,FALSE,"P9498BAR";"spbank",#N/A,FALSE,"P9498BAR";"renfinbank",#N/A,FALSE,"P9498BAR";"indici",#N/A,FALSE,"P9498BAR"}</definedName>
    <definedName name="wrn.BANKPLAN." localSheetId="32" hidden="1">{"cebank",#N/A,FALSE,"P9498BAR";"spbank",#N/A,FALSE,"P9498BAR";"renfinbank",#N/A,FALSE,"P9498BAR";"indici",#N/A,FALSE,"P9498BAR"}</definedName>
    <definedName name="wrn.BANKPLAN." localSheetId="34" hidden="1">{"cebank",#N/A,FALSE,"P9498BAR";"spbank",#N/A,FALSE,"P9498BAR";"renfinbank",#N/A,FALSE,"P9498BAR";"indici",#N/A,FALSE,"P9498BAR"}</definedName>
    <definedName name="wrn.BANKPLAN." localSheetId="36" hidden="1">{"cebank",#N/A,FALSE,"P9498BAR";"spbank",#N/A,FALSE,"P9498BAR";"renfinbank",#N/A,FALSE,"P9498BAR";"indici",#N/A,FALSE,"P9498BAR"}</definedName>
    <definedName name="wrn.BANKPLAN." localSheetId="38" hidden="1">{"cebank",#N/A,FALSE,"P9498BAR";"spbank",#N/A,FALSE,"P9498BAR";"renfinbank",#N/A,FALSE,"P9498BAR";"indici",#N/A,FALSE,"P9498BAR"}</definedName>
    <definedName name="wrn.BANKPLAN." hidden="1">{"cebank",#N/A,FALSE,"P9498BAR";"spbank",#N/A,FALSE,"P9498BAR";"renfinbank",#N/A,FALSE,"P9498BAR";"indici",#N/A,FALSE,"P9498BAR"}</definedName>
    <definedName name="wrn.BIDSHEET." localSheetId="3"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wrn.BIDSHEET." localSheetId="5"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wrn.BIDSHEET." localSheetId="8"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wrn.BIDSHEET." localSheetId="10"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wrn.BIDSHEET." localSheetId="12"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wrn.BIDSHEET." localSheetId="14"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wrn.BIDSHEET." localSheetId="16"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wrn.BIDSHEET." localSheetId="22"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wrn.BIDSHEET." localSheetId="24"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wrn.BIDSHEET." localSheetId="26"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wrn.BIDSHEET." localSheetId="28"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wrn.BIDSHEET." localSheetId="30"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wrn.BIDSHEET." localSheetId="32"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wrn.BIDSHEET." localSheetId="34"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wrn.BIDSHEET." localSheetId="36"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wrn.BIDSHEET." localSheetId="38"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wrn.BIDSHEET." hidden="1">{#N/A,#N/A,TRUE,"1-Network Summary";#N/A,#N/A,TRUE,"2-Network Roll-up (Conversion)";#N/A,#N/A,TRUE,"3-Network Roll-up (Growth)";#N/A,#N/A,TRUE,"4-Feature Server";#N/A,#N/A,TRUE,"5-ATM Core";#N/A,#N/A,TRUE,"6-ATM Edge";#N/A,#N/A,TRUE,"7-Line Access";#N/A,#N/A,TRUE,"8-Trunk Access";#N/A,#N/A,TRUE,"9-Universal Access";#N/A,#N/A,TRUE,"10-Spares";#N/A,#N/A,TRUE,"11-Turnkey";#N/A,#N/A,TRUE,"12-NMS";#N/A,#N/A,TRUE,"13-EMS";#N/A,#N/A,TRUE,"14-Back Office Systems";#N/A,#N/A,TRUE,"15-General";#N/A,#N/A,TRUE,"16-Network Migration";#N/A,#N/A,TRUE,"17-Training";#N/A,#N/A,TRUE,"18-Engineering &amp; Maintenance"}</definedName>
    <definedName name="wrn.book." localSheetId="3" hidden="1">{#N/A,#N/A,FALSE,"PRESENT";#N/A,#N/A,FALSE,"INDICE";#N/A,#N/A,FALSE,"DIV_CONS";#N/A,#N/A,FALSE,"DIV_GRUP";#N/A,#N/A,FALSE,"DIV_BIM";#N/A,#N/A,FALSE,"DIV_UMPL";#N/A,#N/A,FALSE,"DIV_BDBAS";#N/A,#N/A,FALSE,"B_SRL";#N/A,#N/A,FALSE,"MQ_SRL"}</definedName>
    <definedName name="wrn.book." localSheetId="5" hidden="1">{#N/A,#N/A,FALSE,"PRESENT";#N/A,#N/A,FALSE,"INDICE";#N/A,#N/A,FALSE,"DIV_CONS";#N/A,#N/A,FALSE,"DIV_GRUP";#N/A,#N/A,FALSE,"DIV_BIM";#N/A,#N/A,FALSE,"DIV_UMPL";#N/A,#N/A,FALSE,"DIV_BDBAS";#N/A,#N/A,FALSE,"B_SRL";#N/A,#N/A,FALSE,"MQ_SRL"}</definedName>
    <definedName name="wrn.book." localSheetId="8" hidden="1">{#N/A,#N/A,FALSE,"PRESENT";#N/A,#N/A,FALSE,"INDICE";#N/A,#N/A,FALSE,"DIV_CONS";#N/A,#N/A,FALSE,"DIV_GRUP";#N/A,#N/A,FALSE,"DIV_BIM";#N/A,#N/A,FALSE,"DIV_UMPL";#N/A,#N/A,FALSE,"DIV_BDBAS";#N/A,#N/A,FALSE,"B_SRL";#N/A,#N/A,FALSE,"MQ_SRL"}</definedName>
    <definedName name="wrn.book." localSheetId="10" hidden="1">{#N/A,#N/A,FALSE,"PRESENT";#N/A,#N/A,FALSE,"INDICE";#N/A,#N/A,FALSE,"DIV_CONS";#N/A,#N/A,FALSE,"DIV_GRUP";#N/A,#N/A,FALSE,"DIV_BIM";#N/A,#N/A,FALSE,"DIV_UMPL";#N/A,#N/A,FALSE,"DIV_BDBAS";#N/A,#N/A,FALSE,"B_SRL";#N/A,#N/A,FALSE,"MQ_SRL"}</definedName>
    <definedName name="wrn.book." localSheetId="12" hidden="1">{#N/A,#N/A,FALSE,"PRESENT";#N/A,#N/A,FALSE,"INDICE";#N/A,#N/A,FALSE,"DIV_CONS";#N/A,#N/A,FALSE,"DIV_GRUP";#N/A,#N/A,FALSE,"DIV_BIM";#N/A,#N/A,FALSE,"DIV_UMPL";#N/A,#N/A,FALSE,"DIV_BDBAS";#N/A,#N/A,FALSE,"B_SRL";#N/A,#N/A,FALSE,"MQ_SRL"}</definedName>
    <definedName name="wrn.book." localSheetId="14" hidden="1">{#N/A,#N/A,FALSE,"PRESENT";#N/A,#N/A,FALSE,"INDICE";#N/A,#N/A,FALSE,"DIV_CONS";#N/A,#N/A,FALSE,"DIV_GRUP";#N/A,#N/A,FALSE,"DIV_BIM";#N/A,#N/A,FALSE,"DIV_UMPL";#N/A,#N/A,FALSE,"DIV_BDBAS";#N/A,#N/A,FALSE,"B_SRL";#N/A,#N/A,FALSE,"MQ_SRL"}</definedName>
    <definedName name="wrn.book." localSheetId="16" hidden="1">{#N/A,#N/A,FALSE,"PRESENT";#N/A,#N/A,FALSE,"INDICE";#N/A,#N/A,FALSE,"DIV_CONS";#N/A,#N/A,FALSE,"DIV_GRUP";#N/A,#N/A,FALSE,"DIV_BIM";#N/A,#N/A,FALSE,"DIV_UMPL";#N/A,#N/A,FALSE,"DIV_BDBAS";#N/A,#N/A,FALSE,"B_SRL";#N/A,#N/A,FALSE,"MQ_SRL"}</definedName>
    <definedName name="wrn.book." localSheetId="22" hidden="1">{#N/A,#N/A,FALSE,"PRESENT";#N/A,#N/A,FALSE,"INDICE";#N/A,#N/A,FALSE,"DIV_CONS";#N/A,#N/A,FALSE,"DIV_GRUP";#N/A,#N/A,FALSE,"DIV_BIM";#N/A,#N/A,FALSE,"DIV_UMPL";#N/A,#N/A,FALSE,"DIV_BDBAS";#N/A,#N/A,FALSE,"B_SRL";#N/A,#N/A,FALSE,"MQ_SRL"}</definedName>
    <definedName name="wrn.book." localSheetId="24" hidden="1">{#N/A,#N/A,FALSE,"PRESENT";#N/A,#N/A,FALSE,"INDICE";#N/A,#N/A,FALSE,"DIV_CONS";#N/A,#N/A,FALSE,"DIV_GRUP";#N/A,#N/A,FALSE,"DIV_BIM";#N/A,#N/A,FALSE,"DIV_UMPL";#N/A,#N/A,FALSE,"DIV_BDBAS";#N/A,#N/A,FALSE,"B_SRL";#N/A,#N/A,FALSE,"MQ_SRL"}</definedName>
    <definedName name="wrn.book." localSheetId="26" hidden="1">{#N/A,#N/A,FALSE,"PRESENT";#N/A,#N/A,FALSE,"INDICE";#N/A,#N/A,FALSE,"DIV_CONS";#N/A,#N/A,FALSE,"DIV_GRUP";#N/A,#N/A,FALSE,"DIV_BIM";#N/A,#N/A,FALSE,"DIV_UMPL";#N/A,#N/A,FALSE,"DIV_BDBAS";#N/A,#N/A,FALSE,"B_SRL";#N/A,#N/A,FALSE,"MQ_SRL"}</definedName>
    <definedName name="wrn.book." localSheetId="28" hidden="1">{#N/A,#N/A,FALSE,"PRESENT";#N/A,#N/A,FALSE,"INDICE";#N/A,#N/A,FALSE,"DIV_CONS";#N/A,#N/A,FALSE,"DIV_GRUP";#N/A,#N/A,FALSE,"DIV_BIM";#N/A,#N/A,FALSE,"DIV_UMPL";#N/A,#N/A,FALSE,"DIV_BDBAS";#N/A,#N/A,FALSE,"B_SRL";#N/A,#N/A,FALSE,"MQ_SRL"}</definedName>
    <definedName name="wrn.book." localSheetId="30" hidden="1">{#N/A,#N/A,FALSE,"PRESENT";#N/A,#N/A,FALSE,"INDICE";#N/A,#N/A,FALSE,"DIV_CONS";#N/A,#N/A,FALSE,"DIV_GRUP";#N/A,#N/A,FALSE,"DIV_BIM";#N/A,#N/A,FALSE,"DIV_UMPL";#N/A,#N/A,FALSE,"DIV_BDBAS";#N/A,#N/A,FALSE,"B_SRL";#N/A,#N/A,FALSE,"MQ_SRL"}</definedName>
    <definedName name="wrn.book." localSheetId="32" hidden="1">{#N/A,#N/A,FALSE,"PRESENT";#N/A,#N/A,FALSE,"INDICE";#N/A,#N/A,FALSE,"DIV_CONS";#N/A,#N/A,FALSE,"DIV_GRUP";#N/A,#N/A,FALSE,"DIV_BIM";#N/A,#N/A,FALSE,"DIV_UMPL";#N/A,#N/A,FALSE,"DIV_BDBAS";#N/A,#N/A,FALSE,"B_SRL";#N/A,#N/A,FALSE,"MQ_SRL"}</definedName>
    <definedName name="wrn.book." localSheetId="34" hidden="1">{#N/A,#N/A,FALSE,"PRESENT";#N/A,#N/A,FALSE,"INDICE";#N/A,#N/A,FALSE,"DIV_CONS";#N/A,#N/A,FALSE,"DIV_GRUP";#N/A,#N/A,FALSE,"DIV_BIM";#N/A,#N/A,FALSE,"DIV_UMPL";#N/A,#N/A,FALSE,"DIV_BDBAS";#N/A,#N/A,FALSE,"B_SRL";#N/A,#N/A,FALSE,"MQ_SRL"}</definedName>
    <definedName name="wrn.book." localSheetId="36" hidden="1">{#N/A,#N/A,FALSE,"PRESENT";#N/A,#N/A,FALSE,"INDICE";#N/A,#N/A,FALSE,"DIV_CONS";#N/A,#N/A,FALSE,"DIV_GRUP";#N/A,#N/A,FALSE,"DIV_BIM";#N/A,#N/A,FALSE,"DIV_UMPL";#N/A,#N/A,FALSE,"DIV_BDBAS";#N/A,#N/A,FALSE,"B_SRL";#N/A,#N/A,FALSE,"MQ_SRL"}</definedName>
    <definedName name="wrn.book." localSheetId="38" hidden="1">{#N/A,#N/A,FALSE,"PRESENT";#N/A,#N/A,FALSE,"INDICE";#N/A,#N/A,FALSE,"DIV_CONS";#N/A,#N/A,FALSE,"DIV_GRUP";#N/A,#N/A,FALSE,"DIV_BIM";#N/A,#N/A,FALSE,"DIV_UMPL";#N/A,#N/A,FALSE,"DIV_BDBAS";#N/A,#N/A,FALSE,"B_SRL";#N/A,#N/A,FALSE,"MQ_SRL"}</definedName>
    <definedName name="wrn.book." hidden="1">{#N/A,#N/A,FALSE,"PRESENT";#N/A,#N/A,FALSE,"INDICE";#N/A,#N/A,FALSE,"DIV_CONS";#N/A,#N/A,FALSE,"DIV_GRUP";#N/A,#N/A,FALSE,"DIV_BIM";#N/A,#N/A,FALSE,"DIV_UMPL";#N/A,#N/A,FALSE,"DIV_BDBAS";#N/A,#N/A,FALSE,"B_SRL";#N/A,#N/A,FALSE,"MQ_SRL"}</definedName>
    <definedName name="wrn.bookinterno." localSheetId="3" hidden="1">{#N/A,#N/A,FALSE,"PRESENT";#N/A,#N/A,FALSE,"INDICE";#N/A,#N/A,FALSE,"DIV_CONS";#N/A,#N/A,FALSE,"DIV_GRUP";#N/A,#N/A,FALSE,"DIV_BIM";#N/A,#N/A,FALSE,"DIV_UMPL";#N/A,#N/A,FALSE,"DIV_BDBAS"}</definedName>
    <definedName name="wrn.bookinterno." localSheetId="5" hidden="1">{#N/A,#N/A,FALSE,"PRESENT";#N/A,#N/A,FALSE,"INDICE";#N/A,#N/A,FALSE,"DIV_CONS";#N/A,#N/A,FALSE,"DIV_GRUP";#N/A,#N/A,FALSE,"DIV_BIM";#N/A,#N/A,FALSE,"DIV_UMPL";#N/A,#N/A,FALSE,"DIV_BDBAS"}</definedName>
    <definedName name="wrn.bookinterno." localSheetId="8" hidden="1">{#N/A,#N/A,FALSE,"PRESENT";#N/A,#N/A,FALSE,"INDICE";#N/A,#N/A,FALSE,"DIV_CONS";#N/A,#N/A,FALSE,"DIV_GRUP";#N/A,#N/A,FALSE,"DIV_BIM";#N/A,#N/A,FALSE,"DIV_UMPL";#N/A,#N/A,FALSE,"DIV_BDBAS"}</definedName>
    <definedName name="wrn.bookinterno." localSheetId="10" hidden="1">{#N/A,#N/A,FALSE,"PRESENT";#N/A,#N/A,FALSE,"INDICE";#N/A,#N/A,FALSE,"DIV_CONS";#N/A,#N/A,FALSE,"DIV_GRUP";#N/A,#N/A,FALSE,"DIV_BIM";#N/A,#N/A,FALSE,"DIV_UMPL";#N/A,#N/A,FALSE,"DIV_BDBAS"}</definedName>
    <definedName name="wrn.bookinterno." localSheetId="12" hidden="1">{#N/A,#N/A,FALSE,"PRESENT";#N/A,#N/A,FALSE,"INDICE";#N/A,#N/A,FALSE,"DIV_CONS";#N/A,#N/A,FALSE,"DIV_GRUP";#N/A,#N/A,FALSE,"DIV_BIM";#N/A,#N/A,FALSE,"DIV_UMPL";#N/A,#N/A,FALSE,"DIV_BDBAS"}</definedName>
    <definedName name="wrn.bookinterno." localSheetId="14" hidden="1">{#N/A,#N/A,FALSE,"PRESENT";#N/A,#N/A,FALSE,"INDICE";#N/A,#N/A,FALSE,"DIV_CONS";#N/A,#N/A,FALSE,"DIV_GRUP";#N/A,#N/A,FALSE,"DIV_BIM";#N/A,#N/A,FALSE,"DIV_UMPL";#N/A,#N/A,FALSE,"DIV_BDBAS"}</definedName>
    <definedName name="wrn.bookinterno." localSheetId="16" hidden="1">{#N/A,#N/A,FALSE,"PRESENT";#N/A,#N/A,FALSE,"INDICE";#N/A,#N/A,FALSE,"DIV_CONS";#N/A,#N/A,FALSE,"DIV_GRUP";#N/A,#N/A,FALSE,"DIV_BIM";#N/A,#N/A,FALSE,"DIV_UMPL";#N/A,#N/A,FALSE,"DIV_BDBAS"}</definedName>
    <definedName name="wrn.bookinterno." localSheetId="22" hidden="1">{#N/A,#N/A,FALSE,"PRESENT";#N/A,#N/A,FALSE,"INDICE";#N/A,#N/A,FALSE,"DIV_CONS";#N/A,#N/A,FALSE,"DIV_GRUP";#N/A,#N/A,FALSE,"DIV_BIM";#N/A,#N/A,FALSE,"DIV_UMPL";#N/A,#N/A,FALSE,"DIV_BDBAS"}</definedName>
    <definedName name="wrn.bookinterno." localSheetId="24" hidden="1">{#N/A,#N/A,FALSE,"PRESENT";#N/A,#N/A,FALSE,"INDICE";#N/A,#N/A,FALSE,"DIV_CONS";#N/A,#N/A,FALSE,"DIV_GRUP";#N/A,#N/A,FALSE,"DIV_BIM";#N/A,#N/A,FALSE,"DIV_UMPL";#N/A,#N/A,FALSE,"DIV_BDBAS"}</definedName>
    <definedName name="wrn.bookinterno." localSheetId="26" hidden="1">{#N/A,#N/A,FALSE,"PRESENT";#N/A,#N/A,FALSE,"INDICE";#N/A,#N/A,FALSE,"DIV_CONS";#N/A,#N/A,FALSE,"DIV_GRUP";#N/A,#N/A,FALSE,"DIV_BIM";#N/A,#N/A,FALSE,"DIV_UMPL";#N/A,#N/A,FALSE,"DIV_BDBAS"}</definedName>
    <definedName name="wrn.bookinterno." localSheetId="28" hidden="1">{#N/A,#N/A,FALSE,"PRESENT";#N/A,#N/A,FALSE,"INDICE";#N/A,#N/A,FALSE,"DIV_CONS";#N/A,#N/A,FALSE,"DIV_GRUP";#N/A,#N/A,FALSE,"DIV_BIM";#N/A,#N/A,FALSE,"DIV_UMPL";#N/A,#N/A,FALSE,"DIV_BDBAS"}</definedName>
    <definedName name="wrn.bookinterno." localSheetId="30" hidden="1">{#N/A,#N/A,FALSE,"PRESENT";#N/A,#N/A,FALSE,"INDICE";#N/A,#N/A,FALSE,"DIV_CONS";#N/A,#N/A,FALSE,"DIV_GRUP";#N/A,#N/A,FALSE,"DIV_BIM";#N/A,#N/A,FALSE,"DIV_UMPL";#N/A,#N/A,FALSE,"DIV_BDBAS"}</definedName>
    <definedName name="wrn.bookinterno." localSheetId="32" hidden="1">{#N/A,#N/A,FALSE,"PRESENT";#N/A,#N/A,FALSE,"INDICE";#N/A,#N/A,FALSE,"DIV_CONS";#N/A,#N/A,FALSE,"DIV_GRUP";#N/A,#N/A,FALSE,"DIV_BIM";#N/A,#N/A,FALSE,"DIV_UMPL";#N/A,#N/A,FALSE,"DIV_BDBAS"}</definedName>
    <definedName name="wrn.bookinterno." localSheetId="34" hidden="1">{#N/A,#N/A,FALSE,"PRESENT";#N/A,#N/A,FALSE,"INDICE";#N/A,#N/A,FALSE,"DIV_CONS";#N/A,#N/A,FALSE,"DIV_GRUP";#N/A,#N/A,FALSE,"DIV_BIM";#N/A,#N/A,FALSE,"DIV_UMPL";#N/A,#N/A,FALSE,"DIV_BDBAS"}</definedName>
    <definedName name="wrn.bookinterno." localSheetId="36" hidden="1">{#N/A,#N/A,FALSE,"PRESENT";#N/A,#N/A,FALSE,"INDICE";#N/A,#N/A,FALSE,"DIV_CONS";#N/A,#N/A,FALSE,"DIV_GRUP";#N/A,#N/A,FALSE,"DIV_BIM";#N/A,#N/A,FALSE,"DIV_UMPL";#N/A,#N/A,FALSE,"DIV_BDBAS"}</definedName>
    <definedName name="wrn.bookinterno." localSheetId="38" hidden="1">{#N/A,#N/A,FALSE,"PRESENT";#N/A,#N/A,FALSE,"INDICE";#N/A,#N/A,FALSE,"DIV_CONS";#N/A,#N/A,FALSE,"DIV_GRUP";#N/A,#N/A,FALSE,"DIV_BIM";#N/A,#N/A,FALSE,"DIV_UMPL";#N/A,#N/A,FALSE,"DIV_BDBAS"}</definedName>
    <definedName name="wrn.bookinterno." hidden="1">{#N/A,#N/A,FALSE,"PRESENT";#N/A,#N/A,FALSE,"INDICE";#N/A,#N/A,FALSE,"DIV_CONS";#N/A,#N/A,FALSE,"DIV_GRUP";#N/A,#N/A,FALSE,"DIV_BIM";#N/A,#N/A,FALSE,"DIV_UMPL";#N/A,#N/A,FALSE,"DIV_BDBAS"}</definedName>
    <definedName name="wrn.BP._.print." localSheetId="3"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5"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8"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10"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12"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14"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16"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22"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24"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26"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28"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30"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32"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34"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36"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38" hidden="1">{#N/A,#N/A,FALSE,"BANNERS";#N/A,#N/A,FALSE,"Market";#N/A,#N/A,FALSE,"Tel Rev";#N/A,#N/A,FALSE,"Revenues IOL";#N/A,#N/A,FALSE,"Invest";#N/A,#N/A,FALSE,"Op Cost1";#N/A,#N/A,FALSE,"Op Cost2";#N/A,#N/A,FALSE,"Oth_&amp;_Tot_Revenues";#N/A,#N/A,FALSE,"Fin Mod";#N/A,#N/A,FALSE,"FinMod_RoW";#N/A,#N/A,FALSE,"P&amp;E Burocrat";#N/A,#N/A,FALSE,"cash flow"}</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SCOMIT." localSheetId="3" hidden="1">{#N/A,#N/A,FALSE,"bs_cons";#N/A,#N/A,FALSE,"bs_grup";#N/A,#N/A,FALSE,"bs_umpl";#N/A,#N/A,FALSE,"bs_bim";#N/A,#N/A,FALSE,"bs_bdb";#N/A,#N/A,FALSE,"bs_mq32";#N/A,#N/A,FALSE,"bs_bsrl"}</definedName>
    <definedName name="wrn.BSCOMIT." localSheetId="5" hidden="1">{#N/A,#N/A,FALSE,"bs_cons";#N/A,#N/A,FALSE,"bs_grup";#N/A,#N/A,FALSE,"bs_umpl";#N/A,#N/A,FALSE,"bs_bim";#N/A,#N/A,FALSE,"bs_bdb";#N/A,#N/A,FALSE,"bs_mq32";#N/A,#N/A,FALSE,"bs_bsrl"}</definedName>
    <definedName name="wrn.BSCOMIT." localSheetId="8" hidden="1">{#N/A,#N/A,FALSE,"bs_cons";#N/A,#N/A,FALSE,"bs_grup";#N/A,#N/A,FALSE,"bs_umpl";#N/A,#N/A,FALSE,"bs_bim";#N/A,#N/A,FALSE,"bs_bdb";#N/A,#N/A,FALSE,"bs_mq32";#N/A,#N/A,FALSE,"bs_bsrl"}</definedName>
    <definedName name="wrn.BSCOMIT." localSheetId="10" hidden="1">{#N/A,#N/A,FALSE,"bs_cons";#N/A,#N/A,FALSE,"bs_grup";#N/A,#N/A,FALSE,"bs_umpl";#N/A,#N/A,FALSE,"bs_bim";#N/A,#N/A,FALSE,"bs_bdb";#N/A,#N/A,FALSE,"bs_mq32";#N/A,#N/A,FALSE,"bs_bsrl"}</definedName>
    <definedName name="wrn.BSCOMIT." localSheetId="12" hidden="1">{#N/A,#N/A,FALSE,"bs_cons";#N/A,#N/A,FALSE,"bs_grup";#N/A,#N/A,FALSE,"bs_umpl";#N/A,#N/A,FALSE,"bs_bim";#N/A,#N/A,FALSE,"bs_bdb";#N/A,#N/A,FALSE,"bs_mq32";#N/A,#N/A,FALSE,"bs_bsrl"}</definedName>
    <definedName name="wrn.BSCOMIT." localSheetId="14" hidden="1">{#N/A,#N/A,FALSE,"bs_cons";#N/A,#N/A,FALSE,"bs_grup";#N/A,#N/A,FALSE,"bs_umpl";#N/A,#N/A,FALSE,"bs_bim";#N/A,#N/A,FALSE,"bs_bdb";#N/A,#N/A,FALSE,"bs_mq32";#N/A,#N/A,FALSE,"bs_bsrl"}</definedName>
    <definedName name="wrn.BSCOMIT." localSheetId="16" hidden="1">{#N/A,#N/A,FALSE,"bs_cons";#N/A,#N/A,FALSE,"bs_grup";#N/A,#N/A,FALSE,"bs_umpl";#N/A,#N/A,FALSE,"bs_bim";#N/A,#N/A,FALSE,"bs_bdb";#N/A,#N/A,FALSE,"bs_mq32";#N/A,#N/A,FALSE,"bs_bsrl"}</definedName>
    <definedName name="wrn.BSCOMIT." localSheetId="22" hidden="1">{#N/A,#N/A,FALSE,"bs_cons";#N/A,#N/A,FALSE,"bs_grup";#N/A,#N/A,FALSE,"bs_umpl";#N/A,#N/A,FALSE,"bs_bim";#N/A,#N/A,FALSE,"bs_bdb";#N/A,#N/A,FALSE,"bs_mq32";#N/A,#N/A,FALSE,"bs_bsrl"}</definedName>
    <definedName name="wrn.BSCOMIT." localSheetId="24" hidden="1">{#N/A,#N/A,FALSE,"bs_cons";#N/A,#N/A,FALSE,"bs_grup";#N/A,#N/A,FALSE,"bs_umpl";#N/A,#N/A,FALSE,"bs_bim";#N/A,#N/A,FALSE,"bs_bdb";#N/A,#N/A,FALSE,"bs_mq32";#N/A,#N/A,FALSE,"bs_bsrl"}</definedName>
    <definedName name="wrn.BSCOMIT." localSheetId="26" hidden="1">{#N/A,#N/A,FALSE,"bs_cons";#N/A,#N/A,FALSE,"bs_grup";#N/A,#N/A,FALSE,"bs_umpl";#N/A,#N/A,FALSE,"bs_bim";#N/A,#N/A,FALSE,"bs_bdb";#N/A,#N/A,FALSE,"bs_mq32";#N/A,#N/A,FALSE,"bs_bsrl"}</definedName>
    <definedName name="wrn.BSCOMIT." localSheetId="28" hidden="1">{#N/A,#N/A,FALSE,"bs_cons";#N/A,#N/A,FALSE,"bs_grup";#N/A,#N/A,FALSE,"bs_umpl";#N/A,#N/A,FALSE,"bs_bim";#N/A,#N/A,FALSE,"bs_bdb";#N/A,#N/A,FALSE,"bs_mq32";#N/A,#N/A,FALSE,"bs_bsrl"}</definedName>
    <definedName name="wrn.BSCOMIT." localSheetId="30" hidden="1">{#N/A,#N/A,FALSE,"bs_cons";#N/A,#N/A,FALSE,"bs_grup";#N/A,#N/A,FALSE,"bs_umpl";#N/A,#N/A,FALSE,"bs_bim";#N/A,#N/A,FALSE,"bs_bdb";#N/A,#N/A,FALSE,"bs_mq32";#N/A,#N/A,FALSE,"bs_bsrl"}</definedName>
    <definedName name="wrn.BSCOMIT." localSheetId="32" hidden="1">{#N/A,#N/A,FALSE,"bs_cons";#N/A,#N/A,FALSE,"bs_grup";#N/A,#N/A,FALSE,"bs_umpl";#N/A,#N/A,FALSE,"bs_bim";#N/A,#N/A,FALSE,"bs_bdb";#N/A,#N/A,FALSE,"bs_mq32";#N/A,#N/A,FALSE,"bs_bsrl"}</definedName>
    <definedName name="wrn.BSCOMIT." localSheetId="34" hidden="1">{#N/A,#N/A,FALSE,"bs_cons";#N/A,#N/A,FALSE,"bs_grup";#N/A,#N/A,FALSE,"bs_umpl";#N/A,#N/A,FALSE,"bs_bim";#N/A,#N/A,FALSE,"bs_bdb";#N/A,#N/A,FALSE,"bs_mq32";#N/A,#N/A,FALSE,"bs_bsrl"}</definedName>
    <definedName name="wrn.BSCOMIT." localSheetId="36" hidden="1">{#N/A,#N/A,FALSE,"bs_cons";#N/A,#N/A,FALSE,"bs_grup";#N/A,#N/A,FALSE,"bs_umpl";#N/A,#N/A,FALSE,"bs_bim";#N/A,#N/A,FALSE,"bs_bdb";#N/A,#N/A,FALSE,"bs_mq32";#N/A,#N/A,FALSE,"bs_bsrl"}</definedName>
    <definedName name="wrn.BSCOMIT." localSheetId="38" hidden="1">{#N/A,#N/A,FALSE,"bs_cons";#N/A,#N/A,FALSE,"bs_grup";#N/A,#N/A,FALSE,"bs_umpl";#N/A,#N/A,FALSE,"bs_bim";#N/A,#N/A,FALSE,"bs_bdb";#N/A,#N/A,FALSE,"bs_mq32";#N/A,#N/A,FALSE,"bs_bsrl"}</definedName>
    <definedName name="wrn.BSCOMIT." hidden="1">{#N/A,#N/A,FALSE,"bs_cons";#N/A,#N/A,FALSE,"bs_grup";#N/A,#N/A,FALSE,"bs_umpl";#N/A,#N/A,FALSE,"bs_bim";#N/A,#N/A,FALSE,"bs_bdb";#N/A,#N/A,FALSE,"bs_mq32";#N/A,#N/A,FALSE,"bs_bsrl"}</definedName>
    <definedName name="wrn.Capex." localSheetId="3" hidden="1">{#N/A,#N/A,TRUE,"Capex Summ";#N/A,#N/A,TRUE,"Essential Works.tw";#N/A,#N/A,TRUE,"Desirable Works.tw";#N/A,#N/A,TRUE,"Essential Works.rt";#N/A,#N/A,TRUE,"Desirable Works.rt";#N/A,#N/A,TRUE,"Mthly";#N/A,#N/A,TRUE,"Essential Works.ht";#N/A,#N/A,TRUE,"Desirable Works.ht";#N/A,#N/A,TRUE,"Incentives"}</definedName>
    <definedName name="wrn.Capex." localSheetId="5" hidden="1">{#N/A,#N/A,TRUE,"Capex Summ";#N/A,#N/A,TRUE,"Essential Works.tw";#N/A,#N/A,TRUE,"Desirable Works.tw";#N/A,#N/A,TRUE,"Essential Works.rt";#N/A,#N/A,TRUE,"Desirable Works.rt";#N/A,#N/A,TRUE,"Mthly";#N/A,#N/A,TRUE,"Essential Works.ht";#N/A,#N/A,TRUE,"Desirable Works.ht";#N/A,#N/A,TRUE,"Incentives"}</definedName>
    <definedName name="wrn.Capex." localSheetId="8" hidden="1">{#N/A,#N/A,TRUE,"Capex Summ";#N/A,#N/A,TRUE,"Essential Works.tw";#N/A,#N/A,TRUE,"Desirable Works.tw";#N/A,#N/A,TRUE,"Essential Works.rt";#N/A,#N/A,TRUE,"Desirable Works.rt";#N/A,#N/A,TRUE,"Mthly";#N/A,#N/A,TRUE,"Essential Works.ht";#N/A,#N/A,TRUE,"Desirable Works.ht";#N/A,#N/A,TRUE,"Incentives"}</definedName>
    <definedName name="wrn.Capex." localSheetId="10" hidden="1">{#N/A,#N/A,TRUE,"Capex Summ";#N/A,#N/A,TRUE,"Essential Works.tw";#N/A,#N/A,TRUE,"Desirable Works.tw";#N/A,#N/A,TRUE,"Essential Works.rt";#N/A,#N/A,TRUE,"Desirable Works.rt";#N/A,#N/A,TRUE,"Mthly";#N/A,#N/A,TRUE,"Essential Works.ht";#N/A,#N/A,TRUE,"Desirable Works.ht";#N/A,#N/A,TRUE,"Incentives"}</definedName>
    <definedName name="wrn.Capex." localSheetId="12" hidden="1">{#N/A,#N/A,TRUE,"Capex Summ";#N/A,#N/A,TRUE,"Essential Works.tw";#N/A,#N/A,TRUE,"Desirable Works.tw";#N/A,#N/A,TRUE,"Essential Works.rt";#N/A,#N/A,TRUE,"Desirable Works.rt";#N/A,#N/A,TRUE,"Mthly";#N/A,#N/A,TRUE,"Essential Works.ht";#N/A,#N/A,TRUE,"Desirable Works.ht";#N/A,#N/A,TRUE,"Incentives"}</definedName>
    <definedName name="wrn.Capex." localSheetId="14" hidden="1">{#N/A,#N/A,TRUE,"Capex Summ";#N/A,#N/A,TRUE,"Essential Works.tw";#N/A,#N/A,TRUE,"Desirable Works.tw";#N/A,#N/A,TRUE,"Essential Works.rt";#N/A,#N/A,TRUE,"Desirable Works.rt";#N/A,#N/A,TRUE,"Mthly";#N/A,#N/A,TRUE,"Essential Works.ht";#N/A,#N/A,TRUE,"Desirable Works.ht";#N/A,#N/A,TRUE,"Incentives"}</definedName>
    <definedName name="wrn.Capex." localSheetId="16" hidden="1">{#N/A,#N/A,TRUE,"Capex Summ";#N/A,#N/A,TRUE,"Essential Works.tw";#N/A,#N/A,TRUE,"Desirable Works.tw";#N/A,#N/A,TRUE,"Essential Works.rt";#N/A,#N/A,TRUE,"Desirable Works.rt";#N/A,#N/A,TRUE,"Mthly";#N/A,#N/A,TRUE,"Essential Works.ht";#N/A,#N/A,TRUE,"Desirable Works.ht";#N/A,#N/A,TRUE,"Incentives"}</definedName>
    <definedName name="wrn.Capex." localSheetId="22" hidden="1">{#N/A,#N/A,TRUE,"Capex Summ";#N/A,#N/A,TRUE,"Essential Works.tw";#N/A,#N/A,TRUE,"Desirable Works.tw";#N/A,#N/A,TRUE,"Essential Works.rt";#N/A,#N/A,TRUE,"Desirable Works.rt";#N/A,#N/A,TRUE,"Mthly";#N/A,#N/A,TRUE,"Essential Works.ht";#N/A,#N/A,TRUE,"Desirable Works.ht";#N/A,#N/A,TRUE,"Incentives"}</definedName>
    <definedName name="wrn.Capex." localSheetId="40" hidden="1">{#N/A,#N/A,TRUE,"Capex Summ";#N/A,#N/A,TRUE,"Essential Works.tw";#N/A,#N/A,TRUE,"Desirable Works.tw";#N/A,#N/A,TRUE,"Essential Works.rt";#N/A,#N/A,TRUE,"Desirable Works.rt";#N/A,#N/A,TRUE,"Mthly";#N/A,#N/A,TRUE,"Essential Works.ht";#N/A,#N/A,TRUE,"Desirable Works.ht";#N/A,#N/A,TRUE,"Incentives"}</definedName>
    <definedName name="wrn.Capex." localSheetId="24" hidden="1">{#N/A,#N/A,TRUE,"Capex Summ";#N/A,#N/A,TRUE,"Essential Works.tw";#N/A,#N/A,TRUE,"Desirable Works.tw";#N/A,#N/A,TRUE,"Essential Works.rt";#N/A,#N/A,TRUE,"Desirable Works.rt";#N/A,#N/A,TRUE,"Mthly";#N/A,#N/A,TRUE,"Essential Works.ht";#N/A,#N/A,TRUE,"Desirable Works.ht";#N/A,#N/A,TRUE,"Incentives"}</definedName>
    <definedName name="wrn.Capex." localSheetId="26" hidden="1">{#N/A,#N/A,TRUE,"Capex Summ";#N/A,#N/A,TRUE,"Essential Works.tw";#N/A,#N/A,TRUE,"Desirable Works.tw";#N/A,#N/A,TRUE,"Essential Works.rt";#N/A,#N/A,TRUE,"Desirable Works.rt";#N/A,#N/A,TRUE,"Mthly";#N/A,#N/A,TRUE,"Essential Works.ht";#N/A,#N/A,TRUE,"Desirable Works.ht";#N/A,#N/A,TRUE,"Incentives"}</definedName>
    <definedName name="wrn.Capex." localSheetId="28" hidden="1">{#N/A,#N/A,TRUE,"Capex Summ";#N/A,#N/A,TRUE,"Essential Works.tw";#N/A,#N/A,TRUE,"Desirable Works.tw";#N/A,#N/A,TRUE,"Essential Works.rt";#N/A,#N/A,TRUE,"Desirable Works.rt";#N/A,#N/A,TRUE,"Mthly";#N/A,#N/A,TRUE,"Essential Works.ht";#N/A,#N/A,TRUE,"Desirable Works.ht";#N/A,#N/A,TRUE,"Incentives"}</definedName>
    <definedName name="wrn.Capex." localSheetId="30" hidden="1">{#N/A,#N/A,TRUE,"Capex Summ";#N/A,#N/A,TRUE,"Essential Works.tw";#N/A,#N/A,TRUE,"Desirable Works.tw";#N/A,#N/A,TRUE,"Essential Works.rt";#N/A,#N/A,TRUE,"Desirable Works.rt";#N/A,#N/A,TRUE,"Mthly";#N/A,#N/A,TRUE,"Essential Works.ht";#N/A,#N/A,TRUE,"Desirable Works.ht";#N/A,#N/A,TRUE,"Incentives"}</definedName>
    <definedName name="wrn.Capex." localSheetId="32" hidden="1">{#N/A,#N/A,TRUE,"Capex Summ";#N/A,#N/A,TRUE,"Essential Works.tw";#N/A,#N/A,TRUE,"Desirable Works.tw";#N/A,#N/A,TRUE,"Essential Works.rt";#N/A,#N/A,TRUE,"Desirable Works.rt";#N/A,#N/A,TRUE,"Mthly";#N/A,#N/A,TRUE,"Essential Works.ht";#N/A,#N/A,TRUE,"Desirable Works.ht";#N/A,#N/A,TRUE,"Incentives"}</definedName>
    <definedName name="wrn.Capex." localSheetId="34" hidden="1">{#N/A,#N/A,TRUE,"Capex Summ";#N/A,#N/A,TRUE,"Essential Works.tw";#N/A,#N/A,TRUE,"Desirable Works.tw";#N/A,#N/A,TRUE,"Essential Works.rt";#N/A,#N/A,TRUE,"Desirable Works.rt";#N/A,#N/A,TRUE,"Mthly";#N/A,#N/A,TRUE,"Essential Works.ht";#N/A,#N/A,TRUE,"Desirable Works.ht";#N/A,#N/A,TRUE,"Incentives"}</definedName>
    <definedName name="wrn.Capex." localSheetId="36" hidden="1">{#N/A,#N/A,TRUE,"Capex Summ";#N/A,#N/A,TRUE,"Essential Works.tw";#N/A,#N/A,TRUE,"Desirable Works.tw";#N/A,#N/A,TRUE,"Essential Works.rt";#N/A,#N/A,TRUE,"Desirable Works.rt";#N/A,#N/A,TRUE,"Mthly";#N/A,#N/A,TRUE,"Essential Works.ht";#N/A,#N/A,TRUE,"Desirable Works.ht";#N/A,#N/A,TRUE,"Incentives"}</definedName>
    <definedName name="wrn.Capex." localSheetId="38" hidden="1">{#N/A,#N/A,TRUE,"Capex Summ";#N/A,#N/A,TRUE,"Essential Works.tw";#N/A,#N/A,TRUE,"Desirable Works.tw";#N/A,#N/A,TRUE,"Essential Works.rt";#N/A,#N/A,TRUE,"Desirable Works.rt";#N/A,#N/A,TRUE,"Mthly";#N/A,#N/A,TRUE,"Essential Works.ht";#N/A,#N/A,TRUE,"Desirable Works.ht";#N/A,#N/A,TRUE,"Incentives"}</definedName>
    <definedName name="wrn.Capex." hidden="1">{#N/A,#N/A,TRUE,"Capex Summ";#N/A,#N/A,TRUE,"Essential Works.tw";#N/A,#N/A,TRUE,"Desirable Works.tw";#N/A,#N/A,TRUE,"Essential Works.rt";#N/A,#N/A,TRUE,"Desirable Works.rt";#N/A,#N/A,TRUE,"Mthly";#N/A,#N/A,TRUE,"Essential Works.ht";#N/A,#N/A,TRUE,"Desirable Works.ht";#N/A,#N/A,TRUE,"Incentives"}</definedName>
    <definedName name="wrn.Cash._.Flow._.As._.Is._.and._.Assumptions." localSheetId="3" hidden="1">{#N/A,#N/A,TRUE,"Asmp";#N/A,#N/A,TRUE,"CF"}</definedName>
    <definedName name="wrn.Cash._.Flow._.As._.Is._.and._.Assumptions." localSheetId="5" hidden="1">{#N/A,#N/A,TRUE,"Asmp";#N/A,#N/A,TRUE,"CF"}</definedName>
    <definedName name="wrn.Cash._.Flow._.As._.Is._.and._.Assumptions." localSheetId="8" hidden="1">{#N/A,#N/A,TRUE,"Asmp";#N/A,#N/A,TRUE,"CF"}</definedName>
    <definedName name="wrn.Cash._.Flow._.As._.Is._.and._.Assumptions." localSheetId="10" hidden="1">{#N/A,#N/A,TRUE,"Asmp";#N/A,#N/A,TRUE,"CF"}</definedName>
    <definedName name="wrn.Cash._.Flow._.As._.Is._.and._.Assumptions." localSheetId="12" hidden="1">{#N/A,#N/A,TRUE,"Asmp";#N/A,#N/A,TRUE,"CF"}</definedName>
    <definedName name="wrn.Cash._.Flow._.As._.Is._.and._.Assumptions." localSheetId="14" hidden="1">{#N/A,#N/A,TRUE,"Asmp";#N/A,#N/A,TRUE,"CF"}</definedName>
    <definedName name="wrn.Cash._.Flow._.As._.Is._.and._.Assumptions." localSheetId="16" hidden="1">{#N/A,#N/A,TRUE,"Asmp";#N/A,#N/A,TRUE,"CF"}</definedName>
    <definedName name="wrn.Cash._.Flow._.As._.Is._.and._.Assumptions." localSheetId="22" hidden="1">{#N/A,#N/A,TRUE,"Asmp";#N/A,#N/A,TRUE,"CF"}</definedName>
    <definedName name="wrn.Cash._.Flow._.As._.Is._.and._.Assumptions." localSheetId="24" hidden="1">{#N/A,#N/A,TRUE,"Asmp";#N/A,#N/A,TRUE,"CF"}</definedName>
    <definedName name="wrn.Cash._.Flow._.As._.Is._.and._.Assumptions." localSheetId="26" hidden="1">{#N/A,#N/A,TRUE,"Asmp";#N/A,#N/A,TRUE,"CF"}</definedName>
    <definedName name="wrn.Cash._.Flow._.As._.Is._.and._.Assumptions." localSheetId="28" hidden="1">{#N/A,#N/A,TRUE,"Asmp";#N/A,#N/A,TRUE,"CF"}</definedName>
    <definedName name="wrn.Cash._.Flow._.As._.Is._.and._.Assumptions." localSheetId="30" hidden="1">{#N/A,#N/A,TRUE,"Asmp";#N/A,#N/A,TRUE,"CF"}</definedName>
    <definedName name="wrn.Cash._.Flow._.As._.Is._.and._.Assumptions." localSheetId="32" hidden="1">{#N/A,#N/A,TRUE,"Asmp";#N/A,#N/A,TRUE,"CF"}</definedName>
    <definedName name="wrn.Cash._.Flow._.As._.Is._.and._.Assumptions." localSheetId="34" hidden="1">{#N/A,#N/A,TRUE,"Asmp";#N/A,#N/A,TRUE,"CF"}</definedName>
    <definedName name="wrn.Cash._.Flow._.As._.Is._.and._.Assumptions." localSheetId="36" hidden="1">{#N/A,#N/A,TRUE,"Asmp";#N/A,#N/A,TRUE,"CF"}</definedName>
    <definedName name="wrn.Cash._.Flow._.As._.Is._.and._.Assumptions." localSheetId="38" hidden="1">{#N/A,#N/A,TRUE,"Asmp";#N/A,#N/A,TRUE,"CF"}</definedName>
    <definedName name="wrn.Cash._.Flow._.As._.Is._.and._.Assumptions." hidden="1">{#N/A,#N/A,TRUE,"Asmp";#N/A,#N/A,TRUE,"CF"}</definedName>
    <definedName name="wrn.Complet." localSheetId="3" hidden="1">{"Point Mort",#N/A,FALSE,"Ratios";"Tableaux",#N/A,FALSE,"Ratios"}</definedName>
    <definedName name="wrn.Complet." localSheetId="5" hidden="1">{"Point Mort",#N/A,FALSE,"Ratios";"Tableaux",#N/A,FALSE,"Ratios"}</definedName>
    <definedName name="wrn.Complet." localSheetId="8" hidden="1">{"Point Mort",#N/A,FALSE,"Ratios";"Tableaux",#N/A,FALSE,"Ratios"}</definedName>
    <definedName name="wrn.Complet." localSheetId="10" hidden="1">{"Point Mort",#N/A,FALSE,"Ratios";"Tableaux",#N/A,FALSE,"Ratios"}</definedName>
    <definedName name="wrn.Complet." localSheetId="12" hidden="1">{"Point Mort",#N/A,FALSE,"Ratios";"Tableaux",#N/A,FALSE,"Ratios"}</definedName>
    <definedName name="wrn.Complet." localSheetId="14" hidden="1">{"Point Mort",#N/A,FALSE,"Ratios";"Tableaux",#N/A,FALSE,"Ratios"}</definedName>
    <definedName name="wrn.Complet." localSheetId="16" hidden="1">{"Point Mort",#N/A,FALSE,"Ratios";"Tableaux",#N/A,FALSE,"Ratios"}</definedName>
    <definedName name="wrn.Complet." localSheetId="22" hidden="1">{"Point Mort",#N/A,FALSE,"Ratios";"Tableaux",#N/A,FALSE,"Ratios"}</definedName>
    <definedName name="wrn.Complet." localSheetId="24" hidden="1">{"Point Mort",#N/A,FALSE,"Ratios";"Tableaux",#N/A,FALSE,"Ratios"}</definedName>
    <definedName name="wrn.Complet." localSheetId="26" hidden="1">{"Point Mort",#N/A,FALSE,"Ratios";"Tableaux",#N/A,FALSE,"Ratios"}</definedName>
    <definedName name="wrn.Complet." localSheetId="28" hidden="1">{"Point Mort",#N/A,FALSE,"Ratios";"Tableaux",#N/A,FALSE,"Ratios"}</definedName>
    <definedName name="wrn.Complet." localSheetId="30" hidden="1">{"Point Mort",#N/A,FALSE,"Ratios";"Tableaux",#N/A,FALSE,"Ratios"}</definedName>
    <definedName name="wrn.Complet." localSheetId="32" hidden="1">{"Point Mort",#N/A,FALSE,"Ratios";"Tableaux",#N/A,FALSE,"Ratios"}</definedName>
    <definedName name="wrn.Complet." localSheetId="34" hidden="1">{"Point Mort",#N/A,FALSE,"Ratios";"Tableaux",#N/A,FALSE,"Ratios"}</definedName>
    <definedName name="wrn.Complet." localSheetId="36" hidden="1">{"Point Mort",#N/A,FALSE,"Ratios";"Tableaux",#N/A,FALSE,"Ratios"}</definedName>
    <definedName name="wrn.Complet." localSheetId="38" hidden="1">{"Point Mort",#N/A,FALSE,"Ratios";"Tableaux",#N/A,FALSE,"Ratios"}</definedName>
    <definedName name="wrn.Complet." hidden="1">{"Point Mort",#N/A,FALSE,"Ratios";"Tableaux",#N/A,FALSE,"Ratios"}</definedName>
    <definedName name="wrn.Completo." localSheetId="3" hidden="1">{"Completo",#N/A,FALSE,"ONNET2B"}</definedName>
    <definedName name="wrn.Completo." localSheetId="5" hidden="1">{"Completo",#N/A,FALSE,"ONNET2B"}</definedName>
    <definedName name="wrn.Completo." localSheetId="8" hidden="1">{"Completo",#N/A,FALSE,"ONNET2B"}</definedName>
    <definedName name="wrn.Completo." localSheetId="10" hidden="1">{"Completo",#N/A,FALSE,"ONNET2B"}</definedName>
    <definedName name="wrn.Completo." localSheetId="12" hidden="1">{"Completo",#N/A,FALSE,"ONNET2B"}</definedName>
    <definedName name="wrn.Completo." localSheetId="14" hidden="1">{"Completo",#N/A,FALSE,"ONNET2B"}</definedName>
    <definedName name="wrn.Completo." localSheetId="16" hidden="1">{"Completo",#N/A,FALSE,"ONNET2B"}</definedName>
    <definedName name="wrn.Completo." localSheetId="22" hidden="1">{"Completo",#N/A,FALSE,"ONNET2B"}</definedName>
    <definedName name="wrn.Completo." localSheetId="24" hidden="1">{"Completo",#N/A,FALSE,"ONNET2B"}</definedName>
    <definedName name="wrn.Completo." localSheetId="26" hidden="1">{"Completo",#N/A,FALSE,"ONNET2B"}</definedName>
    <definedName name="wrn.Completo." localSheetId="28" hidden="1">{"Completo",#N/A,FALSE,"ONNET2B"}</definedName>
    <definedName name="wrn.Completo." localSheetId="30" hidden="1">{"Completo",#N/A,FALSE,"ONNET2B"}</definedName>
    <definedName name="wrn.Completo." localSheetId="32" hidden="1">{"Completo",#N/A,FALSE,"ONNET2B"}</definedName>
    <definedName name="wrn.Completo." localSheetId="34" hidden="1">{"Completo",#N/A,FALSE,"ONNET2B"}</definedName>
    <definedName name="wrn.Completo." localSheetId="36" hidden="1">{"Completo",#N/A,FALSE,"ONNET2B"}</definedName>
    <definedName name="wrn.Completo." localSheetId="38" hidden="1">{"Completo",#N/A,FALSE,"ONNET2B"}</definedName>
    <definedName name="wrn.Completo." hidden="1">{"Completo",#N/A,FALSE,"ONNET2B"}</definedName>
    <definedName name="wrn.cowboy." localSheetId="3" hidden="1">{"assumptions",#N/A,FALSE,"Assumption Summary";"proforma97",#N/A,FALSE,"97 pro forma";"sensitivity97",#N/A,FALSE,"97 sensitivity ";"proforma98",#N/A,FALSE,"98 pro forma";"sensitivity98",#N/A,FALSE,"98 sensitivity"}</definedName>
    <definedName name="wrn.cowboy." localSheetId="5" hidden="1">{"assumptions",#N/A,FALSE,"Assumption Summary";"proforma97",#N/A,FALSE,"97 pro forma";"sensitivity97",#N/A,FALSE,"97 sensitivity ";"proforma98",#N/A,FALSE,"98 pro forma";"sensitivity98",#N/A,FALSE,"98 sensitivity"}</definedName>
    <definedName name="wrn.cowboy." localSheetId="8" hidden="1">{"assumptions",#N/A,FALSE,"Assumption Summary";"proforma97",#N/A,FALSE,"97 pro forma";"sensitivity97",#N/A,FALSE,"97 sensitivity ";"proforma98",#N/A,FALSE,"98 pro forma";"sensitivity98",#N/A,FALSE,"98 sensitivity"}</definedName>
    <definedName name="wrn.cowboy." localSheetId="10" hidden="1">{"assumptions",#N/A,FALSE,"Assumption Summary";"proforma97",#N/A,FALSE,"97 pro forma";"sensitivity97",#N/A,FALSE,"97 sensitivity ";"proforma98",#N/A,FALSE,"98 pro forma";"sensitivity98",#N/A,FALSE,"98 sensitivity"}</definedName>
    <definedName name="wrn.cowboy." localSheetId="12" hidden="1">{"assumptions",#N/A,FALSE,"Assumption Summary";"proforma97",#N/A,FALSE,"97 pro forma";"sensitivity97",#N/A,FALSE,"97 sensitivity ";"proforma98",#N/A,FALSE,"98 pro forma";"sensitivity98",#N/A,FALSE,"98 sensitivity"}</definedName>
    <definedName name="wrn.cowboy." localSheetId="14" hidden="1">{"assumptions",#N/A,FALSE,"Assumption Summary";"proforma97",#N/A,FALSE,"97 pro forma";"sensitivity97",#N/A,FALSE,"97 sensitivity ";"proforma98",#N/A,FALSE,"98 pro forma";"sensitivity98",#N/A,FALSE,"98 sensitivity"}</definedName>
    <definedName name="wrn.cowboy." localSheetId="16" hidden="1">{"assumptions",#N/A,FALSE,"Assumption Summary";"proforma97",#N/A,FALSE,"97 pro forma";"sensitivity97",#N/A,FALSE,"97 sensitivity ";"proforma98",#N/A,FALSE,"98 pro forma";"sensitivity98",#N/A,FALSE,"98 sensitivity"}</definedName>
    <definedName name="wrn.cowboy." localSheetId="22" hidden="1">{"assumptions",#N/A,FALSE,"Assumption Summary";"proforma97",#N/A,FALSE,"97 pro forma";"sensitivity97",#N/A,FALSE,"97 sensitivity ";"proforma98",#N/A,FALSE,"98 pro forma";"sensitivity98",#N/A,FALSE,"98 sensitivity"}</definedName>
    <definedName name="wrn.cowboy." localSheetId="24" hidden="1">{"assumptions",#N/A,FALSE,"Assumption Summary";"proforma97",#N/A,FALSE,"97 pro forma";"sensitivity97",#N/A,FALSE,"97 sensitivity ";"proforma98",#N/A,FALSE,"98 pro forma";"sensitivity98",#N/A,FALSE,"98 sensitivity"}</definedName>
    <definedName name="wrn.cowboy." localSheetId="26" hidden="1">{"assumptions",#N/A,FALSE,"Assumption Summary";"proforma97",#N/A,FALSE,"97 pro forma";"sensitivity97",#N/A,FALSE,"97 sensitivity ";"proforma98",#N/A,FALSE,"98 pro forma";"sensitivity98",#N/A,FALSE,"98 sensitivity"}</definedName>
    <definedName name="wrn.cowboy." localSheetId="28" hidden="1">{"assumptions",#N/A,FALSE,"Assumption Summary";"proforma97",#N/A,FALSE,"97 pro forma";"sensitivity97",#N/A,FALSE,"97 sensitivity ";"proforma98",#N/A,FALSE,"98 pro forma";"sensitivity98",#N/A,FALSE,"98 sensitivity"}</definedName>
    <definedName name="wrn.cowboy." localSheetId="30" hidden="1">{"assumptions",#N/A,FALSE,"Assumption Summary";"proforma97",#N/A,FALSE,"97 pro forma";"sensitivity97",#N/A,FALSE,"97 sensitivity ";"proforma98",#N/A,FALSE,"98 pro forma";"sensitivity98",#N/A,FALSE,"98 sensitivity"}</definedName>
    <definedName name="wrn.cowboy." localSheetId="32" hidden="1">{"assumptions",#N/A,FALSE,"Assumption Summary";"proforma97",#N/A,FALSE,"97 pro forma";"sensitivity97",#N/A,FALSE,"97 sensitivity ";"proforma98",#N/A,FALSE,"98 pro forma";"sensitivity98",#N/A,FALSE,"98 sensitivity"}</definedName>
    <definedName name="wrn.cowboy." localSheetId="34" hidden="1">{"assumptions",#N/A,FALSE,"Assumption Summary";"proforma97",#N/A,FALSE,"97 pro forma";"sensitivity97",#N/A,FALSE,"97 sensitivity ";"proforma98",#N/A,FALSE,"98 pro forma";"sensitivity98",#N/A,FALSE,"98 sensitivity"}</definedName>
    <definedName name="wrn.cowboy." localSheetId="36" hidden="1">{"assumptions",#N/A,FALSE,"Assumption Summary";"proforma97",#N/A,FALSE,"97 pro forma";"sensitivity97",#N/A,FALSE,"97 sensitivity ";"proforma98",#N/A,FALSE,"98 pro forma";"sensitivity98",#N/A,FALSE,"98 sensitivity"}</definedName>
    <definedName name="wrn.cowboy." localSheetId="38" hidden="1">{"assumptions",#N/A,FALSE,"Assumption Summary";"proforma97",#N/A,FALSE,"97 pro forma";"sensitivity97",#N/A,FALSE,"97 sensitivity ";"proforma98",#N/A,FALSE,"98 pro forma";"sensitivity98",#N/A,FALSE,"98 sensitivity"}</definedName>
    <definedName name="wrn.cowboy." hidden="1">{"assumptions",#N/A,FALSE,"Assumption Summary";"proforma97",#N/A,FALSE,"97 pro forma";"sensitivity97",#N/A,FALSE,"97 sensitivity ";"proforma98",#N/A,FALSE,"98 pro forma";"sensitivity98",#N/A,FALSE,"98 sensitivity"}</definedName>
    <definedName name="wrn.Danilo." localSheetId="3" hidden="1">{#N/A,#N/A,TRUE,"Main Issues";#N/A,#N/A,TRUE,"Income statement ($)"}</definedName>
    <definedName name="wrn.Danilo." localSheetId="5" hidden="1">{#N/A,#N/A,TRUE,"Main Issues";#N/A,#N/A,TRUE,"Income statement ($)"}</definedName>
    <definedName name="wrn.Danilo." localSheetId="8" hidden="1">{#N/A,#N/A,TRUE,"Main Issues";#N/A,#N/A,TRUE,"Income statement ($)"}</definedName>
    <definedName name="wrn.Danilo." localSheetId="10" hidden="1">{#N/A,#N/A,TRUE,"Main Issues";#N/A,#N/A,TRUE,"Income statement ($)"}</definedName>
    <definedName name="wrn.Danilo." localSheetId="12" hidden="1">{#N/A,#N/A,TRUE,"Main Issues";#N/A,#N/A,TRUE,"Income statement ($)"}</definedName>
    <definedName name="wrn.Danilo." localSheetId="14" hidden="1">{#N/A,#N/A,TRUE,"Main Issues";#N/A,#N/A,TRUE,"Income statement ($)"}</definedName>
    <definedName name="wrn.Danilo." localSheetId="16" hidden="1">{#N/A,#N/A,TRUE,"Main Issues";#N/A,#N/A,TRUE,"Income statement ($)"}</definedName>
    <definedName name="wrn.Danilo." localSheetId="22" hidden="1">{#N/A,#N/A,TRUE,"Main Issues";#N/A,#N/A,TRUE,"Income statement ($)"}</definedName>
    <definedName name="wrn.Danilo." localSheetId="24" hidden="1">{#N/A,#N/A,TRUE,"Main Issues";#N/A,#N/A,TRUE,"Income statement ($)"}</definedName>
    <definedName name="wrn.Danilo." localSheetId="26" hidden="1">{#N/A,#N/A,TRUE,"Main Issues";#N/A,#N/A,TRUE,"Income statement ($)"}</definedName>
    <definedName name="wrn.Danilo." localSheetId="28" hidden="1">{#N/A,#N/A,TRUE,"Main Issues";#N/A,#N/A,TRUE,"Income statement ($)"}</definedName>
    <definedName name="wrn.Danilo." localSheetId="30" hidden="1">{#N/A,#N/A,TRUE,"Main Issues";#N/A,#N/A,TRUE,"Income statement ($)"}</definedName>
    <definedName name="wrn.Danilo." localSheetId="32" hidden="1">{#N/A,#N/A,TRUE,"Main Issues";#N/A,#N/A,TRUE,"Income statement ($)"}</definedName>
    <definedName name="wrn.Danilo." localSheetId="34" hidden="1">{#N/A,#N/A,TRUE,"Main Issues";#N/A,#N/A,TRUE,"Income statement ($)"}</definedName>
    <definedName name="wrn.Danilo." localSheetId="36" hidden="1">{#N/A,#N/A,TRUE,"Main Issues";#N/A,#N/A,TRUE,"Income statement ($)"}</definedName>
    <definedName name="wrn.Danilo." localSheetId="38" hidden="1">{#N/A,#N/A,TRUE,"Main Issues";#N/A,#N/A,TRUE,"Income statement ($)"}</definedName>
    <definedName name="wrn.Danilo." hidden="1">{#N/A,#N/A,TRUE,"Main Issues";#N/A,#N/A,TRUE,"Income statement ($)"}</definedName>
    <definedName name="wrn.dcf." localSheetId="3" hidden="1">{"mgmt forecast",#N/A,FALSE,"Mgmt Forecast";"dcf table",#N/A,FALSE,"Mgmt Forecast";"sensitivity",#N/A,FALSE,"Mgmt Forecast";"table inputs",#N/A,FALSE,"Mgmt Forecast";"calculations",#N/A,FALSE,"Mgmt Forecast"}</definedName>
    <definedName name="wrn.dcf." localSheetId="5" hidden="1">{"mgmt forecast",#N/A,FALSE,"Mgmt Forecast";"dcf table",#N/A,FALSE,"Mgmt Forecast";"sensitivity",#N/A,FALSE,"Mgmt Forecast";"table inputs",#N/A,FALSE,"Mgmt Forecast";"calculations",#N/A,FALSE,"Mgmt Forecast"}</definedName>
    <definedName name="wrn.dcf." localSheetId="8" hidden="1">{"mgmt forecast",#N/A,FALSE,"Mgmt Forecast";"dcf table",#N/A,FALSE,"Mgmt Forecast";"sensitivity",#N/A,FALSE,"Mgmt Forecast";"table inputs",#N/A,FALSE,"Mgmt Forecast";"calculations",#N/A,FALSE,"Mgmt Forecast"}</definedName>
    <definedName name="wrn.dcf." localSheetId="10" hidden="1">{"mgmt forecast",#N/A,FALSE,"Mgmt Forecast";"dcf table",#N/A,FALSE,"Mgmt Forecast";"sensitivity",#N/A,FALSE,"Mgmt Forecast";"table inputs",#N/A,FALSE,"Mgmt Forecast";"calculations",#N/A,FALSE,"Mgmt Forecast"}</definedName>
    <definedName name="wrn.dcf." localSheetId="12" hidden="1">{"mgmt forecast",#N/A,FALSE,"Mgmt Forecast";"dcf table",#N/A,FALSE,"Mgmt Forecast";"sensitivity",#N/A,FALSE,"Mgmt Forecast";"table inputs",#N/A,FALSE,"Mgmt Forecast";"calculations",#N/A,FALSE,"Mgmt Forecast"}</definedName>
    <definedName name="wrn.dcf." localSheetId="14" hidden="1">{"mgmt forecast",#N/A,FALSE,"Mgmt Forecast";"dcf table",#N/A,FALSE,"Mgmt Forecast";"sensitivity",#N/A,FALSE,"Mgmt Forecast";"table inputs",#N/A,FALSE,"Mgmt Forecast";"calculations",#N/A,FALSE,"Mgmt Forecast"}</definedName>
    <definedName name="wrn.dcf." localSheetId="16" hidden="1">{"mgmt forecast",#N/A,FALSE,"Mgmt Forecast";"dcf table",#N/A,FALSE,"Mgmt Forecast";"sensitivity",#N/A,FALSE,"Mgmt Forecast";"table inputs",#N/A,FALSE,"Mgmt Forecast";"calculations",#N/A,FALSE,"Mgmt Forecast"}</definedName>
    <definedName name="wrn.dcf." localSheetId="22" hidden="1">{"mgmt forecast",#N/A,FALSE,"Mgmt Forecast";"dcf table",#N/A,FALSE,"Mgmt Forecast";"sensitivity",#N/A,FALSE,"Mgmt Forecast";"table inputs",#N/A,FALSE,"Mgmt Forecast";"calculations",#N/A,FALSE,"Mgmt Forecast"}</definedName>
    <definedName name="wrn.dcf." localSheetId="24" hidden="1">{"mgmt forecast",#N/A,FALSE,"Mgmt Forecast";"dcf table",#N/A,FALSE,"Mgmt Forecast";"sensitivity",#N/A,FALSE,"Mgmt Forecast";"table inputs",#N/A,FALSE,"Mgmt Forecast";"calculations",#N/A,FALSE,"Mgmt Forecast"}</definedName>
    <definedName name="wrn.dcf." localSheetId="26" hidden="1">{"mgmt forecast",#N/A,FALSE,"Mgmt Forecast";"dcf table",#N/A,FALSE,"Mgmt Forecast";"sensitivity",#N/A,FALSE,"Mgmt Forecast";"table inputs",#N/A,FALSE,"Mgmt Forecast";"calculations",#N/A,FALSE,"Mgmt Forecast"}</definedName>
    <definedName name="wrn.dcf." localSheetId="28" hidden="1">{"mgmt forecast",#N/A,FALSE,"Mgmt Forecast";"dcf table",#N/A,FALSE,"Mgmt Forecast";"sensitivity",#N/A,FALSE,"Mgmt Forecast";"table inputs",#N/A,FALSE,"Mgmt Forecast";"calculations",#N/A,FALSE,"Mgmt Forecast"}</definedName>
    <definedName name="wrn.dcf." localSheetId="30" hidden="1">{"mgmt forecast",#N/A,FALSE,"Mgmt Forecast";"dcf table",#N/A,FALSE,"Mgmt Forecast";"sensitivity",#N/A,FALSE,"Mgmt Forecast";"table inputs",#N/A,FALSE,"Mgmt Forecast";"calculations",#N/A,FALSE,"Mgmt Forecast"}</definedName>
    <definedName name="wrn.dcf." localSheetId="32" hidden="1">{"mgmt forecast",#N/A,FALSE,"Mgmt Forecast";"dcf table",#N/A,FALSE,"Mgmt Forecast";"sensitivity",#N/A,FALSE,"Mgmt Forecast";"table inputs",#N/A,FALSE,"Mgmt Forecast";"calculations",#N/A,FALSE,"Mgmt Forecast"}</definedName>
    <definedName name="wrn.dcf." localSheetId="34" hidden="1">{"mgmt forecast",#N/A,FALSE,"Mgmt Forecast";"dcf table",#N/A,FALSE,"Mgmt Forecast";"sensitivity",#N/A,FALSE,"Mgmt Forecast";"table inputs",#N/A,FALSE,"Mgmt Forecast";"calculations",#N/A,FALSE,"Mgmt Forecast"}</definedName>
    <definedName name="wrn.dcf." localSheetId="36" hidden="1">{"mgmt forecast",#N/A,FALSE,"Mgmt Forecast";"dcf table",#N/A,FALSE,"Mgmt Forecast";"sensitivity",#N/A,FALSE,"Mgmt Forecast";"table inputs",#N/A,FALSE,"Mgmt Forecast";"calculations",#N/A,FALSE,"Mgmt Forecast"}</definedName>
    <definedName name="wrn.dcf." localSheetId="38"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irettori." localSheetId="3" hidden="1">{#N/A,#N/A,FALSE,"L. Zottola";#N/A,#N/A,FALSE,"M. Ruggi";#N/A,#N/A,FALSE,"M. Valenti";#N/A,#N/A,FALSE,"C. Mazza";#N/A,#N/A,FALSE,"G. Bellinzona";#N/A,#N/A,FALSE,"M. Carletti";#N/A,#N/A,FALSE,"P. Maresca";#N/A,#N/A,FALSE,"L. Tondi";#N/A,#N/A,FALSE,"M. Marani";#N/A,#N/A,FALSE,"R. Ruggerini";#N/A,#N/A,FALSE,"L. Liguori";#N/A,#N/A,FALSE,"D. Battistel"}</definedName>
    <definedName name="wrn.direttori." localSheetId="5" hidden="1">{#N/A,#N/A,FALSE,"L. Zottola";#N/A,#N/A,FALSE,"M. Ruggi";#N/A,#N/A,FALSE,"M. Valenti";#N/A,#N/A,FALSE,"C. Mazza";#N/A,#N/A,FALSE,"G. Bellinzona";#N/A,#N/A,FALSE,"M. Carletti";#N/A,#N/A,FALSE,"P. Maresca";#N/A,#N/A,FALSE,"L. Tondi";#N/A,#N/A,FALSE,"M. Marani";#N/A,#N/A,FALSE,"R. Ruggerini";#N/A,#N/A,FALSE,"L. Liguori";#N/A,#N/A,FALSE,"D. Battistel"}</definedName>
    <definedName name="wrn.direttori." localSheetId="8" hidden="1">{#N/A,#N/A,FALSE,"L. Zottola";#N/A,#N/A,FALSE,"M. Ruggi";#N/A,#N/A,FALSE,"M. Valenti";#N/A,#N/A,FALSE,"C. Mazza";#N/A,#N/A,FALSE,"G. Bellinzona";#N/A,#N/A,FALSE,"M. Carletti";#N/A,#N/A,FALSE,"P. Maresca";#N/A,#N/A,FALSE,"L. Tondi";#N/A,#N/A,FALSE,"M. Marani";#N/A,#N/A,FALSE,"R. Ruggerini";#N/A,#N/A,FALSE,"L. Liguori";#N/A,#N/A,FALSE,"D. Battistel"}</definedName>
    <definedName name="wrn.direttori." localSheetId="10" hidden="1">{#N/A,#N/A,FALSE,"L. Zottola";#N/A,#N/A,FALSE,"M. Ruggi";#N/A,#N/A,FALSE,"M. Valenti";#N/A,#N/A,FALSE,"C. Mazza";#N/A,#N/A,FALSE,"G. Bellinzona";#N/A,#N/A,FALSE,"M. Carletti";#N/A,#N/A,FALSE,"P. Maresca";#N/A,#N/A,FALSE,"L. Tondi";#N/A,#N/A,FALSE,"M. Marani";#N/A,#N/A,FALSE,"R. Ruggerini";#N/A,#N/A,FALSE,"L. Liguori";#N/A,#N/A,FALSE,"D. Battistel"}</definedName>
    <definedName name="wrn.direttori." localSheetId="12" hidden="1">{#N/A,#N/A,FALSE,"L. Zottola";#N/A,#N/A,FALSE,"M. Ruggi";#N/A,#N/A,FALSE,"M. Valenti";#N/A,#N/A,FALSE,"C. Mazza";#N/A,#N/A,FALSE,"G. Bellinzona";#N/A,#N/A,FALSE,"M. Carletti";#N/A,#N/A,FALSE,"P. Maresca";#N/A,#N/A,FALSE,"L. Tondi";#N/A,#N/A,FALSE,"M. Marani";#N/A,#N/A,FALSE,"R. Ruggerini";#N/A,#N/A,FALSE,"L. Liguori";#N/A,#N/A,FALSE,"D. Battistel"}</definedName>
    <definedName name="wrn.direttori." localSheetId="14" hidden="1">{#N/A,#N/A,FALSE,"L. Zottola";#N/A,#N/A,FALSE,"M. Ruggi";#N/A,#N/A,FALSE,"M. Valenti";#N/A,#N/A,FALSE,"C. Mazza";#N/A,#N/A,FALSE,"G. Bellinzona";#N/A,#N/A,FALSE,"M. Carletti";#N/A,#N/A,FALSE,"P. Maresca";#N/A,#N/A,FALSE,"L. Tondi";#N/A,#N/A,FALSE,"M. Marani";#N/A,#N/A,FALSE,"R. Ruggerini";#N/A,#N/A,FALSE,"L. Liguori";#N/A,#N/A,FALSE,"D. Battistel"}</definedName>
    <definedName name="wrn.direttori." localSheetId="16" hidden="1">{#N/A,#N/A,FALSE,"L. Zottola";#N/A,#N/A,FALSE,"M. Ruggi";#N/A,#N/A,FALSE,"M. Valenti";#N/A,#N/A,FALSE,"C. Mazza";#N/A,#N/A,FALSE,"G. Bellinzona";#N/A,#N/A,FALSE,"M. Carletti";#N/A,#N/A,FALSE,"P. Maresca";#N/A,#N/A,FALSE,"L. Tondi";#N/A,#N/A,FALSE,"M. Marani";#N/A,#N/A,FALSE,"R. Ruggerini";#N/A,#N/A,FALSE,"L. Liguori";#N/A,#N/A,FALSE,"D. Battistel"}</definedName>
    <definedName name="wrn.direttori." localSheetId="22" hidden="1">{#N/A,#N/A,FALSE,"L. Zottola";#N/A,#N/A,FALSE,"M. Ruggi";#N/A,#N/A,FALSE,"M. Valenti";#N/A,#N/A,FALSE,"C. Mazza";#N/A,#N/A,FALSE,"G. Bellinzona";#N/A,#N/A,FALSE,"M. Carletti";#N/A,#N/A,FALSE,"P. Maresca";#N/A,#N/A,FALSE,"L. Tondi";#N/A,#N/A,FALSE,"M. Marani";#N/A,#N/A,FALSE,"R. Ruggerini";#N/A,#N/A,FALSE,"L. Liguori";#N/A,#N/A,FALSE,"D. Battistel"}</definedName>
    <definedName name="wrn.direttori." localSheetId="24" hidden="1">{#N/A,#N/A,FALSE,"L. Zottola";#N/A,#N/A,FALSE,"M. Ruggi";#N/A,#N/A,FALSE,"M. Valenti";#N/A,#N/A,FALSE,"C. Mazza";#N/A,#N/A,FALSE,"G. Bellinzona";#N/A,#N/A,FALSE,"M. Carletti";#N/A,#N/A,FALSE,"P. Maresca";#N/A,#N/A,FALSE,"L. Tondi";#N/A,#N/A,FALSE,"M. Marani";#N/A,#N/A,FALSE,"R. Ruggerini";#N/A,#N/A,FALSE,"L. Liguori";#N/A,#N/A,FALSE,"D. Battistel"}</definedName>
    <definedName name="wrn.direttori." localSheetId="26" hidden="1">{#N/A,#N/A,FALSE,"L. Zottola";#N/A,#N/A,FALSE,"M. Ruggi";#N/A,#N/A,FALSE,"M. Valenti";#N/A,#N/A,FALSE,"C. Mazza";#N/A,#N/A,FALSE,"G. Bellinzona";#N/A,#N/A,FALSE,"M. Carletti";#N/A,#N/A,FALSE,"P. Maresca";#N/A,#N/A,FALSE,"L. Tondi";#N/A,#N/A,FALSE,"M. Marani";#N/A,#N/A,FALSE,"R. Ruggerini";#N/A,#N/A,FALSE,"L. Liguori";#N/A,#N/A,FALSE,"D. Battistel"}</definedName>
    <definedName name="wrn.direttori." localSheetId="28" hidden="1">{#N/A,#N/A,FALSE,"L. Zottola";#N/A,#N/A,FALSE,"M. Ruggi";#N/A,#N/A,FALSE,"M. Valenti";#N/A,#N/A,FALSE,"C. Mazza";#N/A,#N/A,FALSE,"G. Bellinzona";#N/A,#N/A,FALSE,"M. Carletti";#N/A,#N/A,FALSE,"P. Maresca";#N/A,#N/A,FALSE,"L. Tondi";#N/A,#N/A,FALSE,"M. Marani";#N/A,#N/A,FALSE,"R. Ruggerini";#N/A,#N/A,FALSE,"L. Liguori";#N/A,#N/A,FALSE,"D. Battistel"}</definedName>
    <definedName name="wrn.direttori." localSheetId="30" hidden="1">{#N/A,#N/A,FALSE,"L. Zottola";#N/A,#N/A,FALSE,"M. Ruggi";#N/A,#N/A,FALSE,"M. Valenti";#N/A,#N/A,FALSE,"C. Mazza";#N/A,#N/A,FALSE,"G. Bellinzona";#N/A,#N/A,FALSE,"M. Carletti";#N/A,#N/A,FALSE,"P. Maresca";#N/A,#N/A,FALSE,"L. Tondi";#N/A,#N/A,FALSE,"M. Marani";#N/A,#N/A,FALSE,"R. Ruggerini";#N/A,#N/A,FALSE,"L. Liguori";#N/A,#N/A,FALSE,"D. Battistel"}</definedName>
    <definedName name="wrn.direttori." localSheetId="32" hidden="1">{#N/A,#N/A,FALSE,"L. Zottola";#N/A,#N/A,FALSE,"M. Ruggi";#N/A,#N/A,FALSE,"M. Valenti";#N/A,#N/A,FALSE,"C. Mazza";#N/A,#N/A,FALSE,"G. Bellinzona";#N/A,#N/A,FALSE,"M. Carletti";#N/A,#N/A,FALSE,"P. Maresca";#N/A,#N/A,FALSE,"L. Tondi";#N/A,#N/A,FALSE,"M. Marani";#N/A,#N/A,FALSE,"R. Ruggerini";#N/A,#N/A,FALSE,"L. Liguori";#N/A,#N/A,FALSE,"D. Battistel"}</definedName>
    <definedName name="wrn.direttori." localSheetId="34" hidden="1">{#N/A,#N/A,FALSE,"L. Zottola";#N/A,#N/A,FALSE,"M. Ruggi";#N/A,#N/A,FALSE,"M. Valenti";#N/A,#N/A,FALSE,"C. Mazza";#N/A,#N/A,FALSE,"G. Bellinzona";#N/A,#N/A,FALSE,"M. Carletti";#N/A,#N/A,FALSE,"P. Maresca";#N/A,#N/A,FALSE,"L. Tondi";#N/A,#N/A,FALSE,"M. Marani";#N/A,#N/A,FALSE,"R. Ruggerini";#N/A,#N/A,FALSE,"L. Liguori";#N/A,#N/A,FALSE,"D. Battistel"}</definedName>
    <definedName name="wrn.direttori." localSheetId="36" hidden="1">{#N/A,#N/A,FALSE,"L. Zottola";#N/A,#N/A,FALSE,"M. Ruggi";#N/A,#N/A,FALSE,"M. Valenti";#N/A,#N/A,FALSE,"C. Mazza";#N/A,#N/A,FALSE,"G. Bellinzona";#N/A,#N/A,FALSE,"M. Carletti";#N/A,#N/A,FALSE,"P. Maresca";#N/A,#N/A,FALSE,"L. Tondi";#N/A,#N/A,FALSE,"M. Marani";#N/A,#N/A,FALSE,"R. Ruggerini";#N/A,#N/A,FALSE,"L. Liguori";#N/A,#N/A,FALSE,"D. Battistel"}</definedName>
    <definedName name="wrn.direttori." localSheetId="38" hidden="1">{#N/A,#N/A,FALSE,"L. Zottola";#N/A,#N/A,FALSE,"M. Ruggi";#N/A,#N/A,FALSE,"M. Valenti";#N/A,#N/A,FALSE,"C. Mazza";#N/A,#N/A,FALSE,"G. Bellinzona";#N/A,#N/A,FALSE,"M. Carletti";#N/A,#N/A,FALSE,"P. Maresca";#N/A,#N/A,FALSE,"L. Tondi";#N/A,#N/A,FALSE,"M. Marani";#N/A,#N/A,FALSE,"R. Ruggerini";#N/A,#N/A,FALSE,"L. Liguori";#N/A,#N/A,FALSE,"D. Battistel"}</definedName>
    <definedName name="wrn.direttori." hidden="1">{#N/A,#N/A,FALSE,"L. Zottola";#N/A,#N/A,FALSE,"M. Ruggi";#N/A,#N/A,FALSE,"M. Valenti";#N/A,#N/A,FALSE,"C. Mazza";#N/A,#N/A,FALSE,"G. Bellinzona";#N/A,#N/A,FALSE,"M. Carletti";#N/A,#N/A,FALSE,"P. Maresca";#N/A,#N/A,FALSE,"L. Tondi";#N/A,#N/A,FALSE,"M. Marani";#N/A,#N/A,FALSE,"R. Ruggerini";#N/A,#N/A,FALSE,"L. Liguori";#N/A,#N/A,FALSE,"D. Battistel"}</definedName>
    <definedName name="wrn.esterno." localSheetId="3" hidden="1">{#N/A,#N/A,FALSE,"HIGHNEW";#N/A,#N/A,FALSE,"HIGHOLD"}</definedName>
    <definedName name="wrn.esterno." localSheetId="5" hidden="1">{#N/A,#N/A,FALSE,"HIGHNEW";#N/A,#N/A,FALSE,"HIGHOLD"}</definedName>
    <definedName name="wrn.esterno." localSheetId="8" hidden="1">{#N/A,#N/A,FALSE,"HIGHNEW";#N/A,#N/A,FALSE,"HIGHOLD"}</definedName>
    <definedName name="wrn.esterno." localSheetId="10" hidden="1">{#N/A,#N/A,FALSE,"HIGHNEW";#N/A,#N/A,FALSE,"HIGHOLD"}</definedName>
    <definedName name="wrn.esterno." localSheetId="12" hidden="1">{#N/A,#N/A,FALSE,"HIGHNEW";#N/A,#N/A,FALSE,"HIGHOLD"}</definedName>
    <definedName name="wrn.esterno." localSheetId="14" hidden="1">{#N/A,#N/A,FALSE,"HIGHNEW";#N/A,#N/A,FALSE,"HIGHOLD"}</definedName>
    <definedName name="wrn.esterno." localSheetId="16" hidden="1">{#N/A,#N/A,FALSE,"HIGHNEW";#N/A,#N/A,FALSE,"HIGHOLD"}</definedName>
    <definedName name="wrn.esterno." localSheetId="22" hidden="1">{#N/A,#N/A,FALSE,"HIGHNEW";#N/A,#N/A,FALSE,"HIGHOLD"}</definedName>
    <definedName name="wrn.esterno." localSheetId="24" hidden="1">{#N/A,#N/A,FALSE,"HIGHNEW";#N/A,#N/A,FALSE,"HIGHOLD"}</definedName>
    <definedName name="wrn.esterno." localSheetId="26" hidden="1">{#N/A,#N/A,FALSE,"HIGHNEW";#N/A,#N/A,FALSE,"HIGHOLD"}</definedName>
    <definedName name="wrn.esterno." localSheetId="28" hidden="1">{#N/A,#N/A,FALSE,"HIGHNEW";#N/A,#N/A,FALSE,"HIGHOLD"}</definedName>
    <definedName name="wrn.esterno." localSheetId="30" hidden="1">{#N/A,#N/A,FALSE,"HIGHNEW";#N/A,#N/A,FALSE,"HIGHOLD"}</definedName>
    <definedName name="wrn.esterno." localSheetId="32" hidden="1">{#N/A,#N/A,FALSE,"HIGHNEW";#N/A,#N/A,FALSE,"HIGHOLD"}</definedName>
    <definedName name="wrn.esterno." localSheetId="34" hidden="1">{#N/A,#N/A,FALSE,"HIGHNEW";#N/A,#N/A,FALSE,"HIGHOLD"}</definedName>
    <definedName name="wrn.esterno." localSheetId="36" hidden="1">{#N/A,#N/A,FALSE,"HIGHNEW";#N/A,#N/A,FALSE,"HIGHOLD"}</definedName>
    <definedName name="wrn.esterno." localSheetId="38" hidden="1">{#N/A,#N/A,FALSE,"HIGHNEW";#N/A,#N/A,FALSE,"HIGHOLD"}</definedName>
    <definedName name="wrn.esterno." hidden="1">{#N/A,#N/A,FALSE,"HIGHNEW";#N/A,#N/A,FALSE,"HIGHOLD"}</definedName>
    <definedName name="wrn.Financial._.Report." localSheetId="3"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5"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8"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10"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1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1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16"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2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2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26"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28"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30"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3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3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36"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38"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ing._.Package." localSheetId="3"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Reporting._.Package." localSheetId="5"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Reporting._.Package." localSheetId="8"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Reporting._.Package." localSheetId="10"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Reporting._.Package." localSheetId="12"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Reporting._.Package." localSheetId="14"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Reporting._.Package." localSheetId="16"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Reporting._.Package." localSheetId="22"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Reporting._.Package." localSheetId="24"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Reporting._.Package." localSheetId="26"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Reporting._.Package." localSheetId="28"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Reporting._.Package." localSheetId="30"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Reporting._.Package." localSheetId="32"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Reporting._.Package." localSheetId="34"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Reporting._.Package." localSheetId="36"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Reporting._.Package." localSheetId="38"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Reporting._.Package."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ullreport." localSheetId="3"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5"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8"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1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1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14"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16"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2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4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24"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26"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28"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3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3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34"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36"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38"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Input._.Data." localSheetId="3" hidden="1">{"Input_Fin",#N/A,FALSE,"By Code";"Input_Opt",#N/A,FALSE,"By Code"}</definedName>
    <definedName name="wrn.Input._.Data." localSheetId="5" hidden="1">{"Input_Fin",#N/A,FALSE,"By Code";"Input_Opt",#N/A,FALSE,"By Code"}</definedName>
    <definedName name="wrn.Input._.Data." localSheetId="8" hidden="1">{"Input_Fin",#N/A,FALSE,"By Code";"Input_Opt",#N/A,FALSE,"By Code"}</definedName>
    <definedName name="wrn.Input._.Data." localSheetId="10" hidden="1">{"Input_Fin",#N/A,FALSE,"By Code";"Input_Opt",#N/A,FALSE,"By Code"}</definedName>
    <definedName name="wrn.Input._.Data." localSheetId="12" hidden="1">{"Input_Fin",#N/A,FALSE,"By Code";"Input_Opt",#N/A,FALSE,"By Code"}</definedName>
    <definedName name="wrn.Input._.Data." localSheetId="14" hidden="1">{"Input_Fin",#N/A,FALSE,"By Code";"Input_Opt",#N/A,FALSE,"By Code"}</definedName>
    <definedName name="wrn.Input._.Data." localSheetId="16" hidden="1">{"Input_Fin",#N/A,FALSE,"By Code";"Input_Opt",#N/A,FALSE,"By Code"}</definedName>
    <definedName name="wrn.Input._.Data." localSheetId="22" hidden="1">{"Input_Fin",#N/A,FALSE,"By Code";"Input_Opt",#N/A,FALSE,"By Code"}</definedName>
    <definedName name="wrn.Input._.Data." localSheetId="24" hidden="1">{"Input_Fin",#N/A,FALSE,"By Code";"Input_Opt",#N/A,FALSE,"By Code"}</definedName>
    <definedName name="wrn.Input._.Data." localSheetId="26" hidden="1">{"Input_Fin",#N/A,FALSE,"By Code";"Input_Opt",#N/A,FALSE,"By Code"}</definedName>
    <definedName name="wrn.Input._.Data." localSheetId="28" hidden="1">{"Input_Fin",#N/A,FALSE,"By Code";"Input_Opt",#N/A,FALSE,"By Code"}</definedName>
    <definedName name="wrn.Input._.Data." localSheetId="30" hidden="1">{"Input_Fin",#N/A,FALSE,"By Code";"Input_Opt",#N/A,FALSE,"By Code"}</definedName>
    <definedName name="wrn.Input._.Data." localSheetId="32" hidden="1">{"Input_Fin",#N/A,FALSE,"By Code";"Input_Opt",#N/A,FALSE,"By Code"}</definedName>
    <definedName name="wrn.Input._.Data." localSheetId="34" hidden="1">{"Input_Fin",#N/A,FALSE,"By Code";"Input_Opt",#N/A,FALSE,"By Code"}</definedName>
    <definedName name="wrn.Input._.Data." localSheetId="36" hidden="1">{"Input_Fin",#N/A,FALSE,"By Code";"Input_Opt",#N/A,FALSE,"By Code"}</definedName>
    <definedName name="wrn.Input._.Data." localSheetId="38" hidden="1">{"Input_Fin",#N/A,FALSE,"By Code";"Input_Opt",#N/A,FALSE,"By Code"}</definedName>
    <definedName name="wrn.Input._.Data." hidden="1">{"Input_Fin",#N/A,FALSE,"By Code";"Input_Opt",#N/A,FALSE,"By Code"}</definedName>
    <definedName name="wrn.Massimo." localSheetId="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1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1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1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2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2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2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2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3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3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3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3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3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iniSum." localSheetId="3" hidden="1">{#N/A,#N/A,TRUE,"Facility-Input";#N/A,#N/A,TRUE,"Graphs";#N/A,#N/A,TRUE,"TOTAL"}</definedName>
    <definedName name="wrn.MiniSum." localSheetId="5" hidden="1">{#N/A,#N/A,TRUE,"Facility-Input";#N/A,#N/A,TRUE,"Graphs";#N/A,#N/A,TRUE,"TOTAL"}</definedName>
    <definedName name="wrn.MiniSum." localSheetId="8" hidden="1">{#N/A,#N/A,TRUE,"Facility-Input";#N/A,#N/A,TRUE,"Graphs";#N/A,#N/A,TRUE,"TOTAL"}</definedName>
    <definedName name="wrn.MiniSum." localSheetId="10" hidden="1">{#N/A,#N/A,TRUE,"Facility-Input";#N/A,#N/A,TRUE,"Graphs";#N/A,#N/A,TRUE,"TOTAL"}</definedName>
    <definedName name="wrn.MiniSum." localSheetId="12" hidden="1">{#N/A,#N/A,TRUE,"Facility-Input";#N/A,#N/A,TRUE,"Graphs";#N/A,#N/A,TRUE,"TOTAL"}</definedName>
    <definedName name="wrn.MiniSum." localSheetId="14" hidden="1">{#N/A,#N/A,TRUE,"Facility-Input";#N/A,#N/A,TRUE,"Graphs";#N/A,#N/A,TRUE,"TOTAL"}</definedName>
    <definedName name="wrn.MiniSum." localSheetId="16" hidden="1">{#N/A,#N/A,TRUE,"Facility-Input";#N/A,#N/A,TRUE,"Graphs";#N/A,#N/A,TRUE,"TOTAL"}</definedName>
    <definedName name="wrn.MiniSum." localSheetId="22" hidden="1">{#N/A,#N/A,TRUE,"Facility-Input";#N/A,#N/A,TRUE,"Graphs";#N/A,#N/A,TRUE,"TOTAL"}</definedName>
    <definedName name="wrn.MiniSum." localSheetId="24" hidden="1">{#N/A,#N/A,TRUE,"Facility-Input";#N/A,#N/A,TRUE,"Graphs";#N/A,#N/A,TRUE,"TOTAL"}</definedName>
    <definedName name="wrn.MiniSum." localSheetId="26" hidden="1">{#N/A,#N/A,TRUE,"Facility-Input";#N/A,#N/A,TRUE,"Graphs";#N/A,#N/A,TRUE,"TOTAL"}</definedName>
    <definedName name="wrn.MiniSum." localSheetId="28" hidden="1">{#N/A,#N/A,TRUE,"Facility-Input";#N/A,#N/A,TRUE,"Graphs";#N/A,#N/A,TRUE,"TOTAL"}</definedName>
    <definedName name="wrn.MiniSum." localSheetId="30" hidden="1">{#N/A,#N/A,TRUE,"Facility-Input";#N/A,#N/A,TRUE,"Graphs";#N/A,#N/A,TRUE,"TOTAL"}</definedName>
    <definedName name="wrn.MiniSum." localSheetId="32" hidden="1">{#N/A,#N/A,TRUE,"Facility-Input";#N/A,#N/A,TRUE,"Graphs";#N/A,#N/A,TRUE,"TOTAL"}</definedName>
    <definedName name="wrn.MiniSum." localSheetId="34" hidden="1">{#N/A,#N/A,TRUE,"Facility-Input";#N/A,#N/A,TRUE,"Graphs";#N/A,#N/A,TRUE,"TOTAL"}</definedName>
    <definedName name="wrn.MiniSum." localSheetId="36" hidden="1">{#N/A,#N/A,TRUE,"Facility-Input";#N/A,#N/A,TRUE,"Graphs";#N/A,#N/A,TRUE,"TOTAL"}</definedName>
    <definedName name="wrn.MiniSum." localSheetId="38" hidden="1">{#N/A,#N/A,TRUE,"Facility-Input";#N/A,#N/A,TRUE,"Graphs";#N/A,#N/A,TRUE,"TOTAL"}</definedName>
    <definedName name="wrn.MiniSum." hidden="1">{#N/A,#N/A,TRUE,"Facility-Input";#N/A,#N/A,TRUE,"Graphs";#N/A,#N/A,TRUE,"TOTAL"}</definedName>
    <definedName name="wrn.Model." localSheetId="3" hidden="1">{"AnnInc",#N/A,TRUE,"Inc";"QtrInc1",#N/A,TRUE,"Inc";"Balance",#N/A,TRUE,"Bal";"Cflow",#N/A,TRUE,"Cash"}</definedName>
    <definedName name="wrn.Model." localSheetId="5" hidden="1">{"AnnInc",#N/A,TRUE,"Inc";"QtrInc1",#N/A,TRUE,"Inc";"Balance",#N/A,TRUE,"Bal";"Cflow",#N/A,TRUE,"Cash"}</definedName>
    <definedName name="wrn.Model." localSheetId="8" hidden="1">{"AnnInc",#N/A,TRUE,"Inc";"QtrInc1",#N/A,TRUE,"Inc";"Balance",#N/A,TRUE,"Bal";"Cflow",#N/A,TRUE,"Cash"}</definedName>
    <definedName name="wrn.Model." localSheetId="10" hidden="1">{"AnnInc",#N/A,TRUE,"Inc";"QtrInc1",#N/A,TRUE,"Inc";"Balance",#N/A,TRUE,"Bal";"Cflow",#N/A,TRUE,"Cash"}</definedName>
    <definedName name="wrn.Model." localSheetId="12" hidden="1">{"AnnInc",#N/A,TRUE,"Inc";"QtrInc1",#N/A,TRUE,"Inc";"Balance",#N/A,TRUE,"Bal";"Cflow",#N/A,TRUE,"Cash"}</definedName>
    <definedName name="wrn.Model." localSheetId="14" hidden="1">{"AnnInc",#N/A,TRUE,"Inc";"QtrInc1",#N/A,TRUE,"Inc";"Balance",#N/A,TRUE,"Bal";"Cflow",#N/A,TRUE,"Cash"}</definedName>
    <definedName name="wrn.Model." localSheetId="16" hidden="1">{"AnnInc",#N/A,TRUE,"Inc";"QtrInc1",#N/A,TRUE,"Inc";"Balance",#N/A,TRUE,"Bal";"Cflow",#N/A,TRUE,"Cash"}</definedName>
    <definedName name="wrn.Model." localSheetId="22" hidden="1">{"AnnInc",#N/A,TRUE,"Inc";"QtrInc1",#N/A,TRUE,"Inc";"Balance",#N/A,TRUE,"Bal";"Cflow",#N/A,TRUE,"Cash"}</definedName>
    <definedName name="wrn.Model." localSheetId="24" hidden="1">{"AnnInc",#N/A,TRUE,"Inc";"QtrInc1",#N/A,TRUE,"Inc";"Balance",#N/A,TRUE,"Bal";"Cflow",#N/A,TRUE,"Cash"}</definedName>
    <definedName name="wrn.Model." localSheetId="26" hidden="1">{"AnnInc",#N/A,TRUE,"Inc";"QtrInc1",#N/A,TRUE,"Inc";"Balance",#N/A,TRUE,"Bal";"Cflow",#N/A,TRUE,"Cash"}</definedName>
    <definedName name="wrn.Model." localSheetId="28" hidden="1">{"AnnInc",#N/A,TRUE,"Inc";"QtrInc1",#N/A,TRUE,"Inc";"Balance",#N/A,TRUE,"Bal";"Cflow",#N/A,TRUE,"Cash"}</definedName>
    <definedName name="wrn.Model." localSheetId="30" hidden="1">{"AnnInc",#N/A,TRUE,"Inc";"QtrInc1",#N/A,TRUE,"Inc";"Balance",#N/A,TRUE,"Bal";"Cflow",#N/A,TRUE,"Cash"}</definedName>
    <definedName name="wrn.Model." localSheetId="32" hidden="1">{"AnnInc",#N/A,TRUE,"Inc";"QtrInc1",#N/A,TRUE,"Inc";"Balance",#N/A,TRUE,"Bal";"Cflow",#N/A,TRUE,"Cash"}</definedName>
    <definedName name="wrn.Model." localSheetId="34" hidden="1">{"AnnInc",#N/A,TRUE,"Inc";"QtrInc1",#N/A,TRUE,"Inc";"Balance",#N/A,TRUE,"Bal";"Cflow",#N/A,TRUE,"Cash"}</definedName>
    <definedName name="wrn.Model." localSheetId="36" hidden="1">{"AnnInc",#N/A,TRUE,"Inc";"QtrInc1",#N/A,TRUE,"Inc";"Balance",#N/A,TRUE,"Bal";"Cflow",#N/A,TRUE,"Cash"}</definedName>
    <definedName name="wrn.Model." localSheetId="38" hidden="1">{"AnnInc",#N/A,TRUE,"Inc";"QtrInc1",#N/A,TRUE,"Inc";"Balance",#N/A,TRUE,"Bal";"Cflow",#N/A,TRUE,"Cash"}</definedName>
    <definedName name="wrn.Model." hidden="1">{"AnnInc",#N/A,TRUE,"Inc";"QtrInc1",#N/A,TRUE,"Inc";"Balance",#N/A,TRUE,"Bal";"Cflow",#N/A,TRUE,"Cash"}</definedName>
    <definedName name="wrn.Model2" localSheetId="3" hidden="1">{"AnnInc",#N/A,TRUE,"Inc";"QtrInc1",#N/A,TRUE,"Inc";"Balance",#N/A,TRUE,"Bal";"Cflow",#N/A,TRUE,"Cash"}</definedName>
    <definedName name="wrn.Model2" localSheetId="5" hidden="1">{"AnnInc",#N/A,TRUE,"Inc";"QtrInc1",#N/A,TRUE,"Inc";"Balance",#N/A,TRUE,"Bal";"Cflow",#N/A,TRUE,"Cash"}</definedName>
    <definedName name="wrn.Model2" localSheetId="8" hidden="1">{"AnnInc",#N/A,TRUE,"Inc";"QtrInc1",#N/A,TRUE,"Inc";"Balance",#N/A,TRUE,"Bal";"Cflow",#N/A,TRUE,"Cash"}</definedName>
    <definedName name="wrn.Model2" localSheetId="10" hidden="1">{"AnnInc",#N/A,TRUE,"Inc";"QtrInc1",#N/A,TRUE,"Inc";"Balance",#N/A,TRUE,"Bal";"Cflow",#N/A,TRUE,"Cash"}</definedName>
    <definedName name="wrn.Model2" localSheetId="12" hidden="1">{"AnnInc",#N/A,TRUE,"Inc";"QtrInc1",#N/A,TRUE,"Inc";"Balance",#N/A,TRUE,"Bal";"Cflow",#N/A,TRUE,"Cash"}</definedName>
    <definedName name="wrn.Model2" localSheetId="14" hidden="1">{"AnnInc",#N/A,TRUE,"Inc";"QtrInc1",#N/A,TRUE,"Inc";"Balance",#N/A,TRUE,"Bal";"Cflow",#N/A,TRUE,"Cash"}</definedName>
    <definedName name="wrn.Model2" localSheetId="16" hidden="1">{"AnnInc",#N/A,TRUE,"Inc";"QtrInc1",#N/A,TRUE,"Inc";"Balance",#N/A,TRUE,"Bal";"Cflow",#N/A,TRUE,"Cash"}</definedName>
    <definedName name="wrn.Model2" localSheetId="22" hidden="1">{"AnnInc",#N/A,TRUE,"Inc";"QtrInc1",#N/A,TRUE,"Inc";"Balance",#N/A,TRUE,"Bal";"Cflow",#N/A,TRUE,"Cash"}</definedName>
    <definedName name="wrn.Model2" localSheetId="24" hidden="1">{"AnnInc",#N/A,TRUE,"Inc";"QtrInc1",#N/A,TRUE,"Inc";"Balance",#N/A,TRUE,"Bal";"Cflow",#N/A,TRUE,"Cash"}</definedName>
    <definedName name="wrn.Model2" localSheetId="26" hidden="1">{"AnnInc",#N/A,TRUE,"Inc";"QtrInc1",#N/A,TRUE,"Inc";"Balance",#N/A,TRUE,"Bal";"Cflow",#N/A,TRUE,"Cash"}</definedName>
    <definedName name="wrn.Model2" localSheetId="28" hidden="1">{"AnnInc",#N/A,TRUE,"Inc";"QtrInc1",#N/A,TRUE,"Inc";"Balance",#N/A,TRUE,"Bal";"Cflow",#N/A,TRUE,"Cash"}</definedName>
    <definedName name="wrn.Model2" localSheetId="30" hidden="1">{"AnnInc",#N/A,TRUE,"Inc";"QtrInc1",#N/A,TRUE,"Inc";"Balance",#N/A,TRUE,"Bal";"Cflow",#N/A,TRUE,"Cash"}</definedName>
    <definedName name="wrn.Model2" localSheetId="32" hidden="1">{"AnnInc",#N/A,TRUE,"Inc";"QtrInc1",#N/A,TRUE,"Inc";"Balance",#N/A,TRUE,"Bal";"Cflow",#N/A,TRUE,"Cash"}</definedName>
    <definedName name="wrn.Model2" localSheetId="34" hidden="1">{"AnnInc",#N/A,TRUE,"Inc";"QtrInc1",#N/A,TRUE,"Inc";"Balance",#N/A,TRUE,"Bal";"Cflow",#N/A,TRUE,"Cash"}</definedName>
    <definedName name="wrn.Model2" localSheetId="36" hidden="1">{"AnnInc",#N/A,TRUE,"Inc";"QtrInc1",#N/A,TRUE,"Inc";"Balance",#N/A,TRUE,"Bal";"Cflow",#N/A,TRUE,"Cash"}</definedName>
    <definedName name="wrn.Model2" localSheetId="38" hidden="1">{"AnnInc",#N/A,TRUE,"Inc";"QtrInc1",#N/A,TRUE,"Inc";"Balance",#N/A,TRUE,"Bal";"Cflow",#N/A,TRUE,"Cash"}</definedName>
    <definedName name="wrn.Model2" hidden="1">{"AnnInc",#N/A,TRUE,"Inc";"QtrInc1",#N/A,TRUE,"Inc";"Balance",#N/A,TRUE,"Bal";"Cflow",#N/A,TRUE,"Cash"}</definedName>
    <definedName name="wrn.model3" localSheetId="3" hidden="1">{"AnnInc",#N/A,TRUE,"Inc";"QtrInc1",#N/A,TRUE,"Inc";"Balance",#N/A,TRUE,"Bal";"Cflow",#N/A,TRUE,"Cash"}</definedName>
    <definedName name="wrn.model3" localSheetId="5" hidden="1">{"AnnInc",#N/A,TRUE,"Inc";"QtrInc1",#N/A,TRUE,"Inc";"Balance",#N/A,TRUE,"Bal";"Cflow",#N/A,TRUE,"Cash"}</definedName>
    <definedName name="wrn.model3" localSheetId="8" hidden="1">{"AnnInc",#N/A,TRUE,"Inc";"QtrInc1",#N/A,TRUE,"Inc";"Balance",#N/A,TRUE,"Bal";"Cflow",#N/A,TRUE,"Cash"}</definedName>
    <definedName name="wrn.model3" localSheetId="10" hidden="1">{"AnnInc",#N/A,TRUE,"Inc";"QtrInc1",#N/A,TRUE,"Inc";"Balance",#N/A,TRUE,"Bal";"Cflow",#N/A,TRUE,"Cash"}</definedName>
    <definedName name="wrn.model3" localSheetId="12" hidden="1">{"AnnInc",#N/A,TRUE,"Inc";"QtrInc1",#N/A,TRUE,"Inc";"Balance",#N/A,TRUE,"Bal";"Cflow",#N/A,TRUE,"Cash"}</definedName>
    <definedName name="wrn.model3" localSheetId="14" hidden="1">{"AnnInc",#N/A,TRUE,"Inc";"QtrInc1",#N/A,TRUE,"Inc";"Balance",#N/A,TRUE,"Bal";"Cflow",#N/A,TRUE,"Cash"}</definedName>
    <definedName name="wrn.model3" localSheetId="16" hidden="1">{"AnnInc",#N/A,TRUE,"Inc";"QtrInc1",#N/A,TRUE,"Inc";"Balance",#N/A,TRUE,"Bal";"Cflow",#N/A,TRUE,"Cash"}</definedName>
    <definedName name="wrn.model3" localSheetId="22" hidden="1">{"AnnInc",#N/A,TRUE,"Inc";"QtrInc1",#N/A,TRUE,"Inc";"Balance",#N/A,TRUE,"Bal";"Cflow",#N/A,TRUE,"Cash"}</definedName>
    <definedName name="wrn.model3" localSheetId="24" hidden="1">{"AnnInc",#N/A,TRUE,"Inc";"QtrInc1",#N/A,TRUE,"Inc";"Balance",#N/A,TRUE,"Bal";"Cflow",#N/A,TRUE,"Cash"}</definedName>
    <definedName name="wrn.model3" localSheetId="26" hidden="1">{"AnnInc",#N/A,TRUE,"Inc";"QtrInc1",#N/A,TRUE,"Inc";"Balance",#N/A,TRUE,"Bal";"Cflow",#N/A,TRUE,"Cash"}</definedName>
    <definedName name="wrn.model3" localSheetId="28" hidden="1">{"AnnInc",#N/A,TRUE,"Inc";"QtrInc1",#N/A,TRUE,"Inc";"Balance",#N/A,TRUE,"Bal";"Cflow",#N/A,TRUE,"Cash"}</definedName>
    <definedName name="wrn.model3" localSheetId="30" hidden="1">{"AnnInc",#N/A,TRUE,"Inc";"QtrInc1",#N/A,TRUE,"Inc";"Balance",#N/A,TRUE,"Bal";"Cflow",#N/A,TRUE,"Cash"}</definedName>
    <definedName name="wrn.model3" localSheetId="32" hidden="1">{"AnnInc",#N/A,TRUE,"Inc";"QtrInc1",#N/A,TRUE,"Inc";"Balance",#N/A,TRUE,"Bal";"Cflow",#N/A,TRUE,"Cash"}</definedName>
    <definedName name="wrn.model3" localSheetId="34" hidden="1">{"AnnInc",#N/A,TRUE,"Inc";"QtrInc1",#N/A,TRUE,"Inc";"Balance",#N/A,TRUE,"Bal";"Cflow",#N/A,TRUE,"Cash"}</definedName>
    <definedName name="wrn.model3" localSheetId="36" hidden="1">{"AnnInc",#N/A,TRUE,"Inc";"QtrInc1",#N/A,TRUE,"Inc";"Balance",#N/A,TRUE,"Bal";"Cflow",#N/A,TRUE,"Cash"}</definedName>
    <definedName name="wrn.model3" localSheetId="38" hidden="1">{"AnnInc",#N/A,TRUE,"Inc";"QtrInc1",#N/A,TRUE,"Inc";"Balance",#N/A,TRUE,"Bal";"Cflow",#N/A,TRUE,"Cash"}</definedName>
    <definedName name="wrn.model3" hidden="1">{"AnnInc",#N/A,TRUE,"Inc";"QtrInc1",#N/A,TRUE,"Inc";"Balance",#N/A,TRUE,"Bal";"Cflow",#N/A,TRUE,"Cash"}</definedName>
    <definedName name="wrn.model8" localSheetId="3" hidden="1">{"AnnInc",#N/A,TRUE,"Inc";"QtrInc1",#N/A,TRUE,"Inc";"Balance",#N/A,TRUE,"Bal";"Cflow",#N/A,TRUE,"Cash"}</definedName>
    <definedName name="wrn.model8" localSheetId="5" hidden="1">{"AnnInc",#N/A,TRUE,"Inc";"QtrInc1",#N/A,TRUE,"Inc";"Balance",#N/A,TRUE,"Bal";"Cflow",#N/A,TRUE,"Cash"}</definedName>
    <definedName name="wrn.model8" localSheetId="8" hidden="1">{"AnnInc",#N/A,TRUE,"Inc";"QtrInc1",#N/A,TRUE,"Inc";"Balance",#N/A,TRUE,"Bal";"Cflow",#N/A,TRUE,"Cash"}</definedName>
    <definedName name="wrn.model8" localSheetId="10" hidden="1">{"AnnInc",#N/A,TRUE,"Inc";"QtrInc1",#N/A,TRUE,"Inc";"Balance",#N/A,TRUE,"Bal";"Cflow",#N/A,TRUE,"Cash"}</definedName>
    <definedName name="wrn.model8" localSheetId="12" hidden="1">{"AnnInc",#N/A,TRUE,"Inc";"QtrInc1",#N/A,TRUE,"Inc";"Balance",#N/A,TRUE,"Bal";"Cflow",#N/A,TRUE,"Cash"}</definedName>
    <definedName name="wrn.model8" localSheetId="14" hidden="1">{"AnnInc",#N/A,TRUE,"Inc";"QtrInc1",#N/A,TRUE,"Inc";"Balance",#N/A,TRUE,"Bal";"Cflow",#N/A,TRUE,"Cash"}</definedName>
    <definedName name="wrn.model8" localSheetId="16" hidden="1">{"AnnInc",#N/A,TRUE,"Inc";"QtrInc1",#N/A,TRUE,"Inc";"Balance",#N/A,TRUE,"Bal";"Cflow",#N/A,TRUE,"Cash"}</definedName>
    <definedName name="wrn.model8" localSheetId="22" hidden="1">{"AnnInc",#N/A,TRUE,"Inc";"QtrInc1",#N/A,TRUE,"Inc";"Balance",#N/A,TRUE,"Bal";"Cflow",#N/A,TRUE,"Cash"}</definedName>
    <definedName name="wrn.model8" localSheetId="24" hidden="1">{"AnnInc",#N/A,TRUE,"Inc";"QtrInc1",#N/A,TRUE,"Inc";"Balance",#N/A,TRUE,"Bal";"Cflow",#N/A,TRUE,"Cash"}</definedName>
    <definedName name="wrn.model8" localSheetId="26" hidden="1">{"AnnInc",#N/A,TRUE,"Inc";"QtrInc1",#N/A,TRUE,"Inc";"Balance",#N/A,TRUE,"Bal";"Cflow",#N/A,TRUE,"Cash"}</definedName>
    <definedName name="wrn.model8" localSheetId="28" hidden="1">{"AnnInc",#N/A,TRUE,"Inc";"QtrInc1",#N/A,TRUE,"Inc";"Balance",#N/A,TRUE,"Bal";"Cflow",#N/A,TRUE,"Cash"}</definedName>
    <definedName name="wrn.model8" localSheetId="30" hidden="1">{"AnnInc",#N/A,TRUE,"Inc";"QtrInc1",#N/A,TRUE,"Inc";"Balance",#N/A,TRUE,"Bal";"Cflow",#N/A,TRUE,"Cash"}</definedName>
    <definedName name="wrn.model8" localSheetId="32" hidden="1">{"AnnInc",#N/A,TRUE,"Inc";"QtrInc1",#N/A,TRUE,"Inc";"Balance",#N/A,TRUE,"Bal";"Cflow",#N/A,TRUE,"Cash"}</definedName>
    <definedName name="wrn.model8" localSheetId="34" hidden="1">{"AnnInc",#N/A,TRUE,"Inc";"QtrInc1",#N/A,TRUE,"Inc";"Balance",#N/A,TRUE,"Bal";"Cflow",#N/A,TRUE,"Cash"}</definedName>
    <definedName name="wrn.model8" localSheetId="36" hidden="1">{"AnnInc",#N/A,TRUE,"Inc";"QtrInc1",#N/A,TRUE,"Inc";"Balance",#N/A,TRUE,"Bal";"Cflow",#N/A,TRUE,"Cash"}</definedName>
    <definedName name="wrn.model8" localSheetId="38" hidden="1">{"AnnInc",#N/A,TRUE,"Inc";"QtrInc1",#N/A,TRUE,"Inc";"Balance",#N/A,TRUE,"Bal";"Cflow",#N/A,TRUE,"Cash"}</definedName>
    <definedName name="wrn.model8" hidden="1">{"AnnInc",#N/A,TRUE,"Inc";"QtrInc1",#N/A,TRUE,"Inc";"Balance",#N/A,TRUE,"Bal";"Cflow",#N/A,TRUE,"Cash"}</definedName>
    <definedName name="wrn.Modello." localSheetId="3" hidden="1">{#N/A,#N/A,TRUE,"Proposal";#N/A,#N/A,TRUE,"Assumptions";#N/A,#N/A,TRUE,"Net Income";#N/A,#N/A,TRUE,"Balsheet";#N/A,#N/A,TRUE,"Capex";#N/A,#N/A,TRUE,"Volumes";#N/A,#N/A,TRUE,"Revenues";#N/A,#N/A,TRUE,"Var.Costs";#N/A,#N/A,TRUE,"Personnel";#N/A,#N/A,TRUE,"Other costs";#N/A,#N/A,TRUE,"MKTG and G&amp;A"}</definedName>
    <definedName name="wrn.Modello." localSheetId="5" hidden="1">{#N/A,#N/A,TRUE,"Proposal";#N/A,#N/A,TRUE,"Assumptions";#N/A,#N/A,TRUE,"Net Income";#N/A,#N/A,TRUE,"Balsheet";#N/A,#N/A,TRUE,"Capex";#N/A,#N/A,TRUE,"Volumes";#N/A,#N/A,TRUE,"Revenues";#N/A,#N/A,TRUE,"Var.Costs";#N/A,#N/A,TRUE,"Personnel";#N/A,#N/A,TRUE,"Other costs";#N/A,#N/A,TRUE,"MKTG and G&amp;A"}</definedName>
    <definedName name="wrn.Modello." localSheetId="8" hidden="1">{#N/A,#N/A,TRUE,"Proposal";#N/A,#N/A,TRUE,"Assumptions";#N/A,#N/A,TRUE,"Net Income";#N/A,#N/A,TRUE,"Balsheet";#N/A,#N/A,TRUE,"Capex";#N/A,#N/A,TRUE,"Volumes";#N/A,#N/A,TRUE,"Revenues";#N/A,#N/A,TRUE,"Var.Costs";#N/A,#N/A,TRUE,"Personnel";#N/A,#N/A,TRUE,"Other costs";#N/A,#N/A,TRUE,"MKTG and G&amp;A"}</definedName>
    <definedName name="wrn.Modello." localSheetId="10" hidden="1">{#N/A,#N/A,TRUE,"Proposal";#N/A,#N/A,TRUE,"Assumptions";#N/A,#N/A,TRUE,"Net Income";#N/A,#N/A,TRUE,"Balsheet";#N/A,#N/A,TRUE,"Capex";#N/A,#N/A,TRUE,"Volumes";#N/A,#N/A,TRUE,"Revenues";#N/A,#N/A,TRUE,"Var.Costs";#N/A,#N/A,TRUE,"Personnel";#N/A,#N/A,TRUE,"Other costs";#N/A,#N/A,TRUE,"MKTG and G&amp;A"}</definedName>
    <definedName name="wrn.Modello." localSheetId="12" hidden="1">{#N/A,#N/A,TRUE,"Proposal";#N/A,#N/A,TRUE,"Assumptions";#N/A,#N/A,TRUE,"Net Income";#N/A,#N/A,TRUE,"Balsheet";#N/A,#N/A,TRUE,"Capex";#N/A,#N/A,TRUE,"Volumes";#N/A,#N/A,TRUE,"Revenues";#N/A,#N/A,TRUE,"Var.Costs";#N/A,#N/A,TRUE,"Personnel";#N/A,#N/A,TRUE,"Other costs";#N/A,#N/A,TRUE,"MKTG and G&amp;A"}</definedName>
    <definedName name="wrn.Modello." localSheetId="14" hidden="1">{#N/A,#N/A,TRUE,"Proposal";#N/A,#N/A,TRUE,"Assumptions";#N/A,#N/A,TRUE,"Net Income";#N/A,#N/A,TRUE,"Balsheet";#N/A,#N/A,TRUE,"Capex";#N/A,#N/A,TRUE,"Volumes";#N/A,#N/A,TRUE,"Revenues";#N/A,#N/A,TRUE,"Var.Costs";#N/A,#N/A,TRUE,"Personnel";#N/A,#N/A,TRUE,"Other costs";#N/A,#N/A,TRUE,"MKTG and G&amp;A"}</definedName>
    <definedName name="wrn.Modello." localSheetId="16" hidden="1">{#N/A,#N/A,TRUE,"Proposal";#N/A,#N/A,TRUE,"Assumptions";#N/A,#N/A,TRUE,"Net Income";#N/A,#N/A,TRUE,"Balsheet";#N/A,#N/A,TRUE,"Capex";#N/A,#N/A,TRUE,"Volumes";#N/A,#N/A,TRUE,"Revenues";#N/A,#N/A,TRUE,"Var.Costs";#N/A,#N/A,TRUE,"Personnel";#N/A,#N/A,TRUE,"Other costs";#N/A,#N/A,TRUE,"MKTG and G&amp;A"}</definedName>
    <definedName name="wrn.Modello." localSheetId="22" hidden="1">{#N/A,#N/A,TRUE,"Proposal";#N/A,#N/A,TRUE,"Assumptions";#N/A,#N/A,TRUE,"Net Income";#N/A,#N/A,TRUE,"Balsheet";#N/A,#N/A,TRUE,"Capex";#N/A,#N/A,TRUE,"Volumes";#N/A,#N/A,TRUE,"Revenues";#N/A,#N/A,TRUE,"Var.Costs";#N/A,#N/A,TRUE,"Personnel";#N/A,#N/A,TRUE,"Other costs";#N/A,#N/A,TRUE,"MKTG and G&amp;A"}</definedName>
    <definedName name="wrn.Modello." localSheetId="24" hidden="1">{#N/A,#N/A,TRUE,"Proposal";#N/A,#N/A,TRUE,"Assumptions";#N/A,#N/A,TRUE,"Net Income";#N/A,#N/A,TRUE,"Balsheet";#N/A,#N/A,TRUE,"Capex";#N/A,#N/A,TRUE,"Volumes";#N/A,#N/A,TRUE,"Revenues";#N/A,#N/A,TRUE,"Var.Costs";#N/A,#N/A,TRUE,"Personnel";#N/A,#N/A,TRUE,"Other costs";#N/A,#N/A,TRUE,"MKTG and G&amp;A"}</definedName>
    <definedName name="wrn.Modello." localSheetId="26" hidden="1">{#N/A,#N/A,TRUE,"Proposal";#N/A,#N/A,TRUE,"Assumptions";#N/A,#N/A,TRUE,"Net Income";#N/A,#N/A,TRUE,"Balsheet";#N/A,#N/A,TRUE,"Capex";#N/A,#N/A,TRUE,"Volumes";#N/A,#N/A,TRUE,"Revenues";#N/A,#N/A,TRUE,"Var.Costs";#N/A,#N/A,TRUE,"Personnel";#N/A,#N/A,TRUE,"Other costs";#N/A,#N/A,TRUE,"MKTG and G&amp;A"}</definedName>
    <definedName name="wrn.Modello." localSheetId="28" hidden="1">{#N/A,#N/A,TRUE,"Proposal";#N/A,#N/A,TRUE,"Assumptions";#N/A,#N/A,TRUE,"Net Income";#N/A,#N/A,TRUE,"Balsheet";#N/A,#N/A,TRUE,"Capex";#N/A,#N/A,TRUE,"Volumes";#N/A,#N/A,TRUE,"Revenues";#N/A,#N/A,TRUE,"Var.Costs";#N/A,#N/A,TRUE,"Personnel";#N/A,#N/A,TRUE,"Other costs";#N/A,#N/A,TRUE,"MKTG and G&amp;A"}</definedName>
    <definedName name="wrn.Modello." localSheetId="30" hidden="1">{#N/A,#N/A,TRUE,"Proposal";#N/A,#N/A,TRUE,"Assumptions";#N/A,#N/A,TRUE,"Net Income";#N/A,#N/A,TRUE,"Balsheet";#N/A,#N/A,TRUE,"Capex";#N/A,#N/A,TRUE,"Volumes";#N/A,#N/A,TRUE,"Revenues";#N/A,#N/A,TRUE,"Var.Costs";#N/A,#N/A,TRUE,"Personnel";#N/A,#N/A,TRUE,"Other costs";#N/A,#N/A,TRUE,"MKTG and G&amp;A"}</definedName>
    <definedName name="wrn.Modello." localSheetId="32" hidden="1">{#N/A,#N/A,TRUE,"Proposal";#N/A,#N/A,TRUE,"Assumptions";#N/A,#N/A,TRUE,"Net Income";#N/A,#N/A,TRUE,"Balsheet";#N/A,#N/A,TRUE,"Capex";#N/A,#N/A,TRUE,"Volumes";#N/A,#N/A,TRUE,"Revenues";#N/A,#N/A,TRUE,"Var.Costs";#N/A,#N/A,TRUE,"Personnel";#N/A,#N/A,TRUE,"Other costs";#N/A,#N/A,TRUE,"MKTG and G&amp;A"}</definedName>
    <definedName name="wrn.Modello." localSheetId="34" hidden="1">{#N/A,#N/A,TRUE,"Proposal";#N/A,#N/A,TRUE,"Assumptions";#N/A,#N/A,TRUE,"Net Income";#N/A,#N/A,TRUE,"Balsheet";#N/A,#N/A,TRUE,"Capex";#N/A,#N/A,TRUE,"Volumes";#N/A,#N/A,TRUE,"Revenues";#N/A,#N/A,TRUE,"Var.Costs";#N/A,#N/A,TRUE,"Personnel";#N/A,#N/A,TRUE,"Other costs";#N/A,#N/A,TRUE,"MKTG and G&amp;A"}</definedName>
    <definedName name="wrn.Modello." localSheetId="36" hidden="1">{#N/A,#N/A,TRUE,"Proposal";#N/A,#N/A,TRUE,"Assumptions";#N/A,#N/A,TRUE,"Net Income";#N/A,#N/A,TRUE,"Balsheet";#N/A,#N/A,TRUE,"Capex";#N/A,#N/A,TRUE,"Volumes";#N/A,#N/A,TRUE,"Revenues";#N/A,#N/A,TRUE,"Var.Costs";#N/A,#N/A,TRUE,"Personnel";#N/A,#N/A,TRUE,"Other costs";#N/A,#N/A,TRUE,"MKTG and G&amp;A"}</definedName>
    <definedName name="wrn.Modello." localSheetId="38" hidden="1">{#N/A,#N/A,TRUE,"Proposal";#N/A,#N/A,TRUE,"Assumptions";#N/A,#N/A,TRUE,"Net Income";#N/A,#N/A,TRUE,"Balsheet";#N/A,#N/A,TRUE,"Capex";#N/A,#N/A,TRUE,"Volumes";#N/A,#N/A,TRUE,"Revenues";#N/A,#N/A,TRUE,"Var.Costs";#N/A,#N/A,TRUE,"Personnel";#N/A,#N/A,TRUE,"Other costs";#N/A,#N/A,TRUE,"MKTG and G&amp;A"}</definedName>
    <definedName name="wrn.Modello." hidden="1">{#N/A,#N/A,TRUE,"Proposal";#N/A,#N/A,TRUE,"Assumptions";#N/A,#N/A,TRUE,"Net Income";#N/A,#N/A,TRUE,"Balsheet";#N/A,#N/A,TRUE,"Capex";#N/A,#N/A,TRUE,"Volumes";#N/A,#N/A,TRUE,"Revenues";#N/A,#N/A,TRUE,"Var.Costs";#N/A,#N/A,TRUE,"Personnel";#N/A,#N/A,TRUE,"Other costs";#N/A,#N/A,TRUE,"MKTG and G&amp;A"}</definedName>
    <definedName name="wrn.MONTHLYREP." localSheetId="3" hidden="1">{#N/A,#N/A,FALSE,"HIGHNEW";#N/A,#N/A,FALSE,"HIGHOLD";#N/A,#N/A,FALSE,"MTHDET"}</definedName>
    <definedName name="wrn.MONTHLYREP." localSheetId="5" hidden="1">{#N/A,#N/A,FALSE,"HIGHNEW";#N/A,#N/A,FALSE,"HIGHOLD";#N/A,#N/A,FALSE,"MTHDET"}</definedName>
    <definedName name="wrn.MONTHLYREP." localSheetId="8" hidden="1">{#N/A,#N/A,FALSE,"HIGHNEW";#N/A,#N/A,FALSE,"HIGHOLD";#N/A,#N/A,FALSE,"MTHDET"}</definedName>
    <definedName name="wrn.MONTHLYREP." localSheetId="10" hidden="1">{#N/A,#N/A,FALSE,"HIGHNEW";#N/A,#N/A,FALSE,"HIGHOLD";#N/A,#N/A,FALSE,"MTHDET"}</definedName>
    <definedName name="wrn.MONTHLYREP." localSheetId="12" hidden="1">{#N/A,#N/A,FALSE,"HIGHNEW";#N/A,#N/A,FALSE,"HIGHOLD";#N/A,#N/A,FALSE,"MTHDET"}</definedName>
    <definedName name="wrn.MONTHLYREP." localSheetId="14" hidden="1">{#N/A,#N/A,FALSE,"HIGHNEW";#N/A,#N/A,FALSE,"HIGHOLD";#N/A,#N/A,FALSE,"MTHDET"}</definedName>
    <definedName name="wrn.MONTHLYREP." localSheetId="16" hidden="1">{#N/A,#N/A,FALSE,"HIGHNEW";#N/A,#N/A,FALSE,"HIGHOLD";#N/A,#N/A,FALSE,"MTHDET"}</definedName>
    <definedName name="wrn.MONTHLYREP." localSheetId="22" hidden="1">{#N/A,#N/A,FALSE,"HIGHNEW";#N/A,#N/A,FALSE,"HIGHOLD";#N/A,#N/A,FALSE,"MTHDET"}</definedName>
    <definedName name="wrn.MONTHLYREP." localSheetId="24" hidden="1">{#N/A,#N/A,FALSE,"HIGHNEW";#N/A,#N/A,FALSE,"HIGHOLD";#N/A,#N/A,FALSE,"MTHDET"}</definedName>
    <definedName name="wrn.MONTHLYREP." localSheetId="26" hidden="1">{#N/A,#N/A,FALSE,"HIGHNEW";#N/A,#N/A,FALSE,"HIGHOLD";#N/A,#N/A,FALSE,"MTHDET"}</definedName>
    <definedName name="wrn.MONTHLYREP." localSheetId="28" hidden="1">{#N/A,#N/A,FALSE,"HIGHNEW";#N/A,#N/A,FALSE,"HIGHOLD";#N/A,#N/A,FALSE,"MTHDET"}</definedName>
    <definedName name="wrn.MONTHLYREP." localSheetId="30" hidden="1">{#N/A,#N/A,FALSE,"HIGHNEW";#N/A,#N/A,FALSE,"HIGHOLD";#N/A,#N/A,FALSE,"MTHDET"}</definedName>
    <definedName name="wrn.MONTHLYREP." localSheetId="32" hidden="1">{#N/A,#N/A,FALSE,"HIGHNEW";#N/A,#N/A,FALSE,"HIGHOLD";#N/A,#N/A,FALSE,"MTHDET"}</definedName>
    <definedName name="wrn.MONTHLYREP." localSheetId="34" hidden="1">{#N/A,#N/A,FALSE,"HIGHNEW";#N/A,#N/A,FALSE,"HIGHOLD";#N/A,#N/A,FALSE,"MTHDET"}</definedName>
    <definedName name="wrn.MONTHLYREP." localSheetId="36" hidden="1">{#N/A,#N/A,FALSE,"HIGHNEW";#N/A,#N/A,FALSE,"HIGHOLD";#N/A,#N/A,FALSE,"MTHDET"}</definedName>
    <definedName name="wrn.MONTHLYREP." localSheetId="38" hidden="1">{#N/A,#N/A,FALSE,"HIGHNEW";#N/A,#N/A,FALSE,"HIGHOLD";#N/A,#N/A,FALSE,"MTHDET"}</definedName>
    <definedName name="wrn.MONTHLYREP." hidden="1">{#N/A,#N/A,FALSE,"HIGHNEW";#N/A,#N/A,FALSE,"HIGHOLD";#N/A,#N/A,FALSE,"MTHDET"}</definedName>
    <definedName name="wrn.mortassetplan." localSheetId="3"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5"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8"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10"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12"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14"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16"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22"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40"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24"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26"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28"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30"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32"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34"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36"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38" hidden="1">{#N/A,#N/A,FALSE,"asset plan";#N/A,#N/A,FALSE,"Mgmt Report";#N/A,#N/A,FALSE,"sensitivities (2)";#N/A,#N/A,FALSE,"sensitivities";#N/A,#N/A,FALSE,"let up 10  Mort";#N/A,#N/A,FALSE,"let up 12 Mort";#N/A,#N/A,FALSE,"Capex";#N/A,#N/A,FALSE,"Capex Cashflow (2)";#N/A,#N/A,FALSE,"Capex Cashflow (3)";#N/A,#N/A,FALSE,"House View";#N/A,#N/A,FALSE,"kpi"}</definedName>
    <definedName name="wrn.mortassetplan." hidden="1">{#N/A,#N/A,FALSE,"asset plan";#N/A,#N/A,FALSE,"Mgmt Report";#N/A,#N/A,FALSE,"sensitivities (2)";#N/A,#N/A,FALSE,"sensitivities";#N/A,#N/A,FALSE,"let up 10  Mort";#N/A,#N/A,FALSE,"let up 12 Mort";#N/A,#N/A,FALSE,"Capex";#N/A,#N/A,FALSE,"Capex Cashflow (2)";#N/A,#N/A,FALSE,"Capex Cashflow (3)";#N/A,#N/A,FALSE,"House View";#N/A,#N/A,FALSE,"kpi"}</definedName>
    <definedName name="wrn.new._.delhi." localSheetId="3" hidden="1">{#N/A,#N/A,FALSE,"MAIN";#N/A,#N/A,FALSE,"MK_ASS_B";#N/A,#N/A,FALSE,"MK_ASS_R";#N/A,#N/A,FALSE,"TR_ASS_B";#N/A,#N/A,FALSE,"TR_ASS_R";#N/A,#N/A,FALSE,"ROAMING";#N/A,#N/A,FALSE,"PR_ASS_B";#N/A,#N/A,FALSE,"PR_ASS_R";#N/A,#N/A,FALSE,"PR_ASS_S"}</definedName>
    <definedName name="wrn.new._.delhi." localSheetId="5" hidden="1">{#N/A,#N/A,FALSE,"MAIN";#N/A,#N/A,FALSE,"MK_ASS_B";#N/A,#N/A,FALSE,"MK_ASS_R";#N/A,#N/A,FALSE,"TR_ASS_B";#N/A,#N/A,FALSE,"TR_ASS_R";#N/A,#N/A,FALSE,"ROAMING";#N/A,#N/A,FALSE,"PR_ASS_B";#N/A,#N/A,FALSE,"PR_ASS_R";#N/A,#N/A,FALSE,"PR_ASS_S"}</definedName>
    <definedName name="wrn.new._.delhi." localSheetId="8" hidden="1">{#N/A,#N/A,FALSE,"MAIN";#N/A,#N/A,FALSE,"MK_ASS_B";#N/A,#N/A,FALSE,"MK_ASS_R";#N/A,#N/A,FALSE,"TR_ASS_B";#N/A,#N/A,FALSE,"TR_ASS_R";#N/A,#N/A,FALSE,"ROAMING";#N/A,#N/A,FALSE,"PR_ASS_B";#N/A,#N/A,FALSE,"PR_ASS_R";#N/A,#N/A,FALSE,"PR_ASS_S"}</definedName>
    <definedName name="wrn.new._.delhi." localSheetId="10" hidden="1">{#N/A,#N/A,FALSE,"MAIN";#N/A,#N/A,FALSE,"MK_ASS_B";#N/A,#N/A,FALSE,"MK_ASS_R";#N/A,#N/A,FALSE,"TR_ASS_B";#N/A,#N/A,FALSE,"TR_ASS_R";#N/A,#N/A,FALSE,"ROAMING";#N/A,#N/A,FALSE,"PR_ASS_B";#N/A,#N/A,FALSE,"PR_ASS_R";#N/A,#N/A,FALSE,"PR_ASS_S"}</definedName>
    <definedName name="wrn.new._.delhi." localSheetId="12" hidden="1">{#N/A,#N/A,FALSE,"MAIN";#N/A,#N/A,FALSE,"MK_ASS_B";#N/A,#N/A,FALSE,"MK_ASS_R";#N/A,#N/A,FALSE,"TR_ASS_B";#N/A,#N/A,FALSE,"TR_ASS_R";#N/A,#N/A,FALSE,"ROAMING";#N/A,#N/A,FALSE,"PR_ASS_B";#N/A,#N/A,FALSE,"PR_ASS_R";#N/A,#N/A,FALSE,"PR_ASS_S"}</definedName>
    <definedName name="wrn.new._.delhi." localSheetId="14" hidden="1">{#N/A,#N/A,FALSE,"MAIN";#N/A,#N/A,FALSE,"MK_ASS_B";#N/A,#N/A,FALSE,"MK_ASS_R";#N/A,#N/A,FALSE,"TR_ASS_B";#N/A,#N/A,FALSE,"TR_ASS_R";#N/A,#N/A,FALSE,"ROAMING";#N/A,#N/A,FALSE,"PR_ASS_B";#N/A,#N/A,FALSE,"PR_ASS_R";#N/A,#N/A,FALSE,"PR_ASS_S"}</definedName>
    <definedName name="wrn.new._.delhi." localSheetId="16" hidden="1">{#N/A,#N/A,FALSE,"MAIN";#N/A,#N/A,FALSE,"MK_ASS_B";#N/A,#N/A,FALSE,"MK_ASS_R";#N/A,#N/A,FALSE,"TR_ASS_B";#N/A,#N/A,FALSE,"TR_ASS_R";#N/A,#N/A,FALSE,"ROAMING";#N/A,#N/A,FALSE,"PR_ASS_B";#N/A,#N/A,FALSE,"PR_ASS_R";#N/A,#N/A,FALSE,"PR_ASS_S"}</definedName>
    <definedName name="wrn.new._.delhi." localSheetId="22" hidden="1">{#N/A,#N/A,FALSE,"MAIN";#N/A,#N/A,FALSE,"MK_ASS_B";#N/A,#N/A,FALSE,"MK_ASS_R";#N/A,#N/A,FALSE,"TR_ASS_B";#N/A,#N/A,FALSE,"TR_ASS_R";#N/A,#N/A,FALSE,"ROAMING";#N/A,#N/A,FALSE,"PR_ASS_B";#N/A,#N/A,FALSE,"PR_ASS_R";#N/A,#N/A,FALSE,"PR_ASS_S"}</definedName>
    <definedName name="wrn.new._.delhi." localSheetId="24" hidden="1">{#N/A,#N/A,FALSE,"MAIN";#N/A,#N/A,FALSE,"MK_ASS_B";#N/A,#N/A,FALSE,"MK_ASS_R";#N/A,#N/A,FALSE,"TR_ASS_B";#N/A,#N/A,FALSE,"TR_ASS_R";#N/A,#N/A,FALSE,"ROAMING";#N/A,#N/A,FALSE,"PR_ASS_B";#N/A,#N/A,FALSE,"PR_ASS_R";#N/A,#N/A,FALSE,"PR_ASS_S"}</definedName>
    <definedName name="wrn.new._.delhi." localSheetId="26" hidden="1">{#N/A,#N/A,FALSE,"MAIN";#N/A,#N/A,FALSE,"MK_ASS_B";#N/A,#N/A,FALSE,"MK_ASS_R";#N/A,#N/A,FALSE,"TR_ASS_B";#N/A,#N/A,FALSE,"TR_ASS_R";#N/A,#N/A,FALSE,"ROAMING";#N/A,#N/A,FALSE,"PR_ASS_B";#N/A,#N/A,FALSE,"PR_ASS_R";#N/A,#N/A,FALSE,"PR_ASS_S"}</definedName>
    <definedName name="wrn.new._.delhi." localSheetId="28" hidden="1">{#N/A,#N/A,FALSE,"MAIN";#N/A,#N/A,FALSE,"MK_ASS_B";#N/A,#N/A,FALSE,"MK_ASS_R";#N/A,#N/A,FALSE,"TR_ASS_B";#N/A,#N/A,FALSE,"TR_ASS_R";#N/A,#N/A,FALSE,"ROAMING";#N/A,#N/A,FALSE,"PR_ASS_B";#N/A,#N/A,FALSE,"PR_ASS_R";#N/A,#N/A,FALSE,"PR_ASS_S"}</definedName>
    <definedName name="wrn.new._.delhi." localSheetId="30" hidden="1">{#N/A,#N/A,FALSE,"MAIN";#N/A,#N/A,FALSE,"MK_ASS_B";#N/A,#N/A,FALSE,"MK_ASS_R";#N/A,#N/A,FALSE,"TR_ASS_B";#N/A,#N/A,FALSE,"TR_ASS_R";#N/A,#N/A,FALSE,"ROAMING";#N/A,#N/A,FALSE,"PR_ASS_B";#N/A,#N/A,FALSE,"PR_ASS_R";#N/A,#N/A,FALSE,"PR_ASS_S"}</definedName>
    <definedName name="wrn.new._.delhi." localSheetId="32" hidden="1">{#N/A,#N/A,FALSE,"MAIN";#N/A,#N/A,FALSE,"MK_ASS_B";#N/A,#N/A,FALSE,"MK_ASS_R";#N/A,#N/A,FALSE,"TR_ASS_B";#N/A,#N/A,FALSE,"TR_ASS_R";#N/A,#N/A,FALSE,"ROAMING";#N/A,#N/A,FALSE,"PR_ASS_B";#N/A,#N/A,FALSE,"PR_ASS_R";#N/A,#N/A,FALSE,"PR_ASS_S"}</definedName>
    <definedName name="wrn.new._.delhi." localSheetId="34" hidden="1">{#N/A,#N/A,FALSE,"MAIN";#N/A,#N/A,FALSE,"MK_ASS_B";#N/A,#N/A,FALSE,"MK_ASS_R";#N/A,#N/A,FALSE,"TR_ASS_B";#N/A,#N/A,FALSE,"TR_ASS_R";#N/A,#N/A,FALSE,"ROAMING";#N/A,#N/A,FALSE,"PR_ASS_B";#N/A,#N/A,FALSE,"PR_ASS_R";#N/A,#N/A,FALSE,"PR_ASS_S"}</definedName>
    <definedName name="wrn.new._.delhi." localSheetId="36" hidden="1">{#N/A,#N/A,FALSE,"MAIN";#N/A,#N/A,FALSE,"MK_ASS_B";#N/A,#N/A,FALSE,"MK_ASS_R";#N/A,#N/A,FALSE,"TR_ASS_B";#N/A,#N/A,FALSE,"TR_ASS_R";#N/A,#N/A,FALSE,"ROAMING";#N/A,#N/A,FALSE,"PR_ASS_B";#N/A,#N/A,FALSE,"PR_ASS_R";#N/A,#N/A,FALSE,"PR_ASS_S"}</definedName>
    <definedName name="wrn.new._.delhi." localSheetId="38" hidden="1">{#N/A,#N/A,FALSE,"MAIN";#N/A,#N/A,FALSE,"MK_ASS_B";#N/A,#N/A,FALSE,"MK_ASS_R";#N/A,#N/A,FALSE,"TR_ASS_B";#N/A,#N/A,FALSE,"TR_ASS_R";#N/A,#N/A,FALSE,"ROAMING";#N/A,#N/A,FALSE,"PR_ASS_B";#N/A,#N/A,FALSE,"PR_ASS_R";#N/A,#N/A,FALSE,"PR_ASS_S"}</definedName>
    <definedName name="wrn.new._.delhi." hidden="1">{#N/A,#N/A,FALSE,"MAIN";#N/A,#N/A,FALSE,"MK_ASS_B";#N/A,#N/A,FALSE,"MK_ASS_R";#N/A,#N/A,FALSE,"TR_ASS_B";#N/A,#N/A,FALSE,"TR_ASS_R";#N/A,#N/A,FALSE,"ROAMING";#N/A,#N/A,FALSE,"PR_ASS_B";#N/A,#N/A,FALSE,"PR_ASS_R";#N/A,#N/A,FALSE,"PR_ASS_S"}</definedName>
    <definedName name="wrn.Operation._.Report." localSheetId="3"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5"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8"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10"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1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1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16"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2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2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26"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28"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30"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3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3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36"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38"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S_1Q." localSheetId="3" hidden="1">{#N/A,#N/A,FALSE,"TOTAL_WELLPOINT";#N/A,#N/A,FALSE,"BCC";#N/A,#N/A,FALSE,"CONN.";#N/A,#N/A,FALSE,"BCBS_GEORGIA";#N/A,#N/A,FALSE,"GA._PACIFIC";#N/A,#N/A,FALSE,"St._of_GEORGIA";#N/A,#N/A,FALSE,"ILLINOIS";#N/A,#N/A,FALSE,"W._NEW_YORK";#N/A,#N/A,FALSE,"UTICA";#N/A,#N/A,FALSE,"ALABAMA";#N/A,#N/A,FALSE,"ALAMEDA";#N/A,#N/A,FALSE,"WA_AK"}</definedName>
    <definedName name="wrn.OPS_1Q." localSheetId="5" hidden="1">{#N/A,#N/A,FALSE,"TOTAL_WELLPOINT";#N/A,#N/A,FALSE,"BCC";#N/A,#N/A,FALSE,"CONN.";#N/A,#N/A,FALSE,"BCBS_GEORGIA";#N/A,#N/A,FALSE,"GA._PACIFIC";#N/A,#N/A,FALSE,"St._of_GEORGIA";#N/A,#N/A,FALSE,"ILLINOIS";#N/A,#N/A,FALSE,"W._NEW_YORK";#N/A,#N/A,FALSE,"UTICA";#N/A,#N/A,FALSE,"ALABAMA";#N/A,#N/A,FALSE,"ALAMEDA";#N/A,#N/A,FALSE,"WA_AK"}</definedName>
    <definedName name="wrn.OPS_1Q." localSheetId="8" hidden="1">{#N/A,#N/A,FALSE,"TOTAL_WELLPOINT";#N/A,#N/A,FALSE,"BCC";#N/A,#N/A,FALSE,"CONN.";#N/A,#N/A,FALSE,"BCBS_GEORGIA";#N/A,#N/A,FALSE,"GA._PACIFIC";#N/A,#N/A,FALSE,"St._of_GEORGIA";#N/A,#N/A,FALSE,"ILLINOIS";#N/A,#N/A,FALSE,"W._NEW_YORK";#N/A,#N/A,FALSE,"UTICA";#N/A,#N/A,FALSE,"ALABAMA";#N/A,#N/A,FALSE,"ALAMEDA";#N/A,#N/A,FALSE,"WA_AK"}</definedName>
    <definedName name="wrn.OPS_1Q." localSheetId="10" hidden="1">{#N/A,#N/A,FALSE,"TOTAL_WELLPOINT";#N/A,#N/A,FALSE,"BCC";#N/A,#N/A,FALSE,"CONN.";#N/A,#N/A,FALSE,"BCBS_GEORGIA";#N/A,#N/A,FALSE,"GA._PACIFIC";#N/A,#N/A,FALSE,"St._of_GEORGIA";#N/A,#N/A,FALSE,"ILLINOIS";#N/A,#N/A,FALSE,"W._NEW_YORK";#N/A,#N/A,FALSE,"UTICA";#N/A,#N/A,FALSE,"ALABAMA";#N/A,#N/A,FALSE,"ALAMEDA";#N/A,#N/A,FALSE,"WA_AK"}</definedName>
    <definedName name="wrn.OPS_1Q." localSheetId="12" hidden="1">{#N/A,#N/A,FALSE,"TOTAL_WELLPOINT";#N/A,#N/A,FALSE,"BCC";#N/A,#N/A,FALSE,"CONN.";#N/A,#N/A,FALSE,"BCBS_GEORGIA";#N/A,#N/A,FALSE,"GA._PACIFIC";#N/A,#N/A,FALSE,"St._of_GEORGIA";#N/A,#N/A,FALSE,"ILLINOIS";#N/A,#N/A,FALSE,"W._NEW_YORK";#N/A,#N/A,FALSE,"UTICA";#N/A,#N/A,FALSE,"ALABAMA";#N/A,#N/A,FALSE,"ALAMEDA";#N/A,#N/A,FALSE,"WA_AK"}</definedName>
    <definedName name="wrn.OPS_1Q." localSheetId="14" hidden="1">{#N/A,#N/A,FALSE,"TOTAL_WELLPOINT";#N/A,#N/A,FALSE,"BCC";#N/A,#N/A,FALSE,"CONN.";#N/A,#N/A,FALSE,"BCBS_GEORGIA";#N/A,#N/A,FALSE,"GA._PACIFIC";#N/A,#N/A,FALSE,"St._of_GEORGIA";#N/A,#N/A,FALSE,"ILLINOIS";#N/A,#N/A,FALSE,"W._NEW_YORK";#N/A,#N/A,FALSE,"UTICA";#N/A,#N/A,FALSE,"ALABAMA";#N/A,#N/A,FALSE,"ALAMEDA";#N/A,#N/A,FALSE,"WA_AK"}</definedName>
    <definedName name="wrn.OPS_1Q." localSheetId="16" hidden="1">{#N/A,#N/A,FALSE,"TOTAL_WELLPOINT";#N/A,#N/A,FALSE,"BCC";#N/A,#N/A,FALSE,"CONN.";#N/A,#N/A,FALSE,"BCBS_GEORGIA";#N/A,#N/A,FALSE,"GA._PACIFIC";#N/A,#N/A,FALSE,"St._of_GEORGIA";#N/A,#N/A,FALSE,"ILLINOIS";#N/A,#N/A,FALSE,"W._NEW_YORK";#N/A,#N/A,FALSE,"UTICA";#N/A,#N/A,FALSE,"ALABAMA";#N/A,#N/A,FALSE,"ALAMEDA";#N/A,#N/A,FALSE,"WA_AK"}</definedName>
    <definedName name="wrn.OPS_1Q." localSheetId="22" hidden="1">{#N/A,#N/A,FALSE,"TOTAL_WELLPOINT";#N/A,#N/A,FALSE,"BCC";#N/A,#N/A,FALSE,"CONN.";#N/A,#N/A,FALSE,"BCBS_GEORGIA";#N/A,#N/A,FALSE,"GA._PACIFIC";#N/A,#N/A,FALSE,"St._of_GEORGIA";#N/A,#N/A,FALSE,"ILLINOIS";#N/A,#N/A,FALSE,"W._NEW_YORK";#N/A,#N/A,FALSE,"UTICA";#N/A,#N/A,FALSE,"ALABAMA";#N/A,#N/A,FALSE,"ALAMEDA";#N/A,#N/A,FALSE,"WA_AK"}</definedName>
    <definedName name="wrn.OPS_1Q." localSheetId="24" hidden="1">{#N/A,#N/A,FALSE,"TOTAL_WELLPOINT";#N/A,#N/A,FALSE,"BCC";#N/A,#N/A,FALSE,"CONN.";#N/A,#N/A,FALSE,"BCBS_GEORGIA";#N/A,#N/A,FALSE,"GA._PACIFIC";#N/A,#N/A,FALSE,"St._of_GEORGIA";#N/A,#N/A,FALSE,"ILLINOIS";#N/A,#N/A,FALSE,"W._NEW_YORK";#N/A,#N/A,FALSE,"UTICA";#N/A,#N/A,FALSE,"ALABAMA";#N/A,#N/A,FALSE,"ALAMEDA";#N/A,#N/A,FALSE,"WA_AK"}</definedName>
    <definedName name="wrn.OPS_1Q." localSheetId="26" hidden="1">{#N/A,#N/A,FALSE,"TOTAL_WELLPOINT";#N/A,#N/A,FALSE,"BCC";#N/A,#N/A,FALSE,"CONN.";#N/A,#N/A,FALSE,"BCBS_GEORGIA";#N/A,#N/A,FALSE,"GA._PACIFIC";#N/A,#N/A,FALSE,"St._of_GEORGIA";#N/A,#N/A,FALSE,"ILLINOIS";#N/A,#N/A,FALSE,"W._NEW_YORK";#N/A,#N/A,FALSE,"UTICA";#N/A,#N/A,FALSE,"ALABAMA";#N/A,#N/A,FALSE,"ALAMEDA";#N/A,#N/A,FALSE,"WA_AK"}</definedName>
    <definedName name="wrn.OPS_1Q." localSheetId="28" hidden="1">{#N/A,#N/A,FALSE,"TOTAL_WELLPOINT";#N/A,#N/A,FALSE,"BCC";#N/A,#N/A,FALSE,"CONN.";#N/A,#N/A,FALSE,"BCBS_GEORGIA";#N/A,#N/A,FALSE,"GA._PACIFIC";#N/A,#N/A,FALSE,"St._of_GEORGIA";#N/A,#N/A,FALSE,"ILLINOIS";#N/A,#N/A,FALSE,"W._NEW_YORK";#N/A,#N/A,FALSE,"UTICA";#N/A,#N/A,FALSE,"ALABAMA";#N/A,#N/A,FALSE,"ALAMEDA";#N/A,#N/A,FALSE,"WA_AK"}</definedName>
    <definedName name="wrn.OPS_1Q." localSheetId="30" hidden="1">{#N/A,#N/A,FALSE,"TOTAL_WELLPOINT";#N/A,#N/A,FALSE,"BCC";#N/A,#N/A,FALSE,"CONN.";#N/A,#N/A,FALSE,"BCBS_GEORGIA";#N/A,#N/A,FALSE,"GA._PACIFIC";#N/A,#N/A,FALSE,"St._of_GEORGIA";#N/A,#N/A,FALSE,"ILLINOIS";#N/A,#N/A,FALSE,"W._NEW_YORK";#N/A,#N/A,FALSE,"UTICA";#N/A,#N/A,FALSE,"ALABAMA";#N/A,#N/A,FALSE,"ALAMEDA";#N/A,#N/A,FALSE,"WA_AK"}</definedName>
    <definedName name="wrn.OPS_1Q." localSheetId="32" hidden="1">{#N/A,#N/A,FALSE,"TOTAL_WELLPOINT";#N/A,#N/A,FALSE,"BCC";#N/A,#N/A,FALSE,"CONN.";#N/A,#N/A,FALSE,"BCBS_GEORGIA";#N/A,#N/A,FALSE,"GA._PACIFIC";#N/A,#N/A,FALSE,"St._of_GEORGIA";#N/A,#N/A,FALSE,"ILLINOIS";#N/A,#N/A,FALSE,"W._NEW_YORK";#N/A,#N/A,FALSE,"UTICA";#N/A,#N/A,FALSE,"ALABAMA";#N/A,#N/A,FALSE,"ALAMEDA";#N/A,#N/A,FALSE,"WA_AK"}</definedName>
    <definedName name="wrn.OPS_1Q." localSheetId="34" hidden="1">{#N/A,#N/A,FALSE,"TOTAL_WELLPOINT";#N/A,#N/A,FALSE,"BCC";#N/A,#N/A,FALSE,"CONN.";#N/A,#N/A,FALSE,"BCBS_GEORGIA";#N/A,#N/A,FALSE,"GA._PACIFIC";#N/A,#N/A,FALSE,"St._of_GEORGIA";#N/A,#N/A,FALSE,"ILLINOIS";#N/A,#N/A,FALSE,"W._NEW_YORK";#N/A,#N/A,FALSE,"UTICA";#N/A,#N/A,FALSE,"ALABAMA";#N/A,#N/A,FALSE,"ALAMEDA";#N/A,#N/A,FALSE,"WA_AK"}</definedName>
    <definedName name="wrn.OPS_1Q." localSheetId="36" hidden="1">{#N/A,#N/A,FALSE,"TOTAL_WELLPOINT";#N/A,#N/A,FALSE,"BCC";#N/A,#N/A,FALSE,"CONN.";#N/A,#N/A,FALSE,"BCBS_GEORGIA";#N/A,#N/A,FALSE,"GA._PACIFIC";#N/A,#N/A,FALSE,"St._of_GEORGIA";#N/A,#N/A,FALSE,"ILLINOIS";#N/A,#N/A,FALSE,"W._NEW_YORK";#N/A,#N/A,FALSE,"UTICA";#N/A,#N/A,FALSE,"ALABAMA";#N/A,#N/A,FALSE,"ALAMEDA";#N/A,#N/A,FALSE,"WA_AK"}</definedName>
    <definedName name="wrn.OPS_1Q." localSheetId="38" hidden="1">{#N/A,#N/A,FALSE,"TOTAL_WELLPOINT";#N/A,#N/A,FALSE,"BCC";#N/A,#N/A,FALSE,"CONN.";#N/A,#N/A,FALSE,"BCBS_GEORGIA";#N/A,#N/A,FALSE,"GA._PACIFIC";#N/A,#N/A,FALSE,"St._of_GEORGIA";#N/A,#N/A,FALSE,"ILLINOIS";#N/A,#N/A,FALSE,"W._NEW_YORK";#N/A,#N/A,FALSE,"UTICA";#N/A,#N/A,FALSE,"ALABAMA";#N/A,#N/A,FALSE,"ALAMEDA";#N/A,#N/A,FALSE,"WA_AK"}</definedName>
    <definedName name="wrn.OPS_1Q." hidden="1">{#N/A,#N/A,FALSE,"TOTAL_WELLPOINT";#N/A,#N/A,FALSE,"BCC";#N/A,#N/A,FALSE,"CONN.";#N/A,#N/A,FALSE,"BCBS_GEORGIA";#N/A,#N/A,FALSE,"GA._PACIFIC";#N/A,#N/A,FALSE,"St._of_GEORGIA";#N/A,#N/A,FALSE,"ILLINOIS";#N/A,#N/A,FALSE,"W._NEW_YORK";#N/A,#N/A,FALSE,"UTICA";#N/A,#N/A,FALSE,"ALABAMA";#N/A,#N/A,FALSE,"ALAMEDA";#N/A,#N/A,FALSE,"WA_AK"}</definedName>
    <definedName name="wrn.PLCOMIT." localSheetId="3" hidden="1">{#N/A,#N/A,FALSE,"pl_cons";#N/A,#N/A,FALSE,"pl_grup";#N/A,#N/A,FALSE,"pl_umpl";#N/A,#N/A,FALSE,"pl_bim";#N/A,#N/A,FALSE,"pl_bdb";#N/A,#N/A,FALSE,"pl_mq32";#N/A,#N/A,FALSE,"pl_bsrl"}</definedName>
    <definedName name="wrn.PLCOMIT." localSheetId="5" hidden="1">{#N/A,#N/A,FALSE,"pl_cons";#N/A,#N/A,FALSE,"pl_grup";#N/A,#N/A,FALSE,"pl_umpl";#N/A,#N/A,FALSE,"pl_bim";#N/A,#N/A,FALSE,"pl_bdb";#N/A,#N/A,FALSE,"pl_mq32";#N/A,#N/A,FALSE,"pl_bsrl"}</definedName>
    <definedName name="wrn.PLCOMIT." localSheetId="8" hidden="1">{#N/A,#N/A,FALSE,"pl_cons";#N/A,#N/A,FALSE,"pl_grup";#N/A,#N/A,FALSE,"pl_umpl";#N/A,#N/A,FALSE,"pl_bim";#N/A,#N/A,FALSE,"pl_bdb";#N/A,#N/A,FALSE,"pl_mq32";#N/A,#N/A,FALSE,"pl_bsrl"}</definedName>
    <definedName name="wrn.PLCOMIT." localSheetId="10" hidden="1">{#N/A,#N/A,FALSE,"pl_cons";#N/A,#N/A,FALSE,"pl_grup";#N/A,#N/A,FALSE,"pl_umpl";#N/A,#N/A,FALSE,"pl_bim";#N/A,#N/A,FALSE,"pl_bdb";#N/A,#N/A,FALSE,"pl_mq32";#N/A,#N/A,FALSE,"pl_bsrl"}</definedName>
    <definedName name="wrn.PLCOMIT." localSheetId="12" hidden="1">{#N/A,#N/A,FALSE,"pl_cons";#N/A,#N/A,FALSE,"pl_grup";#N/A,#N/A,FALSE,"pl_umpl";#N/A,#N/A,FALSE,"pl_bim";#N/A,#N/A,FALSE,"pl_bdb";#N/A,#N/A,FALSE,"pl_mq32";#N/A,#N/A,FALSE,"pl_bsrl"}</definedName>
    <definedName name="wrn.PLCOMIT." localSheetId="14" hidden="1">{#N/A,#N/A,FALSE,"pl_cons";#N/A,#N/A,FALSE,"pl_grup";#N/A,#N/A,FALSE,"pl_umpl";#N/A,#N/A,FALSE,"pl_bim";#N/A,#N/A,FALSE,"pl_bdb";#N/A,#N/A,FALSE,"pl_mq32";#N/A,#N/A,FALSE,"pl_bsrl"}</definedName>
    <definedName name="wrn.PLCOMIT." localSheetId="16" hidden="1">{#N/A,#N/A,FALSE,"pl_cons";#N/A,#N/A,FALSE,"pl_grup";#N/A,#N/A,FALSE,"pl_umpl";#N/A,#N/A,FALSE,"pl_bim";#N/A,#N/A,FALSE,"pl_bdb";#N/A,#N/A,FALSE,"pl_mq32";#N/A,#N/A,FALSE,"pl_bsrl"}</definedName>
    <definedName name="wrn.PLCOMIT." localSheetId="22" hidden="1">{#N/A,#N/A,FALSE,"pl_cons";#N/A,#N/A,FALSE,"pl_grup";#N/A,#N/A,FALSE,"pl_umpl";#N/A,#N/A,FALSE,"pl_bim";#N/A,#N/A,FALSE,"pl_bdb";#N/A,#N/A,FALSE,"pl_mq32";#N/A,#N/A,FALSE,"pl_bsrl"}</definedName>
    <definedName name="wrn.PLCOMIT." localSheetId="24" hidden="1">{#N/A,#N/A,FALSE,"pl_cons";#N/A,#N/A,FALSE,"pl_grup";#N/A,#N/A,FALSE,"pl_umpl";#N/A,#N/A,FALSE,"pl_bim";#N/A,#N/A,FALSE,"pl_bdb";#N/A,#N/A,FALSE,"pl_mq32";#N/A,#N/A,FALSE,"pl_bsrl"}</definedName>
    <definedName name="wrn.PLCOMIT." localSheetId="26" hidden="1">{#N/A,#N/A,FALSE,"pl_cons";#N/A,#N/A,FALSE,"pl_grup";#N/A,#N/A,FALSE,"pl_umpl";#N/A,#N/A,FALSE,"pl_bim";#N/A,#N/A,FALSE,"pl_bdb";#N/A,#N/A,FALSE,"pl_mq32";#N/A,#N/A,FALSE,"pl_bsrl"}</definedName>
    <definedName name="wrn.PLCOMIT." localSheetId="28" hidden="1">{#N/A,#N/A,FALSE,"pl_cons";#N/A,#N/A,FALSE,"pl_grup";#N/A,#N/A,FALSE,"pl_umpl";#N/A,#N/A,FALSE,"pl_bim";#N/A,#N/A,FALSE,"pl_bdb";#N/A,#N/A,FALSE,"pl_mq32";#N/A,#N/A,FALSE,"pl_bsrl"}</definedName>
    <definedName name="wrn.PLCOMIT." localSheetId="30" hidden="1">{#N/A,#N/A,FALSE,"pl_cons";#N/A,#N/A,FALSE,"pl_grup";#N/A,#N/A,FALSE,"pl_umpl";#N/A,#N/A,FALSE,"pl_bim";#N/A,#N/A,FALSE,"pl_bdb";#N/A,#N/A,FALSE,"pl_mq32";#N/A,#N/A,FALSE,"pl_bsrl"}</definedName>
    <definedName name="wrn.PLCOMIT." localSheetId="32" hidden="1">{#N/A,#N/A,FALSE,"pl_cons";#N/A,#N/A,FALSE,"pl_grup";#N/A,#N/A,FALSE,"pl_umpl";#N/A,#N/A,FALSE,"pl_bim";#N/A,#N/A,FALSE,"pl_bdb";#N/A,#N/A,FALSE,"pl_mq32";#N/A,#N/A,FALSE,"pl_bsrl"}</definedName>
    <definedName name="wrn.PLCOMIT." localSheetId="34" hidden="1">{#N/A,#N/A,FALSE,"pl_cons";#N/A,#N/A,FALSE,"pl_grup";#N/A,#N/A,FALSE,"pl_umpl";#N/A,#N/A,FALSE,"pl_bim";#N/A,#N/A,FALSE,"pl_bdb";#N/A,#N/A,FALSE,"pl_mq32";#N/A,#N/A,FALSE,"pl_bsrl"}</definedName>
    <definedName name="wrn.PLCOMIT." localSheetId="36" hidden="1">{#N/A,#N/A,FALSE,"pl_cons";#N/A,#N/A,FALSE,"pl_grup";#N/A,#N/A,FALSE,"pl_umpl";#N/A,#N/A,FALSE,"pl_bim";#N/A,#N/A,FALSE,"pl_bdb";#N/A,#N/A,FALSE,"pl_mq32";#N/A,#N/A,FALSE,"pl_bsrl"}</definedName>
    <definedName name="wrn.PLCOMIT." localSheetId="38" hidden="1">{#N/A,#N/A,FALSE,"pl_cons";#N/A,#N/A,FALSE,"pl_grup";#N/A,#N/A,FALSE,"pl_umpl";#N/A,#N/A,FALSE,"pl_bim";#N/A,#N/A,FALSE,"pl_bdb";#N/A,#N/A,FALSE,"pl_mq32";#N/A,#N/A,FALSE,"pl_bsrl"}</definedName>
    <definedName name="wrn.PLCOMIT." hidden="1">{#N/A,#N/A,FALSE,"pl_cons";#N/A,#N/A,FALSE,"pl_grup";#N/A,#N/A,FALSE,"pl_umpl";#N/A,#N/A,FALSE,"pl_bim";#N/A,#N/A,FALSE,"pl_bdb";#N/A,#N/A,FALSE,"pl_mq32";#N/A,#N/A,FALSE,"pl_bsrl"}</definedName>
    <definedName name="wrn.Principale." localSheetId="3" hidden="1">{"Principale",#N/A,TRUE,"ONNET2B"}</definedName>
    <definedName name="wrn.Principale." localSheetId="5" hidden="1">{"Principale",#N/A,TRUE,"ONNET2B"}</definedName>
    <definedName name="wrn.Principale." localSheetId="8" hidden="1">{"Principale",#N/A,TRUE,"ONNET2B"}</definedName>
    <definedName name="wrn.Principale." localSheetId="10" hidden="1">{"Principale",#N/A,TRUE,"ONNET2B"}</definedName>
    <definedName name="wrn.Principale." localSheetId="12" hidden="1">{"Principale",#N/A,TRUE,"ONNET2B"}</definedName>
    <definedName name="wrn.Principale." localSheetId="14" hidden="1">{"Principale",#N/A,TRUE,"ONNET2B"}</definedName>
    <definedName name="wrn.Principale." localSheetId="16" hidden="1">{"Principale",#N/A,TRUE,"ONNET2B"}</definedName>
    <definedName name="wrn.Principale." localSheetId="22" hidden="1">{"Principale",#N/A,TRUE,"ONNET2B"}</definedName>
    <definedName name="wrn.Principale." localSheetId="24" hidden="1">{"Principale",#N/A,TRUE,"ONNET2B"}</definedName>
    <definedName name="wrn.Principale." localSheetId="26" hidden="1">{"Principale",#N/A,TRUE,"ONNET2B"}</definedName>
    <definedName name="wrn.Principale." localSheetId="28" hidden="1">{"Principale",#N/A,TRUE,"ONNET2B"}</definedName>
    <definedName name="wrn.Principale." localSheetId="30" hidden="1">{"Principale",#N/A,TRUE,"ONNET2B"}</definedName>
    <definedName name="wrn.Principale." localSheetId="32" hidden="1">{"Principale",#N/A,TRUE,"ONNET2B"}</definedName>
    <definedName name="wrn.Principale." localSheetId="34" hidden="1">{"Principale",#N/A,TRUE,"ONNET2B"}</definedName>
    <definedName name="wrn.Principale." localSheetId="36" hidden="1">{"Principale",#N/A,TRUE,"ONNET2B"}</definedName>
    <definedName name="wrn.Principale." localSheetId="38" hidden="1">{"Principale",#N/A,TRUE,"ONNET2B"}</definedName>
    <definedName name="wrn.Principale." hidden="1">{"Principale",#N/A,TRUE,"ONNET2B"}</definedName>
    <definedName name="wrn.Print." localSheetId="3"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 localSheetId="5"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 localSheetId="8"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 localSheetId="10"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 localSheetId="1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 localSheetId="14"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 localSheetId="16"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 localSheetId="2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 localSheetId="24"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 localSheetId="26"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 localSheetId="28"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 localSheetId="30"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 localSheetId="3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 localSheetId="34"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 localSheetId="36"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 localSheetId="38"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_.All." localSheetId="3"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_.All." localSheetId="5"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_.All." localSheetId="8"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_.All." localSheetId="10"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_.All." localSheetId="12"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_.All." localSheetId="14"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_.All." localSheetId="16"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_.All." localSheetId="22"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_.All." localSheetId="24"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_.All." localSheetId="26"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_.All." localSheetId="28"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_.All." localSheetId="30"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_.All." localSheetId="32"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_.All." localSheetId="34"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_.All." localSheetId="36"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_.All." localSheetId="38"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_.All."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All." localSheetId="3"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All." localSheetId="5"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All." localSheetId="8"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All." localSheetId="10"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All." localSheetId="1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All." localSheetId="14"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All." localSheetId="16"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All." localSheetId="2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All." localSheetId="24"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All." localSheetId="26"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All." localSheetId="28"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All." localSheetId="30"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All." localSheetId="3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All." localSheetId="34"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All." localSheetId="36"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All." localSheetId="38"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All."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out." localSheetId="3"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5"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8"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10"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12"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14"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16"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22"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24"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26"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28"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30"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32"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34"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36"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38" hidden="1">{#N/A,#N/A,FALSE,"BANNERS";#N/A,#N/A,FALSE,"Market";#N/A,#N/A,FALSE,"# of POP MAN";#N/A,#N/A,FALSE,"Penet Input";#N/A,#N/A,FALSE,"Tel Rev";#N/A,#N/A,FALSE,"Invest";#N/A,#N/A,FALSE,"Op Cost1";#N/A,#N/A,FALSE,"Op Cost2";#N/A,#N/A,FALSE,"Oth_&amp;_Tot_Revenues";#N/A,#N/A,FALSE,"Fin Mod";#N/A,#N/A,FALSE,"P&amp;E Burocrat";#N/A,#N/A,FALSE,"cash flow"}</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oject._.A." localSheetId="3" hidden="1">{"Proj Econ Summary",#N/A,FALSE,"Project A";"Income Statement",#N/A,FALSE,"Project A";"Cash Flow Statement",#N/A,FALSE,"Project A";"Balance Sheet",#N/A,FALSE,"Project A";"Scenario Summary (Proj A)",#N/A,FALSE,"Scenario Summary"}</definedName>
    <definedName name="wrn.Project._.A." localSheetId="5" hidden="1">{"Proj Econ Summary",#N/A,FALSE,"Project A";"Income Statement",#N/A,FALSE,"Project A";"Cash Flow Statement",#N/A,FALSE,"Project A";"Balance Sheet",#N/A,FALSE,"Project A";"Scenario Summary (Proj A)",#N/A,FALSE,"Scenario Summary"}</definedName>
    <definedName name="wrn.Project._.A." localSheetId="8" hidden="1">{"Proj Econ Summary",#N/A,FALSE,"Project A";"Income Statement",#N/A,FALSE,"Project A";"Cash Flow Statement",#N/A,FALSE,"Project A";"Balance Sheet",#N/A,FALSE,"Project A";"Scenario Summary (Proj A)",#N/A,FALSE,"Scenario Summary"}</definedName>
    <definedName name="wrn.Project._.A." localSheetId="10" hidden="1">{"Proj Econ Summary",#N/A,FALSE,"Project A";"Income Statement",#N/A,FALSE,"Project A";"Cash Flow Statement",#N/A,FALSE,"Project A";"Balance Sheet",#N/A,FALSE,"Project A";"Scenario Summary (Proj A)",#N/A,FALSE,"Scenario Summary"}</definedName>
    <definedName name="wrn.Project._.A." localSheetId="12" hidden="1">{"Proj Econ Summary",#N/A,FALSE,"Project A";"Income Statement",#N/A,FALSE,"Project A";"Cash Flow Statement",#N/A,FALSE,"Project A";"Balance Sheet",#N/A,FALSE,"Project A";"Scenario Summary (Proj A)",#N/A,FALSE,"Scenario Summary"}</definedName>
    <definedName name="wrn.Project._.A." localSheetId="14" hidden="1">{"Proj Econ Summary",#N/A,FALSE,"Project A";"Income Statement",#N/A,FALSE,"Project A";"Cash Flow Statement",#N/A,FALSE,"Project A";"Balance Sheet",#N/A,FALSE,"Project A";"Scenario Summary (Proj A)",#N/A,FALSE,"Scenario Summary"}</definedName>
    <definedName name="wrn.Project._.A." localSheetId="16" hidden="1">{"Proj Econ Summary",#N/A,FALSE,"Project A";"Income Statement",#N/A,FALSE,"Project A";"Cash Flow Statement",#N/A,FALSE,"Project A";"Balance Sheet",#N/A,FALSE,"Project A";"Scenario Summary (Proj A)",#N/A,FALSE,"Scenario Summary"}</definedName>
    <definedName name="wrn.Project._.A." localSheetId="22" hidden="1">{"Proj Econ Summary",#N/A,FALSE,"Project A";"Income Statement",#N/A,FALSE,"Project A";"Cash Flow Statement",#N/A,FALSE,"Project A";"Balance Sheet",#N/A,FALSE,"Project A";"Scenario Summary (Proj A)",#N/A,FALSE,"Scenario Summary"}</definedName>
    <definedName name="wrn.Project._.A." localSheetId="24" hidden="1">{"Proj Econ Summary",#N/A,FALSE,"Project A";"Income Statement",#N/A,FALSE,"Project A";"Cash Flow Statement",#N/A,FALSE,"Project A";"Balance Sheet",#N/A,FALSE,"Project A";"Scenario Summary (Proj A)",#N/A,FALSE,"Scenario Summary"}</definedName>
    <definedName name="wrn.Project._.A." localSheetId="26" hidden="1">{"Proj Econ Summary",#N/A,FALSE,"Project A";"Income Statement",#N/A,FALSE,"Project A";"Cash Flow Statement",#N/A,FALSE,"Project A";"Balance Sheet",#N/A,FALSE,"Project A";"Scenario Summary (Proj A)",#N/A,FALSE,"Scenario Summary"}</definedName>
    <definedName name="wrn.Project._.A." localSheetId="28" hidden="1">{"Proj Econ Summary",#N/A,FALSE,"Project A";"Income Statement",#N/A,FALSE,"Project A";"Cash Flow Statement",#N/A,FALSE,"Project A";"Balance Sheet",#N/A,FALSE,"Project A";"Scenario Summary (Proj A)",#N/A,FALSE,"Scenario Summary"}</definedName>
    <definedName name="wrn.Project._.A." localSheetId="30" hidden="1">{"Proj Econ Summary",#N/A,FALSE,"Project A";"Income Statement",#N/A,FALSE,"Project A";"Cash Flow Statement",#N/A,FALSE,"Project A";"Balance Sheet",#N/A,FALSE,"Project A";"Scenario Summary (Proj A)",#N/A,FALSE,"Scenario Summary"}</definedName>
    <definedName name="wrn.Project._.A." localSheetId="32" hidden="1">{"Proj Econ Summary",#N/A,FALSE,"Project A";"Income Statement",#N/A,FALSE,"Project A";"Cash Flow Statement",#N/A,FALSE,"Project A";"Balance Sheet",#N/A,FALSE,"Project A";"Scenario Summary (Proj A)",#N/A,FALSE,"Scenario Summary"}</definedName>
    <definedName name="wrn.Project._.A." localSheetId="34" hidden="1">{"Proj Econ Summary",#N/A,FALSE,"Project A";"Income Statement",#N/A,FALSE,"Project A";"Cash Flow Statement",#N/A,FALSE,"Project A";"Balance Sheet",#N/A,FALSE,"Project A";"Scenario Summary (Proj A)",#N/A,FALSE,"Scenario Summary"}</definedName>
    <definedName name="wrn.Project._.A." localSheetId="36" hidden="1">{"Proj Econ Summary",#N/A,FALSE,"Project A";"Income Statement",#N/A,FALSE,"Project A";"Cash Flow Statement",#N/A,FALSE,"Project A";"Balance Sheet",#N/A,FALSE,"Project A";"Scenario Summary (Proj A)",#N/A,FALSE,"Scenario Summary"}</definedName>
    <definedName name="wrn.Project._.A." localSheetId="38" hidden="1">{"Proj Econ Summary",#N/A,FALSE,"Project A";"Income Statement",#N/A,FALSE,"Project A";"Cash Flow Statement",#N/A,FALSE,"Project A";"Balance Sheet",#N/A,FALSE,"Project A";"Scenario Summary (Proj A)",#N/A,FALSE,"Scenario Summary"}</definedName>
    <definedName name="wrn.Project._.A." hidden="1">{"Proj Econ Summary",#N/A,FALSE,"Project A";"Income Statement",#N/A,FALSE,"Project A";"Cash Flow Statement",#N/A,FALSE,"Project A";"Balance Sheet",#N/A,FALSE,"Project A";"Scenario Summary (Proj A)",#N/A,FALSE,"Scenario Summary"}</definedName>
    <definedName name="wrn.Project._.Summary." localSheetId="3" hidden="1">{"Summary",#N/A,FALSE,"MICMULT";"Income Statement",#N/A,FALSE,"MICMULT";"Cash Flows",#N/A,FALSE,"MICMULT"}</definedName>
    <definedName name="wrn.Project._.Summary." localSheetId="5" hidden="1">{"Summary",#N/A,FALSE,"MICMULT";"Income Statement",#N/A,FALSE,"MICMULT";"Cash Flows",#N/A,FALSE,"MICMULT"}</definedName>
    <definedName name="wrn.Project._.Summary." localSheetId="8" hidden="1">{"Summary",#N/A,FALSE,"MICMULT";"Income Statement",#N/A,FALSE,"MICMULT";"Cash Flows",#N/A,FALSE,"MICMULT"}</definedName>
    <definedName name="wrn.Project._.Summary." localSheetId="10" hidden="1">{"Summary",#N/A,FALSE,"MICMULT";"Income Statement",#N/A,FALSE,"MICMULT";"Cash Flows",#N/A,FALSE,"MICMULT"}</definedName>
    <definedName name="wrn.Project._.Summary." localSheetId="12" hidden="1">{"Summary",#N/A,FALSE,"MICMULT";"Income Statement",#N/A,FALSE,"MICMULT";"Cash Flows",#N/A,FALSE,"MICMULT"}</definedName>
    <definedName name="wrn.Project._.Summary." localSheetId="14" hidden="1">{"Summary",#N/A,FALSE,"MICMULT";"Income Statement",#N/A,FALSE,"MICMULT";"Cash Flows",#N/A,FALSE,"MICMULT"}</definedName>
    <definedName name="wrn.Project._.Summary." localSheetId="16" hidden="1">{"Summary",#N/A,FALSE,"MICMULT";"Income Statement",#N/A,FALSE,"MICMULT";"Cash Flows",#N/A,FALSE,"MICMULT"}</definedName>
    <definedName name="wrn.Project._.Summary." localSheetId="22" hidden="1">{"Summary",#N/A,FALSE,"MICMULT";"Income Statement",#N/A,FALSE,"MICMULT";"Cash Flows",#N/A,FALSE,"MICMULT"}</definedName>
    <definedName name="wrn.Project._.Summary." localSheetId="24" hidden="1">{"Summary",#N/A,FALSE,"MICMULT";"Income Statement",#N/A,FALSE,"MICMULT";"Cash Flows",#N/A,FALSE,"MICMULT"}</definedName>
    <definedName name="wrn.Project._.Summary." localSheetId="26" hidden="1">{"Summary",#N/A,FALSE,"MICMULT";"Income Statement",#N/A,FALSE,"MICMULT";"Cash Flows",#N/A,FALSE,"MICMULT"}</definedName>
    <definedName name="wrn.Project._.Summary." localSheetId="28" hidden="1">{"Summary",#N/A,FALSE,"MICMULT";"Income Statement",#N/A,FALSE,"MICMULT";"Cash Flows",#N/A,FALSE,"MICMULT"}</definedName>
    <definedName name="wrn.Project._.Summary." localSheetId="30" hidden="1">{"Summary",#N/A,FALSE,"MICMULT";"Income Statement",#N/A,FALSE,"MICMULT";"Cash Flows",#N/A,FALSE,"MICMULT"}</definedName>
    <definedName name="wrn.Project._.Summary." localSheetId="32" hidden="1">{"Summary",#N/A,FALSE,"MICMULT";"Income Statement",#N/A,FALSE,"MICMULT";"Cash Flows",#N/A,FALSE,"MICMULT"}</definedName>
    <definedName name="wrn.Project._.Summary." localSheetId="34" hidden="1">{"Summary",#N/A,FALSE,"MICMULT";"Income Statement",#N/A,FALSE,"MICMULT";"Cash Flows",#N/A,FALSE,"MICMULT"}</definedName>
    <definedName name="wrn.Project._.Summary." localSheetId="36" hidden="1">{"Summary",#N/A,FALSE,"MICMULT";"Income Statement",#N/A,FALSE,"MICMULT";"Cash Flows",#N/A,FALSE,"MICMULT"}</definedName>
    <definedName name="wrn.Project._.Summary." localSheetId="38" hidden="1">{"Summary",#N/A,FALSE,"MICMULT";"Income Statement",#N/A,FALSE,"MICMULT";"Cash Flows",#N/A,FALSE,"MICMULT"}</definedName>
    <definedName name="wrn.Project._.Summary." hidden="1">{"Summary",#N/A,FALSE,"MICMULT";"Income Statement",#N/A,FALSE,"MICMULT";"Cash Flows",#N/A,FALSE,"MICMULT"}</definedName>
    <definedName name="wrn.QAPU." localSheetId="3" hidden="1">{#N/A,#N/A,FALSE,"5YRASSPl - consol'd";#N/A,#N/A,FALSE,"5YRASSPl - hotel";#N/A,#N/A,FALSE,"5YRASSPl - excl htl";#N/A,#N/A,FALSE,"VarReport";#N/A,#N/A,FALSE,"Sensitivity";#N/A,#N/A,FALSE,"House View ";#N/A,#N/A,FALSE,"KPI"}</definedName>
    <definedName name="wrn.QAPU." localSheetId="5" hidden="1">{#N/A,#N/A,FALSE,"5YRASSPl - consol'd";#N/A,#N/A,FALSE,"5YRASSPl - hotel";#N/A,#N/A,FALSE,"5YRASSPl - excl htl";#N/A,#N/A,FALSE,"VarReport";#N/A,#N/A,FALSE,"Sensitivity";#N/A,#N/A,FALSE,"House View ";#N/A,#N/A,FALSE,"KPI"}</definedName>
    <definedName name="wrn.QAPU." localSheetId="8" hidden="1">{#N/A,#N/A,FALSE,"5YRASSPl - consol'd";#N/A,#N/A,FALSE,"5YRASSPl - hotel";#N/A,#N/A,FALSE,"5YRASSPl - excl htl";#N/A,#N/A,FALSE,"VarReport";#N/A,#N/A,FALSE,"Sensitivity";#N/A,#N/A,FALSE,"House View ";#N/A,#N/A,FALSE,"KPI"}</definedName>
    <definedName name="wrn.QAPU." localSheetId="10" hidden="1">{#N/A,#N/A,FALSE,"5YRASSPl - consol'd";#N/A,#N/A,FALSE,"5YRASSPl - hotel";#N/A,#N/A,FALSE,"5YRASSPl - excl htl";#N/A,#N/A,FALSE,"VarReport";#N/A,#N/A,FALSE,"Sensitivity";#N/A,#N/A,FALSE,"House View ";#N/A,#N/A,FALSE,"KPI"}</definedName>
    <definedName name="wrn.QAPU." localSheetId="12" hidden="1">{#N/A,#N/A,FALSE,"5YRASSPl - consol'd";#N/A,#N/A,FALSE,"5YRASSPl - hotel";#N/A,#N/A,FALSE,"5YRASSPl - excl htl";#N/A,#N/A,FALSE,"VarReport";#N/A,#N/A,FALSE,"Sensitivity";#N/A,#N/A,FALSE,"House View ";#N/A,#N/A,FALSE,"KPI"}</definedName>
    <definedName name="wrn.QAPU." localSheetId="14" hidden="1">{#N/A,#N/A,FALSE,"5YRASSPl - consol'd";#N/A,#N/A,FALSE,"5YRASSPl - hotel";#N/A,#N/A,FALSE,"5YRASSPl - excl htl";#N/A,#N/A,FALSE,"VarReport";#N/A,#N/A,FALSE,"Sensitivity";#N/A,#N/A,FALSE,"House View ";#N/A,#N/A,FALSE,"KPI"}</definedName>
    <definedName name="wrn.QAPU." localSheetId="16" hidden="1">{#N/A,#N/A,FALSE,"5YRASSPl - consol'd";#N/A,#N/A,FALSE,"5YRASSPl - hotel";#N/A,#N/A,FALSE,"5YRASSPl - excl htl";#N/A,#N/A,FALSE,"VarReport";#N/A,#N/A,FALSE,"Sensitivity";#N/A,#N/A,FALSE,"House View ";#N/A,#N/A,FALSE,"KPI"}</definedName>
    <definedName name="wrn.QAPU." localSheetId="22" hidden="1">{#N/A,#N/A,FALSE,"5YRASSPl - consol'd";#N/A,#N/A,FALSE,"5YRASSPl - hotel";#N/A,#N/A,FALSE,"5YRASSPl - excl htl";#N/A,#N/A,FALSE,"VarReport";#N/A,#N/A,FALSE,"Sensitivity";#N/A,#N/A,FALSE,"House View ";#N/A,#N/A,FALSE,"KPI"}</definedName>
    <definedName name="wrn.QAPU." localSheetId="40" hidden="1">{#N/A,#N/A,FALSE,"5YRASSPl - consol'd";#N/A,#N/A,FALSE,"5YRASSPl - hotel";#N/A,#N/A,FALSE,"5YRASSPl - excl htl";#N/A,#N/A,FALSE,"VarReport";#N/A,#N/A,FALSE,"Sensitivity";#N/A,#N/A,FALSE,"House View ";#N/A,#N/A,FALSE,"KPI"}</definedName>
    <definedName name="wrn.QAPU." localSheetId="24" hidden="1">{#N/A,#N/A,FALSE,"5YRASSPl - consol'd";#N/A,#N/A,FALSE,"5YRASSPl - hotel";#N/A,#N/A,FALSE,"5YRASSPl - excl htl";#N/A,#N/A,FALSE,"VarReport";#N/A,#N/A,FALSE,"Sensitivity";#N/A,#N/A,FALSE,"House View ";#N/A,#N/A,FALSE,"KPI"}</definedName>
    <definedName name="wrn.QAPU." localSheetId="26" hidden="1">{#N/A,#N/A,FALSE,"5YRASSPl - consol'd";#N/A,#N/A,FALSE,"5YRASSPl - hotel";#N/A,#N/A,FALSE,"5YRASSPl - excl htl";#N/A,#N/A,FALSE,"VarReport";#N/A,#N/A,FALSE,"Sensitivity";#N/A,#N/A,FALSE,"House View ";#N/A,#N/A,FALSE,"KPI"}</definedName>
    <definedName name="wrn.QAPU." localSheetId="28" hidden="1">{#N/A,#N/A,FALSE,"5YRASSPl - consol'd";#N/A,#N/A,FALSE,"5YRASSPl - hotel";#N/A,#N/A,FALSE,"5YRASSPl - excl htl";#N/A,#N/A,FALSE,"VarReport";#N/A,#N/A,FALSE,"Sensitivity";#N/A,#N/A,FALSE,"House View ";#N/A,#N/A,FALSE,"KPI"}</definedName>
    <definedName name="wrn.QAPU." localSheetId="30" hidden="1">{#N/A,#N/A,FALSE,"5YRASSPl - consol'd";#N/A,#N/A,FALSE,"5YRASSPl - hotel";#N/A,#N/A,FALSE,"5YRASSPl - excl htl";#N/A,#N/A,FALSE,"VarReport";#N/A,#N/A,FALSE,"Sensitivity";#N/A,#N/A,FALSE,"House View ";#N/A,#N/A,FALSE,"KPI"}</definedName>
    <definedName name="wrn.QAPU." localSheetId="32" hidden="1">{#N/A,#N/A,FALSE,"5YRASSPl - consol'd";#N/A,#N/A,FALSE,"5YRASSPl - hotel";#N/A,#N/A,FALSE,"5YRASSPl - excl htl";#N/A,#N/A,FALSE,"VarReport";#N/A,#N/A,FALSE,"Sensitivity";#N/A,#N/A,FALSE,"House View ";#N/A,#N/A,FALSE,"KPI"}</definedName>
    <definedName name="wrn.QAPU." localSheetId="34" hidden="1">{#N/A,#N/A,FALSE,"5YRASSPl - consol'd";#N/A,#N/A,FALSE,"5YRASSPl - hotel";#N/A,#N/A,FALSE,"5YRASSPl - excl htl";#N/A,#N/A,FALSE,"VarReport";#N/A,#N/A,FALSE,"Sensitivity";#N/A,#N/A,FALSE,"House View ";#N/A,#N/A,FALSE,"KPI"}</definedName>
    <definedName name="wrn.QAPU." localSheetId="36" hidden="1">{#N/A,#N/A,FALSE,"5YRASSPl - consol'd";#N/A,#N/A,FALSE,"5YRASSPl - hotel";#N/A,#N/A,FALSE,"5YRASSPl - excl htl";#N/A,#N/A,FALSE,"VarReport";#N/A,#N/A,FALSE,"Sensitivity";#N/A,#N/A,FALSE,"House View ";#N/A,#N/A,FALSE,"KPI"}</definedName>
    <definedName name="wrn.QAPU." localSheetId="38" hidden="1">{#N/A,#N/A,FALSE,"5YRASSPl - consol'd";#N/A,#N/A,FALSE,"5YRASSPl - hotel";#N/A,#N/A,FALSE,"5YRASSPl - excl htl";#N/A,#N/A,FALSE,"VarReport";#N/A,#N/A,FALSE,"Sensitivity";#N/A,#N/A,FALSE,"House View ";#N/A,#N/A,FALSE,"KPI"}</definedName>
    <definedName name="wrn.QAPU." hidden="1">{#N/A,#N/A,FALSE,"5YRASSPl - consol'd";#N/A,#N/A,FALSE,"5YRASSPl - hotel";#N/A,#N/A,FALSE,"5YRASSPl - excl htl";#N/A,#N/A,FALSE,"VarReport";#N/A,#N/A,FALSE,"Sensitivity";#N/A,#N/A,FALSE,"House View ";#N/A,#N/A,FALSE,"KPI"}</definedName>
    <definedName name="wrn.RAPP_SETT." localSheetId="3" hidden="1">{#N/A,#N/A,FALSE,"COVER";#N/A,#N/A,FALSE,"REPORT";#N/A,#N/A,FALSE,"SUMMARY";#N/A,#N/A,FALSE,"DIV";#N/A,#N/A,FALSE,"GRAFICA";#N/A,#N/A,FALSE,"ARCH";#N/A,#N/A,FALSE,"TOT_ARCH";#N/A,#N/A,FALSE,"CANC";#N/A,#N/A,FALSE,"EDIT";#N/A,#N/A,FALSE,"SW";#N/A,#N/A,FALSE,"HW"}</definedName>
    <definedName name="wrn.RAPP_SETT." localSheetId="5" hidden="1">{#N/A,#N/A,FALSE,"COVER";#N/A,#N/A,FALSE,"REPORT";#N/A,#N/A,FALSE,"SUMMARY";#N/A,#N/A,FALSE,"DIV";#N/A,#N/A,FALSE,"GRAFICA";#N/A,#N/A,FALSE,"ARCH";#N/A,#N/A,FALSE,"TOT_ARCH";#N/A,#N/A,FALSE,"CANC";#N/A,#N/A,FALSE,"EDIT";#N/A,#N/A,FALSE,"SW";#N/A,#N/A,FALSE,"HW"}</definedName>
    <definedName name="wrn.RAPP_SETT." localSheetId="8" hidden="1">{#N/A,#N/A,FALSE,"COVER";#N/A,#N/A,FALSE,"REPORT";#N/A,#N/A,FALSE,"SUMMARY";#N/A,#N/A,FALSE,"DIV";#N/A,#N/A,FALSE,"GRAFICA";#N/A,#N/A,FALSE,"ARCH";#N/A,#N/A,FALSE,"TOT_ARCH";#N/A,#N/A,FALSE,"CANC";#N/A,#N/A,FALSE,"EDIT";#N/A,#N/A,FALSE,"SW";#N/A,#N/A,FALSE,"HW"}</definedName>
    <definedName name="wrn.RAPP_SETT." localSheetId="10" hidden="1">{#N/A,#N/A,FALSE,"COVER";#N/A,#N/A,FALSE,"REPORT";#N/A,#N/A,FALSE,"SUMMARY";#N/A,#N/A,FALSE,"DIV";#N/A,#N/A,FALSE,"GRAFICA";#N/A,#N/A,FALSE,"ARCH";#N/A,#N/A,FALSE,"TOT_ARCH";#N/A,#N/A,FALSE,"CANC";#N/A,#N/A,FALSE,"EDIT";#N/A,#N/A,FALSE,"SW";#N/A,#N/A,FALSE,"HW"}</definedName>
    <definedName name="wrn.RAPP_SETT." localSheetId="12" hidden="1">{#N/A,#N/A,FALSE,"COVER";#N/A,#N/A,FALSE,"REPORT";#N/A,#N/A,FALSE,"SUMMARY";#N/A,#N/A,FALSE,"DIV";#N/A,#N/A,FALSE,"GRAFICA";#N/A,#N/A,FALSE,"ARCH";#N/A,#N/A,FALSE,"TOT_ARCH";#N/A,#N/A,FALSE,"CANC";#N/A,#N/A,FALSE,"EDIT";#N/A,#N/A,FALSE,"SW";#N/A,#N/A,FALSE,"HW"}</definedName>
    <definedName name="wrn.RAPP_SETT." localSheetId="14" hidden="1">{#N/A,#N/A,FALSE,"COVER";#N/A,#N/A,FALSE,"REPORT";#N/A,#N/A,FALSE,"SUMMARY";#N/A,#N/A,FALSE,"DIV";#N/A,#N/A,FALSE,"GRAFICA";#N/A,#N/A,FALSE,"ARCH";#N/A,#N/A,FALSE,"TOT_ARCH";#N/A,#N/A,FALSE,"CANC";#N/A,#N/A,FALSE,"EDIT";#N/A,#N/A,FALSE,"SW";#N/A,#N/A,FALSE,"HW"}</definedName>
    <definedName name="wrn.RAPP_SETT." localSheetId="16" hidden="1">{#N/A,#N/A,FALSE,"COVER";#N/A,#N/A,FALSE,"REPORT";#N/A,#N/A,FALSE,"SUMMARY";#N/A,#N/A,FALSE,"DIV";#N/A,#N/A,FALSE,"GRAFICA";#N/A,#N/A,FALSE,"ARCH";#N/A,#N/A,FALSE,"TOT_ARCH";#N/A,#N/A,FALSE,"CANC";#N/A,#N/A,FALSE,"EDIT";#N/A,#N/A,FALSE,"SW";#N/A,#N/A,FALSE,"HW"}</definedName>
    <definedName name="wrn.RAPP_SETT." localSheetId="22" hidden="1">{#N/A,#N/A,FALSE,"COVER";#N/A,#N/A,FALSE,"REPORT";#N/A,#N/A,FALSE,"SUMMARY";#N/A,#N/A,FALSE,"DIV";#N/A,#N/A,FALSE,"GRAFICA";#N/A,#N/A,FALSE,"ARCH";#N/A,#N/A,FALSE,"TOT_ARCH";#N/A,#N/A,FALSE,"CANC";#N/A,#N/A,FALSE,"EDIT";#N/A,#N/A,FALSE,"SW";#N/A,#N/A,FALSE,"HW"}</definedName>
    <definedName name="wrn.RAPP_SETT." localSheetId="24" hidden="1">{#N/A,#N/A,FALSE,"COVER";#N/A,#N/A,FALSE,"REPORT";#N/A,#N/A,FALSE,"SUMMARY";#N/A,#N/A,FALSE,"DIV";#N/A,#N/A,FALSE,"GRAFICA";#N/A,#N/A,FALSE,"ARCH";#N/A,#N/A,FALSE,"TOT_ARCH";#N/A,#N/A,FALSE,"CANC";#N/A,#N/A,FALSE,"EDIT";#N/A,#N/A,FALSE,"SW";#N/A,#N/A,FALSE,"HW"}</definedName>
    <definedName name="wrn.RAPP_SETT." localSheetId="26" hidden="1">{#N/A,#N/A,FALSE,"COVER";#N/A,#N/A,FALSE,"REPORT";#N/A,#N/A,FALSE,"SUMMARY";#N/A,#N/A,FALSE,"DIV";#N/A,#N/A,FALSE,"GRAFICA";#N/A,#N/A,FALSE,"ARCH";#N/A,#N/A,FALSE,"TOT_ARCH";#N/A,#N/A,FALSE,"CANC";#N/A,#N/A,FALSE,"EDIT";#N/A,#N/A,FALSE,"SW";#N/A,#N/A,FALSE,"HW"}</definedName>
    <definedName name="wrn.RAPP_SETT." localSheetId="28" hidden="1">{#N/A,#N/A,FALSE,"COVER";#N/A,#N/A,FALSE,"REPORT";#N/A,#N/A,FALSE,"SUMMARY";#N/A,#N/A,FALSE,"DIV";#N/A,#N/A,FALSE,"GRAFICA";#N/A,#N/A,FALSE,"ARCH";#N/A,#N/A,FALSE,"TOT_ARCH";#N/A,#N/A,FALSE,"CANC";#N/A,#N/A,FALSE,"EDIT";#N/A,#N/A,FALSE,"SW";#N/A,#N/A,FALSE,"HW"}</definedName>
    <definedName name="wrn.RAPP_SETT." localSheetId="30" hidden="1">{#N/A,#N/A,FALSE,"COVER";#N/A,#N/A,FALSE,"REPORT";#N/A,#N/A,FALSE,"SUMMARY";#N/A,#N/A,FALSE,"DIV";#N/A,#N/A,FALSE,"GRAFICA";#N/A,#N/A,FALSE,"ARCH";#N/A,#N/A,FALSE,"TOT_ARCH";#N/A,#N/A,FALSE,"CANC";#N/A,#N/A,FALSE,"EDIT";#N/A,#N/A,FALSE,"SW";#N/A,#N/A,FALSE,"HW"}</definedName>
    <definedName name="wrn.RAPP_SETT." localSheetId="32" hidden="1">{#N/A,#N/A,FALSE,"COVER";#N/A,#N/A,FALSE,"REPORT";#N/A,#N/A,FALSE,"SUMMARY";#N/A,#N/A,FALSE,"DIV";#N/A,#N/A,FALSE,"GRAFICA";#N/A,#N/A,FALSE,"ARCH";#N/A,#N/A,FALSE,"TOT_ARCH";#N/A,#N/A,FALSE,"CANC";#N/A,#N/A,FALSE,"EDIT";#N/A,#N/A,FALSE,"SW";#N/A,#N/A,FALSE,"HW"}</definedName>
    <definedName name="wrn.RAPP_SETT." localSheetId="34" hidden="1">{#N/A,#N/A,FALSE,"COVER";#N/A,#N/A,FALSE,"REPORT";#N/A,#N/A,FALSE,"SUMMARY";#N/A,#N/A,FALSE,"DIV";#N/A,#N/A,FALSE,"GRAFICA";#N/A,#N/A,FALSE,"ARCH";#N/A,#N/A,FALSE,"TOT_ARCH";#N/A,#N/A,FALSE,"CANC";#N/A,#N/A,FALSE,"EDIT";#N/A,#N/A,FALSE,"SW";#N/A,#N/A,FALSE,"HW"}</definedName>
    <definedName name="wrn.RAPP_SETT." localSheetId="36" hidden="1">{#N/A,#N/A,FALSE,"COVER";#N/A,#N/A,FALSE,"REPORT";#N/A,#N/A,FALSE,"SUMMARY";#N/A,#N/A,FALSE,"DIV";#N/A,#N/A,FALSE,"GRAFICA";#N/A,#N/A,FALSE,"ARCH";#N/A,#N/A,FALSE,"TOT_ARCH";#N/A,#N/A,FALSE,"CANC";#N/A,#N/A,FALSE,"EDIT";#N/A,#N/A,FALSE,"SW";#N/A,#N/A,FALSE,"HW"}</definedName>
    <definedName name="wrn.RAPP_SETT." localSheetId="38" hidden="1">{#N/A,#N/A,FALSE,"COVER";#N/A,#N/A,FALSE,"REPORT";#N/A,#N/A,FALSE,"SUMMARY";#N/A,#N/A,FALSE,"DIV";#N/A,#N/A,FALSE,"GRAFICA";#N/A,#N/A,FALSE,"ARCH";#N/A,#N/A,FALSE,"TOT_ARCH";#N/A,#N/A,FALSE,"CANC";#N/A,#N/A,FALSE,"EDIT";#N/A,#N/A,FALSE,"SW";#N/A,#N/A,FALSE,"HW"}</definedName>
    <definedName name="wrn.RAPP_SETT." hidden="1">{#N/A,#N/A,FALSE,"COVER";#N/A,#N/A,FALSE,"REPORT";#N/A,#N/A,FALSE,"SUMMARY";#N/A,#N/A,FALSE,"DIV";#N/A,#N/A,FALSE,"GRAFICA";#N/A,#N/A,FALSE,"ARCH";#N/A,#N/A,FALSE,"TOT_ARCH";#N/A,#N/A,FALSE,"CANC";#N/A,#N/A,FALSE,"EDIT";#N/A,#N/A,FALSE,"SW";#N/A,#N/A,FALSE,"HW"}</definedName>
    <definedName name="wrn.REPORTESTERNO." localSheetId="3"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5"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8"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10"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12"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14"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16"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22"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24"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26"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28"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30"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32"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34"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36"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38"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interno." localSheetId="3" hidden="1">{#N/A,#N/A,FALSE,"HIGHNEW";#N/A,#N/A,FALSE,"HIGHOLD";#N/A,#N/A,FALSE,"MTHDET";#N/A,#N/A,FALSE,"ACTDET"}</definedName>
    <definedName name="wrn.reportinterno." localSheetId="5" hidden="1">{#N/A,#N/A,FALSE,"HIGHNEW";#N/A,#N/A,FALSE,"HIGHOLD";#N/A,#N/A,FALSE,"MTHDET";#N/A,#N/A,FALSE,"ACTDET"}</definedName>
    <definedName name="wrn.reportinterno." localSheetId="8" hidden="1">{#N/A,#N/A,FALSE,"HIGHNEW";#N/A,#N/A,FALSE,"HIGHOLD";#N/A,#N/A,FALSE,"MTHDET";#N/A,#N/A,FALSE,"ACTDET"}</definedName>
    <definedName name="wrn.reportinterno." localSheetId="10" hidden="1">{#N/A,#N/A,FALSE,"HIGHNEW";#N/A,#N/A,FALSE,"HIGHOLD";#N/A,#N/A,FALSE,"MTHDET";#N/A,#N/A,FALSE,"ACTDET"}</definedName>
    <definedName name="wrn.reportinterno." localSheetId="12" hidden="1">{#N/A,#N/A,FALSE,"HIGHNEW";#N/A,#N/A,FALSE,"HIGHOLD";#N/A,#N/A,FALSE,"MTHDET";#N/A,#N/A,FALSE,"ACTDET"}</definedName>
    <definedName name="wrn.reportinterno." localSheetId="14" hidden="1">{#N/A,#N/A,FALSE,"HIGHNEW";#N/A,#N/A,FALSE,"HIGHOLD";#N/A,#N/A,FALSE,"MTHDET";#N/A,#N/A,FALSE,"ACTDET"}</definedName>
    <definedName name="wrn.reportinterno." localSheetId="16" hidden="1">{#N/A,#N/A,FALSE,"HIGHNEW";#N/A,#N/A,FALSE,"HIGHOLD";#N/A,#N/A,FALSE,"MTHDET";#N/A,#N/A,FALSE,"ACTDET"}</definedName>
    <definedName name="wrn.reportinterno." localSheetId="22" hidden="1">{#N/A,#N/A,FALSE,"HIGHNEW";#N/A,#N/A,FALSE,"HIGHOLD";#N/A,#N/A,FALSE,"MTHDET";#N/A,#N/A,FALSE,"ACTDET"}</definedName>
    <definedName name="wrn.reportinterno." localSheetId="24" hidden="1">{#N/A,#N/A,FALSE,"HIGHNEW";#N/A,#N/A,FALSE,"HIGHOLD";#N/A,#N/A,FALSE,"MTHDET";#N/A,#N/A,FALSE,"ACTDET"}</definedName>
    <definedName name="wrn.reportinterno." localSheetId="26" hidden="1">{#N/A,#N/A,FALSE,"HIGHNEW";#N/A,#N/A,FALSE,"HIGHOLD";#N/A,#N/A,FALSE,"MTHDET";#N/A,#N/A,FALSE,"ACTDET"}</definedName>
    <definedName name="wrn.reportinterno." localSheetId="28" hidden="1">{#N/A,#N/A,FALSE,"HIGHNEW";#N/A,#N/A,FALSE,"HIGHOLD";#N/A,#N/A,FALSE,"MTHDET";#N/A,#N/A,FALSE,"ACTDET"}</definedName>
    <definedName name="wrn.reportinterno." localSheetId="30" hidden="1">{#N/A,#N/A,FALSE,"HIGHNEW";#N/A,#N/A,FALSE,"HIGHOLD";#N/A,#N/A,FALSE,"MTHDET";#N/A,#N/A,FALSE,"ACTDET"}</definedName>
    <definedName name="wrn.reportinterno." localSheetId="32" hidden="1">{#N/A,#N/A,FALSE,"HIGHNEW";#N/A,#N/A,FALSE,"HIGHOLD";#N/A,#N/A,FALSE,"MTHDET";#N/A,#N/A,FALSE,"ACTDET"}</definedName>
    <definedName name="wrn.reportinterno." localSheetId="34" hidden="1">{#N/A,#N/A,FALSE,"HIGHNEW";#N/A,#N/A,FALSE,"HIGHOLD";#N/A,#N/A,FALSE,"MTHDET";#N/A,#N/A,FALSE,"ACTDET"}</definedName>
    <definedName name="wrn.reportinterno." localSheetId="36" hidden="1">{#N/A,#N/A,FALSE,"HIGHNEW";#N/A,#N/A,FALSE,"HIGHOLD";#N/A,#N/A,FALSE,"MTHDET";#N/A,#N/A,FALSE,"ACTDET"}</definedName>
    <definedName name="wrn.reportinterno." localSheetId="38" hidden="1">{#N/A,#N/A,FALSE,"HIGHNEW";#N/A,#N/A,FALSE,"HIGHOLD";#N/A,#N/A,FALSE,"MTHDET";#N/A,#N/A,FALSE,"ACTDET"}</definedName>
    <definedName name="wrn.reportinterno." hidden="1">{#N/A,#N/A,FALSE,"HIGHNEW";#N/A,#N/A,FALSE,"HIGHOLD";#N/A,#N/A,FALSE,"MTHDET";#N/A,#N/A,FALSE,"ACTDET"}</definedName>
    <definedName name="wrn.Risk._.Reserves." localSheetId="3" hidden="1">{#N/A,#N/A,TRUE,"Reserves";#N/A,#N/A,TRUE,"Graphs"}</definedName>
    <definedName name="wrn.Risk._.Reserves." localSheetId="5" hidden="1">{#N/A,#N/A,TRUE,"Reserves";#N/A,#N/A,TRUE,"Graphs"}</definedName>
    <definedName name="wrn.Risk._.Reserves." localSheetId="8" hidden="1">{#N/A,#N/A,TRUE,"Reserves";#N/A,#N/A,TRUE,"Graphs"}</definedName>
    <definedName name="wrn.Risk._.Reserves." localSheetId="10" hidden="1">{#N/A,#N/A,TRUE,"Reserves";#N/A,#N/A,TRUE,"Graphs"}</definedName>
    <definedName name="wrn.Risk._.Reserves." localSheetId="12" hidden="1">{#N/A,#N/A,TRUE,"Reserves";#N/A,#N/A,TRUE,"Graphs"}</definedName>
    <definedName name="wrn.Risk._.Reserves." localSheetId="14" hidden="1">{#N/A,#N/A,TRUE,"Reserves";#N/A,#N/A,TRUE,"Graphs"}</definedName>
    <definedName name="wrn.Risk._.Reserves." localSheetId="16" hidden="1">{#N/A,#N/A,TRUE,"Reserves";#N/A,#N/A,TRUE,"Graphs"}</definedName>
    <definedName name="wrn.Risk._.Reserves." localSheetId="22" hidden="1">{#N/A,#N/A,TRUE,"Reserves";#N/A,#N/A,TRUE,"Graphs"}</definedName>
    <definedName name="wrn.Risk._.Reserves." localSheetId="24" hidden="1">{#N/A,#N/A,TRUE,"Reserves";#N/A,#N/A,TRUE,"Graphs"}</definedName>
    <definedName name="wrn.Risk._.Reserves." localSheetId="26" hidden="1">{#N/A,#N/A,TRUE,"Reserves";#N/A,#N/A,TRUE,"Graphs"}</definedName>
    <definedName name="wrn.Risk._.Reserves." localSheetId="28" hidden="1">{#N/A,#N/A,TRUE,"Reserves";#N/A,#N/A,TRUE,"Graphs"}</definedName>
    <definedName name="wrn.Risk._.Reserves." localSheetId="30" hidden="1">{#N/A,#N/A,TRUE,"Reserves";#N/A,#N/A,TRUE,"Graphs"}</definedName>
    <definedName name="wrn.Risk._.Reserves." localSheetId="32" hidden="1">{#N/A,#N/A,TRUE,"Reserves";#N/A,#N/A,TRUE,"Graphs"}</definedName>
    <definedName name="wrn.Risk._.Reserves." localSheetId="34" hidden="1">{#N/A,#N/A,TRUE,"Reserves";#N/A,#N/A,TRUE,"Graphs"}</definedName>
    <definedName name="wrn.Risk._.Reserves." localSheetId="36" hidden="1">{#N/A,#N/A,TRUE,"Reserves";#N/A,#N/A,TRUE,"Graphs"}</definedName>
    <definedName name="wrn.Risk._.Reserves." localSheetId="38" hidden="1">{#N/A,#N/A,TRUE,"Reserves";#N/A,#N/A,TRUE,"Graphs"}</definedName>
    <definedName name="wrn.Risk._.Reserves." hidden="1">{#N/A,#N/A,TRUE,"Reserves";#N/A,#N/A,TRUE,"Graphs"}</definedName>
    <definedName name="wrn.saf." localSheetId="3" hidden="1">{#N/A,#N/A,FALSE,"SAFILOR"}</definedName>
    <definedName name="wrn.saf." localSheetId="5" hidden="1">{#N/A,#N/A,FALSE,"SAFILOR"}</definedName>
    <definedName name="wrn.saf." localSheetId="8" hidden="1">{#N/A,#N/A,FALSE,"SAFILOR"}</definedName>
    <definedName name="wrn.saf." localSheetId="10" hidden="1">{#N/A,#N/A,FALSE,"SAFILOR"}</definedName>
    <definedName name="wrn.saf." localSheetId="12" hidden="1">{#N/A,#N/A,FALSE,"SAFILOR"}</definedName>
    <definedName name="wrn.saf." localSheetId="14" hidden="1">{#N/A,#N/A,FALSE,"SAFILOR"}</definedName>
    <definedName name="wrn.saf." localSheetId="16" hidden="1">{#N/A,#N/A,FALSE,"SAFILOR"}</definedName>
    <definedName name="wrn.saf." localSheetId="22" hidden="1">{#N/A,#N/A,FALSE,"SAFILOR"}</definedName>
    <definedName name="wrn.saf." localSheetId="24" hidden="1">{#N/A,#N/A,FALSE,"SAFILOR"}</definedName>
    <definedName name="wrn.saf." localSheetId="26" hidden="1">{#N/A,#N/A,FALSE,"SAFILOR"}</definedName>
    <definedName name="wrn.saf." localSheetId="28" hidden="1">{#N/A,#N/A,FALSE,"SAFILOR"}</definedName>
    <definedName name="wrn.saf." localSheetId="30" hidden="1">{#N/A,#N/A,FALSE,"SAFILOR"}</definedName>
    <definedName name="wrn.saf." localSheetId="32" hidden="1">{#N/A,#N/A,FALSE,"SAFILOR"}</definedName>
    <definedName name="wrn.saf." localSheetId="34" hidden="1">{#N/A,#N/A,FALSE,"SAFILOR"}</definedName>
    <definedName name="wrn.saf." localSheetId="36" hidden="1">{#N/A,#N/A,FALSE,"SAFILOR"}</definedName>
    <definedName name="wrn.saf." localSheetId="38" hidden="1">{#N/A,#N/A,FALSE,"SAFILOR"}</definedName>
    <definedName name="wrn.saf." hidden="1">{#N/A,#N/A,FALSE,"SAFILOR"}</definedName>
    <definedName name="wrn.Segment._.1." localSheetId="3" hidden="1">{#N/A,#N/A,TRUE,"Segment 1"}</definedName>
    <definedName name="wrn.Segment._.1." localSheetId="5" hidden="1">{#N/A,#N/A,TRUE,"Segment 1"}</definedName>
    <definedName name="wrn.Segment._.1." localSheetId="8" hidden="1">{#N/A,#N/A,TRUE,"Segment 1"}</definedName>
    <definedName name="wrn.Segment._.1." localSheetId="10" hidden="1">{#N/A,#N/A,TRUE,"Segment 1"}</definedName>
    <definedName name="wrn.Segment._.1." localSheetId="12" hidden="1">{#N/A,#N/A,TRUE,"Segment 1"}</definedName>
    <definedName name="wrn.Segment._.1." localSheetId="14" hidden="1">{#N/A,#N/A,TRUE,"Segment 1"}</definedName>
    <definedName name="wrn.Segment._.1." localSheetId="16" hidden="1">{#N/A,#N/A,TRUE,"Segment 1"}</definedName>
    <definedName name="wrn.Segment._.1." localSheetId="22" hidden="1">{#N/A,#N/A,TRUE,"Segment 1"}</definedName>
    <definedName name="wrn.Segment._.1." localSheetId="24" hidden="1">{#N/A,#N/A,TRUE,"Segment 1"}</definedName>
    <definedName name="wrn.Segment._.1." localSheetId="26" hidden="1">{#N/A,#N/A,TRUE,"Segment 1"}</definedName>
    <definedName name="wrn.Segment._.1." localSheetId="28" hidden="1">{#N/A,#N/A,TRUE,"Segment 1"}</definedName>
    <definedName name="wrn.Segment._.1." localSheetId="30" hidden="1">{#N/A,#N/A,TRUE,"Segment 1"}</definedName>
    <definedName name="wrn.Segment._.1." localSheetId="32" hidden="1">{#N/A,#N/A,TRUE,"Segment 1"}</definedName>
    <definedName name="wrn.Segment._.1." localSheetId="34" hidden="1">{#N/A,#N/A,TRUE,"Segment 1"}</definedName>
    <definedName name="wrn.Segment._.1." localSheetId="36" hidden="1">{#N/A,#N/A,TRUE,"Segment 1"}</definedName>
    <definedName name="wrn.Segment._.1." localSheetId="38" hidden="1">{#N/A,#N/A,TRUE,"Segment 1"}</definedName>
    <definedName name="wrn.Segment._.1." hidden="1">{#N/A,#N/A,TRUE,"Segment 1"}</definedName>
    <definedName name="wrn.Segment._.2." localSheetId="3" hidden="1">{#N/A,#N/A,TRUE,"Segment 2"}</definedName>
    <definedName name="wrn.Segment._.2." localSheetId="5" hidden="1">{#N/A,#N/A,TRUE,"Segment 2"}</definedName>
    <definedName name="wrn.Segment._.2." localSheetId="8" hidden="1">{#N/A,#N/A,TRUE,"Segment 2"}</definedName>
    <definedName name="wrn.Segment._.2." localSheetId="10" hidden="1">{#N/A,#N/A,TRUE,"Segment 2"}</definedName>
    <definedName name="wrn.Segment._.2." localSheetId="12" hidden="1">{#N/A,#N/A,TRUE,"Segment 2"}</definedName>
    <definedName name="wrn.Segment._.2." localSheetId="14" hidden="1">{#N/A,#N/A,TRUE,"Segment 2"}</definedName>
    <definedName name="wrn.Segment._.2." localSheetId="16" hidden="1">{#N/A,#N/A,TRUE,"Segment 2"}</definedName>
    <definedName name="wrn.Segment._.2." localSheetId="22" hidden="1">{#N/A,#N/A,TRUE,"Segment 2"}</definedName>
    <definedName name="wrn.Segment._.2." localSheetId="24" hidden="1">{#N/A,#N/A,TRUE,"Segment 2"}</definedName>
    <definedName name="wrn.Segment._.2." localSheetId="26" hidden="1">{#N/A,#N/A,TRUE,"Segment 2"}</definedName>
    <definedName name="wrn.Segment._.2." localSheetId="28" hidden="1">{#N/A,#N/A,TRUE,"Segment 2"}</definedName>
    <definedName name="wrn.Segment._.2." localSheetId="30" hidden="1">{#N/A,#N/A,TRUE,"Segment 2"}</definedName>
    <definedName name="wrn.Segment._.2." localSheetId="32" hidden="1">{#N/A,#N/A,TRUE,"Segment 2"}</definedName>
    <definedName name="wrn.Segment._.2." localSheetId="34" hidden="1">{#N/A,#N/A,TRUE,"Segment 2"}</definedName>
    <definedName name="wrn.Segment._.2." localSheetId="36" hidden="1">{#N/A,#N/A,TRUE,"Segment 2"}</definedName>
    <definedName name="wrn.Segment._.2." localSheetId="38" hidden="1">{#N/A,#N/A,TRUE,"Segment 2"}</definedName>
    <definedName name="wrn.Segment._.2." hidden="1">{#N/A,#N/A,TRUE,"Segment 2"}</definedName>
    <definedName name="wrn.Segment._.3." localSheetId="3" hidden="1">{#N/A,#N/A,TRUE,"Segment 3"}</definedName>
    <definedName name="wrn.Segment._.3." localSheetId="5" hidden="1">{#N/A,#N/A,TRUE,"Segment 3"}</definedName>
    <definedName name="wrn.Segment._.3." localSheetId="8" hidden="1">{#N/A,#N/A,TRUE,"Segment 3"}</definedName>
    <definedName name="wrn.Segment._.3." localSheetId="10" hidden="1">{#N/A,#N/A,TRUE,"Segment 3"}</definedName>
    <definedName name="wrn.Segment._.3." localSheetId="12" hidden="1">{#N/A,#N/A,TRUE,"Segment 3"}</definedName>
    <definedName name="wrn.Segment._.3." localSheetId="14" hidden="1">{#N/A,#N/A,TRUE,"Segment 3"}</definedName>
    <definedName name="wrn.Segment._.3." localSheetId="16" hidden="1">{#N/A,#N/A,TRUE,"Segment 3"}</definedName>
    <definedName name="wrn.Segment._.3." localSheetId="22" hidden="1">{#N/A,#N/A,TRUE,"Segment 3"}</definedName>
    <definedName name="wrn.Segment._.3." localSheetId="24" hidden="1">{#N/A,#N/A,TRUE,"Segment 3"}</definedName>
    <definedName name="wrn.Segment._.3." localSheetId="26" hidden="1">{#N/A,#N/A,TRUE,"Segment 3"}</definedName>
    <definedName name="wrn.Segment._.3." localSheetId="28" hidden="1">{#N/A,#N/A,TRUE,"Segment 3"}</definedName>
    <definedName name="wrn.Segment._.3." localSheetId="30" hidden="1">{#N/A,#N/A,TRUE,"Segment 3"}</definedName>
    <definedName name="wrn.Segment._.3." localSheetId="32" hidden="1">{#N/A,#N/A,TRUE,"Segment 3"}</definedName>
    <definedName name="wrn.Segment._.3." localSheetId="34" hidden="1">{#N/A,#N/A,TRUE,"Segment 3"}</definedName>
    <definedName name="wrn.Segment._.3." localSheetId="36" hidden="1">{#N/A,#N/A,TRUE,"Segment 3"}</definedName>
    <definedName name="wrn.Segment._.3." localSheetId="38" hidden="1">{#N/A,#N/A,TRUE,"Segment 3"}</definedName>
    <definedName name="wrn.Segment._.3." hidden="1">{#N/A,#N/A,TRUE,"Segment 3"}</definedName>
    <definedName name="wrn.Segment._.4." localSheetId="3" hidden="1">{#N/A,#N/A,TRUE,"Segment 4"}</definedName>
    <definedName name="wrn.Segment._.4." localSheetId="5" hidden="1">{#N/A,#N/A,TRUE,"Segment 4"}</definedName>
    <definedName name="wrn.Segment._.4." localSheetId="8" hidden="1">{#N/A,#N/A,TRUE,"Segment 4"}</definedName>
    <definedName name="wrn.Segment._.4." localSheetId="10" hidden="1">{#N/A,#N/A,TRUE,"Segment 4"}</definedName>
    <definedName name="wrn.Segment._.4." localSheetId="12" hidden="1">{#N/A,#N/A,TRUE,"Segment 4"}</definedName>
    <definedName name="wrn.Segment._.4." localSheetId="14" hidden="1">{#N/A,#N/A,TRUE,"Segment 4"}</definedName>
    <definedName name="wrn.Segment._.4." localSheetId="16" hidden="1">{#N/A,#N/A,TRUE,"Segment 4"}</definedName>
    <definedName name="wrn.Segment._.4." localSheetId="22" hidden="1">{#N/A,#N/A,TRUE,"Segment 4"}</definedName>
    <definedName name="wrn.Segment._.4." localSheetId="24" hidden="1">{#N/A,#N/A,TRUE,"Segment 4"}</definedName>
    <definedName name="wrn.Segment._.4." localSheetId="26" hidden="1">{#N/A,#N/A,TRUE,"Segment 4"}</definedName>
    <definedName name="wrn.Segment._.4." localSheetId="28" hidden="1">{#N/A,#N/A,TRUE,"Segment 4"}</definedName>
    <definedName name="wrn.Segment._.4." localSheetId="30" hidden="1">{#N/A,#N/A,TRUE,"Segment 4"}</definedName>
    <definedName name="wrn.Segment._.4." localSheetId="32" hidden="1">{#N/A,#N/A,TRUE,"Segment 4"}</definedName>
    <definedName name="wrn.Segment._.4." localSheetId="34" hidden="1">{#N/A,#N/A,TRUE,"Segment 4"}</definedName>
    <definedName name="wrn.Segment._.4." localSheetId="36" hidden="1">{#N/A,#N/A,TRUE,"Segment 4"}</definedName>
    <definedName name="wrn.Segment._.4." localSheetId="38" hidden="1">{#N/A,#N/A,TRUE,"Segment 4"}</definedName>
    <definedName name="wrn.Segment._.4." hidden="1">{#N/A,#N/A,TRUE,"Segment 4"}</definedName>
    <definedName name="wrn.Segment._.5." localSheetId="3" hidden="1">{#N/A,#N/A,TRUE,"Segment 5"}</definedName>
    <definedName name="wrn.Segment._.5." localSheetId="5" hidden="1">{#N/A,#N/A,TRUE,"Segment 5"}</definedName>
    <definedName name="wrn.Segment._.5." localSheetId="8" hidden="1">{#N/A,#N/A,TRUE,"Segment 5"}</definedName>
    <definedName name="wrn.Segment._.5." localSheetId="10" hidden="1">{#N/A,#N/A,TRUE,"Segment 5"}</definedName>
    <definedName name="wrn.Segment._.5." localSheetId="12" hidden="1">{#N/A,#N/A,TRUE,"Segment 5"}</definedName>
    <definedName name="wrn.Segment._.5." localSheetId="14" hidden="1">{#N/A,#N/A,TRUE,"Segment 5"}</definedName>
    <definedName name="wrn.Segment._.5." localSheetId="16" hidden="1">{#N/A,#N/A,TRUE,"Segment 5"}</definedName>
    <definedName name="wrn.Segment._.5." localSheetId="22" hidden="1">{#N/A,#N/A,TRUE,"Segment 5"}</definedName>
    <definedName name="wrn.Segment._.5." localSheetId="24" hidden="1">{#N/A,#N/A,TRUE,"Segment 5"}</definedName>
    <definedName name="wrn.Segment._.5." localSheetId="26" hidden="1">{#N/A,#N/A,TRUE,"Segment 5"}</definedName>
    <definedName name="wrn.Segment._.5." localSheetId="28" hidden="1">{#N/A,#N/A,TRUE,"Segment 5"}</definedName>
    <definedName name="wrn.Segment._.5." localSheetId="30" hidden="1">{#N/A,#N/A,TRUE,"Segment 5"}</definedName>
    <definedName name="wrn.Segment._.5." localSheetId="32" hidden="1">{#N/A,#N/A,TRUE,"Segment 5"}</definedName>
    <definedName name="wrn.Segment._.5." localSheetId="34" hidden="1">{#N/A,#N/A,TRUE,"Segment 5"}</definedName>
    <definedName name="wrn.Segment._.5." localSheetId="36" hidden="1">{#N/A,#N/A,TRUE,"Segment 5"}</definedName>
    <definedName name="wrn.Segment._.5." localSheetId="38" hidden="1">{#N/A,#N/A,TRUE,"Segment 5"}</definedName>
    <definedName name="wrn.Segment._.5." hidden="1">{#N/A,#N/A,TRUE,"Segment 5"}</definedName>
    <definedName name="wrn.Snapshot." localSheetId="3" hidden="1">{#N/A,#N/A,TRUE,"Facility-Input";#N/A,#N/A,TRUE,"Graphs"}</definedName>
    <definedName name="wrn.Snapshot." localSheetId="5" hidden="1">{#N/A,#N/A,TRUE,"Facility-Input";#N/A,#N/A,TRUE,"Graphs"}</definedName>
    <definedName name="wrn.Snapshot." localSheetId="8" hidden="1">{#N/A,#N/A,TRUE,"Facility-Input";#N/A,#N/A,TRUE,"Graphs"}</definedName>
    <definedName name="wrn.Snapshot." localSheetId="10" hidden="1">{#N/A,#N/A,TRUE,"Facility-Input";#N/A,#N/A,TRUE,"Graphs"}</definedName>
    <definedName name="wrn.Snapshot." localSheetId="12" hidden="1">{#N/A,#N/A,TRUE,"Facility-Input";#N/A,#N/A,TRUE,"Graphs"}</definedName>
    <definedName name="wrn.Snapshot." localSheetId="14" hidden="1">{#N/A,#N/A,TRUE,"Facility-Input";#N/A,#N/A,TRUE,"Graphs"}</definedName>
    <definedName name="wrn.Snapshot." localSheetId="16" hidden="1">{#N/A,#N/A,TRUE,"Facility-Input";#N/A,#N/A,TRUE,"Graphs"}</definedName>
    <definedName name="wrn.Snapshot." localSheetId="22" hidden="1">{#N/A,#N/A,TRUE,"Facility-Input";#N/A,#N/A,TRUE,"Graphs"}</definedName>
    <definedName name="wrn.Snapshot." localSheetId="24" hidden="1">{#N/A,#N/A,TRUE,"Facility-Input";#N/A,#N/A,TRUE,"Graphs"}</definedName>
    <definedName name="wrn.Snapshot." localSheetId="26" hidden="1">{#N/A,#N/A,TRUE,"Facility-Input";#N/A,#N/A,TRUE,"Graphs"}</definedName>
    <definedName name="wrn.Snapshot." localSheetId="28" hidden="1">{#N/A,#N/A,TRUE,"Facility-Input";#N/A,#N/A,TRUE,"Graphs"}</definedName>
    <definedName name="wrn.Snapshot." localSheetId="30" hidden="1">{#N/A,#N/A,TRUE,"Facility-Input";#N/A,#N/A,TRUE,"Graphs"}</definedName>
    <definedName name="wrn.Snapshot." localSheetId="32" hidden="1">{#N/A,#N/A,TRUE,"Facility-Input";#N/A,#N/A,TRUE,"Graphs"}</definedName>
    <definedName name="wrn.Snapshot." localSheetId="34" hidden="1">{#N/A,#N/A,TRUE,"Facility-Input";#N/A,#N/A,TRUE,"Graphs"}</definedName>
    <definedName name="wrn.Snapshot." localSheetId="36" hidden="1">{#N/A,#N/A,TRUE,"Facility-Input";#N/A,#N/A,TRUE,"Graphs"}</definedName>
    <definedName name="wrn.Snapshot." localSheetId="38" hidden="1">{#N/A,#N/A,TRUE,"Facility-Input";#N/A,#N/A,TRUE,"Graphs"}</definedName>
    <definedName name="wrn.Snapshot." hidden="1">{#N/A,#N/A,TRUE,"Facility-Input";#N/A,#N/A,TRUE,"Graphs"}</definedName>
    <definedName name="wrn.Subdivisions." localSheetId="3"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divisions." localSheetId="5"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divisions." localSheetId="8"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divisions." localSheetId="10"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divisions." localSheetId="12"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divisions." localSheetId="14"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divisions." localSheetId="16"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divisions." localSheetId="22"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divisions." localSheetId="24"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divisions." localSheetId="26"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divisions." localSheetId="28"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divisions." localSheetId="30"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divisions." localSheetId="32"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divisions." localSheetId="34"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divisions." localSheetId="36"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divisions." localSheetId="38"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divisions."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Totals." localSheetId="3" hidden="1">{#N/A,#N/A,TRUE,"TOTAL";#N/A,#N/A,TRUE,"Total Pipes"}</definedName>
    <definedName name="wrn.Totals." localSheetId="5" hidden="1">{#N/A,#N/A,TRUE,"TOTAL";#N/A,#N/A,TRUE,"Total Pipes"}</definedName>
    <definedName name="wrn.Totals." localSheetId="8" hidden="1">{#N/A,#N/A,TRUE,"TOTAL";#N/A,#N/A,TRUE,"Total Pipes"}</definedName>
    <definedName name="wrn.Totals." localSheetId="10" hidden="1">{#N/A,#N/A,TRUE,"TOTAL";#N/A,#N/A,TRUE,"Total Pipes"}</definedName>
    <definedName name="wrn.Totals." localSheetId="12" hidden="1">{#N/A,#N/A,TRUE,"TOTAL";#N/A,#N/A,TRUE,"Total Pipes"}</definedName>
    <definedName name="wrn.Totals." localSheetId="14" hidden="1">{#N/A,#N/A,TRUE,"TOTAL";#N/A,#N/A,TRUE,"Total Pipes"}</definedName>
    <definedName name="wrn.Totals." localSheetId="16" hidden="1">{#N/A,#N/A,TRUE,"TOTAL";#N/A,#N/A,TRUE,"Total Pipes"}</definedName>
    <definedName name="wrn.Totals." localSheetId="22" hidden="1">{#N/A,#N/A,TRUE,"TOTAL";#N/A,#N/A,TRUE,"Total Pipes"}</definedName>
    <definedName name="wrn.Totals." localSheetId="24" hidden="1">{#N/A,#N/A,TRUE,"TOTAL";#N/A,#N/A,TRUE,"Total Pipes"}</definedName>
    <definedName name="wrn.Totals." localSheetId="26" hidden="1">{#N/A,#N/A,TRUE,"TOTAL";#N/A,#N/A,TRUE,"Total Pipes"}</definedName>
    <definedName name="wrn.Totals." localSheetId="28" hidden="1">{#N/A,#N/A,TRUE,"TOTAL";#N/A,#N/A,TRUE,"Total Pipes"}</definedName>
    <definedName name="wrn.Totals." localSheetId="30" hidden="1">{#N/A,#N/A,TRUE,"TOTAL";#N/A,#N/A,TRUE,"Total Pipes"}</definedName>
    <definedName name="wrn.Totals." localSheetId="32" hidden="1">{#N/A,#N/A,TRUE,"TOTAL";#N/A,#N/A,TRUE,"Total Pipes"}</definedName>
    <definedName name="wrn.Totals." localSheetId="34" hidden="1">{#N/A,#N/A,TRUE,"TOTAL";#N/A,#N/A,TRUE,"Total Pipes"}</definedName>
    <definedName name="wrn.Totals." localSheetId="36" hidden="1">{#N/A,#N/A,TRUE,"TOTAL";#N/A,#N/A,TRUE,"Total Pipes"}</definedName>
    <definedName name="wrn.Totals." localSheetId="38" hidden="1">{#N/A,#N/A,TRUE,"TOTAL";#N/A,#N/A,TRUE,"Total Pipes"}</definedName>
    <definedName name="wrn.Totals." hidden="1">{#N/A,#N/A,TRUE,"TOTAL";#N/A,#N/A,TRUE,"Total Pipes"}</definedName>
    <definedName name="wrn.Valuation." localSheetId="3" hidden="1">{#N/A,#N/A,FALSE,"Colombo";#N/A,#N/A,FALSE,"Colata";#N/A,#N/A,FALSE,"Colombo + Colata"}</definedName>
    <definedName name="wrn.Valuation." localSheetId="5" hidden="1">{#N/A,#N/A,FALSE,"Colombo";#N/A,#N/A,FALSE,"Colata";#N/A,#N/A,FALSE,"Colombo + Colata"}</definedName>
    <definedName name="wrn.Valuation." localSheetId="8" hidden="1">{#N/A,#N/A,FALSE,"Colombo";#N/A,#N/A,FALSE,"Colata";#N/A,#N/A,FALSE,"Colombo + Colata"}</definedName>
    <definedName name="wrn.Valuation." localSheetId="10" hidden="1">{#N/A,#N/A,FALSE,"Colombo";#N/A,#N/A,FALSE,"Colata";#N/A,#N/A,FALSE,"Colombo + Colata"}</definedName>
    <definedName name="wrn.Valuation." localSheetId="12" hidden="1">{#N/A,#N/A,FALSE,"Colombo";#N/A,#N/A,FALSE,"Colata";#N/A,#N/A,FALSE,"Colombo + Colata"}</definedName>
    <definedName name="wrn.Valuation." localSheetId="14" hidden="1">{#N/A,#N/A,FALSE,"Colombo";#N/A,#N/A,FALSE,"Colata";#N/A,#N/A,FALSE,"Colombo + Colata"}</definedName>
    <definedName name="wrn.Valuation." localSheetId="16" hidden="1">{#N/A,#N/A,FALSE,"Colombo";#N/A,#N/A,FALSE,"Colata";#N/A,#N/A,FALSE,"Colombo + Colata"}</definedName>
    <definedName name="wrn.Valuation." localSheetId="22" hidden="1">{#N/A,#N/A,FALSE,"Colombo";#N/A,#N/A,FALSE,"Colata";#N/A,#N/A,FALSE,"Colombo + Colata"}</definedName>
    <definedName name="wrn.Valuation." localSheetId="24" hidden="1">{#N/A,#N/A,FALSE,"Colombo";#N/A,#N/A,FALSE,"Colata";#N/A,#N/A,FALSE,"Colombo + Colata"}</definedName>
    <definedName name="wrn.Valuation." localSheetId="26" hidden="1">{#N/A,#N/A,FALSE,"Colombo";#N/A,#N/A,FALSE,"Colata";#N/A,#N/A,FALSE,"Colombo + Colata"}</definedName>
    <definedName name="wrn.Valuation." localSheetId="28" hidden="1">{#N/A,#N/A,FALSE,"Colombo";#N/A,#N/A,FALSE,"Colata";#N/A,#N/A,FALSE,"Colombo + Colata"}</definedName>
    <definedName name="wrn.Valuation." localSheetId="30" hidden="1">{#N/A,#N/A,FALSE,"Colombo";#N/A,#N/A,FALSE,"Colata";#N/A,#N/A,FALSE,"Colombo + Colata"}</definedName>
    <definedName name="wrn.Valuation." localSheetId="32" hidden="1">{#N/A,#N/A,FALSE,"Colombo";#N/A,#N/A,FALSE,"Colata";#N/A,#N/A,FALSE,"Colombo + Colata"}</definedName>
    <definedName name="wrn.Valuation." localSheetId="34" hidden="1">{#N/A,#N/A,FALSE,"Colombo";#N/A,#N/A,FALSE,"Colata";#N/A,#N/A,FALSE,"Colombo + Colata"}</definedName>
    <definedName name="wrn.Valuation." localSheetId="36" hidden="1">{#N/A,#N/A,FALSE,"Colombo";#N/A,#N/A,FALSE,"Colata";#N/A,#N/A,FALSE,"Colombo + Colata"}</definedName>
    <definedName name="wrn.Valuation." localSheetId="38" hidden="1">{#N/A,#N/A,FALSE,"Colombo";#N/A,#N/A,FALSE,"Colata";#N/A,#N/A,FALSE,"Colombo + Colata"}</definedName>
    <definedName name="wrn.Valuation." hidden="1">{#N/A,#N/A,FALSE,"Colombo";#N/A,#N/A,FALSE,"Colata";#N/A,#N/A,FALSE,"Colombo + Colata"}</definedName>
    <definedName name="wrn.Value." localSheetId="3" hidden="1">{"NOPCAPEVA",#N/A,FALSE,"Nopat";"FCFCSTAR",#N/A,FALSE,"FCFVAL";"EVAVL",#N/A,FALSE,"EVAVAL";"LEASE",#N/A,FALSE,"OpLease"}</definedName>
    <definedName name="wrn.Value." localSheetId="5" hidden="1">{"NOPCAPEVA",#N/A,FALSE,"Nopat";"FCFCSTAR",#N/A,FALSE,"FCFVAL";"EVAVL",#N/A,FALSE,"EVAVAL";"LEASE",#N/A,FALSE,"OpLease"}</definedName>
    <definedName name="wrn.Value." localSheetId="8" hidden="1">{"NOPCAPEVA",#N/A,FALSE,"Nopat";"FCFCSTAR",#N/A,FALSE,"FCFVAL";"EVAVL",#N/A,FALSE,"EVAVAL";"LEASE",#N/A,FALSE,"OpLease"}</definedName>
    <definedName name="wrn.Value." localSheetId="10" hidden="1">{"NOPCAPEVA",#N/A,FALSE,"Nopat";"FCFCSTAR",#N/A,FALSE,"FCFVAL";"EVAVL",#N/A,FALSE,"EVAVAL";"LEASE",#N/A,FALSE,"OpLease"}</definedName>
    <definedName name="wrn.Value." localSheetId="12" hidden="1">{"NOPCAPEVA",#N/A,FALSE,"Nopat";"FCFCSTAR",#N/A,FALSE,"FCFVAL";"EVAVL",#N/A,FALSE,"EVAVAL";"LEASE",#N/A,FALSE,"OpLease"}</definedName>
    <definedName name="wrn.Value." localSheetId="14" hidden="1">{"NOPCAPEVA",#N/A,FALSE,"Nopat";"FCFCSTAR",#N/A,FALSE,"FCFVAL";"EVAVL",#N/A,FALSE,"EVAVAL";"LEASE",#N/A,FALSE,"OpLease"}</definedName>
    <definedName name="wrn.Value." localSheetId="16" hidden="1">{"NOPCAPEVA",#N/A,FALSE,"Nopat";"FCFCSTAR",#N/A,FALSE,"FCFVAL";"EVAVL",#N/A,FALSE,"EVAVAL";"LEASE",#N/A,FALSE,"OpLease"}</definedName>
    <definedName name="wrn.Value." localSheetId="22" hidden="1">{"NOPCAPEVA",#N/A,FALSE,"Nopat";"FCFCSTAR",#N/A,FALSE,"FCFVAL";"EVAVL",#N/A,FALSE,"EVAVAL";"LEASE",#N/A,FALSE,"OpLease"}</definedName>
    <definedName name="wrn.Value." localSheetId="24" hidden="1">{"NOPCAPEVA",#N/A,FALSE,"Nopat";"FCFCSTAR",#N/A,FALSE,"FCFVAL";"EVAVL",#N/A,FALSE,"EVAVAL";"LEASE",#N/A,FALSE,"OpLease"}</definedName>
    <definedName name="wrn.Value." localSheetId="26" hidden="1">{"NOPCAPEVA",#N/A,FALSE,"Nopat";"FCFCSTAR",#N/A,FALSE,"FCFVAL";"EVAVL",#N/A,FALSE,"EVAVAL";"LEASE",#N/A,FALSE,"OpLease"}</definedName>
    <definedName name="wrn.Value." localSheetId="28" hidden="1">{"NOPCAPEVA",#N/A,FALSE,"Nopat";"FCFCSTAR",#N/A,FALSE,"FCFVAL";"EVAVL",#N/A,FALSE,"EVAVAL";"LEASE",#N/A,FALSE,"OpLease"}</definedName>
    <definedName name="wrn.Value." localSheetId="30" hidden="1">{"NOPCAPEVA",#N/A,FALSE,"Nopat";"FCFCSTAR",#N/A,FALSE,"FCFVAL";"EVAVL",#N/A,FALSE,"EVAVAL";"LEASE",#N/A,FALSE,"OpLease"}</definedName>
    <definedName name="wrn.Value." localSheetId="32" hidden="1">{"NOPCAPEVA",#N/A,FALSE,"Nopat";"FCFCSTAR",#N/A,FALSE,"FCFVAL";"EVAVL",#N/A,FALSE,"EVAVAL";"LEASE",#N/A,FALSE,"OpLease"}</definedName>
    <definedName name="wrn.Value." localSheetId="34" hidden="1">{"NOPCAPEVA",#N/A,FALSE,"Nopat";"FCFCSTAR",#N/A,FALSE,"FCFVAL";"EVAVL",#N/A,FALSE,"EVAVAL";"LEASE",#N/A,FALSE,"OpLease"}</definedName>
    <definedName name="wrn.Value." localSheetId="36" hidden="1">{"NOPCAPEVA",#N/A,FALSE,"Nopat";"FCFCSTAR",#N/A,FALSE,"FCFVAL";"EVAVL",#N/A,FALSE,"EVAVAL";"LEASE",#N/A,FALSE,"OpLease"}</definedName>
    <definedName name="wrn.Value." localSheetId="38" hidden="1">{"NOPCAPEVA",#N/A,FALSE,"Nopat";"FCFCSTAR",#N/A,FALSE,"FCFVAL";"EVAVL",#N/A,FALSE,"EVAVAL";"LEASE",#N/A,FALSE,"OpLease"}</definedName>
    <definedName name="wrn.Value." hidden="1">{"NOPCAPEVA",#N/A,FALSE,"Nopat";"FCFCSTAR",#N/A,FALSE,"FCFVAL";"EVAVL",#N/A,FALSE,"EVAVAL";"LEASE",#N/A,FALSE,"OpLease"}</definedName>
    <definedName name="wrn.value2" localSheetId="3" hidden="1">{"NOPCAPEVA",#N/A,FALSE,"Nopat";"FCFCSTAR",#N/A,FALSE,"FCFVAL";"EVAVL",#N/A,FALSE,"EVAVAL";"LEASE",#N/A,FALSE,"OpLease"}</definedName>
    <definedName name="wrn.value2" localSheetId="5" hidden="1">{"NOPCAPEVA",#N/A,FALSE,"Nopat";"FCFCSTAR",#N/A,FALSE,"FCFVAL";"EVAVL",#N/A,FALSE,"EVAVAL";"LEASE",#N/A,FALSE,"OpLease"}</definedName>
    <definedName name="wrn.value2" localSheetId="8" hidden="1">{"NOPCAPEVA",#N/A,FALSE,"Nopat";"FCFCSTAR",#N/A,FALSE,"FCFVAL";"EVAVL",#N/A,FALSE,"EVAVAL";"LEASE",#N/A,FALSE,"OpLease"}</definedName>
    <definedName name="wrn.value2" localSheetId="10" hidden="1">{"NOPCAPEVA",#N/A,FALSE,"Nopat";"FCFCSTAR",#N/A,FALSE,"FCFVAL";"EVAVL",#N/A,FALSE,"EVAVAL";"LEASE",#N/A,FALSE,"OpLease"}</definedName>
    <definedName name="wrn.value2" localSheetId="12" hidden="1">{"NOPCAPEVA",#N/A,FALSE,"Nopat";"FCFCSTAR",#N/A,FALSE,"FCFVAL";"EVAVL",#N/A,FALSE,"EVAVAL";"LEASE",#N/A,FALSE,"OpLease"}</definedName>
    <definedName name="wrn.value2" localSheetId="14" hidden="1">{"NOPCAPEVA",#N/A,FALSE,"Nopat";"FCFCSTAR",#N/A,FALSE,"FCFVAL";"EVAVL",#N/A,FALSE,"EVAVAL";"LEASE",#N/A,FALSE,"OpLease"}</definedName>
    <definedName name="wrn.value2" localSheetId="16" hidden="1">{"NOPCAPEVA",#N/A,FALSE,"Nopat";"FCFCSTAR",#N/A,FALSE,"FCFVAL";"EVAVL",#N/A,FALSE,"EVAVAL";"LEASE",#N/A,FALSE,"OpLease"}</definedName>
    <definedName name="wrn.value2" localSheetId="22" hidden="1">{"NOPCAPEVA",#N/A,FALSE,"Nopat";"FCFCSTAR",#N/A,FALSE,"FCFVAL";"EVAVL",#N/A,FALSE,"EVAVAL";"LEASE",#N/A,FALSE,"OpLease"}</definedName>
    <definedName name="wrn.value2" localSheetId="24" hidden="1">{"NOPCAPEVA",#N/A,FALSE,"Nopat";"FCFCSTAR",#N/A,FALSE,"FCFVAL";"EVAVL",#N/A,FALSE,"EVAVAL";"LEASE",#N/A,FALSE,"OpLease"}</definedName>
    <definedName name="wrn.value2" localSheetId="26" hidden="1">{"NOPCAPEVA",#N/A,FALSE,"Nopat";"FCFCSTAR",#N/A,FALSE,"FCFVAL";"EVAVL",#N/A,FALSE,"EVAVAL";"LEASE",#N/A,FALSE,"OpLease"}</definedName>
    <definedName name="wrn.value2" localSheetId="28" hidden="1">{"NOPCAPEVA",#N/A,FALSE,"Nopat";"FCFCSTAR",#N/A,FALSE,"FCFVAL";"EVAVL",#N/A,FALSE,"EVAVAL";"LEASE",#N/A,FALSE,"OpLease"}</definedName>
    <definedName name="wrn.value2" localSheetId="30" hidden="1">{"NOPCAPEVA",#N/A,FALSE,"Nopat";"FCFCSTAR",#N/A,FALSE,"FCFVAL";"EVAVL",#N/A,FALSE,"EVAVAL";"LEASE",#N/A,FALSE,"OpLease"}</definedName>
    <definedName name="wrn.value2" localSheetId="32" hidden="1">{"NOPCAPEVA",#N/A,FALSE,"Nopat";"FCFCSTAR",#N/A,FALSE,"FCFVAL";"EVAVL",#N/A,FALSE,"EVAVAL";"LEASE",#N/A,FALSE,"OpLease"}</definedName>
    <definedName name="wrn.value2" localSheetId="34" hidden="1">{"NOPCAPEVA",#N/A,FALSE,"Nopat";"FCFCSTAR",#N/A,FALSE,"FCFVAL";"EVAVL",#N/A,FALSE,"EVAVAL";"LEASE",#N/A,FALSE,"OpLease"}</definedName>
    <definedName name="wrn.value2" localSheetId="36" hidden="1">{"NOPCAPEVA",#N/A,FALSE,"Nopat";"FCFCSTAR",#N/A,FALSE,"FCFVAL";"EVAVL",#N/A,FALSE,"EVAVAL";"LEASE",#N/A,FALSE,"OpLease"}</definedName>
    <definedName name="wrn.value2" localSheetId="38" hidden="1">{"NOPCAPEVA",#N/A,FALSE,"Nopat";"FCFCSTAR",#N/A,FALSE,"FCFVAL";"EVAVL",#N/A,FALSE,"EVAVAL";"LEASE",#N/A,FALSE,"OpLease"}</definedName>
    <definedName name="wrn.value2" hidden="1">{"NOPCAPEVA",#N/A,FALSE,"Nopat";"FCFCSTAR",#N/A,FALSE,"FCFVAL";"EVAVL",#N/A,FALSE,"EVAVAL";"LEASE",#N/A,FALSE,"OpLease"}</definedName>
    <definedName name="wrn.value3" localSheetId="3" hidden="1">{"NOPCAPEVA",#N/A,FALSE,"Nopat";"FCFCSTAR",#N/A,FALSE,"FCFVAL";"EVAVL",#N/A,FALSE,"EVAVAL";"LEASE",#N/A,FALSE,"OpLease"}</definedName>
    <definedName name="wrn.value3" localSheetId="5" hidden="1">{"NOPCAPEVA",#N/A,FALSE,"Nopat";"FCFCSTAR",#N/A,FALSE,"FCFVAL";"EVAVL",#N/A,FALSE,"EVAVAL";"LEASE",#N/A,FALSE,"OpLease"}</definedName>
    <definedName name="wrn.value3" localSheetId="8" hidden="1">{"NOPCAPEVA",#N/A,FALSE,"Nopat";"FCFCSTAR",#N/A,FALSE,"FCFVAL";"EVAVL",#N/A,FALSE,"EVAVAL";"LEASE",#N/A,FALSE,"OpLease"}</definedName>
    <definedName name="wrn.value3" localSheetId="10" hidden="1">{"NOPCAPEVA",#N/A,FALSE,"Nopat";"FCFCSTAR",#N/A,FALSE,"FCFVAL";"EVAVL",#N/A,FALSE,"EVAVAL";"LEASE",#N/A,FALSE,"OpLease"}</definedName>
    <definedName name="wrn.value3" localSheetId="12" hidden="1">{"NOPCAPEVA",#N/A,FALSE,"Nopat";"FCFCSTAR",#N/A,FALSE,"FCFVAL";"EVAVL",#N/A,FALSE,"EVAVAL";"LEASE",#N/A,FALSE,"OpLease"}</definedName>
    <definedName name="wrn.value3" localSheetId="14" hidden="1">{"NOPCAPEVA",#N/A,FALSE,"Nopat";"FCFCSTAR",#N/A,FALSE,"FCFVAL";"EVAVL",#N/A,FALSE,"EVAVAL";"LEASE",#N/A,FALSE,"OpLease"}</definedName>
    <definedName name="wrn.value3" localSheetId="16" hidden="1">{"NOPCAPEVA",#N/A,FALSE,"Nopat";"FCFCSTAR",#N/A,FALSE,"FCFVAL";"EVAVL",#N/A,FALSE,"EVAVAL";"LEASE",#N/A,FALSE,"OpLease"}</definedName>
    <definedName name="wrn.value3" localSheetId="22" hidden="1">{"NOPCAPEVA",#N/A,FALSE,"Nopat";"FCFCSTAR",#N/A,FALSE,"FCFVAL";"EVAVL",#N/A,FALSE,"EVAVAL";"LEASE",#N/A,FALSE,"OpLease"}</definedName>
    <definedName name="wrn.value3" localSheetId="24" hidden="1">{"NOPCAPEVA",#N/A,FALSE,"Nopat";"FCFCSTAR",#N/A,FALSE,"FCFVAL";"EVAVL",#N/A,FALSE,"EVAVAL";"LEASE",#N/A,FALSE,"OpLease"}</definedName>
    <definedName name="wrn.value3" localSheetId="26" hidden="1">{"NOPCAPEVA",#N/A,FALSE,"Nopat";"FCFCSTAR",#N/A,FALSE,"FCFVAL";"EVAVL",#N/A,FALSE,"EVAVAL";"LEASE",#N/A,FALSE,"OpLease"}</definedName>
    <definedName name="wrn.value3" localSheetId="28" hidden="1">{"NOPCAPEVA",#N/A,FALSE,"Nopat";"FCFCSTAR",#N/A,FALSE,"FCFVAL";"EVAVL",#N/A,FALSE,"EVAVAL";"LEASE",#N/A,FALSE,"OpLease"}</definedName>
    <definedName name="wrn.value3" localSheetId="30" hidden="1">{"NOPCAPEVA",#N/A,FALSE,"Nopat";"FCFCSTAR",#N/A,FALSE,"FCFVAL";"EVAVL",#N/A,FALSE,"EVAVAL";"LEASE",#N/A,FALSE,"OpLease"}</definedName>
    <definedName name="wrn.value3" localSheetId="32" hidden="1">{"NOPCAPEVA",#N/A,FALSE,"Nopat";"FCFCSTAR",#N/A,FALSE,"FCFVAL";"EVAVL",#N/A,FALSE,"EVAVAL";"LEASE",#N/A,FALSE,"OpLease"}</definedName>
    <definedName name="wrn.value3" localSheetId="34" hidden="1">{"NOPCAPEVA",#N/A,FALSE,"Nopat";"FCFCSTAR",#N/A,FALSE,"FCFVAL";"EVAVL",#N/A,FALSE,"EVAVAL";"LEASE",#N/A,FALSE,"OpLease"}</definedName>
    <definedName name="wrn.value3" localSheetId="36" hidden="1">{"NOPCAPEVA",#N/A,FALSE,"Nopat";"FCFCSTAR",#N/A,FALSE,"FCFVAL";"EVAVL",#N/A,FALSE,"EVAVAL";"LEASE",#N/A,FALSE,"OpLease"}</definedName>
    <definedName name="wrn.value3" localSheetId="38" hidden="1">{"NOPCAPEVA",#N/A,FALSE,"Nopat";"FCFCSTAR",#N/A,FALSE,"FCFVAL";"EVAVL",#N/A,FALSE,"EVAVAL";"LEASE",#N/A,FALSE,"OpLease"}</definedName>
    <definedName name="wrn.value3" hidden="1">{"NOPCAPEVA",#N/A,FALSE,"Nopat";"FCFCSTAR",#N/A,FALSE,"FCFVAL";"EVAVL",#N/A,FALSE,"EVAVAL";"LEASE",#N/A,FALSE,"OpLease"}</definedName>
    <definedName name="wrn.value4" localSheetId="3" hidden="1">{"NOPCAPEVA",#N/A,FALSE,"Nopat";"FCFCSTAR",#N/A,FALSE,"FCFVAL";"EVAVL",#N/A,FALSE,"EVAVAL";"LEASE",#N/A,FALSE,"OpLease"}</definedName>
    <definedName name="wrn.value4" localSheetId="5" hidden="1">{"NOPCAPEVA",#N/A,FALSE,"Nopat";"FCFCSTAR",#N/A,FALSE,"FCFVAL";"EVAVL",#N/A,FALSE,"EVAVAL";"LEASE",#N/A,FALSE,"OpLease"}</definedName>
    <definedName name="wrn.value4" localSheetId="8" hidden="1">{"NOPCAPEVA",#N/A,FALSE,"Nopat";"FCFCSTAR",#N/A,FALSE,"FCFVAL";"EVAVL",#N/A,FALSE,"EVAVAL";"LEASE",#N/A,FALSE,"OpLease"}</definedName>
    <definedName name="wrn.value4" localSheetId="10" hidden="1">{"NOPCAPEVA",#N/A,FALSE,"Nopat";"FCFCSTAR",#N/A,FALSE,"FCFVAL";"EVAVL",#N/A,FALSE,"EVAVAL";"LEASE",#N/A,FALSE,"OpLease"}</definedName>
    <definedName name="wrn.value4" localSheetId="12" hidden="1">{"NOPCAPEVA",#N/A,FALSE,"Nopat";"FCFCSTAR",#N/A,FALSE,"FCFVAL";"EVAVL",#N/A,FALSE,"EVAVAL";"LEASE",#N/A,FALSE,"OpLease"}</definedName>
    <definedName name="wrn.value4" localSheetId="14" hidden="1">{"NOPCAPEVA",#N/A,FALSE,"Nopat";"FCFCSTAR",#N/A,FALSE,"FCFVAL";"EVAVL",#N/A,FALSE,"EVAVAL";"LEASE",#N/A,FALSE,"OpLease"}</definedName>
    <definedName name="wrn.value4" localSheetId="16" hidden="1">{"NOPCAPEVA",#N/A,FALSE,"Nopat";"FCFCSTAR",#N/A,FALSE,"FCFVAL";"EVAVL",#N/A,FALSE,"EVAVAL";"LEASE",#N/A,FALSE,"OpLease"}</definedName>
    <definedName name="wrn.value4" localSheetId="22" hidden="1">{"NOPCAPEVA",#N/A,FALSE,"Nopat";"FCFCSTAR",#N/A,FALSE,"FCFVAL";"EVAVL",#N/A,FALSE,"EVAVAL";"LEASE",#N/A,FALSE,"OpLease"}</definedName>
    <definedName name="wrn.value4" localSheetId="24" hidden="1">{"NOPCAPEVA",#N/A,FALSE,"Nopat";"FCFCSTAR",#N/A,FALSE,"FCFVAL";"EVAVL",#N/A,FALSE,"EVAVAL";"LEASE",#N/A,FALSE,"OpLease"}</definedName>
    <definedName name="wrn.value4" localSheetId="26" hidden="1">{"NOPCAPEVA",#N/A,FALSE,"Nopat";"FCFCSTAR",#N/A,FALSE,"FCFVAL";"EVAVL",#N/A,FALSE,"EVAVAL";"LEASE",#N/A,FALSE,"OpLease"}</definedName>
    <definedName name="wrn.value4" localSheetId="28" hidden="1">{"NOPCAPEVA",#N/A,FALSE,"Nopat";"FCFCSTAR",#N/A,FALSE,"FCFVAL";"EVAVL",#N/A,FALSE,"EVAVAL";"LEASE",#N/A,FALSE,"OpLease"}</definedName>
    <definedName name="wrn.value4" localSheetId="30" hidden="1">{"NOPCAPEVA",#N/A,FALSE,"Nopat";"FCFCSTAR",#N/A,FALSE,"FCFVAL";"EVAVL",#N/A,FALSE,"EVAVAL";"LEASE",#N/A,FALSE,"OpLease"}</definedName>
    <definedName name="wrn.value4" localSheetId="32" hidden="1">{"NOPCAPEVA",#N/A,FALSE,"Nopat";"FCFCSTAR",#N/A,FALSE,"FCFVAL";"EVAVL",#N/A,FALSE,"EVAVAL";"LEASE",#N/A,FALSE,"OpLease"}</definedName>
    <definedName name="wrn.value4" localSheetId="34" hidden="1">{"NOPCAPEVA",#N/A,FALSE,"Nopat";"FCFCSTAR",#N/A,FALSE,"FCFVAL";"EVAVL",#N/A,FALSE,"EVAVAL";"LEASE",#N/A,FALSE,"OpLease"}</definedName>
    <definedName name="wrn.value4" localSheetId="36" hidden="1">{"NOPCAPEVA",#N/A,FALSE,"Nopat";"FCFCSTAR",#N/A,FALSE,"FCFVAL";"EVAVL",#N/A,FALSE,"EVAVAL";"LEASE",#N/A,FALSE,"OpLease"}</definedName>
    <definedName name="wrn.value4" localSheetId="38" hidden="1">{"NOPCAPEVA",#N/A,FALSE,"Nopat";"FCFCSTAR",#N/A,FALSE,"FCFVAL";"EVAVL",#N/A,FALSE,"EVAVAL";"LEASE",#N/A,FALSE,"OpLease"}</definedName>
    <definedName name="wrn.value4" hidden="1">{"NOPCAPEVA",#N/A,FALSE,"Nopat";"FCFCSTAR",#N/A,FALSE,"FCFVAL";"EVAVL",#N/A,FALSE,"EVAVAL";"LEASE",#N/A,FALSE,"OpLease"}</definedName>
    <definedName name="wvu.lib1." localSheetId="3"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5"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10"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1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1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1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2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2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2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2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30"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3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3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3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3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360b5c7d41a545c5a28cd1ec76cb9c53_3EE9" hidden="1">#REF!</definedName>
    <definedName name="wwww" localSheetId="3"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ww" localSheetId="5"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ww" localSheetId="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ww" localSheetId="10"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ww" localSheetId="1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ww" localSheetId="1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ww" localSheetId="1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ww" localSheetId="2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ww" localSheetId="2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ww" localSheetId="2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ww" localSheetId="2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ww" localSheetId="30"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ww" localSheetId="3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ww" localSheetId="3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ww" localSheetId="3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ww" localSheetId="3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ww"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WWWWW" localSheetId="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WWWWWW" localSheetId="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WWWWWW" localSheetId="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WWWWWW"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WWWWWW" localSheetId="1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WWWWWW" localSheetId="1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WWWWWW" localSheetId="1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WWWWWW" localSheetId="2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WWWWWW" localSheetId="2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WWWWWW" localSheetId="2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WWWWWW" localSheetId="2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WWWWWW" localSheetId="3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WWWWWW" localSheetId="3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WWWWWW" localSheetId="3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WWWWWW" localSheetId="3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WWWWWW" localSheetId="3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WWWWWW"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 localSheetId="3"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x" localSheetId="5"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x" localSheetId="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x" localSheetId="10"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x" localSheetId="1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x" localSheetId="1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x" localSheetId="1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x" localSheetId="2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x" localSheetId="2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x" localSheetId="2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x" localSheetId="2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x" localSheetId="30"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x" localSheetId="3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x" localSheetId="3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x" localSheetId="3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x" localSheetId="3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x"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xcxzc" localSheetId="3" hidden="1">{"NOPCAPEVA",#N/A,FALSE,"Nopat";"FCFCSTAR",#N/A,FALSE,"FCFVAL";"EVAVL",#N/A,FALSE,"EVAVAL";"LEASE",#N/A,FALSE,"OpLease"}</definedName>
    <definedName name="xcxzc" localSheetId="5" hidden="1">{"NOPCAPEVA",#N/A,FALSE,"Nopat";"FCFCSTAR",#N/A,FALSE,"FCFVAL";"EVAVL",#N/A,FALSE,"EVAVAL";"LEASE",#N/A,FALSE,"OpLease"}</definedName>
    <definedName name="xcxzc" localSheetId="8" hidden="1">{"NOPCAPEVA",#N/A,FALSE,"Nopat";"FCFCSTAR",#N/A,FALSE,"FCFVAL";"EVAVL",#N/A,FALSE,"EVAVAL";"LEASE",#N/A,FALSE,"OpLease"}</definedName>
    <definedName name="xcxzc" localSheetId="10" hidden="1">{"NOPCAPEVA",#N/A,FALSE,"Nopat";"FCFCSTAR",#N/A,FALSE,"FCFVAL";"EVAVL",#N/A,FALSE,"EVAVAL";"LEASE",#N/A,FALSE,"OpLease"}</definedName>
    <definedName name="xcxzc" localSheetId="12" hidden="1">{"NOPCAPEVA",#N/A,FALSE,"Nopat";"FCFCSTAR",#N/A,FALSE,"FCFVAL";"EVAVL",#N/A,FALSE,"EVAVAL";"LEASE",#N/A,FALSE,"OpLease"}</definedName>
    <definedName name="xcxzc" localSheetId="14" hidden="1">{"NOPCAPEVA",#N/A,FALSE,"Nopat";"FCFCSTAR",#N/A,FALSE,"FCFVAL";"EVAVL",#N/A,FALSE,"EVAVAL";"LEASE",#N/A,FALSE,"OpLease"}</definedName>
    <definedName name="xcxzc" localSheetId="16" hidden="1">{"NOPCAPEVA",#N/A,FALSE,"Nopat";"FCFCSTAR",#N/A,FALSE,"FCFVAL";"EVAVL",#N/A,FALSE,"EVAVAL";"LEASE",#N/A,FALSE,"OpLease"}</definedName>
    <definedName name="xcxzc" localSheetId="22" hidden="1">{"NOPCAPEVA",#N/A,FALSE,"Nopat";"FCFCSTAR",#N/A,FALSE,"FCFVAL";"EVAVL",#N/A,FALSE,"EVAVAL";"LEASE",#N/A,FALSE,"OpLease"}</definedName>
    <definedName name="xcxzc" localSheetId="24" hidden="1">{"NOPCAPEVA",#N/A,FALSE,"Nopat";"FCFCSTAR",#N/A,FALSE,"FCFVAL";"EVAVL",#N/A,FALSE,"EVAVAL";"LEASE",#N/A,FALSE,"OpLease"}</definedName>
    <definedName name="xcxzc" localSheetId="26" hidden="1">{"NOPCAPEVA",#N/A,FALSE,"Nopat";"FCFCSTAR",#N/A,FALSE,"FCFVAL";"EVAVL",#N/A,FALSE,"EVAVAL";"LEASE",#N/A,FALSE,"OpLease"}</definedName>
    <definedName name="xcxzc" localSheetId="28" hidden="1">{"NOPCAPEVA",#N/A,FALSE,"Nopat";"FCFCSTAR",#N/A,FALSE,"FCFVAL";"EVAVL",#N/A,FALSE,"EVAVAL";"LEASE",#N/A,FALSE,"OpLease"}</definedName>
    <definedName name="xcxzc" localSheetId="30" hidden="1">{"NOPCAPEVA",#N/A,FALSE,"Nopat";"FCFCSTAR",#N/A,FALSE,"FCFVAL";"EVAVL",#N/A,FALSE,"EVAVAL";"LEASE",#N/A,FALSE,"OpLease"}</definedName>
    <definedName name="xcxzc" localSheetId="32" hidden="1">{"NOPCAPEVA",#N/A,FALSE,"Nopat";"FCFCSTAR",#N/A,FALSE,"FCFVAL";"EVAVL",#N/A,FALSE,"EVAVAL";"LEASE",#N/A,FALSE,"OpLease"}</definedName>
    <definedName name="xcxzc" localSheetId="34" hidden="1">{"NOPCAPEVA",#N/A,FALSE,"Nopat";"FCFCSTAR",#N/A,FALSE,"FCFVAL";"EVAVL",#N/A,FALSE,"EVAVAL";"LEASE",#N/A,FALSE,"OpLease"}</definedName>
    <definedName name="xcxzc" localSheetId="36" hidden="1">{"NOPCAPEVA",#N/A,FALSE,"Nopat";"FCFCSTAR",#N/A,FALSE,"FCFVAL";"EVAVL",#N/A,FALSE,"EVAVAL";"LEASE",#N/A,FALSE,"OpLease"}</definedName>
    <definedName name="xcxzc" localSheetId="38" hidden="1">{"NOPCAPEVA",#N/A,FALSE,"Nopat";"FCFCSTAR",#N/A,FALSE,"FCFVAL";"EVAVL",#N/A,FALSE,"EVAVAL";"LEASE",#N/A,FALSE,"OpLease"}</definedName>
    <definedName name="xcxzc" hidden="1">{"NOPCAPEVA",#N/A,FALSE,"Nopat";"FCFCSTAR",#N/A,FALSE,"FCFVAL";"EVAVL",#N/A,FALSE,"EVAVAL";"LEASE",#N/A,FALSE,"OpLease"}</definedName>
    <definedName name="XREF_COLUMN_1" hidden="1">#REF!</definedName>
    <definedName name="XREF_COLUMN_2" hidden="1">#REF!</definedName>
    <definedName name="XREF_COLUMN_3" hidden="1">#REF!</definedName>
    <definedName name="XREF_COLUMN_4" hidden="1">#REF!</definedName>
    <definedName name="XRefActiveRow" hidden="1">#REF!</definedName>
    <definedName name="XRefColumnsCount">4</definedName>
    <definedName name="XRefCopy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Row" hidden="1">#REF!</definedName>
    <definedName name="XRefCopy6Row" hidden="1">#REF!</definedName>
    <definedName name="XRefCopy7Row" hidden="1">#REF!</definedName>
    <definedName name="XRefCopy8Row" hidden="1">#REF!</definedName>
    <definedName name="XRefCopyRangeCount">4</definedName>
    <definedName name="XRefPaste1Row" hidden="1">#REF!</definedName>
    <definedName name="XRefPaste2Row" hidden="1">#REF!</definedName>
    <definedName name="XRefPaste3Row" hidden="1">#REF!</definedName>
    <definedName name="XRefPaste4Row" hidden="1">#REF!</definedName>
    <definedName name="XRefPaste5Row" hidden="1">#REF!</definedName>
    <definedName name="XRefPaste6Row" hidden="1">#REF!</definedName>
    <definedName name="XRefPaste7Row" hidden="1">#REF!</definedName>
    <definedName name="XRefPaste8Row" hidden="1">#REF!</definedName>
    <definedName name="XRefPaste9Row" hidden="1">#REF!</definedName>
    <definedName name="XRefPasteRangeCount">9</definedName>
    <definedName name="xx" hidden="1">#REF!</definedName>
    <definedName name="XX17e75f47fb2a4ece91bc215d7f1aef7d" hidden="1">#REF!</definedName>
    <definedName name="XXb636e94e416a4ba69f3906c141b23099" hidden="1">#REF!</definedName>
    <definedName name="XXe1e7bf40155640af95743bdb59d23bbd" hidden="1">#REF!</definedName>
    <definedName name="xxxx" hidden="1">#REF!</definedName>
    <definedName name="xxxxxxxxxxxxxxxxxxxxxxxxxxxxxxxxxxxx" localSheetId="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xxxxxxxxxxxxxxxxxxxxxxxxxxxxxxxxxxx" localSheetId="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xxxxxxxxxxxxxxxxxxxxxxxxxxxxxxxxxxx" localSheetId="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xxxxxxxxxxxxxxxxxxxxxxxxxxxxxxxxxxx"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xxxxxxxxxxxxxxxxxxxxxxxxxxxxxxxxxxx" localSheetId="1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xxxxxxxxxxxxxxxxxxxxxxxxxxxxxxxxxxx" localSheetId="1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xxxxxxxxxxxxxxxxxxxxxxxxxxxxxxxxxxx" localSheetId="1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xxxxxxxxxxxxxxxxxxxxxxxxxxxxxxxxxxx" localSheetId="2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xxxxxxxxxxxxxxxxxxxxxxxxxxxxxxxxxxx" localSheetId="2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xxxxxxxxxxxxxxxxxxxxxxxxxxxxxxxxxxx" localSheetId="2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xxxxxxxxxxxxxxxxxxxxxxxxxxxxxxxxxxx" localSheetId="2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xxxxxxxxxxxxxxxxxxxxxxxxxxxxxxxxxxx" localSheetId="3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xxxxxxxxxxxxxxxxxxxxxxxxxxxxxxxxxxx" localSheetId="3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xxxxxxxxxxxxxxxxxxxxxxxxxxxxxxxxxxx" localSheetId="3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xxxxxxxxxxxxxxxxxxxxxxxxxxxxxxxxxxx" localSheetId="3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xxxxxxxxxxxxxxxxxxxxxxxxxxxxxxxxxxx" localSheetId="38"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xxxxxxxxxxxxxxxxxxxxxxxxxxxxxxxxxxxx"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y">#REF!</definedName>
    <definedName name="Y.E">#REF!</definedName>
    <definedName name="Y.E.">#REF!</definedName>
    <definedName name="Y.E.1">#REF!</definedName>
    <definedName name="Y.E2">#REF!</definedName>
    <definedName name="Y_E">#REF!</definedName>
    <definedName name="Y_E1">#REF!</definedName>
    <definedName name="YE">#REF!</definedName>
    <definedName name="Year">#REF!</definedName>
    <definedName name="YEAREND">#REF!</definedName>
    <definedName name="yhi" localSheetId="3" hidden="1">{"NOPCAPEVA",#N/A,FALSE,"Nopat";"FCFCSTAR",#N/A,FALSE,"FCFVAL";"EVAVL",#N/A,FALSE,"EVAVAL";"LEASE",#N/A,FALSE,"OpLease"}</definedName>
    <definedName name="yhi" localSheetId="5" hidden="1">{"NOPCAPEVA",#N/A,FALSE,"Nopat";"FCFCSTAR",#N/A,FALSE,"FCFVAL";"EVAVL",#N/A,FALSE,"EVAVAL";"LEASE",#N/A,FALSE,"OpLease"}</definedName>
    <definedName name="yhi" localSheetId="8" hidden="1">{"NOPCAPEVA",#N/A,FALSE,"Nopat";"FCFCSTAR",#N/A,FALSE,"FCFVAL";"EVAVL",#N/A,FALSE,"EVAVAL";"LEASE",#N/A,FALSE,"OpLease"}</definedName>
    <definedName name="yhi" localSheetId="10" hidden="1">{"NOPCAPEVA",#N/A,FALSE,"Nopat";"FCFCSTAR",#N/A,FALSE,"FCFVAL";"EVAVL",#N/A,FALSE,"EVAVAL";"LEASE",#N/A,FALSE,"OpLease"}</definedName>
    <definedName name="yhi" localSheetId="12" hidden="1">{"NOPCAPEVA",#N/A,FALSE,"Nopat";"FCFCSTAR",#N/A,FALSE,"FCFVAL";"EVAVL",#N/A,FALSE,"EVAVAL";"LEASE",#N/A,FALSE,"OpLease"}</definedName>
    <definedName name="yhi" localSheetId="14" hidden="1">{"NOPCAPEVA",#N/A,FALSE,"Nopat";"FCFCSTAR",#N/A,FALSE,"FCFVAL";"EVAVL",#N/A,FALSE,"EVAVAL";"LEASE",#N/A,FALSE,"OpLease"}</definedName>
    <definedName name="yhi" localSheetId="16" hidden="1">{"NOPCAPEVA",#N/A,FALSE,"Nopat";"FCFCSTAR",#N/A,FALSE,"FCFVAL";"EVAVL",#N/A,FALSE,"EVAVAL";"LEASE",#N/A,FALSE,"OpLease"}</definedName>
    <definedName name="yhi" localSheetId="22" hidden="1">{"NOPCAPEVA",#N/A,FALSE,"Nopat";"FCFCSTAR",#N/A,FALSE,"FCFVAL";"EVAVL",#N/A,FALSE,"EVAVAL";"LEASE",#N/A,FALSE,"OpLease"}</definedName>
    <definedName name="yhi" localSheetId="24" hidden="1">{"NOPCAPEVA",#N/A,FALSE,"Nopat";"FCFCSTAR",#N/A,FALSE,"FCFVAL";"EVAVL",#N/A,FALSE,"EVAVAL";"LEASE",#N/A,FALSE,"OpLease"}</definedName>
    <definedName name="yhi" localSheetId="26" hidden="1">{"NOPCAPEVA",#N/A,FALSE,"Nopat";"FCFCSTAR",#N/A,FALSE,"FCFVAL";"EVAVL",#N/A,FALSE,"EVAVAL";"LEASE",#N/A,FALSE,"OpLease"}</definedName>
    <definedName name="yhi" localSheetId="28" hidden="1">{"NOPCAPEVA",#N/A,FALSE,"Nopat";"FCFCSTAR",#N/A,FALSE,"FCFVAL";"EVAVL",#N/A,FALSE,"EVAVAL";"LEASE",#N/A,FALSE,"OpLease"}</definedName>
    <definedName name="yhi" localSheetId="30" hidden="1">{"NOPCAPEVA",#N/A,FALSE,"Nopat";"FCFCSTAR",#N/A,FALSE,"FCFVAL";"EVAVL",#N/A,FALSE,"EVAVAL";"LEASE",#N/A,FALSE,"OpLease"}</definedName>
    <definedName name="yhi" localSheetId="32" hidden="1">{"NOPCAPEVA",#N/A,FALSE,"Nopat";"FCFCSTAR",#N/A,FALSE,"FCFVAL";"EVAVL",#N/A,FALSE,"EVAVAL";"LEASE",#N/A,FALSE,"OpLease"}</definedName>
    <definedName name="yhi" localSheetId="34" hidden="1">{"NOPCAPEVA",#N/A,FALSE,"Nopat";"FCFCSTAR",#N/A,FALSE,"FCFVAL";"EVAVL",#N/A,FALSE,"EVAVAL";"LEASE",#N/A,FALSE,"OpLease"}</definedName>
    <definedName name="yhi" localSheetId="36" hidden="1">{"NOPCAPEVA",#N/A,FALSE,"Nopat";"FCFCSTAR",#N/A,FALSE,"FCFVAL";"EVAVL",#N/A,FALSE,"EVAVAL";"LEASE",#N/A,FALSE,"OpLease"}</definedName>
    <definedName name="yhi" localSheetId="38" hidden="1">{"NOPCAPEVA",#N/A,FALSE,"Nopat";"FCFCSTAR",#N/A,FALSE,"FCFVAL";"EVAVL",#N/A,FALSE,"EVAVAL";"LEASE",#N/A,FALSE,"OpLease"}</definedName>
    <definedName name="yhi" hidden="1">{"NOPCAPEVA",#N/A,FALSE,"Nopat";"FCFCSTAR",#N/A,FALSE,"FCFVAL";"EVAVL",#N/A,FALSE,"EVAVAL";"LEASE",#N/A,FALSE,"OpLease"}</definedName>
    <definedName name="yre" localSheetId="3" hidden="1">{"NOPCAPEVA",#N/A,FALSE,"Nopat";"FCFCSTAR",#N/A,FALSE,"FCFVAL";"EVAVL",#N/A,FALSE,"EVAVAL";"LEASE",#N/A,FALSE,"OpLease"}</definedName>
    <definedName name="yre" localSheetId="5" hidden="1">{"NOPCAPEVA",#N/A,FALSE,"Nopat";"FCFCSTAR",#N/A,FALSE,"FCFVAL";"EVAVL",#N/A,FALSE,"EVAVAL";"LEASE",#N/A,FALSE,"OpLease"}</definedName>
    <definedName name="yre" localSheetId="8" hidden="1">{"NOPCAPEVA",#N/A,FALSE,"Nopat";"FCFCSTAR",#N/A,FALSE,"FCFVAL";"EVAVL",#N/A,FALSE,"EVAVAL";"LEASE",#N/A,FALSE,"OpLease"}</definedName>
    <definedName name="yre" localSheetId="10" hidden="1">{"NOPCAPEVA",#N/A,FALSE,"Nopat";"FCFCSTAR",#N/A,FALSE,"FCFVAL";"EVAVL",#N/A,FALSE,"EVAVAL";"LEASE",#N/A,FALSE,"OpLease"}</definedName>
    <definedName name="yre" localSheetId="12" hidden="1">{"NOPCAPEVA",#N/A,FALSE,"Nopat";"FCFCSTAR",#N/A,FALSE,"FCFVAL";"EVAVL",#N/A,FALSE,"EVAVAL";"LEASE",#N/A,FALSE,"OpLease"}</definedName>
    <definedName name="yre" localSheetId="14" hidden="1">{"NOPCAPEVA",#N/A,FALSE,"Nopat";"FCFCSTAR",#N/A,FALSE,"FCFVAL";"EVAVL",#N/A,FALSE,"EVAVAL";"LEASE",#N/A,FALSE,"OpLease"}</definedName>
    <definedName name="yre" localSheetId="16" hidden="1">{"NOPCAPEVA",#N/A,FALSE,"Nopat";"FCFCSTAR",#N/A,FALSE,"FCFVAL";"EVAVL",#N/A,FALSE,"EVAVAL";"LEASE",#N/A,FALSE,"OpLease"}</definedName>
    <definedName name="yre" localSheetId="22" hidden="1">{"NOPCAPEVA",#N/A,FALSE,"Nopat";"FCFCSTAR",#N/A,FALSE,"FCFVAL";"EVAVL",#N/A,FALSE,"EVAVAL";"LEASE",#N/A,FALSE,"OpLease"}</definedName>
    <definedName name="yre" localSheetId="24" hidden="1">{"NOPCAPEVA",#N/A,FALSE,"Nopat";"FCFCSTAR",#N/A,FALSE,"FCFVAL";"EVAVL",#N/A,FALSE,"EVAVAL";"LEASE",#N/A,FALSE,"OpLease"}</definedName>
    <definedName name="yre" localSheetId="26" hidden="1">{"NOPCAPEVA",#N/A,FALSE,"Nopat";"FCFCSTAR",#N/A,FALSE,"FCFVAL";"EVAVL",#N/A,FALSE,"EVAVAL";"LEASE",#N/A,FALSE,"OpLease"}</definedName>
    <definedName name="yre" localSheetId="28" hidden="1">{"NOPCAPEVA",#N/A,FALSE,"Nopat";"FCFCSTAR",#N/A,FALSE,"FCFVAL";"EVAVL",#N/A,FALSE,"EVAVAL";"LEASE",#N/A,FALSE,"OpLease"}</definedName>
    <definedName name="yre" localSheetId="30" hidden="1">{"NOPCAPEVA",#N/A,FALSE,"Nopat";"FCFCSTAR",#N/A,FALSE,"FCFVAL";"EVAVL",#N/A,FALSE,"EVAVAL";"LEASE",#N/A,FALSE,"OpLease"}</definedName>
    <definedName name="yre" localSheetId="32" hidden="1">{"NOPCAPEVA",#N/A,FALSE,"Nopat";"FCFCSTAR",#N/A,FALSE,"FCFVAL";"EVAVL",#N/A,FALSE,"EVAVAL";"LEASE",#N/A,FALSE,"OpLease"}</definedName>
    <definedName name="yre" localSheetId="34" hidden="1">{"NOPCAPEVA",#N/A,FALSE,"Nopat";"FCFCSTAR",#N/A,FALSE,"FCFVAL";"EVAVL",#N/A,FALSE,"EVAVAL";"LEASE",#N/A,FALSE,"OpLease"}</definedName>
    <definedName name="yre" localSheetId="36" hidden="1">{"NOPCAPEVA",#N/A,FALSE,"Nopat";"FCFCSTAR",#N/A,FALSE,"FCFVAL";"EVAVL",#N/A,FALSE,"EVAVAL";"LEASE",#N/A,FALSE,"OpLease"}</definedName>
    <definedName name="yre" localSheetId="38" hidden="1">{"NOPCAPEVA",#N/A,FALSE,"Nopat";"FCFCSTAR",#N/A,FALSE,"FCFVAL";"EVAVL",#N/A,FALSE,"EVAVAL";"LEASE",#N/A,FALSE,"OpLease"}</definedName>
    <definedName name="yre" hidden="1">{"NOPCAPEVA",#N/A,FALSE,"Nopat";"FCFCSTAR",#N/A,FALSE,"FCFVAL";"EVAVL",#N/A,FALSE,"EVAVAL";"LEASE",#N/A,FALSE,"OpLease"}</definedName>
    <definedName name="yrty" localSheetId="3" hidden="1">{"NOPCAPEVA",#N/A,FALSE,"Nopat";"FCFCSTAR",#N/A,FALSE,"FCFVAL";"EVAVL",#N/A,FALSE,"EVAVAL";"LEASE",#N/A,FALSE,"OpLease"}</definedName>
    <definedName name="yrty" localSheetId="5" hidden="1">{"NOPCAPEVA",#N/A,FALSE,"Nopat";"FCFCSTAR",#N/A,FALSE,"FCFVAL";"EVAVL",#N/A,FALSE,"EVAVAL";"LEASE",#N/A,FALSE,"OpLease"}</definedName>
    <definedName name="yrty" localSheetId="8" hidden="1">{"NOPCAPEVA",#N/A,FALSE,"Nopat";"FCFCSTAR",#N/A,FALSE,"FCFVAL";"EVAVL",#N/A,FALSE,"EVAVAL";"LEASE",#N/A,FALSE,"OpLease"}</definedName>
    <definedName name="yrty" localSheetId="10" hidden="1">{"NOPCAPEVA",#N/A,FALSE,"Nopat";"FCFCSTAR",#N/A,FALSE,"FCFVAL";"EVAVL",#N/A,FALSE,"EVAVAL";"LEASE",#N/A,FALSE,"OpLease"}</definedName>
    <definedName name="yrty" localSheetId="12" hidden="1">{"NOPCAPEVA",#N/A,FALSE,"Nopat";"FCFCSTAR",#N/A,FALSE,"FCFVAL";"EVAVL",#N/A,FALSE,"EVAVAL";"LEASE",#N/A,FALSE,"OpLease"}</definedName>
    <definedName name="yrty" localSheetId="14" hidden="1">{"NOPCAPEVA",#N/A,FALSE,"Nopat";"FCFCSTAR",#N/A,FALSE,"FCFVAL";"EVAVL",#N/A,FALSE,"EVAVAL";"LEASE",#N/A,FALSE,"OpLease"}</definedName>
    <definedName name="yrty" localSheetId="16" hidden="1">{"NOPCAPEVA",#N/A,FALSE,"Nopat";"FCFCSTAR",#N/A,FALSE,"FCFVAL";"EVAVL",#N/A,FALSE,"EVAVAL";"LEASE",#N/A,FALSE,"OpLease"}</definedName>
    <definedName name="yrty" localSheetId="22" hidden="1">{"NOPCAPEVA",#N/A,FALSE,"Nopat";"FCFCSTAR",#N/A,FALSE,"FCFVAL";"EVAVL",#N/A,FALSE,"EVAVAL";"LEASE",#N/A,FALSE,"OpLease"}</definedName>
    <definedName name="yrty" localSheetId="24" hidden="1">{"NOPCAPEVA",#N/A,FALSE,"Nopat";"FCFCSTAR",#N/A,FALSE,"FCFVAL";"EVAVL",#N/A,FALSE,"EVAVAL";"LEASE",#N/A,FALSE,"OpLease"}</definedName>
    <definedName name="yrty" localSheetId="26" hidden="1">{"NOPCAPEVA",#N/A,FALSE,"Nopat";"FCFCSTAR",#N/A,FALSE,"FCFVAL";"EVAVL",#N/A,FALSE,"EVAVAL";"LEASE",#N/A,FALSE,"OpLease"}</definedName>
    <definedName name="yrty" localSheetId="28" hidden="1">{"NOPCAPEVA",#N/A,FALSE,"Nopat";"FCFCSTAR",#N/A,FALSE,"FCFVAL";"EVAVL",#N/A,FALSE,"EVAVAL";"LEASE",#N/A,FALSE,"OpLease"}</definedName>
    <definedName name="yrty" localSheetId="30" hidden="1">{"NOPCAPEVA",#N/A,FALSE,"Nopat";"FCFCSTAR",#N/A,FALSE,"FCFVAL";"EVAVL",#N/A,FALSE,"EVAVAL";"LEASE",#N/A,FALSE,"OpLease"}</definedName>
    <definedName name="yrty" localSheetId="32" hidden="1">{"NOPCAPEVA",#N/A,FALSE,"Nopat";"FCFCSTAR",#N/A,FALSE,"FCFVAL";"EVAVL",#N/A,FALSE,"EVAVAL";"LEASE",#N/A,FALSE,"OpLease"}</definedName>
    <definedName name="yrty" localSheetId="34" hidden="1">{"NOPCAPEVA",#N/A,FALSE,"Nopat";"FCFCSTAR",#N/A,FALSE,"FCFVAL";"EVAVL",#N/A,FALSE,"EVAVAL";"LEASE",#N/A,FALSE,"OpLease"}</definedName>
    <definedName name="yrty" localSheetId="36" hidden="1">{"NOPCAPEVA",#N/A,FALSE,"Nopat";"FCFCSTAR",#N/A,FALSE,"FCFVAL";"EVAVL",#N/A,FALSE,"EVAVAL";"LEASE",#N/A,FALSE,"OpLease"}</definedName>
    <definedName name="yrty" localSheetId="38" hidden="1">{"NOPCAPEVA",#N/A,FALSE,"Nopat";"FCFCSTAR",#N/A,FALSE,"FCFVAL";"EVAVL",#N/A,FALSE,"EVAVAL";"LEASE",#N/A,FALSE,"OpLease"}</definedName>
    <definedName name="yrty" hidden="1">{"NOPCAPEVA",#N/A,FALSE,"Nopat";"FCFCSTAR",#N/A,FALSE,"FCFVAL";"EVAVL",#N/A,FALSE,"EVAVAL";"LEASE",#N/A,FALSE,"OpLease"}</definedName>
    <definedName name="YTD_ENROLL">#REF!</definedName>
    <definedName name="ytr" localSheetId="3" hidden="1">{"AnnInc",#N/A,TRUE,"Inc";"QtrInc1",#N/A,TRUE,"Inc";"Balance",#N/A,TRUE,"Bal";"Cflow",#N/A,TRUE,"Cash"}</definedName>
    <definedName name="ytr" localSheetId="5" hidden="1">{"AnnInc",#N/A,TRUE,"Inc";"QtrInc1",#N/A,TRUE,"Inc";"Balance",#N/A,TRUE,"Bal";"Cflow",#N/A,TRUE,"Cash"}</definedName>
    <definedName name="ytr" localSheetId="8" hidden="1">{"AnnInc",#N/A,TRUE,"Inc";"QtrInc1",#N/A,TRUE,"Inc";"Balance",#N/A,TRUE,"Bal";"Cflow",#N/A,TRUE,"Cash"}</definedName>
    <definedName name="ytr" localSheetId="10" hidden="1">{"AnnInc",#N/A,TRUE,"Inc";"QtrInc1",#N/A,TRUE,"Inc";"Balance",#N/A,TRUE,"Bal";"Cflow",#N/A,TRUE,"Cash"}</definedName>
    <definedName name="ytr" localSheetId="12" hidden="1">{"AnnInc",#N/A,TRUE,"Inc";"QtrInc1",#N/A,TRUE,"Inc";"Balance",#N/A,TRUE,"Bal";"Cflow",#N/A,TRUE,"Cash"}</definedName>
    <definedName name="ytr" localSheetId="14" hidden="1">{"AnnInc",#N/A,TRUE,"Inc";"QtrInc1",#N/A,TRUE,"Inc";"Balance",#N/A,TRUE,"Bal";"Cflow",#N/A,TRUE,"Cash"}</definedName>
    <definedName name="ytr" localSheetId="16" hidden="1">{"AnnInc",#N/A,TRUE,"Inc";"QtrInc1",#N/A,TRUE,"Inc";"Balance",#N/A,TRUE,"Bal";"Cflow",#N/A,TRUE,"Cash"}</definedName>
    <definedName name="ytr" localSheetId="22" hidden="1">{"AnnInc",#N/A,TRUE,"Inc";"QtrInc1",#N/A,TRUE,"Inc";"Balance",#N/A,TRUE,"Bal";"Cflow",#N/A,TRUE,"Cash"}</definedName>
    <definedName name="ytr" localSheetId="24" hidden="1">{"AnnInc",#N/A,TRUE,"Inc";"QtrInc1",#N/A,TRUE,"Inc";"Balance",#N/A,TRUE,"Bal";"Cflow",#N/A,TRUE,"Cash"}</definedName>
    <definedName name="ytr" localSheetId="26" hidden="1">{"AnnInc",#N/A,TRUE,"Inc";"QtrInc1",#N/A,TRUE,"Inc";"Balance",#N/A,TRUE,"Bal";"Cflow",#N/A,TRUE,"Cash"}</definedName>
    <definedName name="ytr" localSheetId="28" hidden="1">{"AnnInc",#N/A,TRUE,"Inc";"QtrInc1",#N/A,TRUE,"Inc";"Balance",#N/A,TRUE,"Bal";"Cflow",#N/A,TRUE,"Cash"}</definedName>
    <definedName name="ytr" localSheetId="30" hidden="1">{"AnnInc",#N/A,TRUE,"Inc";"QtrInc1",#N/A,TRUE,"Inc";"Balance",#N/A,TRUE,"Bal";"Cflow",#N/A,TRUE,"Cash"}</definedName>
    <definedName name="ytr" localSheetId="32" hidden="1">{"AnnInc",#N/A,TRUE,"Inc";"QtrInc1",#N/A,TRUE,"Inc";"Balance",#N/A,TRUE,"Bal";"Cflow",#N/A,TRUE,"Cash"}</definedName>
    <definedName name="ytr" localSheetId="34" hidden="1">{"AnnInc",#N/A,TRUE,"Inc";"QtrInc1",#N/A,TRUE,"Inc";"Balance",#N/A,TRUE,"Bal";"Cflow",#N/A,TRUE,"Cash"}</definedName>
    <definedName name="ytr" localSheetId="36" hidden="1">{"AnnInc",#N/A,TRUE,"Inc";"QtrInc1",#N/A,TRUE,"Inc";"Balance",#N/A,TRUE,"Bal";"Cflow",#N/A,TRUE,"Cash"}</definedName>
    <definedName name="ytr" localSheetId="38" hidden="1">{"AnnInc",#N/A,TRUE,"Inc";"QtrInc1",#N/A,TRUE,"Inc";"Balance",#N/A,TRUE,"Bal";"Cflow",#N/A,TRUE,"Cash"}</definedName>
    <definedName name="ytr" hidden="1">{"AnnInc",#N/A,TRUE,"Inc";"QtrInc1",#N/A,TRUE,"Inc";"Balance",#N/A,TRUE,"Bal";"Cflow",#N/A,TRUE,"Cash"}</definedName>
    <definedName name="yu">#REF!</definedName>
    <definedName name="yuiy" hidden="1">#REF!</definedName>
    <definedName name="yy"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#REF!</definedName>
    <definedName name="yyyyyyyy" hidden="1">#REF!</definedName>
    <definedName name="yyyyyyyyyy"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yyyyy" localSheetId="3"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yyyyy" localSheetId="5"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yyyyy" localSheetId="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yyyyy" localSheetId="1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yyyyy" localSheetId="1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yyyyy" localSheetId="1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yyyyy" localSheetId="1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yyyyy" localSheetId="2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yyyyy" localSheetId="2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yyyyy" localSheetId="2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yyyyy" localSheetId="2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yyyyy" localSheetId="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yyyyy" localSheetId="3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yyyyy" localSheetId="34"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yyyyy" localSheetId="36"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yyyyy" localSheetId="38"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yyyyyyyyyyyyyyyyyyy"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z" localSheetId="3"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z" localSheetId="5"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z" localSheetId="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z" localSheetId="10"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z" localSheetId="1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z" localSheetId="1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z" localSheetId="1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z" localSheetId="2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z" localSheetId="2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z" localSheetId="2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z" localSheetId="2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z" localSheetId="30"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z" localSheetId="32"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z" localSheetId="34"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z" localSheetId="36"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z" localSheetId="38"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z"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Z32_Cost_red">#REF!</definedName>
    <definedName name="Zip">#REF!</definedName>
    <definedName name="zxcv" localSheetId="3" hidden="1">{"NOPCAPEVA",#N/A,FALSE,"Nopat";"FCFCSTAR",#N/A,FALSE,"FCFVAL";"EVAVL",#N/A,FALSE,"EVAVAL";"LEASE",#N/A,FALSE,"OpLease"}</definedName>
    <definedName name="zxcv" localSheetId="5" hidden="1">{"NOPCAPEVA",#N/A,FALSE,"Nopat";"FCFCSTAR",#N/A,FALSE,"FCFVAL";"EVAVL",#N/A,FALSE,"EVAVAL";"LEASE",#N/A,FALSE,"OpLease"}</definedName>
    <definedName name="zxcv" localSheetId="8" hidden="1">{"NOPCAPEVA",#N/A,FALSE,"Nopat";"FCFCSTAR",#N/A,FALSE,"FCFVAL";"EVAVL",#N/A,FALSE,"EVAVAL";"LEASE",#N/A,FALSE,"OpLease"}</definedName>
    <definedName name="zxcv" localSheetId="10" hidden="1">{"NOPCAPEVA",#N/A,FALSE,"Nopat";"FCFCSTAR",#N/A,FALSE,"FCFVAL";"EVAVL",#N/A,FALSE,"EVAVAL";"LEASE",#N/A,FALSE,"OpLease"}</definedName>
    <definedName name="zxcv" localSheetId="12" hidden="1">{"NOPCAPEVA",#N/A,FALSE,"Nopat";"FCFCSTAR",#N/A,FALSE,"FCFVAL";"EVAVL",#N/A,FALSE,"EVAVAL";"LEASE",#N/A,FALSE,"OpLease"}</definedName>
    <definedName name="zxcv" localSheetId="14" hidden="1">{"NOPCAPEVA",#N/A,FALSE,"Nopat";"FCFCSTAR",#N/A,FALSE,"FCFVAL";"EVAVL",#N/A,FALSE,"EVAVAL";"LEASE",#N/A,FALSE,"OpLease"}</definedName>
    <definedName name="zxcv" localSheetId="16" hidden="1">{"NOPCAPEVA",#N/A,FALSE,"Nopat";"FCFCSTAR",#N/A,FALSE,"FCFVAL";"EVAVL",#N/A,FALSE,"EVAVAL";"LEASE",#N/A,FALSE,"OpLease"}</definedName>
    <definedName name="zxcv" localSheetId="22" hidden="1">{"NOPCAPEVA",#N/A,FALSE,"Nopat";"FCFCSTAR",#N/A,FALSE,"FCFVAL";"EVAVL",#N/A,FALSE,"EVAVAL";"LEASE",#N/A,FALSE,"OpLease"}</definedName>
    <definedName name="zxcv" localSheetId="24" hidden="1">{"NOPCAPEVA",#N/A,FALSE,"Nopat";"FCFCSTAR",#N/A,FALSE,"FCFVAL";"EVAVL",#N/A,FALSE,"EVAVAL";"LEASE",#N/A,FALSE,"OpLease"}</definedName>
    <definedName name="zxcv" localSheetId="26" hidden="1">{"NOPCAPEVA",#N/A,FALSE,"Nopat";"FCFCSTAR",#N/A,FALSE,"FCFVAL";"EVAVL",#N/A,FALSE,"EVAVAL";"LEASE",#N/A,FALSE,"OpLease"}</definedName>
    <definedName name="zxcv" localSheetId="28" hidden="1">{"NOPCAPEVA",#N/A,FALSE,"Nopat";"FCFCSTAR",#N/A,FALSE,"FCFVAL";"EVAVL",#N/A,FALSE,"EVAVAL";"LEASE",#N/A,FALSE,"OpLease"}</definedName>
    <definedName name="zxcv" localSheetId="30" hidden="1">{"NOPCAPEVA",#N/A,FALSE,"Nopat";"FCFCSTAR",#N/A,FALSE,"FCFVAL";"EVAVL",#N/A,FALSE,"EVAVAL";"LEASE",#N/A,FALSE,"OpLease"}</definedName>
    <definedName name="zxcv" localSheetId="32" hidden="1">{"NOPCAPEVA",#N/A,FALSE,"Nopat";"FCFCSTAR",#N/A,FALSE,"FCFVAL";"EVAVL",#N/A,FALSE,"EVAVAL";"LEASE",#N/A,FALSE,"OpLease"}</definedName>
    <definedName name="zxcv" localSheetId="34" hidden="1">{"NOPCAPEVA",#N/A,FALSE,"Nopat";"FCFCSTAR",#N/A,FALSE,"FCFVAL";"EVAVL",#N/A,FALSE,"EVAVAL";"LEASE",#N/A,FALSE,"OpLease"}</definedName>
    <definedName name="zxcv" localSheetId="36" hidden="1">{"NOPCAPEVA",#N/A,FALSE,"Nopat";"FCFCSTAR",#N/A,FALSE,"FCFVAL";"EVAVL",#N/A,FALSE,"EVAVAL";"LEASE",#N/A,FALSE,"OpLease"}</definedName>
    <definedName name="zxcv" localSheetId="38" hidden="1">{"NOPCAPEVA",#N/A,FALSE,"Nopat";"FCFCSTAR",#N/A,FALSE,"FCFVAL";"EVAVL",#N/A,FALSE,"EVAVAL";"LEASE",#N/A,FALSE,"OpLease"}</definedName>
    <definedName name="zxcv" hidden="1">{"NOPCAPEVA",#N/A,FALSE,"Nopat";"FCFCSTAR",#N/A,FALSE,"FCFVAL";"EVAVL",#N/A,FALSE,"EVAVAL";"LEASE",#N/A,FALSE,"OpLease"}</definedName>
    <definedName name="zz" localSheetId="3" hidden="1">{"'CE PRC2 98'!$A$1:$P$42"}</definedName>
    <definedName name="zz" localSheetId="5" hidden="1">{"'CE PRC2 98'!$A$1:$P$42"}</definedName>
    <definedName name="zz" localSheetId="8" hidden="1">{"'CE PRC2 98'!$A$1:$P$42"}</definedName>
    <definedName name="zz" localSheetId="10" hidden="1">{"'CE PRC2 98'!$A$1:$P$42"}</definedName>
    <definedName name="zz" localSheetId="12" hidden="1">{"'CE PRC2 98'!$A$1:$P$42"}</definedName>
    <definedName name="zz" localSheetId="14" hidden="1">{"'CE PRC2 98'!$A$1:$P$42"}</definedName>
    <definedName name="zz" localSheetId="16" hidden="1">{"'CE PRC2 98'!$A$1:$P$42"}</definedName>
    <definedName name="zz" localSheetId="22" hidden="1">{"'CE PRC2 98'!$A$1:$P$42"}</definedName>
    <definedName name="zz" localSheetId="24" hidden="1">{"'CE PRC2 98'!$A$1:$P$42"}</definedName>
    <definedName name="zz" localSheetId="26" hidden="1">{"'CE PRC2 98'!$A$1:$P$42"}</definedName>
    <definedName name="zz" localSheetId="28" hidden="1">{"'CE PRC2 98'!$A$1:$P$42"}</definedName>
    <definedName name="zz" localSheetId="30" hidden="1">{"'CE PRC2 98'!$A$1:$P$42"}</definedName>
    <definedName name="zz" localSheetId="32" hidden="1">{"'CE PRC2 98'!$A$1:$P$42"}</definedName>
    <definedName name="zz" localSheetId="34" hidden="1">{"'CE PRC2 98'!$A$1:$P$42"}</definedName>
    <definedName name="zz" localSheetId="36" hidden="1">{"'CE PRC2 98'!$A$1:$P$42"}</definedName>
    <definedName name="zz" localSheetId="38" hidden="1">{"'CE PRC2 98'!$A$1:$P$42"}</definedName>
    <definedName name="zz" hidden="1">{"'CE PRC2 98'!$A$1:$P$42"}</definedName>
    <definedName name="zzz">#REF!</definedName>
    <definedName name="上海创信">#REF!</definedName>
    <definedName name="上海宏華">#REF!</definedName>
    <definedName name="上海興德">#REF!</definedName>
    <definedName name="专用领料">#REF!</definedName>
    <definedName name="丰益投資">#REF!</definedName>
    <definedName name="仓库调拨序时簿">#REF!</definedName>
    <definedName name="公用领料">#REF!</definedName>
    <definedName name="其他出库序时簿">#REF!</definedName>
    <definedName name="利润表">#REF!</definedName>
    <definedName name="北京品盛">#REF!</definedName>
    <definedName name="嘉安">#REF!</definedName>
    <definedName name="嘉興宝华">#REF!</definedName>
    <definedName name="固定资产清单">#REF!</definedName>
    <definedName name="国研">#REF!</definedName>
    <definedName name="存货收发存汇总表">#REF!</definedName>
    <definedName name="存货结存">#REF!</definedName>
    <definedName name="宝华投資">#REF!</definedName>
    <definedName name="幸福保險">#REF!</definedName>
    <definedName name="总分类帐">#REF!</definedName>
    <definedName name="总分类账">#REF!</definedName>
    <definedName name="报表">#REF!</definedName>
    <definedName name="明细账">#REF!</definedName>
    <definedName name="物料___05_成品____01_干荷蓄电">#REF!</definedName>
    <definedName name="生产领料">#REF!</definedName>
    <definedName name="生产领料序时簿">#REF!</definedName>
    <definedName name="盛信">#REF!</definedName>
    <definedName name="科目余额表">#REF!</definedName>
    <definedName name="统一费用">#REF!</definedName>
    <definedName name="资产负债表">#REF!</definedName>
    <definedName name="销售出库序时簿">#REF!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J6" i="87" l="1"/>
  <c r="CJ13" i="87"/>
  <c r="CJ14" i="87"/>
  <c r="CJ15" i="87"/>
  <c r="CJ16" i="87"/>
  <c r="CJ19" i="87"/>
  <c r="CJ9" i="87"/>
  <c r="CJ7" i="87"/>
  <c r="CJ8" i="87"/>
  <c r="CH7" i="87"/>
  <c r="CH8" i="87"/>
  <c r="CH9" i="87"/>
  <c r="CH10" i="87"/>
  <c r="CH11" i="87"/>
  <c r="CH12" i="87"/>
  <c r="CH13" i="87"/>
  <c r="CH14" i="87"/>
  <c r="CH15" i="87"/>
  <c r="CH16" i="87"/>
  <c r="CH17" i="87"/>
  <c r="CH18" i="87"/>
  <c r="CH19" i="87"/>
  <c r="CH20" i="87"/>
  <c r="CH21" i="87"/>
  <c r="CH22" i="87"/>
  <c r="CH23" i="87"/>
  <c r="CH24" i="87"/>
  <c r="CH6" i="87"/>
  <c r="U68" i="115" l="1"/>
  <c r="U66" i="115"/>
  <c r="U64" i="115"/>
  <c r="U63" i="115"/>
  <c r="U62" i="115"/>
  <c r="U61" i="115"/>
  <c r="U60" i="115"/>
  <c r="U59" i="115"/>
  <c r="U58" i="115"/>
  <c r="U57" i="115"/>
  <c r="U56" i="115"/>
  <c r="U55" i="115"/>
  <c r="U54" i="115"/>
  <c r="U53" i="115"/>
  <c r="U52" i="115"/>
  <c r="U51" i="115"/>
  <c r="U50" i="115"/>
  <c r="U49" i="115"/>
  <c r="U48" i="115"/>
  <c r="U47" i="115"/>
  <c r="U46" i="115"/>
  <c r="U45" i="115"/>
  <c r="U44" i="115"/>
  <c r="U43" i="115"/>
  <c r="U42" i="115"/>
  <c r="U41" i="115"/>
  <c r="U40" i="115"/>
  <c r="U39" i="115"/>
  <c r="U38" i="115"/>
  <c r="U37" i="115"/>
  <c r="U36" i="115"/>
  <c r="U35" i="115"/>
  <c r="U34" i="115"/>
  <c r="U33" i="115"/>
  <c r="U32" i="115"/>
  <c r="X32" i="115"/>
  <c r="C10" i="88" l="1"/>
  <c r="T6" i="87" l="1"/>
  <c r="O6" i="87"/>
  <c r="J6" i="87"/>
  <c r="E6" i="87"/>
  <c r="Z19" i="87" l="1"/>
  <c r="Z14" i="87"/>
  <c r="Z12" i="87"/>
  <c r="Z10" i="87"/>
  <c r="Z8" i="87"/>
  <c r="T8" i="87"/>
  <c r="O8" i="87"/>
  <c r="J8" i="87"/>
  <c r="E8" i="87"/>
  <c r="D104" i="10"/>
  <c r="D105" i="10" s="1"/>
  <c r="D106" i="10" s="1"/>
  <c r="D103" i="10"/>
  <c r="D102" i="10"/>
  <c r="C106" i="10"/>
  <c r="C105" i="10"/>
  <c r="C103" i="10"/>
  <c r="B103" i="10"/>
  <c r="B104" i="10" s="1"/>
  <c r="B105" i="10" s="1"/>
  <c r="B106" i="10" s="1"/>
  <c r="AZ6" i="68"/>
  <c r="AI46" i="68" l="1"/>
  <c r="AI57" i="68"/>
  <c r="AI53" i="68"/>
  <c r="AI60" i="68"/>
  <c r="AI47" i="68"/>
  <c r="AI58" i="68"/>
  <c r="AI54" i="68"/>
  <c r="AI48" i="68"/>
  <c r="AI56" i="68"/>
  <c r="I22" i="1" l="1"/>
  <c r="B3" i="33"/>
  <c r="U38" i="135"/>
  <c r="U36" i="135"/>
  <c r="U35" i="135"/>
  <c r="U34" i="135"/>
  <c r="U33" i="135"/>
  <c r="U32" i="135"/>
  <c r="L38" i="135"/>
  <c r="L36" i="135"/>
  <c r="L35" i="135"/>
  <c r="L34" i="135"/>
  <c r="L33" i="135"/>
  <c r="L32" i="135"/>
  <c r="M36" i="135"/>
  <c r="V36" i="135" s="1"/>
  <c r="X36" i="135" s="1"/>
  <c r="Y36" i="135" s="1"/>
  <c r="M35" i="135"/>
  <c r="V35" i="135" s="1"/>
  <c r="T36" i="135"/>
  <c r="T35" i="135"/>
  <c r="T32" i="135"/>
  <c r="K32" i="135"/>
  <c r="K38" i="135"/>
  <c r="J36" i="135"/>
  <c r="E14" i="135"/>
  <c r="E12" i="135"/>
  <c r="E16" i="135" s="1"/>
  <c r="E11" i="135"/>
  <c r="W41" i="135"/>
  <c r="T41" i="135"/>
  <c r="N41" i="135"/>
  <c r="K41" i="135"/>
  <c r="W40" i="135"/>
  <c r="V40" i="135"/>
  <c r="T40" i="135"/>
  <c r="N40" i="135"/>
  <c r="M40" i="135"/>
  <c r="K40" i="135"/>
  <c r="W38" i="135"/>
  <c r="T38" i="135"/>
  <c r="N38" i="135"/>
  <c r="O36" i="135"/>
  <c r="P36" i="135" s="1"/>
  <c r="J35" i="135"/>
  <c r="X34" i="135"/>
  <c r="O34" i="135"/>
  <c r="P34" i="135" s="1"/>
  <c r="X33" i="135"/>
  <c r="O33" i="135"/>
  <c r="P33" i="135" s="1"/>
  <c r="X32" i="135"/>
  <c r="X40" i="135" s="1"/>
  <c r="O32" i="135"/>
  <c r="P32" i="135" s="1"/>
  <c r="V38" i="135" l="1"/>
  <c r="V41" i="135"/>
  <c r="X35" i="135"/>
  <c r="X38" i="135" s="1"/>
  <c r="Y38" i="135" s="1"/>
  <c r="O35" i="135"/>
  <c r="P35" i="135" s="1"/>
  <c r="M41" i="135"/>
  <c r="M38" i="135"/>
  <c r="X41" i="135"/>
  <c r="Y41" i="135" s="1"/>
  <c r="AB34" i="135"/>
  <c r="O40" i="135"/>
  <c r="P40" i="135" s="1"/>
  <c r="AA36" i="135"/>
  <c r="AB36" i="135"/>
  <c r="O41" i="135"/>
  <c r="P41" i="135" s="1"/>
  <c r="AB35" i="135"/>
  <c r="AB33" i="135"/>
  <c r="Y40" i="135"/>
  <c r="E13" i="135"/>
  <c r="E17" i="135"/>
  <c r="Y32" i="135"/>
  <c r="AA32" i="135"/>
  <c r="AB32" i="135"/>
  <c r="Y34" i="135"/>
  <c r="AA34" i="135"/>
  <c r="O38" i="135"/>
  <c r="P38" i="135" s="1"/>
  <c r="Y35" i="135"/>
  <c r="Y33" i="135"/>
  <c r="AA33" i="135"/>
  <c r="AA35" i="135" l="1"/>
  <c r="AA41" i="135"/>
  <c r="AB41" i="135"/>
  <c r="AB40" i="135"/>
  <c r="AA40" i="135"/>
  <c r="AA38" i="135"/>
  <c r="AB38" i="135"/>
  <c r="AB32" i="115" l="1"/>
  <c r="U33" i="114" l="1"/>
  <c r="U34" i="114"/>
  <c r="U35" i="114"/>
  <c r="U36" i="114"/>
  <c r="U37" i="114"/>
  <c r="U38" i="114"/>
  <c r="U39" i="114"/>
  <c r="U40" i="114"/>
  <c r="U32" i="114"/>
  <c r="U33" i="113"/>
  <c r="U34" i="113"/>
  <c r="U35" i="113"/>
  <c r="U36" i="113"/>
  <c r="U37" i="113"/>
  <c r="U38" i="113"/>
  <c r="U39" i="113"/>
  <c r="U40" i="113"/>
  <c r="U41" i="113"/>
  <c r="U42" i="113"/>
  <c r="U43" i="113"/>
  <c r="U44" i="113"/>
  <c r="U45" i="113"/>
  <c r="U46" i="113"/>
  <c r="U47" i="113"/>
  <c r="U48" i="113"/>
  <c r="U49" i="113"/>
  <c r="U50" i="113"/>
  <c r="U51" i="113"/>
  <c r="U32" i="113"/>
  <c r="AL56" i="113" l="1"/>
  <c r="AM56" i="113"/>
  <c r="AM55" i="113"/>
  <c r="AL55" i="113"/>
  <c r="AL45" i="114"/>
  <c r="AM45" i="114"/>
  <c r="AM44" i="114"/>
  <c r="AL44" i="114"/>
  <c r="AG56" i="113"/>
  <c r="AF56" i="113"/>
  <c r="AE56" i="113"/>
  <c r="AC56" i="113"/>
  <c r="AG55" i="113"/>
  <c r="AF55" i="113"/>
  <c r="AE55" i="113"/>
  <c r="AC55" i="113"/>
  <c r="J41" i="113"/>
  <c r="J39" i="113"/>
  <c r="J35" i="113"/>
  <c r="AF53" i="113"/>
  <c r="AE53" i="113"/>
  <c r="AC53" i="113"/>
  <c r="AL33" i="113"/>
  <c r="AM33" i="113"/>
  <c r="AL34" i="113"/>
  <c r="AM34" i="113"/>
  <c r="AL35" i="113"/>
  <c r="AM35" i="113"/>
  <c r="AL37" i="113"/>
  <c r="AM37" i="113"/>
  <c r="AL40" i="113"/>
  <c r="AM40" i="113"/>
  <c r="AL41" i="113"/>
  <c r="AM41" i="113"/>
  <c r="AL42" i="113"/>
  <c r="AM42" i="113"/>
  <c r="AL43" i="113"/>
  <c r="AM43" i="113"/>
  <c r="AL44" i="113"/>
  <c r="AM44" i="113"/>
  <c r="AL46" i="113"/>
  <c r="AM46" i="113"/>
  <c r="AL48" i="113"/>
  <c r="AM48" i="113"/>
  <c r="AM49" i="113"/>
  <c r="AM32" i="113"/>
  <c r="AL32" i="113"/>
  <c r="AH49" i="113"/>
  <c r="AH46" i="113"/>
  <c r="AH45" i="113"/>
  <c r="AH44" i="113"/>
  <c r="AH43" i="113"/>
  <c r="AH42" i="113"/>
  <c r="AH41" i="113"/>
  <c r="AH40" i="113"/>
  <c r="AH35" i="113"/>
  <c r="AH34" i="113"/>
  <c r="AH33" i="113"/>
  <c r="AG51" i="113"/>
  <c r="AL51" i="113" s="1"/>
  <c r="AG50" i="113"/>
  <c r="AL50" i="113" s="1"/>
  <c r="AG49" i="113"/>
  <c r="AL49" i="113" s="1"/>
  <c r="AG48" i="113"/>
  <c r="AH48" i="113" s="1"/>
  <c r="AG47" i="113"/>
  <c r="AM47" i="113" s="1"/>
  <c r="AG46" i="113"/>
  <c r="AG45" i="113"/>
  <c r="AM45" i="113" s="1"/>
  <c r="AG44" i="113"/>
  <c r="AG43" i="113"/>
  <c r="AG42" i="113"/>
  <c r="AG41" i="113"/>
  <c r="AG40" i="113"/>
  <c r="AG39" i="113"/>
  <c r="AL39" i="113" s="1"/>
  <c r="AG38" i="113"/>
  <c r="AG37" i="113"/>
  <c r="AH37" i="113" s="1"/>
  <c r="AG36" i="113"/>
  <c r="AH36" i="113" s="1"/>
  <c r="AG35" i="113"/>
  <c r="AG34" i="113"/>
  <c r="AG33" i="113"/>
  <c r="AG32" i="113"/>
  <c r="AH32" i="113" s="1"/>
  <c r="AF45" i="114"/>
  <c r="AG45" i="114"/>
  <c r="AF44" i="114"/>
  <c r="AG44" i="114"/>
  <c r="AE45" i="114"/>
  <c r="AE44" i="114"/>
  <c r="AC45" i="114"/>
  <c r="AC44" i="114"/>
  <c r="AL40" i="114"/>
  <c r="AM42" i="114"/>
  <c r="AG42" i="114"/>
  <c r="AF42" i="114"/>
  <c r="AE42" i="114"/>
  <c r="AC42" i="114"/>
  <c r="AH42" i="114" s="1"/>
  <c r="AL42" i="114"/>
  <c r="AG40" i="114"/>
  <c r="AG39" i="114"/>
  <c r="AH39" i="114" s="1"/>
  <c r="AG38" i="114"/>
  <c r="AG37" i="114"/>
  <c r="AH37" i="114" s="1"/>
  <c r="AG36" i="114"/>
  <c r="AH36" i="114" s="1"/>
  <c r="AG35" i="114"/>
  <c r="AG34" i="114"/>
  <c r="AG33" i="114"/>
  <c r="AG32" i="114"/>
  <c r="AH34" i="114"/>
  <c r="AL34" i="114"/>
  <c r="AM34" i="114"/>
  <c r="AH35" i="114"/>
  <c r="AL35" i="114"/>
  <c r="AM35" i="114"/>
  <c r="AL38" i="114"/>
  <c r="AH38" i="114"/>
  <c r="AM38" i="114"/>
  <c r="AM39" i="114"/>
  <c r="AM33" i="114"/>
  <c r="AM32" i="114"/>
  <c r="AH55" i="113" l="1"/>
  <c r="AH56" i="113"/>
  <c r="AM51" i="113"/>
  <c r="AH51" i="113"/>
  <c r="AH47" i="113"/>
  <c r="AL47" i="113"/>
  <c r="AL45" i="113"/>
  <c r="AG53" i="113"/>
  <c r="AM53" i="113" s="1"/>
  <c r="AM36" i="113"/>
  <c r="AL36" i="113"/>
  <c r="AH50" i="113"/>
  <c r="AM50" i="113"/>
  <c r="AM39" i="113"/>
  <c r="AH39" i="113"/>
  <c r="AH38" i="113"/>
  <c r="AM38" i="113"/>
  <c r="AL38" i="113"/>
  <c r="AH44" i="114"/>
  <c r="AH45" i="114"/>
  <c r="AL39" i="114"/>
  <c r="AL37" i="114"/>
  <c r="AM36" i="114"/>
  <c r="AL36" i="114"/>
  <c r="AL32" i="114"/>
  <c r="AL33" i="114"/>
  <c r="AH40" i="114"/>
  <c r="AM37" i="114"/>
  <c r="AH33" i="114"/>
  <c r="AH32" i="114"/>
  <c r="AH53" i="113" l="1"/>
  <c r="AL53" i="113"/>
  <c r="AB12" i="1" l="1"/>
  <c r="I12" i="1"/>
  <c r="C3" i="14"/>
  <c r="C3" i="85"/>
  <c r="E12" i="132"/>
  <c r="E14" i="132"/>
  <c r="J72" i="132"/>
  <c r="J71" i="132"/>
  <c r="J70" i="132"/>
  <c r="J68" i="132"/>
  <c r="W53" i="132"/>
  <c r="V53" i="132"/>
  <c r="T53" i="132"/>
  <c r="O53" i="132"/>
  <c r="P53" i="132" s="1"/>
  <c r="N53" i="132"/>
  <c r="M53" i="132"/>
  <c r="K53" i="132"/>
  <c r="W52" i="132"/>
  <c r="V52" i="132"/>
  <c r="T52" i="132"/>
  <c r="N52" i="132"/>
  <c r="M52" i="132"/>
  <c r="K52" i="132"/>
  <c r="W50" i="132"/>
  <c r="E2" i="132" s="1"/>
  <c r="V50" i="132"/>
  <c r="T50" i="132"/>
  <c r="N50" i="132"/>
  <c r="M50" i="132"/>
  <c r="K50" i="132"/>
  <c r="AB48" i="132"/>
  <c r="AA48" i="132"/>
  <c r="X48" i="132"/>
  <c r="Y48" i="132" s="1"/>
  <c r="O48" i="132"/>
  <c r="P48" i="132" s="1"/>
  <c r="X47" i="132"/>
  <c r="AB47" i="132" s="1"/>
  <c r="O47" i="132"/>
  <c r="P47" i="132" s="1"/>
  <c r="X46" i="132"/>
  <c r="AB46" i="132" s="1"/>
  <c r="O46" i="132"/>
  <c r="P46" i="132" s="1"/>
  <c r="X45" i="132"/>
  <c r="Y45" i="132" s="1"/>
  <c r="O45" i="132"/>
  <c r="P45" i="132" s="1"/>
  <c r="J45" i="132"/>
  <c r="X44" i="132"/>
  <c r="AB44" i="132" s="1"/>
  <c r="P44" i="132"/>
  <c r="O44" i="132"/>
  <c r="J44" i="132"/>
  <c r="X43" i="132"/>
  <c r="AB43" i="132" s="1"/>
  <c r="O43" i="132"/>
  <c r="P43" i="132" s="1"/>
  <c r="J43" i="132"/>
  <c r="X42" i="132"/>
  <c r="X53" i="132" s="1"/>
  <c r="P42" i="132"/>
  <c r="O42" i="132"/>
  <c r="X41" i="132"/>
  <c r="AB41" i="132" s="1"/>
  <c r="O41" i="132"/>
  <c r="P41" i="132" s="1"/>
  <c r="J41" i="132"/>
  <c r="X40" i="132"/>
  <c r="Y40" i="132" s="1"/>
  <c r="O40" i="132"/>
  <c r="P40" i="132" s="1"/>
  <c r="X39" i="132"/>
  <c r="AB39" i="132" s="1"/>
  <c r="O39" i="132"/>
  <c r="P39" i="132" s="1"/>
  <c r="X38" i="132"/>
  <c r="AB38" i="132" s="1"/>
  <c r="O38" i="132"/>
  <c r="P38" i="132" s="1"/>
  <c r="AB37" i="132"/>
  <c r="AA37" i="132"/>
  <c r="X37" i="132"/>
  <c r="Y37" i="132" s="1"/>
  <c r="O37" i="132"/>
  <c r="P37" i="132" s="1"/>
  <c r="X36" i="132"/>
  <c r="AB36" i="132" s="1"/>
  <c r="O36" i="132"/>
  <c r="P36" i="132" s="1"/>
  <c r="X35" i="132"/>
  <c r="AB35" i="132" s="1"/>
  <c r="O35" i="132"/>
  <c r="P35" i="132" s="1"/>
  <c r="X34" i="132"/>
  <c r="AB34" i="132" s="1"/>
  <c r="O34" i="132"/>
  <c r="P34" i="132" s="1"/>
  <c r="X33" i="132"/>
  <c r="X52" i="132" s="1"/>
  <c r="O33" i="132"/>
  <c r="O52" i="132" s="1"/>
  <c r="P52" i="132" s="1"/>
  <c r="X32" i="132"/>
  <c r="AB32" i="132" s="1"/>
  <c r="O32" i="132"/>
  <c r="P32" i="132" s="1"/>
  <c r="E17" i="132"/>
  <c r="E16" i="132"/>
  <c r="E11" i="132"/>
  <c r="T24" i="1"/>
  <c r="I24" i="1"/>
  <c r="I21" i="1"/>
  <c r="I23" i="1"/>
  <c r="E10" i="131"/>
  <c r="E12" i="131"/>
  <c r="E16" i="131" s="1"/>
  <c r="E14" i="131"/>
  <c r="E15" i="131"/>
  <c r="X38" i="131"/>
  <c r="AA38" i="131" s="1"/>
  <c r="W38" i="131"/>
  <c r="V38" i="131"/>
  <c r="T38" i="131"/>
  <c r="O38" i="131"/>
  <c r="N38" i="131"/>
  <c r="M38" i="131"/>
  <c r="K38" i="131"/>
  <c r="W37" i="131"/>
  <c r="V37" i="131"/>
  <c r="T37" i="131"/>
  <c r="O37" i="131"/>
  <c r="N37" i="131"/>
  <c r="M37" i="131"/>
  <c r="K37" i="131"/>
  <c r="W35" i="131"/>
  <c r="V35" i="131"/>
  <c r="T35" i="131"/>
  <c r="O35" i="131"/>
  <c r="N35" i="131"/>
  <c r="M35" i="131"/>
  <c r="K35" i="131"/>
  <c r="X33" i="131"/>
  <c r="X35" i="131" s="1"/>
  <c r="X32" i="131"/>
  <c r="Y32" i="131" s="1"/>
  <c r="E2" i="131"/>
  <c r="AB8" i="1"/>
  <c r="U23" i="1"/>
  <c r="T23" i="1"/>
  <c r="T13" i="1"/>
  <c r="I18" i="1"/>
  <c r="E19" i="130"/>
  <c r="E15" i="130"/>
  <c r="E14" i="130"/>
  <c r="E17" i="130"/>
  <c r="E12" i="130"/>
  <c r="E11" i="130"/>
  <c r="C3" i="82"/>
  <c r="X47" i="130"/>
  <c r="AA47" i="130" s="1"/>
  <c r="W47" i="130"/>
  <c r="V47" i="130"/>
  <c r="T47" i="130"/>
  <c r="O47" i="130"/>
  <c r="N47" i="130"/>
  <c r="M47" i="130"/>
  <c r="K47" i="130"/>
  <c r="W46" i="130"/>
  <c r="V46" i="130"/>
  <c r="O46" i="130"/>
  <c r="N46" i="130"/>
  <c r="M46" i="130"/>
  <c r="K46" i="130"/>
  <c r="W44" i="130"/>
  <c r="V44" i="130"/>
  <c r="O44" i="130"/>
  <c r="N44" i="130"/>
  <c r="M44" i="130"/>
  <c r="K44" i="130"/>
  <c r="Y42" i="130"/>
  <c r="X42" i="130"/>
  <c r="T42" i="130"/>
  <c r="X41" i="130"/>
  <c r="Y41" i="130" s="1"/>
  <c r="T41" i="130"/>
  <c r="X40" i="130"/>
  <c r="Y40" i="130" s="1"/>
  <c r="T40" i="130"/>
  <c r="X39" i="130"/>
  <c r="Y39" i="130" s="1"/>
  <c r="T39" i="130"/>
  <c r="X38" i="130"/>
  <c r="Y38" i="130" s="1"/>
  <c r="T38" i="130"/>
  <c r="T46" i="130" s="1"/>
  <c r="X37" i="130"/>
  <c r="Y37" i="130" s="1"/>
  <c r="T37" i="130"/>
  <c r="X36" i="130"/>
  <c r="Y36" i="130" s="1"/>
  <c r="T36" i="130"/>
  <c r="X35" i="130"/>
  <c r="Y35" i="130" s="1"/>
  <c r="T35" i="130"/>
  <c r="X34" i="130"/>
  <c r="Y34" i="130" s="1"/>
  <c r="T34" i="130"/>
  <c r="T44" i="130" s="1"/>
  <c r="X33" i="130"/>
  <c r="X44" i="130" s="1"/>
  <c r="Y44" i="130" s="1"/>
  <c r="E4" i="130" s="1"/>
  <c r="T33" i="130"/>
  <c r="X32" i="130"/>
  <c r="Y32" i="130" s="1"/>
  <c r="T32" i="130"/>
  <c r="E16" i="130"/>
  <c r="E2" i="130"/>
  <c r="U7" i="1"/>
  <c r="T7" i="1"/>
  <c r="AB7" i="1"/>
  <c r="I7" i="1"/>
  <c r="E12" i="129"/>
  <c r="E16" i="129"/>
  <c r="E14" i="129"/>
  <c r="E15" i="129"/>
  <c r="E19" i="129"/>
  <c r="C3" i="7"/>
  <c r="W47" i="129"/>
  <c r="V47" i="129"/>
  <c r="T47" i="129"/>
  <c r="N47" i="129"/>
  <c r="M47" i="129"/>
  <c r="K47" i="129"/>
  <c r="W46" i="129"/>
  <c r="V46" i="129"/>
  <c r="T46" i="129"/>
  <c r="N46" i="129"/>
  <c r="M46" i="129"/>
  <c r="K46" i="129"/>
  <c r="W44" i="129"/>
  <c r="V44" i="129"/>
  <c r="T44" i="129"/>
  <c r="N44" i="129"/>
  <c r="M44" i="129"/>
  <c r="K44" i="129"/>
  <c r="X42" i="129"/>
  <c r="X46" i="129" s="1"/>
  <c r="O42" i="129"/>
  <c r="P42" i="129" s="1"/>
  <c r="X41" i="129"/>
  <c r="AB41" i="129" s="1"/>
  <c r="P41" i="129"/>
  <c r="O41" i="129"/>
  <c r="X40" i="129"/>
  <c r="AB40" i="129" s="1"/>
  <c r="O40" i="129"/>
  <c r="P40" i="129" s="1"/>
  <c r="AB39" i="129"/>
  <c r="AA39" i="129"/>
  <c r="X39" i="129"/>
  <c r="Y39" i="129" s="1"/>
  <c r="O39" i="129"/>
  <c r="P39" i="129" s="1"/>
  <c r="X38" i="129"/>
  <c r="AA38" i="129" s="1"/>
  <c r="O38" i="129"/>
  <c r="AB38" i="129" s="1"/>
  <c r="X37" i="129"/>
  <c r="AA37" i="129" s="1"/>
  <c r="O37" i="129"/>
  <c r="P37" i="129" s="1"/>
  <c r="Y36" i="129"/>
  <c r="X36" i="129"/>
  <c r="O36" i="129"/>
  <c r="AB36" i="129" s="1"/>
  <c r="X35" i="129"/>
  <c r="AB35" i="129" s="1"/>
  <c r="O35" i="129"/>
  <c r="P35" i="129" s="1"/>
  <c r="X34" i="129"/>
  <c r="AB34" i="129" s="1"/>
  <c r="O34" i="129"/>
  <c r="P34" i="129" s="1"/>
  <c r="X33" i="129"/>
  <c r="X47" i="129" s="1"/>
  <c r="O33" i="129"/>
  <c r="P33" i="129" s="1"/>
  <c r="AB32" i="129"/>
  <c r="X32" i="129"/>
  <c r="AA32" i="129" s="1"/>
  <c r="O32" i="129"/>
  <c r="P32" i="129" s="1"/>
  <c r="E11" i="129"/>
  <c r="E8" i="129"/>
  <c r="E2" i="129"/>
  <c r="AB53" i="132" l="1"/>
  <c r="AA53" i="132"/>
  <c r="Y53" i="132"/>
  <c r="AB52" i="132"/>
  <c r="AA52" i="132"/>
  <c r="Y52" i="132"/>
  <c r="E13" i="132"/>
  <c r="Y46" i="132"/>
  <c r="AA35" i="132"/>
  <c r="Y42" i="132"/>
  <c r="Y44" i="132"/>
  <c r="AA46" i="132"/>
  <c r="Y33" i="132"/>
  <c r="AA42" i="132"/>
  <c r="AA33" i="132"/>
  <c r="AA40" i="132"/>
  <c r="AB42" i="132"/>
  <c r="AB33" i="132"/>
  <c r="Y38" i="132"/>
  <c r="AB40" i="132"/>
  <c r="O50" i="132"/>
  <c r="P50" i="132" s="1"/>
  <c r="AA38" i="132"/>
  <c r="Y36" i="132"/>
  <c r="AA36" i="132"/>
  <c r="AA47" i="132"/>
  <c r="Y34" i="132"/>
  <c r="AA34" i="132"/>
  <c r="Y41" i="132"/>
  <c r="AA43" i="132"/>
  <c r="AA45" i="132"/>
  <c r="AA41" i="132"/>
  <c r="AB45" i="132"/>
  <c r="AA32" i="132"/>
  <c r="AA39" i="132"/>
  <c r="P33" i="132"/>
  <c r="Y35" i="132"/>
  <c r="AA44" i="132"/>
  <c r="Y47" i="132"/>
  <c r="Y43" i="132"/>
  <c r="X50" i="132"/>
  <c r="Y32" i="132"/>
  <c r="Y39" i="132"/>
  <c r="E18" i="131"/>
  <c r="E13" i="131"/>
  <c r="E17" i="131"/>
  <c r="AA35" i="131"/>
  <c r="Y35" i="131"/>
  <c r="Y33" i="131"/>
  <c r="X37" i="131"/>
  <c r="E18" i="130"/>
  <c r="Y33" i="130"/>
  <c r="E13" i="130"/>
  <c r="X46" i="130"/>
  <c r="Y46" i="130" s="1"/>
  <c r="E18" i="129"/>
  <c r="Y46" i="129"/>
  <c r="AB47" i="129"/>
  <c r="AA47" i="129"/>
  <c r="Y47" i="129"/>
  <c r="X44" i="129"/>
  <c r="Y37" i="129"/>
  <c r="E13" i="129"/>
  <c r="Y35" i="129"/>
  <c r="AB37" i="129"/>
  <c r="Y42" i="129"/>
  <c r="Y33" i="129"/>
  <c r="AA35" i="129"/>
  <c r="AA42" i="129"/>
  <c r="AA33" i="129"/>
  <c r="P38" i="129"/>
  <c r="Y40" i="129"/>
  <c r="AB42" i="129"/>
  <c r="O47" i="129"/>
  <c r="P47" i="129" s="1"/>
  <c r="E17" i="129"/>
  <c r="AB33" i="129"/>
  <c r="AA40" i="129"/>
  <c r="P36" i="129"/>
  <c r="Y38" i="129"/>
  <c r="O46" i="129"/>
  <c r="P46" i="129" s="1"/>
  <c r="O44" i="129"/>
  <c r="P44" i="129" s="1"/>
  <c r="Y34" i="129"/>
  <c r="AA36" i="129"/>
  <c r="AA34" i="129"/>
  <c r="Y41" i="129"/>
  <c r="Y32" i="129"/>
  <c r="AA41" i="129"/>
  <c r="AB50" i="132" l="1"/>
  <c r="Y50" i="132"/>
  <c r="E4" i="132" s="1"/>
  <c r="AA50" i="132"/>
  <c r="AA37" i="131"/>
  <c r="Y37" i="131"/>
  <c r="E4" i="131" s="1"/>
  <c r="AA44" i="129"/>
  <c r="AB44" i="129"/>
  <c r="Y44" i="129"/>
  <c r="AA46" i="129"/>
  <c r="AB46" i="129"/>
  <c r="V3" i="68" l="1"/>
  <c r="W3" i="68" s="1"/>
  <c r="X3" i="68" s="1"/>
  <c r="Y3" i="68" s="1"/>
  <c r="Z3" i="68" s="1"/>
  <c r="AA3" i="68" s="1"/>
  <c r="AB3" i="68" s="1"/>
  <c r="AC3" i="68" s="1"/>
  <c r="AD3" i="68" s="1"/>
  <c r="AE3" i="68" s="1"/>
  <c r="AF3" i="68" s="1"/>
  <c r="AG3" i="68" s="1"/>
  <c r="AH3" i="68" s="1"/>
  <c r="AI3" i="68" s="1"/>
  <c r="AJ3" i="68" s="1"/>
  <c r="AK3" i="68" s="1"/>
  <c r="AL3" i="68" s="1"/>
  <c r="AM3" i="68" s="1"/>
  <c r="AN3" i="68" s="1"/>
  <c r="AO3" i="68" s="1"/>
  <c r="AP3" i="68" s="1"/>
  <c r="AQ3" i="68" s="1"/>
  <c r="AR3" i="68" s="1"/>
  <c r="AS3" i="68" s="1"/>
  <c r="AT3" i="68" s="1"/>
  <c r="AU3" i="68" s="1"/>
  <c r="AV3" i="68" s="1"/>
  <c r="AW3" i="68" s="1"/>
  <c r="AX3" i="68" s="1"/>
  <c r="BM37" i="87" l="1"/>
  <c r="BL37" i="87"/>
  <c r="BK37" i="87" l="1"/>
  <c r="BO37" i="87"/>
  <c r="BP37" i="87" l="1"/>
  <c r="AH60" i="68" l="1"/>
  <c r="CJ24" i="87" s="1"/>
  <c r="AH59" i="68"/>
  <c r="CJ23" i="87" s="1"/>
  <c r="AH58" i="68"/>
  <c r="CJ22" i="87" s="1"/>
  <c r="AH57" i="68"/>
  <c r="CJ21" i="87" s="1"/>
  <c r="AH56" i="68"/>
  <c r="CJ20" i="87" s="1"/>
  <c r="AH54" i="68" l="1"/>
  <c r="CJ18" i="87" s="1"/>
  <c r="AH53" i="68"/>
  <c r="CJ17" i="87" s="1"/>
  <c r="AH48" i="68"/>
  <c r="CJ12" i="87" s="1"/>
  <c r="AH47" i="68"/>
  <c r="CJ11" i="87" s="1"/>
  <c r="AH46" i="68"/>
  <c r="CJ10" i="87" s="1"/>
  <c r="AH6" i="68"/>
  <c r="U25" i="1"/>
  <c r="F24" i="68" s="1"/>
  <c r="P25" i="1"/>
  <c r="J25" i="1"/>
  <c r="R25" i="1" l="1"/>
  <c r="AD24" i="87"/>
  <c r="CI24" i="87" s="1"/>
  <c r="CK24" i="87" s="1"/>
  <c r="T25" i="1"/>
  <c r="S25" i="1"/>
  <c r="AC18" i="1" l="1"/>
  <c r="AB18" i="1"/>
  <c r="U18" i="1" l="1"/>
  <c r="F17" i="68" s="1"/>
  <c r="T18" i="1"/>
  <c r="E19" i="121"/>
  <c r="E15" i="121"/>
  <c r="E14" i="121"/>
  <c r="E12" i="121"/>
  <c r="C3" i="48"/>
  <c r="C5" i="48"/>
  <c r="X66" i="121"/>
  <c r="AB66" i="121" s="1"/>
  <c r="W66" i="121"/>
  <c r="V66" i="121"/>
  <c r="T66" i="121"/>
  <c r="O66" i="121"/>
  <c r="N66" i="121"/>
  <c r="M66" i="121"/>
  <c r="K66" i="121"/>
  <c r="X65" i="121"/>
  <c r="Y65" i="121" s="1"/>
  <c r="W65" i="121"/>
  <c r="V65" i="121"/>
  <c r="T65" i="121"/>
  <c r="N65" i="121"/>
  <c r="M65" i="121"/>
  <c r="K65" i="121"/>
  <c r="X63" i="121"/>
  <c r="W63" i="121"/>
  <c r="V63" i="121"/>
  <c r="T63" i="121"/>
  <c r="N63" i="121"/>
  <c r="M63" i="121"/>
  <c r="K63" i="121"/>
  <c r="O61" i="121"/>
  <c r="AB60" i="121"/>
  <c r="AA60" i="121"/>
  <c r="O60" i="121"/>
  <c r="P60" i="121" s="1"/>
  <c r="O59" i="121"/>
  <c r="AB59" i="121" s="1"/>
  <c r="O58" i="121"/>
  <c r="AB58" i="121" s="1"/>
  <c r="O57" i="121"/>
  <c r="AB57" i="121" s="1"/>
  <c r="O56" i="121"/>
  <c r="AB56" i="121" s="1"/>
  <c r="O55" i="121"/>
  <c r="AB55" i="121" s="1"/>
  <c r="O54" i="121"/>
  <c r="AB53" i="121"/>
  <c r="AA53" i="121"/>
  <c r="O53" i="121"/>
  <c r="P53" i="121" s="1"/>
  <c r="O52" i="121"/>
  <c r="AB52" i="121" s="1"/>
  <c r="O51" i="121"/>
  <c r="AB51" i="121" s="1"/>
  <c r="O50" i="121"/>
  <c r="AB49" i="121"/>
  <c r="O49" i="121"/>
  <c r="AA49" i="121" s="1"/>
  <c r="O48" i="121"/>
  <c r="AB48" i="121" s="1"/>
  <c r="O47" i="121"/>
  <c r="AB47" i="121" s="1"/>
  <c r="O46" i="121"/>
  <c r="AB46" i="121" s="1"/>
  <c r="O45" i="121"/>
  <c r="AB45" i="121" s="1"/>
  <c r="O44" i="121"/>
  <c r="AB44" i="121" s="1"/>
  <c r="O43" i="121"/>
  <c r="AB42" i="121"/>
  <c r="AA42" i="121"/>
  <c r="O42" i="121"/>
  <c r="P42" i="121" s="1"/>
  <c r="O41" i="121"/>
  <c r="AB41" i="121" s="1"/>
  <c r="O40" i="121"/>
  <c r="AB40" i="121" s="1"/>
  <c r="O39" i="121"/>
  <c r="AB39" i="121" s="1"/>
  <c r="O38" i="121"/>
  <c r="AB38" i="121" s="1"/>
  <c r="O37" i="121"/>
  <c r="AB37" i="121" s="1"/>
  <c r="O36" i="121"/>
  <c r="AB35" i="121"/>
  <c r="AA35" i="121"/>
  <c r="O35" i="121"/>
  <c r="P35" i="121" s="1"/>
  <c r="O34" i="121"/>
  <c r="AB34" i="121" s="1"/>
  <c r="O33" i="121"/>
  <c r="AB33" i="121" s="1"/>
  <c r="O32" i="121"/>
  <c r="E18" i="121"/>
  <c r="E16" i="121"/>
  <c r="E11" i="121"/>
  <c r="E8" i="121"/>
  <c r="E2" i="121"/>
  <c r="L26" i="48"/>
  <c r="O26" i="48" s="1"/>
  <c r="E26" i="48"/>
  <c r="F26" i="48" s="1"/>
  <c r="L25" i="48"/>
  <c r="O25" i="48" s="1"/>
  <c r="F25" i="48"/>
  <c r="E25" i="48"/>
  <c r="L24" i="48"/>
  <c r="O24" i="48" s="1"/>
  <c r="E24" i="48"/>
  <c r="F24" i="48" s="1"/>
  <c r="L23" i="48"/>
  <c r="O23" i="48" s="1"/>
  <c r="F23" i="48"/>
  <c r="E23" i="48"/>
  <c r="L22" i="48"/>
  <c r="O22" i="48" s="1"/>
  <c r="E22" i="48"/>
  <c r="F22" i="48" s="1"/>
  <c r="L21" i="48"/>
  <c r="O21" i="48" s="1"/>
  <c r="F21" i="48"/>
  <c r="E21" i="48"/>
  <c r="L20" i="48"/>
  <c r="O20" i="48" s="1"/>
  <c r="E20" i="48"/>
  <c r="F20" i="48" s="1"/>
  <c r="L19" i="48"/>
  <c r="O19" i="48" s="1"/>
  <c r="L18" i="48"/>
  <c r="O18" i="48" s="1"/>
  <c r="E18" i="48"/>
  <c r="F18" i="48" s="1"/>
  <c r="L17" i="48"/>
  <c r="O17" i="48" s="1"/>
  <c r="P17" i="48" s="1"/>
  <c r="P18" i="48" s="1"/>
  <c r="P19" i="48" s="1"/>
  <c r="P20" i="48" s="1"/>
  <c r="F17" i="48"/>
  <c r="L16" i="48"/>
  <c r="F16" i="48"/>
  <c r="L15" i="48"/>
  <c r="F15" i="48"/>
  <c r="L14" i="48"/>
  <c r="F14" i="48"/>
  <c r="O13" i="48"/>
  <c r="L13" i="48"/>
  <c r="F13" i="48"/>
  <c r="L12" i="48"/>
  <c r="O12" i="48" s="1"/>
  <c r="F12" i="48"/>
  <c r="L11" i="48"/>
  <c r="F11" i="48"/>
  <c r="N4" i="48"/>
  <c r="E28" i="48"/>
  <c r="M1" i="48"/>
  <c r="AB11" i="1"/>
  <c r="U11" i="1"/>
  <c r="F10" i="68" s="1"/>
  <c r="T11" i="1"/>
  <c r="I11" i="1"/>
  <c r="E19" i="120"/>
  <c r="E15" i="120"/>
  <c r="E14" i="120"/>
  <c r="E12" i="120"/>
  <c r="C3" i="46"/>
  <c r="J89" i="120"/>
  <c r="J88" i="120"/>
  <c r="J86" i="120"/>
  <c r="J85" i="120"/>
  <c r="J81" i="120"/>
  <c r="J75" i="120"/>
  <c r="J74" i="120"/>
  <c r="J69" i="120"/>
  <c r="W62" i="120"/>
  <c r="V62" i="120"/>
  <c r="T62" i="120"/>
  <c r="N62" i="120"/>
  <c r="M62" i="120"/>
  <c r="K62" i="120"/>
  <c r="W61" i="120"/>
  <c r="V61" i="120"/>
  <c r="T61" i="120"/>
  <c r="N61" i="120"/>
  <c r="M61" i="120"/>
  <c r="K61" i="120"/>
  <c r="W59" i="120"/>
  <c r="V59" i="120"/>
  <c r="T59" i="120"/>
  <c r="N59" i="120"/>
  <c r="M59" i="120"/>
  <c r="K59" i="120"/>
  <c r="X57" i="120"/>
  <c r="AB57" i="120" s="1"/>
  <c r="O57" i="120"/>
  <c r="P57" i="120" s="1"/>
  <c r="X56" i="120"/>
  <c r="O56" i="120"/>
  <c r="P56" i="120" s="1"/>
  <c r="X55" i="120"/>
  <c r="AB55" i="120" s="1"/>
  <c r="O55" i="120"/>
  <c r="P55" i="120" s="1"/>
  <c r="X54" i="120"/>
  <c r="O54" i="120"/>
  <c r="P54" i="120" s="1"/>
  <c r="AB53" i="120"/>
  <c r="AA53" i="120"/>
  <c r="X53" i="120"/>
  <c r="Y53" i="120" s="1"/>
  <c r="O53" i="120"/>
  <c r="P53" i="120" s="1"/>
  <c r="J53" i="120"/>
  <c r="X52" i="120"/>
  <c r="O52" i="120"/>
  <c r="P52" i="120" s="1"/>
  <c r="J52" i="120"/>
  <c r="AB51" i="120"/>
  <c r="AA51" i="120"/>
  <c r="X51" i="120"/>
  <c r="Y51" i="120" s="1"/>
  <c r="O51" i="120"/>
  <c r="P51" i="120" s="1"/>
  <c r="X50" i="120"/>
  <c r="AB50" i="120" s="1"/>
  <c r="O50" i="120"/>
  <c r="P50" i="120" s="1"/>
  <c r="J50" i="120"/>
  <c r="AB49" i="120"/>
  <c r="AA49" i="120"/>
  <c r="Y49" i="120"/>
  <c r="X49" i="120"/>
  <c r="O49" i="120"/>
  <c r="P49" i="120" s="1"/>
  <c r="J49" i="120"/>
  <c r="X48" i="120"/>
  <c r="O48" i="120"/>
  <c r="P48" i="120" s="1"/>
  <c r="X47" i="120"/>
  <c r="AB47" i="120" s="1"/>
  <c r="O47" i="120"/>
  <c r="P47" i="120" s="1"/>
  <c r="X46" i="120"/>
  <c r="AB46" i="120" s="1"/>
  <c r="O46" i="120"/>
  <c r="P46" i="120" s="1"/>
  <c r="X45" i="120"/>
  <c r="O45" i="120"/>
  <c r="P45" i="120" s="1"/>
  <c r="J45" i="120"/>
  <c r="X44" i="120"/>
  <c r="AB44" i="120" s="1"/>
  <c r="O44" i="120"/>
  <c r="P44" i="120" s="1"/>
  <c r="X43" i="120"/>
  <c r="P43" i="120"/>
  <c r="O43" i="120"/>
  <c r="AB42" i="120"/>
  <c r="X42" i="120"/>
  <c r="AA42" i="120" s="1"/>
  <c r="O42" i="120"/>
  <c r="P42" i="120" s="1"/>
  <c r="X41" i="120"/>
  <c r="O41" i="120"/>
  <c r="P41" i="120" s="1"/>
  <c r="AB40" i="120"/>
  <c r="AA40" i="120"/>
  <c r="Y40" i="120"/>
  <c r="X40" i="120"/>
  <c r="O40" i="120"/>
  <c r="P40" i="120" s="1"/>
  <c r="X39" i="120"/>
  <c r="AB39" i="120" s="1"/>
  <c r="O39" i="120"/>
  <c r="P39" i="120" s="1"/>
  <c r="J39" i="120"/>
  <c r="X38" i="120"/>
  <c r="AB38" i="120" s="1"/>
  <c r="O38" i="120"/>
  <c r="P38" i="120" s="1"/>
  <c r="J38" i="120"/>
  <c r="X37" i="120"/>
  <c r="AB37" i="120" s="1"/>
  <c r="O37" i="120"/>
  <c r="P37" i="120" s="1"/>
  <c r="X36" i="120"/>
  <c r="AB36" i="120" s="1"/>
  <c r="P36" i="120"/>
  <c r="O36" i="120"/>
  <c r="X35" i="120"/>
  <c r="AB35" i="120" s="1"/>
  <c r="O35" i="120"/>
  <c r="P35" i="120" s="1"/>
  <c r="X34" i="120"/>
  <c r="O34" i="120"/>
  <c r="P34" i="120" s="1"/>
  <c r="AB33" i="120"/>
  <c r="X33" i="120"/>
  <c r="AA33" i="120" s="1"/>
  <c r="O33" i="120"/>
  <c r="J33" i="120"/>
  <c r="X32" i="120"/>
  <c r="O32" i="120"/>
  <c r="O61" i="120" s="1"/>
  <c r="P61" i="120" s="1"/>
  <c r="E17" i="120"/>
  <c r="E16" i="120"/>
  <c r="E11" i="120"/>
  <c r="E8" i="120"/>
  <c r="E2" i="120"/>
  <c r="L31" i="46"/>
  <c r="O31" i="46" s="1"/>
  <c r="F31" i="46"/>
  <c r="L30" i="46"/>
  <c r="O30" i="46" s="1"/>
  <c r="F30" i="46"/>
  <c r="L29" i="46"/>
  <c r="O29" i="46" s="1"/>
  <c r="F29" i="46"/>
  <c r="L28" i="46"/>
  <c r="O28" i="46" s="1"/>
  <c r="F28" i="46"/>
  <c r="O27" i="46"/>
  <c r="L27" i="46"/>
  <c r="F27" i="46"/>
  <c r="L26" i="46"/>
  <c r="O26" i="46" s="1"/>
  <c r="F26" i="46"/>
  <c r="L25" i="46"/>
  <c r="O25" i="46" s="1"/>
  <c r="F25" i="46"/>
  <c r="O24" i="46"/>
  <c r="L24" i="46"/>
  <c r="L23" i="46"/>
  <c r="O23" i="46" s="1"/>
  <c r="F23" i="46"/>
  <c r="O22" i="46"/>
  <c r="L22" i="46"/>
  <c r="F22" i="46"/>
  <c r="L21" i="46"/>
  <c r="O21" i="46" s="1"/>
  <c r="F21" i="46"/>
  <c r="O20" i="46"/>
  <c r="L20" i="46"/>
  <c r="F20" i="46"/>
  <c r="O19" i="46"/>
  <c r="L19" i="46"/>
  <c r="F19" i="46"/>
  <c r="L18" i="46"/>
  <c r="O18" i="46" s="1"/>
  <c r="F18" i="46"/>
  <c r="O17" i="46"/>
  <c r="L17" i="46"/>
  <c r="F17" i="46"/>
  <c r="J16" i="46"/>
  <c r="H16" i="46"/>
  <c r="L16" i="46" s="1"/>
  <c r="O16" i="46" s="1"/>
  <c r="F16" i="46"/>
  <c r="O15" i="46"/>
  <c r="L15" i="46"/>
  <c r="F15" i="46"/>
  <c r="L14" i="46"/>
  <c r="O14" i="46" s="1"/>
  <c r="F14" i="46"/>
  <c r="O13" i="46"/>
  <c r="L13" i="46"/>
  <c r="F13" i="46"/>
  <c r="L12" i="46"/>
  <c r="F12" i="46"/>
  <c r="O11" i="46"/>
  <c r="P11" i="46" s="1"/>
  <c r="M11" i="46"/>
  <c r="M12" i="46" s="1"/>
  <c r="L11" i="46"/>
  <c r="F11" i="46"/>
  <c r="C5" i="46"/>
  <c r="N4" i="46"/>
  <c r="E33" i="46"/>
  <c r="O2" i="46"/>
  <c r="M1" i="46"/>
  <c r="U21" i="1"/>
  <c r="F20" i="68" s="1"/>
  <c r="T21" i="1"/>
  <c r="E19" i="119"/>
  <c r="E15" i="119"/>
  <c r="E14" i="119"/>
  <c r="E12" i="119"/>
  <c r="C3" i="42"/>
  <c r="C5" i="42"/>
  <c r="X51" i="119"/>
  <c r="AB51" i="119" s="1"/>
  <c r="W51" i="119"/>
  <c r="V51" i="119"/>
  <c r="T51" i="119"/>
  <c r="O51" i="119"/>
  <c r="N51" i="119"/>
  <c r="M51" i="119"/>
  <c r="K51" i="119"/>
  <c r="V50" i="119"/>
  <c r="M50" i="119"/>
  <c r="V48" i="119"/>
  <c r="M48" i="119"/>
  <c r="X46" i="119"/>
  <c r="AB46" i="119" s="1"/>
  <c r="O46" i="119"/>
  <c r="AB45" i="119"/>
  <c r="AA45" i="119"/>
  <c r="Y45" i="119"/>
  <c r="X45" i="119"/>
  <c r="O45" i="119"/>
  <c r="X44" i="119"/>
  <c r="AB44" i="119" s="1"/>
  <c r="O44" i="119"/>
  <c r="P44" i="119" s="1"/>
  <c r="X43" i="119"/>
  <c r="O43" i="119"/>
  <c r="P43" i="119" s="1"/>
  <c r="X42" i="119"/>
  <c r="AB42" i="119" s="1"/>
  <c r="O42" i="119"/>
  <c r="P42" i="119" s="1"/>
  <c r="W41" i="119"/>
  <c r="X41" i="119" s="1"/>
  <c r="T41" i="119"/>
  <c r="O41" i="119"/>
  <c r="P41" i="119" s="1"/>
  <c r="N41" i="119"/>
  <c r="K41" i="119"/>
  <c r="W40" i="119"/>
  <c r="X40" i="119" s="1"/>
  <c r="T40" i="119"/>
  <c r="N40" i="119"/>
  <c r="O40" i="119" s="1"/>
  <c r="P40" i="119" s="1"/>
  <c r="K40" i="119"/>
  <c r="W39" i="119"/>
  <c r="X39" i="119" s="1"/>
  <c r="T39" i="119"/>
  <c r="N39" i="119"/>
  <c r="N48" i="119" s="1"/>
  <c r="K39" i="119"/>
  <c r="K48" i="119" s="1"/>
  <c r="W38" i="119"/>
  <c r="W50" i="119" s="1"/>
  <c r="T38" i="119"/>
  <c r="N38" i="119"/>
  <c r="O38" i="119" s="1"/>
  <c r="P38" i="119" s="1"/>
  <c r="K38" i="119"/>
  <c r="X37" i="119"/>
  <c r="AB37" i="119" s="1"/>
  <c r="O37" i="119"/>
  <c r="P37" i="119" s="1"/>
  <c r="X36" i="119"/>
  <c r="O36" i="119"/>
  <c r="P36" i="119" s="1"/>
  <c r="X35" i="119"/>
  <c r="AB35" i="119" s="1"/>
  <c r="O35" i="119"/>
  <c r="P35" i="119" s="1"/>
  <c r="X34" i="119"/>
  <c r="O34" i="119"/>
  <c r="X33" i="119"/>
  <c r="AB33" i="119" s="1"/>
  <c r="O33" i="119"/>
  <c r="P33" i="119" s="1"/>
  <c r="X32" i="119"/>
  <c r="AB32" i="119" s="1"/>
  <c r="O32" i="119"/>
  <c r="E18" i="119"/>
  <c r="E17" i="119"/>
  <c r="E16" i="119"/>
  <c r="E11" i="119"/>
  <c r="E8" i="119"/>
  <c r="K38" i="42"/>
  <c r="N38" i="42" s="1"/>
  <c r="K37" i="42"/>
  <c r="N37" i="42" s="1"/>
  <c r="N36" i="42"/>
  <c r="E36" i="42"/>
  <c r="K35" i="42"/>
  <c r="N35" i="42" s="1"/>
  <c r="E35" i="42"/>
  <c r="K34" i="42"/>
  <c r="N34" i="42" s="1"/>
  <c r="E34" i="42"/>
  <c r="K33" i="42"/>
  <c r="N33" i="42" s="1"/>
  <c r="E33" i="42"/>
  <c r="K32" i="42"/>
  <c r="N32" i="42" s="1"/>
  <c r="E32" i="42"/>
  <c r="N31" i="42"/>
  <c r="K31" i="42"/>
  <c r="E31" i="42"/>
  <c r="K30" i="42"/>
  <c r="N30" i="42" s="1"/>
  <c r="E30" i="42"/>
  <c r="N29" i="42"/>
  <c r="K29" i="42"/>
  <c r="E29" i="42"/>
  <c r="K28" i="42"/>
  <c r="N28" i="42" s="1"/>
  <c r="E28" i="42"/>
  <c r="K27" i="42"/>
  <c r="N27" i="42" s="1"/>
  <c r="E27" i="42"/>
  <c r="K26" i="42"/>
  <c r="N26" i="42" s="1"/>
  <c r="E26" i="42"/>
  <c r="K25" i="42"/>
  <c r="N25" i="42" s="1"/>
  <c r="E25" i="42"/>
  <c r="N24" i="42"/>
  <c r="G24" i="42"/>
  <c r="K24" i="42" s="1"/>
  <c r="E24" i="42"/>
  <c r="K23" i="42"/>
  <c r="N23" i="42" s="1"/>
  <c r="E23" i="42"/>
  <c r="N22" i="42"/>
  <c r="K22" i="42"/>
  <c r="K21" i="42"/>
  <c r="N21" i="42" s="1"/>
  <c r="K20" i="42"/>
  <c r="N20" i="42" s="1"/>
  <c r="N19" i="42"/>
  <c r="K19" i="42"/>
  <c r="K18" i="42"/>
  <c r="N18" i="42" s="1"/>
  <c r="K17" i="42"/>
  <c r="N17" i="42" s="1"/>
  <c r="K16" i="42"/>
  <c r="N16" i="42" s="1"/>
  <c r="K15" i="42"/>
  <c r="N15" i="42" s="1"/>
  <c r="K14" i="42"/>
  <c r="N14" i="42" s="1"/>
  <c r="K13" i="42"/>
  <c r="N13" i="42" s="1"/>
  <c r="K12" i="42"/>
  <c r="N11" i="42"/>
  <c r="K11" i="42"/>
  <c r="K10" i="42"/>
  <c r="N10" i="42" s="1"/>
  <c r="O10" i="42" s="1"/>
  <c r="O11" i="42" s="1"/>
  <c r="E10" i="42"/>
  <c r="M4" i="42"/>
  <c r="M27" i="33"/>
  <c r="D27" i="33"/>
  <c r="M26" i="33"/>
  <c r="D26" i="33"/>
  <c r="M25" i="33"/>
  <c r="D25" i="33"/>
  <c r="J24" i="33"/>
  <c r="M24" i="33" s="1"/>
  <c r="D24" i="33"/>
  <c r="M23" i="33"/>
  <c r="J23" i="33"/>
  <c r="D23" i="33"/>
  <c r="J22" i="33"/>
  <c r="M22" i="33" s="1"/>
  <c r="D22" i="33"/>
  <c r="J21" i="33"/>
  <c r="M21" i="33" s="1"/>
  <c r="D21" i="33"/>
  <c r="M20" i="33"/>
  <c r="J20" i="33"/>
  <c r="D20" i="33"/>
  <c r="J19" i="33"/>
  <c r="M19" i="33" s="1"/>
  <c r="D19" i="33"/>
  <c r="M18" i="33"/>
  <c r="J18" i="33"/>
  <c r="D18" i="33"/>
  <c r="J17" i="33"/>
  <c r="M17" i="33" s="1"/>
  <c r="D17" i="33"/>
  <c r="M16" i="33"/>
  <c r="J16" i="33"/>
  <c r="D16" i="33"/>
  <c r="J15" i="33"/>
  <c r="M15" i="33" s="1"/>
  <c r="D15" i="33"/>
  <c r="J14" i="33"/>
  <c r="M14" i="33" s="1"/>
  <c r="D14" i="33"/>
  <c r="M13" i="33"/>
  <c r="J13" i="33"/>
  <c r="D13" i="33"/>
  <c r="J12" i="33"/>
  <c r="M12" i="33" s="1"/>
  <c r="D12" i="33"/>
  <c r="M11" i="33"/>
  <c r="J11" i="33"/>
  <c r="D11" i="33"/>
  <c r="J10" i="33"/>
  <c r="M10" i="33" s="1"/>
  <c r="N10" i="33" s="1"/>
  <c r="N11" i="33" s="1"/>
  <c r="D10" i="33"/>
  <c r="L4" i="33"/>
  <c r="E15" i="135" s="1"/>
  <c r="E18" i="135" s="1"/>
  <c r="T22" i="1" s="1"/>
  <c r="M3" i="33"/>
  <c r="K1" i="33"/>
  <c r="U16" i="1"/>
  <c r="F15" i="68" s="1"/>
  <c r="T16" i="1"/>
  <c r="I16" i="1"/>
  <c r="E19" i="118"/>
  <c r="E15" i="118"/>
  <c r="E14" i="118"/>
  <c r="E12" i="118"/>
  <c r="C3" i="22"/>
  <c r="K18" i="22"/>
  <c r="N18" i="22" s="1"/>
  <c r="K17" i="22"/>
  <c r="N17" i="22" s="1"/>
  <c r="N16" i="22"/>
  <c r="O16" i="22" s="1"/>
  <c r="O18" i="22" s="1"/>
  <c r="L3" i="22" s="1"/>
  <c r="N3" i="22" s="1"/>
  <c r="K16" i="22"/>
  <c r="K15" i="22"/>
  <c r="N15" i="22" s="1"/>
  <c r="K14" i="22"/>
  <c r="N14" i="22" s="1"/>
  <c r="N13" i="22"/>
  <c r="K13" i="22"/>
  <c r="K12" i="22"/>
  <c r="N12" i="22" s="1"/>
  <c r="K11" i="22"/>
  <c r="N10" i="22"/>
  <c r="O10" i="22" s="1"/>
  <c r="K10" i="22"/>
  <c r="L10" i="22" s="1"/>
  <c r="M10" i="22" s="1"/>
  <c r="L4" i="22"/>
  <c r="E20" i="22"/>
  <c r="K1" i="22"/>
  <c r="X39" i="118"/>
  <c r="AB39" i="118" s="1"/>
  <c r="W39" i="118"/>
  <c r="V39" i="118"/>
  <c r="T39" i="118"/>
  <c r="O39" i="118"/>
  <c r="N39" i="118"/>
  <c r="M39" i="118"/>
  <c r="K39" i="118"/>
  <c r="X38" i="118"/>
  <c r="AB38" i="118" s="1"/>
  <c r="W38" i="118"/>
  <c r="V38" i="118"/>
  <c r="T38" i="118"/>
  <c r="O38" i="118"/>
  <c r="N38" i="118"/>
  <c r="M38" i="118"/>
  <c r="K38" i="118"/>
  <c r="W36" i="118"/>
  <c r="E2" i="118" s="1"/>
  <c r="V36" i="118"/>
  <c r="T36" i="118"/>
  <c r="N36" i="118"/>
  <c r="M36" i="118"/>
  <c r="K36" i="118"/>
  <c r="V34" i="118"/>
  <c r="X34" i="118" s="1"/>
  <c r="O34" i="118"/>
  <c r="P34" i="118" s="1"/>
  <c r="AB33" i="118"/>
  <c r="AA33" i="118"/>
  <c r="Y33" i="118"/>
  <c r="X33" i="118"/>
  <c r="O33" i="118"/>
  <c r="V32" i="118"/>
  <c r="X32" i="118" s="1"/>
  <c r="O32" i="118"/>
  <c r="O36" i="118" s="1"/>
  <c r="P36" i="118" s="1"/>
  <c r="E17" i="118"/>
  <c r="E16" i="118"/>
  <c r="E18" i="118"/>
  <c r="E13" i="118"/>
  <c r="E11" i="118"/>
  <c r="E3" i="118"/>
  <c r="T17" i="1"/>
  <c r="I17" i="1"/>
  <c r="E15" i="117"/>
  <c r="E14" i="117" a="1"/>
  <c r="E14" i="117" s="1"/>
  <c r="E12" i="117"/>
  <c r="X39" i="117"/>
  <c r="AB39" i="117" s="1"/>
  <c r="W39" i="117"/>
  <c r="V39" i="117"/>
  <c r="T39" i="117"/>
  <c r="O39" i="117"/>
  <c r="N39" i="117"/>
  <c r="M39" i="117"/>
  <c r="K39" i="117"/>
  <c r="X38" i="117"/>
  <c r="AB38" i="117" s="1"/>
  <c r="W38" i="117"/>
  <c r="V38" i="117"/>
  <c r="T38" i="117"/>
  <c r="O38" i="117"/>
  <c r="N38" i="117"/>
  <c r="M38" i="117"/>
  <c r="K38" i="117"/>
  <c r="W36" i="117"/>
  <c r="E2" i="117" s="1"/>
  <c r="V36" i="117"/>
  <c r="T36" i="117"/>
  <c r="W34" i="117"/>
  <c r="X34" i="117" s="1"/>
  <c r="T34" i="117"/>
  <c r="N34" i="117"/>
  <c r="O34" i="117" s="1"/>
  <c r="P34" i="117" s="1"/>
  <c r="K34" i="117"/>
  <c r="X33" i="117"/>
  <c r="W33" i="117"/>
  <c r="V33" i="117"/>
  <c r="T33" i="117"/>
  <c r="N33" i="117"/>
  <c r="O33" i="117" s="1"/>
  <c r="P33" i="117" s="1"/>
  <c r="M33" i="117"/>
  <c r="K33" i="117"/>
  <c r="W32" i="117"/>
  <c r="V32" i="117"/>
  <c r="X32" i="117" s="1"/>
  <c r="T32" i="117"/>
  <c r="N32" i="117"/>
  <c r="N36" i="117" s="1"/>
  <c r="M32" i="117"/>
  <c r="M36" i="117" s="1"/>
  <c r="K32" i="117"/>
  <c r="K36" i="117" s="1"/>
  <c r="E16" i="117"/>
  <c r="E13" i="117"/>
  <c r="E11" i="117"/>
  <c r="K20" i="24"/>
  <c r="N20" i="24" s="1"/>
  <c r="K19" i="24"/>
  <c r="N19" i="24" s="1"/>
  <c r="N18" i="24"/>
  <c r="K18" i="24"/>
  <c r="K17" i="24"/>
  <c r="N17" i="24" s="1"/>
  <c r="K16" i="24"/>
  <c r="N16" i="24" s="1"/>
  <c r="G15" i="24"/>
  <c r="K15" i="24" s="1"/>
  <c r="K14" i="24"/>
  <c r="N14" i="24" s="1"/>
  <c r="K13" i="24"/>
  <c r="N13" i="24" s="1"/>
  <c r="K12" i="24"/>
  <c r="N12" i="24" s="1"/>
  <c r="K11" i="24"/>
  <c r="N10" i="24"/>
  <c r="O10" i="24" s="1"/>
  <c r="L10" i="24"/>
  <c r="M10" i="24" s="1"/>
  <c r="K10" i="24"/>
  <c r="L4" i="24"/>
  <c r="C3" i="24"/>
  <c r="E22" i="24" s="1"/>
  <c r="AB20" i="1"/>
  <c r="U20" i="1"/>
  <c r="F19" i="68" s="1"/>
  <c r="T20" i="1"/>
  <c r="I20" i="1"/>
  <c r="E19" i="116"/>
  <c r="E15" i="116"/>
  <c r="E14" i="116"/>
  <c r="E12" i="116"/>
  <c r="E10" i="116"/>
  <c r="E11" i="116" s="1"/>
  <c r="C3" i="40"/>
  <c r="E19" i="115"/>
  <c r="E15" i="115"/>
  <c r="E14" i="115"/>
  <c r="E12" i="115"/>
  <c r="J122" i="116"/>
  <c r="J121" i="116"/>
  <c r="J111" i="116"/>
  <c r="J101" i="116"/>
  <c r="J93" i="116"/>
  <c r="W84" i="116"/>
  <c r="V84" i="116"/>
  <c r="T84" i="116"/>
  <c r="O84" i="116"/>
  <c r="P84" i="116" s="1"/>
  <c r="N84" i="116"/>
  <c r="M84" i="116"/>
  <c r="K84" i="116"/>
  <c r="V83" i="116"/>
  <c r="N83" i="116"/>
  <c r="M83" i="116"/>
  <c r="V81" i="116"/>
  <c r="V79" i="116"/>
  <c r="N79" i="116"/>
  <c r="N81" i="116" s="1"/>
  <c r="M79" i="116"/>
  <c r="M81" i="116" s="1"/>
  <c r="K79" i="116"/>
  <c r="K83" i="116" s="1"/>
  <c r="AB78" i="116"/>
  <c r="AA78" i="116"/>
  <c r="Y78" i="116"/>
  <c r="X78" i="116"/>
  <c r="O78" i="116"/>
  <c r="P78" i="116" s="1"/>
  <c r="J78" i="116"/>
  <c r="V77" i="116"/>
  <c r="X77" i="116" s="1"/>
  <c r="T77" i="116"/>
  <c r="O77" i="116"/>
  <c r="P77" i="116" s="1"/>
  <c r="J77" i="116"/>
  <c r="V76" i="116"/>
  <c r="X76" i="116" s="1"/>
  <c r="T76" i="116"/>
  <c r="P76" i="116"/>
  <c r="O76" i="116"/>
  <c r="J76" i="116"/>
  <c r="V75" i="116"/>
  <c r="X75" i="116" s="1"/>
  <c r="T75" i="116"/>
  <c r="O75" i="116"/>
  <c r="P75" i="116" s="1"/>
  <c r="J75" i="116"/>
  <c r="W74" i="116"/>
  <c r="T74" i="116"/>
  <c r="T79" i="116" s="1"/>
  <c r="O74" i="116"/>
  <c r="P74" i="116" s="1"/>
  <c r="AB73" i="116"/>
  <c r="AA73" i="116"/>
  <c r="Y73" i="116"/>
  <c r="X73" i="116"/>
  <c r="O73" i="116"/>
  <c r="P73" i="116" s="1"/>
  <c r="X72" i="116"/>
  <c r="O72" i="116"/>
  <c r="P72" i="116" s="1"/>
  <c r="AB71" i="116"/>
  <c r="AA71" i="116"/>
  <c r="Y71" i="116"/>
  <c r="X71" i="116"/>
  <c r="P71" i="116"/>
  <c r="O71" i="116"/>
  <c r="X70" i="116"/>
  <c r="AB70" i="116" s="1"/>
  <c r="O70" i="116"/>
  <c r="X69" i="116"/>
  <c r="AB69" i="116" s="1"/>
  <c r="O69" i="116"/>
  <c r="P69" i="116" s="1"/>
  <c r="AB68" i="116"/>
  <c r="AA68" i="116"/>
  <c r="Y68" i="116"/>
  <c r="X68" i="116"/>
  <c r="O68" i="116"/>
  <c r="P68" i="116" s="1"/>
  <c r="X67" i="116"/>
  <c r="O67" i="116"/>
  <c r="P67" i="116" s="1"/>
  <c r="X66" i="116"/>
  <c r="AB66" i="116" s="1"/>
  <c r="P66" i="116"/>
  <c r="O66" i="116"/>
  <c r="X65" i="116"/>
  <c r="AB65" i="116" s="1"/>
  <c r="P65" i="116"/>
  <c r="O65" i="116"/>
  <c r="X64" i="116"/>
  <c r="AB64" i="116" s="1"/>
  <c r="O64" i="116"/>
  <c r="P64" i="116" s="1"/>
  <c r="AB63" i="116"/>
  <c r="X63" i="116"/>
  <c r="AA63" i="116" s="1"/>
  <c r="O63" i="116"/>
  <c r="P63" i="116" s="1"/>
  <c r="X62" i="116"/>
  <c r="AB62" i="116" s="1"/>
  <c r="O62" i="116"/>
  <c r="P62" i="116" s="1"/>
  <c r="AB61" i="116"/>
  <c r="AA61" i="116"/>
  <c r="Y61" i="116"/>
  <c r="X61" i="116"/>
  <c r="O61" i="116"/>
  <c r="P61" i="116" s="1"/>
  <c r="X60" i="116"/>
  <c r="O60" i="116"/>
  <c r="P60" i="116" s="1"/>
  <c r="AB59" i="116"/>
  <c r="AA59" i="116"/>
  <c r="Y59" i="116"/>
  <c r="X59" i="116"/>
  <c r="P59" i="116"/>
  <c r="O59" i="116"/>
  <c r="X58" i="116"/>
  <c r="O58" i="116"/>
  <c r="P58" i="116" s="1"/>
  <c r="X57" i="116"/>
  <c r="AB57" i="116" s="1"/>
  <c r="O57" i="116"/>
  <c r="P57" i="116" s="1"/>
  <c r="J57" i="116"/>
  <c r="X56" i="116"/>
  <c r="AB56" i="116" s="1"/>
  <c r="O56" i="116"/>
  <c r="P56" i="116" s="1"/>
  <c r="X55" i="116"/>
  <c r="AB55" i="116" s="1"/>
  <c r="O55" i="116"/>
  <c r="P55" i="116" s="1"/>
  <c r="AB54" i="116"/>
  <c r="AA54" i="116"/>
  <c r="X54" i="116"/>
  <c r="Y54" i="116" s="1"/>
  <c r="O54" i="116"/>
  <c r="P54" i="116" s="1"/>
  <c r="X53" i="116"/>
  <c r="AB53" i="116" s="1"/>
  <c r="O53" i="116"/>
  <c r="P53" i="116" s="1"/>
  <c r="X52" i="116"/>
  <c r="AB52" i="116" s="1"/>
  <c r="O52" i="116"/>
  <c r="P52" i="116" s="1"/>
  <c r="X51" i="116"/>
  <c r="O51" i="116"/>
  <c r="P51" i="116" s="1"/>
  <c r="X50" i="116"/>
  <c r="AB50" i="116" s="1"/>
  <c r="O50" i="116"/>
  <c r="P50" i="116" s="1"/>
  <c r="X49" i="116"/>
  <c r="O49" i="116"/>
  <c r="P49" i="116" s="1"/>
  <c r="X48" i="116"/>
  <c r="AB48" i="116" s="1"/>
  <c r="O48" i="116"/>
  <c r="P48" i="116" s="1"/>
  <c r="AB47" i="116"/>
  <c r="AA47" i="116"/>
  <c r="X47" i="116"/>
  <c r="Y47" i="116" s="1"/>
  <c r="O47" i="116"/>
  <c r="P47" i="116" s="1"/>
  <c r="X46" i="116"/>
  <c r="O46" i="116"/>
  <c r="P46" i="116" s="1"/>
  <c r="X45" i="116"/>
  <c r="AB45" i="116" s="1"/>
  <c r="O45" i="116"/>
  <c r="P45" i="116" s="1"/>
  <c r="X44" i="116"/>
  <c r="O44" i="116"/>
  <c r="P44" i="116" s="1"/>
  <c r="AB43" i="116"/>
  <c r="X43" i="116"/>
  <c r="AA43" i="116" s="1"/>
  <c r="AB42" i="116"/>
  <c r="AA42" i="116"/>
  <c r="X42" i="116"/>
  <c r="Y42" i="116" s="1"/>
  <c r="O42" i="116"/>
  <c r="P42" i="116" s="1"/>
  <c r="X41" i="116"/>
  <c r="O41" i="116"/>
  <c r="P41" i="116" s="1"/>
  <c r="AB40" i="116"/>
  <c r="AA40" i="116"/>
  <c r="X40" i="116"/>
  <c r="Y40" i="116" s="1"/>
  <c r="O40" i="116"/>
  <c r="P40" i="116" s="1"/>
  <c r="X39" i="116"/>
  <c r="O39" i="116"/>
  <c r="P39" i="116" s="1"/>
  <c r="X38" i="116"/>
  <c r="AB38" i="116" s="1"/>
  <c r="O38" i="116"/>
  <c r="X37" i="116"/>
  <c r="O37" i="116"/>
  <c r="P37" i="116" s="1"/>
  <c r="X36" i="116"/>
  <c r="AB36" i="116" s="1"/>
  <c r="O36" i="116"/>
  <c r="P36" i="116" s="1"/>
  <c r="AB35" i="116"/>
  <c r="AA35" i="116"/>
  <c r="X35" i="116"/>
  <c r="Y35" i="116" s="1"/>
  <c r="O35" i="116"/>
  <c r="P35" i="116" s="1"/>
  <c r="X34" i="116"/>
  <c r="AB34" i="116" s="1"/>
  <c r="P34" i="116"/>
  <c r="O34" i="116"/>
  <c r="X33" i="116"/>
  <c r="AB33" i="116" s="1"/>
  <c r="O33" i="116"/>
  <c r="P33" i="116" s="1"/>
  <c r="X32" i="116"/>
  <c r="O32" i="116"/>
  <c r="P32" i="116" s="1"/>
  <c r="E17" i="116"/>
  <c r="E16" i="116"/>
  <c r="E18" i="116"/>
  <c r="L27" i="40"/>
  <c r="L26" i="40"/>
  <c r="O26" i="40" s="1"/>
  <c r="L25" i="40"/>
  <c r="L24" i="40"/>
  <c r="O24" i="40" s="1"/>
  <c r="L23" i="40"/>
  <c r="O23" i="40" s="1"/>
  <c r="L22" i="40"/>
  <c r="O22" i="40" s="1"/>
  <c r="O21" i="40"/>
  <c r="L21" i="40"/>
  <c r="L20" i="40"/>
  <c r="L19" i="40"/>
  <c r="O19" i="40" s="1"/>
  <c r="L18" i="40"/>
  <c r="O18" i="40" s="1"/>
  <c r="L17" i="40"/>
  <c r="O17" i="40" s="1"/>
  <c r="L16" i="40"/>
  <c r="O16" i="40" s="1"/>
  <c r="L15" i="40"/>
  <c r="O15" i="40" s="1"/>
  <c r="O14" i="40"/>
  <c r="L14" i="40"/>
  <c r="L13" i="40"/>
  <c r="O13" i="40" s="1"/>
  <c r="L12" i="40"/>
  <c r="L11" i="40"/>
  <c r="O11" i="40" s="1"/>
  <c r="P11" i="40" s="1"/>
  <c r="M4" i="40"/>
  <c r="E29" i="40"/>
  <c r="L1" i="40"/>
  <c r="AB15" i="1"/>
  <c r="U15" i="1"/>
  <c r="F14" i="68" s="1"/>
  <c r="I15" i="1"/>
  <c r="C3" i="18"/>
  <c r="J107" i="115"/>
  <c r="J106" i="115"/>
  <c r="J96" i="115"/>
  <c r="J86" i="115"/>
  <c r="J78" i="115"/>
  <c r="W69" i="115"/>
  <c r="V69" i="115"/>
  <c r="N69" i="115"/>
  <c r="W68" i="115"/>
  <c r="N68" i="115"/>
  <c r="W66" i="115"/>
  <c r="N66" i="115"/>
  <c r="M66" i="115"/>
  <c r="K66" i="115"/>
  <c r="AB64" i="115"/>
  <c r="X64" i="115"/>
  <c r="AA64" i="115" s="1"/>
  <c r="O64" i="115"/>
  <c r="P64" i="115" s="1"/>
  <c r="J64" i="115"/>
  <c r="X63" i="115"/>
  <c r="O63" i="115"/>
  <c r="P63" i="115" s="1"/>
  <c r="J63" i="115"/>
  <c r="AB62" i="115"/>
  <c r="X62" i="115"/>
  <c r="AA62" i="115" s="1"/>
  <c r="O62" i="115"/>
  <c r="X61" i="115"/>
  <c r="P61" i="115"/>
  <c r="O61" i="115"/>
  <c r="X60" i="115"/>
  <c r="AB60" i="115" s="1"/>
  <c r="O60" i="115"/>
  <c r="P60" i="115" s="1"/>
  <c r="X59" i="115"/>
  <c r="O59" i="115"/>
  <c r="P59" i="115" s="1"/>
  <c r="V58" i="115"/>
  <c r="X58" i="115" s="1"/>
  <c r="P58" i="115"/>
  <c r="M58" i="115"/>
  <c r="O58" i="115" s="1"/>
  <c r="V57" i="115"/>
  <c r="X57" i="115" s="1"/>
  <c r="M57" i="115"/>
  <c r="O57" i="115" s="1"/>
  <c r="P57" i="115" s="1"/>
  <c r="X56" i="115"/>
  <c r="AB56" i="115" s="1"/>
  <c r="T56" i="115"/>
  <c r="O56" i="115"/>
  <c r="P56" i="115" s="1"/>
  <c r="K56" i="115"/>
  <c r="V55" i="115"/>
  <c r="X55" i="115" s="1"/>
  <c r="M55" i="115"/>
  <c r="O55" i="115" s="1"/>
  <c r="P55" i="115" s="1"/>
  <c r="AB54" i="115"/>
  <c r="AA54" i="115"/>
  <c r="X54" i="115"/>
  <c r="Y54" i="115" s="1"/>
  <c r="T54" i="115"/>
  <c r="O54" i="115"/>
  <c r="P54" i="115" s="1"/>
  <c r="K54" i="115"/>
  <c r="X53" i="115"/>
  <c r="AB53" i="115" s="1"/>
  <c r="T53" i="115"/>
  <c r="P53" i="115"/>
  <c r="O53" i="115"/>
  <c r="J53" i="115"/>
  <c r="X52" i="115"/>
  <c r="AB52" i="115" s="1"/>
  <c r="O52" i="115"/>
  <c r="P52" i="115" s="1"/>
  <c r="X51" i="115"/>
  <c r="O51" i="115"/>
  <c r="P51" i="115" s="1"/>
  <c r="AB50" i="115"/>
  <c r="AA50" i="115"/>
  <c r="X50" i="115"/>
  <c r="Y50" i="115" s="1"/>
  <c r="O50" i="115"/>
  <c r="P50" i="115" s="1"/>
  <c r="Y49" i="115"/>
  <c r="X49" i="115"/>
  <c r="O49" i="115"/>
  <c r="P49" i="115" s="1"/>
  <c r="X48" i="115"/>
  <c r="AB48" i="115" s="1"/>
  <c r="V48" i="115"/>
  <c r="T48" i="115"/>
  <c r="O48" i="115"/>
  <c r="P48" i="115" s="1"/>
  <c r="K48" i="115"/>
  <c r="X47" i="115"/>
  <c r="AB47" i="115" s="1"/>
  <c r="T47" i="115"/>
  <c r="O47" i="115"/>
  <c r="P47" i="115" s="1"/>
  <c r="K47" i="115"/>
  <c r="V46" i="115"/>
  <c r="X46" i="115" s="1"/>
  <c r="M46" i="115"/>
  <c r="O46" i="115" s="1"/>
  <c r="P46" i="115" s="1"/>
  <c r="X45" i="115"/>
  <c r="AB45" i="115" s="1"/>
  <c r="T45" i="115"/>
  <c r="O45" i="115"/>
  <c r="P45" i="115" s="1"/>
  <c r="K45" i="115"/>
  <c r="V44" i="115"/>
  <c r="X44" i="115" s="1"/>
  <c r="M44" i="115"/>
  <c r="O44" i="115" s="1"/>
  <c r="P44" i="115" s="1"/>
  <c r="X43" i="115"/>
  <c r="AB43" i="115" s="1"/>
  <c r="T43" i="115"/>
  <c r="T69" i="115" s="1"/>
  <c r="O43" i="115"/>
  <c r="P43" i="115" s="1"/>
  <c r="K43" i="115"/>
  <c r="K69" i="115" s="1"/>
  <c r="J43" i="115"/>
  <c r="V42" i="115"/>
  <c r="X42" i="115" s="1"/>
  <c r="T42" i="115"/>
  <c r="M42" i="115"/>
  <c r="O42" i="115" s="1"/>
  <c r="P42" i="115" s="1"/>
  <c r="K42" i="115"/>
  <c r="X41" i="115"/>
  <c r="AB41" i="115" s="1"/>
  <c r="O41" i="115"/>
  <c r="P41" i="115" s="1"/>
  <c r="X40" i="115"/>
  <c r="AB40" i="115" s="1"/>
  <c r="T40" i="115"/>
  <c r="O40" i="115"/>
  <c r="P40" i="115" s="1"/>
  <c r="K40" i="115"/>
  <c r="V39" i="115"/>
  <c r="X39" i="115" s="1"/>
  <c r="T39" i="115"/>
  <c r="O39" i="115"/>
  <c r="P39" i="115" s="1"/>
  <c r="K39" i="115"/>
  <c r="X38" i="115"/>
  <c r="AB38" i="115" s="1"/>
  <c r="P38" i="115"/>
  <c r="O38" i="115"/>
  <c r="X37" i="115"/>
  <c r="O37" i="115"/>
  <c r="P37" i="115" s="1"/>
  <c r="X36" i="115"/>
  <c r="AB36" i="115" s="1"/>
  <c r="O36" i="115"/>
  <c r="P36" i="115" s="1"/>
  <c r="X35" i="115"/>
  <c r="M35" i="115"/>
  <c r="M69" i="115" s="1"/>
  <c r="J35" i="115"/>
  <c r="V34" i="115"/>
  <c r="O34" i="115"/>
  <c r="P34" i="115" s="1"/>
  <c r="X33" i="115"/>
  <c r="AB33" i="115" s="1"/>
  <c r="O33" i="115"/>
  <c r="P33" i="115" s="1"/>
  <c r="T32" i="115"/>
  <c r="T68" i="115" s="1"/>
  <c r="O32" i="115"/>
  <c r="K32" i="115"/>
  <c r="E18" i="115"/>
  <c r="T15" i="1" s="1"/>
  <c r="E17" i="115"/>
  <c r="E11" i="115"/>
  <c r="E2" i="115"/>
  <c r="O22" i="18"/>
  <c r="L22" i="18"/>
  <c r="F22" i="18"/>
  <c r="L21" i="18"/>
  <c r="O21" i="18" s="1"/>
  <c r="F21" i="18"/>
  <c r="L20" i="18"/>
  <c r="O20" i="18" s="1"/>
  <c r="F20" i="18"/>
  <c r="L19" i="18"/>
  <c r="O19" i="18" s="1"/>
  <c r="F19" i="18"/>
  <c r="O18" i="18"/>
  <c r="L18" i="18"/>
  <c r="F18" i="18"/>
  <c r="L17" i="18"/>
  <c r="O17" i="18" s="1"/>
  <c r="F17" i="18"/>
  <c r="L16" i="18"/>
  <c r="O16" i="18" s="1"/>
  <c r="F16" i="18"/>
  <c r="O15" i="18"/>
  <c r="L15" i="18"/>
  <c r="F15" i="18"/>
  <c r="L14" i="18"/>
  <c r="F14" i="18"/>
  <c r="L13" i="18"/>
  <c r="O13" i="18" s="1"/>
  <c r="F13" i="18"/>
  <c r="L12" i="18"/>
  <c r="O12" i="18" s="1"/>
  <c r="F12" i="18"/>
  <c r="O11" i="18"/>
  <c r="P11" i="18" s="1"/>
  <c r="P12" i="18" s="1"/>
  <c r="P13" i="18" s="1"/>
  <c r="L11" i="18"/>
  <c r="M11" i="18" s="1"/>
  <c r="N11" i="18" s="1"/>
  <c r="N12" i="18" s="1"/>
  <c r="N13" i="18" s="1"/>
  <c r="N14" i="18" s="1"/>
  <c r="N15" i="18" s="1"/>
  <c r="N16" i="18" s="1"/>
  <c r="N17" i="18" s="1"/>
  <c r="N18" i="18" s="1"/>
  <c r="N19" i="18" s="1"/>
  <c r="N20" i="18" s="1"/>
  <c r="N21" i="18" s="1"/>
  <c r="N22" i="18" s="1"/>
  <c r="F11" i="18"/>
  <c r="M4" i="18"/>
  <c r="L1" i="18"/>
  <c r="E26" i="18" s="1"/>
  <c r="C3" i="32"/>
  <c r="I71" i="32"/>
  <c r="E16" i="32"/>
  <c r="H14" i="32"/>
  <c r="L14" i="32" s="1"/>
  <c r="F14" i="32"/>
  <c r="P13" i="32"/>
  <c r="O13" i="32"/>
  <c r="L13" i="32"/>
  <c r="F13" i="32"/>
  <c r="H12" i="32"/>
  <c r="L12" i="32" s="1"/>
  <c r="F12" i="32"/>
  <c r="P11" i="32"/>
  <c r="O11" i="32"/>
  <c r="L11" i="32"/>
  <c r="F11" i="32"/>
  <c r="P10" i="32"/>
  <c r="Q10" i="32" s="1"/>
  <c r="Q11" i="32" s="1"/>
  <c r="Q13" i="32" s="1"/>
  <c r="M3" i="32" s="1"/>
  <c r="O10" i="32"/>
  <c r="L10" i="32"/>
  <c r="M10" i="32" s="1"/>
  <c r="F10" i="32"/>
  <c r="M4" i="32"/>
  <c r="L1" i="32"/>
  <c r="C3" i="31"/>
  <c r="M15" i="31"/>
  <c r="J15" i="31"/>
  <c r="M14" i="31"/>
  <c r="J14" i="31"/>
  <c r="M13" i="31"/>
  <c r="M12" i="31"/>
  <c r="J12" i="31"/>
  <c r="M11" i="31"/>
  <c r="J11" i="31"/>
  <c r="M10" i="31"/>
  <c r="N10" i="31" s="1"/>
  <c r="N11" i="31" s="1"/>
  <c r="N12" i="31" s="1"/>
  <c r="N13" i="31" s="1"/>
  <c r="N14" i="31" s="1"/>
  <c r="N15" i="31" s="1"/>
  <c r="I3" i="31" s="1"/>
  <c r="J10" i="31"/>
  <c r="K10" i="31" s="1"/>
  <c r="I4" i="31"/>
  <c r="D16" i="31"/>
  <c r="H1" i="31"/>
  <c r="C3" i="63"/>
  <c r="AB19" i="1"/>
  <c r="I19" i="1"/>
  <c r="E15" i="114"/>
  <c r="E14" i="114"/>
  <c r="E18" i="114" s="1"/>
  <c r="T19" i="1" s="1"/>
  <c r="E12" i="114"/>
  <c r="X45" i="114"/>
  <c r="W45" i="114"/>
  <c r="V45" i="114"/>
  <c r="T45" i="114"/>
  <c r="O45" i="114"/>
  <c r="N45" i="114"/>
  <c r="M45" i="114"/>
  <c r="K45" i="114"/>
  <c r="W44" i="114"/>
  <c r="V44" i="114"/>
  <c r="T44" i="114"/>
  <c r="N44" i="114"/>
  <c r="M44" i="114"/>
  <c r="K44" i="114"/>
  <c r="W42" i="114"/>
  <c r="E2" i="114" s="1"/>
  <c r="V42" i="114"/>
  <c r="T42" i="114"/>
  <c r="N42" i="114"/>
  <c r="M42" i="114"/>
  <c r="K42" i="114"/>
  <c r="X39" i="114"/>
  <c r="O39" i="114"/>
  <c r="P39" i="114" s="1"/>
  <c r="X38" i="114"/>
  <c r="AB38" i="114" s="1"/>
  <c r="O38" i="114"/>
  <c r="P38" i="114" s="1"/>
  <c r="X37" i="114"/>
  <c r="AB37" i="114" s="1"/>
  <c r="O37" i="114"/>
  <c r="P37" i="114" s="1"/>
  <c r="X36" i="114"/>
  <c r="AB36" i="114" s="1"/>
  <c r="O36" i="114"/>
  <c r="P36" i="114" s="1"/>
  <c r="X35" i="114"/>
  <c r="O35" i="114"/>
  <c r="X34" i="114"/>
  <c r="O34" i="114"/>
  <c r="P34" i="114" s="1"/>
  <c r="X33" i="114"/>
  <c r="O33" i="114"/>
  <c r="P33" i="114" s="1"/>
  <c r="X32" i="114"/>
  <c r="AB32" i="114" s="1"/>
  <c r="O32" i="114"/>
  <c r="E16" i="114"/>
  <c r="E11" i="114"/>
  <c r="E24" i="63"/>
  <c r="F24" i="63" s="1"/>
  <c r="O22" i="63"/>
  <c r="L22" i="63"/>
  <c r="F22" i="63"/>
  <c r="O21" i="63"/>
  <c r="L21" i="63"/>
  <c r="F21" i="63"/>
  <c r="O20" i="63"/>
  <c r="L20" i="63"/>
  <c r="F20" i="63"/>
  <c r="H19" i="63"/>
  <c r="O19" i="63" s="1"/>
  <c r="F19" i="63"/>
  <c r="O18" i="63"/>
  <c r="L18" i="63"/>
  <c r="F18" i="63"/>
  <c r="H17" i="63"/>
  <c r="O17" i="63" s="1"/>
  <c r="F17" i="63"/>
  <c r="O16" i="63"/>
  <c r="L16" i="63"/>
  <c r="F16" i="63"/>
  <c r="O15" i="63"/>
  <c r="L15" i="63"/>
  <c r="F15" i="63"/>
  <c r="L14" i="63"/>
  <c r="F14" i="63"/>
  <c r="O13" i="63"/>
  <c r="P13" i="63" s="1"/>
  <c r="L13" i="63"/>
  <c r="F13" i="63"/>
  <c r="P12" i="63"/>
  <c r="L12" i="63"/>
  <c r="T11" i="63"/>
  <c r="P11" i="63"/>
  <c r="L11" i="63"/>
  <c r="O10" i="63"/>
  <c r="P10" i="63" s="1"/>
  <c r="M10" i="63"/>
  <c r="M11" i="63" s="1"/>
  <c r="L10" i="63"/>
  <c r="U10" i="63" s="1"/>
  <c r="V10" i="63" s="1"/>
  <c r="F10" i="63"/>
  <c r="M4" i="63"/>
  <c r="I13" i="1"/>
  <c r="U13" i="1"/>
  <c r="F12" i="68" s="1"/>
  <c r="AB13" i="1"/>
  <c r="C3" i="16"/>
  <c r="E15" i="113"/>
  <c r="E14" i="113"/>
  <c r="E12" i="113"/>
  <c r="J64" i="113"/>
  <c r="AB56" i="113"/>
  <c r="W56" i="113"/>
  <c r="V56" i="113"/>
  <c r="T56" i="113"/>
  <c r="N56" i="113"/>
  <c r="M56" i="113"/>
  <c r="K56" i="113"/>
  <c r="W55" i="113"/>
  <c r="V55" i="113"/>
  <c r="T55" i="113"/>
  <c r="N55" i="113"/>
  <c r="M55" i="113"/>
  <c r="K55" i="113"/>
  <c r="X53" i="113"/>
  <c r="W53" i="113"/>
  <c r="E2" i="113" s="1"/>
  <c r="V53" i="113"/>
  <c r="T53" i="113"/>
  <c r="N53" i="113"/>
  <c r="M53" i="113"/>
  <c r="K53" i="113"/>
  <c r="X51" i="113"/>
  <c r="O51" i="113"/>
  <c r="P51" i="113" s="1"/>
  <c r="AB50" i="113"/>
  <c r="X50" i="113"/>
  <c r="AA50" i="113" s="1"/>
  <c r="O50" i="113"/>
  <c r="P50" i="113" s="1"/>
  <c r="X49" i="113"/>
  <c r="AB49" i="113" s="1"/>
  <c r="O49" i="113"/>
  <c r="P49" i="113" s="1"/>
  <c r="AB48" i="113"/>
  <c r="AA48" i="113"/>
  <c r="Y48" i="113"/>
  <c r="X48" i="113"/>
  <c r="O48" i="113"/>
  <c r="P48" i="113" s="1"/>
  <c r="X47" i="113"/>
  <c r="AB47" i="113" s="1"/>
  <c r="O47" i="113"/>
  <c r="P47" i="113" s="1"/>
  <c r="X46" i="113"/>
  <c r="P46" i="113"/>
  <c r="O46" i="113"/>
  <c r="X45" i="113"/>
  <c r="AB45" i="113" s="1"/>
  <c r="O45" i="113"/>
  <c r="P45" i="113" s="1"/>
  <c r="X44" i="113"/>
  <c r="O44" i="113"/>
  <c r="AB43" i="113"/>
  <c r="X43" i="113"/>
  <c r="AA43" i="113" s="1"/>
  <c r="O43" i="113"/>
  <c r="P43" i="113" s="1"/>
  <c r="X42" i="113"/>
  <c r="AB42" i="113" s="1"/>
  <c r="O42" i="113"/>
  <c r="P42" i="113" s="1"/>
  <c r="AB41" i="113"/>
  <c r="AA41" i="113"/>
  <c r="Y41" i="113"/>
  <c r="X41" i="113"/>
  <c r="O41" i="113"/>
  <c r="P41" i="113" s="1"/>
  <c r="X40" i="113"/>
  <c r="AB40" i="113" s="1"/>
  <c r="O40" i="113"/>
  <c r="P40" i="113" s="1"/>
  <c r="X39" i="113"/>
  <c r="P39" i="113"/>
  <c r="O39" i="113"/>
  <c r="X38" i="113"/>
  <c r="AB38" i="113" s="1"/>
  <c r="O38" i="113"/>
  <c r="P38" i="113" s="1"/>
  <c r="X37" i="113"/>
  <c r="O37" i="113"/>
  <c r="P37" i="113" s="1"/>
  <c r="AB36" i="113"/>
  <c r="X36" i="113"/>
  <c r="AA36" i="113" s="1"/>
  <c r="O36" i="113"/>
  <c r="P36" i="113" s="1"/>
  <c r="X35" i="113"/>
  <c r="X56" i="113" s="1"/>
  <c r="O35" i="113"/>
  <c r="O56" i="113" s="1"/>
  <c r="AB34" i="113"/>
  <c r="AA34" i="113"/>
  <c r="Y34" i="113"/>
  <c r="X34" i="113"/>
  <c r="O34" i="113"/>
  <c r="P34" i="113" s="1"/>
  <c r="J34" i="113"/>
  <c r="X33" i="113"/>
  <c r="AB33" i="113" s="1"/>
  <c r="O33" i="113"/>
  <c r="X32" i="113"/>
  <c r="O32" i="113"/>
  <c r="P32" i="113" s="1"/>
  <c r="E18" i="113"/>
  <c r="E16" i="113"/>
  <c r="E11" i="113"/>
  <c r="O89" i="16"/>
  <c r="F89" i="16"/>
  <c r="O88" i="16"/>
  <c r="L88" i="16"/>
  <c r="F88" i="16"/>
  <c r="H87" i="16"/>
  <c r="L87" i="16" s="1"/>
  <c r="O87" i="16" s="1"/>
  <c r="F87" i="16"/>
  <c r="L86" i="16"/>
  <c r="O86" i="16" s="1"/>
  <c r="F86" i="16"/>
  <c r="O85" i="16"/>
  <c r="F85" i="16"/>
  <c r="L84" i="16"/>
  <c r="F84" i="16"/>
  <c r="L83" i="16"/>
  <c r="F83" i="16"/>
  <c r="L82" i="16"/>
  <c r="F82" i="16"/>
  <c r="F81" i="16"/>
  <c r="O80" i="16"/>
  <c r="L80" i="16"/>
  <c r="F80" i="16"/>
  <c r="O79" i="16"/>
  <c r="H79" i="16"/>
  <c r="L79" i="16" s="1"/>
  <c r="F79" i="16"/>
  <c r="O78" i="16"/>
  <c r="L78" i="16"/>
  <c r="F78" i="16"/>
  <c r="F77" i="16"/>
  <c r="O76" i="16"/>
  <c r="L76" i="16"/>
  <c r="F76" i="16"/>
  <c r="F75" i="16"/>
  <c r="L74" i="16"/>
  <c r="F74" i="16"/>
  <c r="O73" i="16"/>
  <c r="L73" i="16"/>
  <c r="F73" i="16"/>
  <c r="F72" i="16"/>
  <c r="Q71" i="16"/>
  <c r="H71" i="16"/>
  <c r="O71" i="16" s="1"/>
  <c r="F71" i="16"/>
  <c r="Q70" i="16"/>
  <c r="L70" i="16"/>
  <c r="F70" i="16"/>
  <c r="O69" i="16"/>
  <c r="L69" i="16"/>
  <c r="F69" i="16"/>
  <c r="F68" i="16"/>
  <c r="O67" i="16"/>
  <c r="L67" i="16"/>
  <c r="F67" i="16"/>
  <c r="H66" i="16"/>
  <c r="L66" i="16" s="1"/>
  <c r="F66" i="16"/>
  <c r="F65" i="16"/>
  <c r="L64" i="16"/>
  <c r="F64" i="16"/>
  <c r="O63" i="16"/>
  <c r="L63" i="16"/>
  <c r="F63" i="16"/>
  <c r="H62" i="16"/>
  <c r="L62" i="16" s="1"/>
  <c r="F62" i="16"/>
  <c r="L61" i="16"/>
  <c r="F61" i="16"/>
  <c r="F60" i="16"/>
  <c r="O59" i="16"/>
  <c r="J59" i="16"/>
  <c r="L59" i="16" s="1"/>
  <c r="F59" i="16"/>
  <c r="L58" i="16"/>
  <c r="F58" i="16"/>
  <c r="F57" i="16"/>
  <c r="H56" i="16"/>
  <c r="L56" i="16" s="1"/>
  <c r="F56" i="16"/>
  <c r="L55" i="16"/>
  <c r="F55" i="16"/>
  <c r="F54" i="16"/>
  <c r="L53" i="16"/>
  <c r="J53" i="16"/>
  <c r="F53" i="16"/>
  <c r="L52" i="16"/>
  <c r="F52" i="16"/>
  <c r="F51" i="16"/>
  <c r="L50" i="16"/>
  <c r="F50" i="16"/>
  <c r="O49" i="16"/>
  <c r="L49" i="16"/>
  <c r="F49" i="16"/>
  <c r="F48" i="16"/>
  <c r="O47" i="16"/>
  <c r="H47" i="16"/>
  <c r="L47" i="16" s="1"/>
  <c r="F47" i="16"/>
  <c r="O46" i="16"/>
  <c r="L46" i="16"/>
  <c r="F46" i="16"/>
  <c r="L45" i="16"/>
  <c r="H45" i="16"/>
  <c r="O45" i="16" s="1"/>
  <c r="O44" i="16"/>
  <c r="L44" i="16"/>
  <c r="O43" i="16"/>
  <c r="L43" i="16"/>
  <c r="O42" i="16"/>
  <c r="L42" i="16"/>
  <c r="F42" i="16"/>
  <c r="L41" i="16"/>
  <c r="J41" i="16"/>
  <c r="O41" i="16" s="1"/>
  <c r="F41" i="16"/>
  <c r="O40" i="16"/>
  <c r="L40" i="16"/>
  <c r="F40" i="16"/>
  <c r="J39" i="16"/>
  <c r="O39" i="16" s="1"/>
  <c r="F39" i="16"/>
  <c r="H38" i="16"/>
  <c r="O38" i="16" s="1"/>
  <c r="F38" i="16"/>
  <c r="O37" i="16"/>
  <c r="L37" i="16"/>
  <c r="F37" i="16"/>
  <c r="H36" i="16"/>
  <c r="O36" i="16" s="1"/>
  <c r="F36" i="16"/>
  <c r="O35" i="16"/>
  <c r="H35" i="16"/>
  <c r="L35" i="16" s="1"/>
  <c r="F35" i="16"/>
  <c r="O34" i="16"/>
  <c r="L34" i="16"/>
  <c r="F34" i="16"/>
  <c r="O33" i="16"/>
  <c r="L33" i="16"/>
  <c r="F33" i="16"/>
  <c r="O32" i="16"/>
  <c r="L32" i="16"/>
  <c r="F32" i="16"/>
  <c r="H31" i="16"/>
  <c r="O31" i="16" s="1"/>
  <c r="F31" i="16"/>
  <c r="O30" i="16"/>
  <c r="L30" i="16"/>
  <c r="F30" i="16"/>
  <c r="V29" i="16"/>
  <c r="O29" i="16"/>
  <c r="L29" i="16"/>
  <c r="F29" i="16"/>
  <c r="O28" i="16"/>
  <c r="P28" i="16" s="1"/>
  <c r="L28" i="16"/>
  <c r="V28" i="16" s="1"/>
  <c r="W28" i="16" s="1"/>
  <c r="F28" i="16"/>
  <c r="D19" i="16"/>
  <c r="D15" i="16"/>
  <c r="D8" i="16"/>
  <c r="D10" i="16" s="1"/>
  <c r="M4" i="16"/>
  <c r="N3" i="16"/>
  <c r="E91" i="16"/>
  <c r="F91" i="16" s="1"/>
  <c r="K40" i="14"/>
  <c r="N40" i="14" s="1"/>
  <c r="E40" i="14"/>
  <c r="K39" i="14"/>
  <c r="N39" i="14" s="1"/>
  <c r="E39" i="14"/>
  <c r="K38" i="14"/>
  <c r="N38" i="14" s="1"/>
  <c r="E38" i="14"/>
  <c r="K37" i="14"/>
  <c r="N37" i="14" s="1"/>
  <c r="E37" i="14"/>
  <c r="N36" i="14"/>
  <c r="K36" i="14"/>
  <c r="E36" i="14"/>
  <c r="K35" i="14"/>
  <c r="N35" i="14" s="1"/>
  <c r="E35" i="14"/>
  <c r="K34" i="14"/>
  <c r="N34" i="14" s="1"/>
  <c r="E34" i="14"/>
  <c r="K33" i="14"/>
  <c r="E33" i="14"/>
  <c r="K32" i="14"/>
  <c r="E32" i="14"/>
  <c r="N31" i="14"/>
  <c r="K31" i="14"/>
  <c r="E31" i="14"/>
  <c r="K30" i="14"/>
  <c r="N30" i="14" s="1"/>
  <c r="E30" i="14"/>
  <c r="K29" i="14"/>
  <c r="N29" i="14" s="1"/>
  <c r="E29" i="14"/>
  <c r="K28" i="14"/>
  <c r="N28" i="14" s="1"/>
  <c r="E28" i="14"/>
  <c r="K27" i="14"/>
  <c r="N27" i="14" s="1"/>
  <c r="E27" i="14"/>
  <c r="K26" i="14"/>
  <c r="E26" i="14"/>
  <c r="K25" i="14"/>
  <c r="N25" i="14" s="1"/>
  <c r="E25" i="14"/>
  <c r="N24" i="14"/>
  <c r="K24" i="14"/>
  <c r="E24" i="14"/>
  <c r="K23" i="14"/>
  <c r="N23" i="14" s="1"/>
  <c r="E23" i="14"/>
  <c r="K22" i="14"/>
  <c r="N22" i="14" s="1"/>
  <c r="E22" i="14"/>
  <c r="K21" i="14"/>
  <c r="N21" i="14" s="1"/>
  <c r="E21" i="14"/>
  <c r="K20" i="14"/>
  <c r="N20" i="14" s="1"/>
  <c r="E20" i="14"/>
  <c r="N19" i="14"/>
  <c r="K19" i="14"/>
  <c r="E19" i="14"/>
  <c r="K18" i="14"/>
  <c r="N18" i="14" s="1"/>
  <c r="E18" i="14"/>
  <c r="N17" i="14"/>
  <c r="K17" i="14"/>
  <c r="E17" i="14"/>
  <c r="G16" i="14"/>
  <c r="K16" i="14" s="1"/>
  <c r="N16" i="14" s="1"/>
  <c r="E16" i="14"/>
  <c r="K15" i="14"/>
  <c r="N15" i="14" s="1"/>
  <c r="G15" i="14"/>
  <c r="E15" i="14"/>
  <c r="I14" i="14"/>
  <c r="K14" i="14" s="1"/>
  <c r="N14" i="14" s="1"/>
  <c r="E14" i="14"/>
  <c r="K13" i="14"/>
  <c r="N13" i="14" s="1"/>
  <c r="E13" i="14"/>
  <c r="K12" i="14"/>
  <c r="N12" i="14" s="1"/>
  <c r="E12" i="14"/>
  <c r="K11" i="14"/>
  <c r="E11" i="14"/>
  <c r="K4" i="14"/>
  <c r="E15" i="132" s="1"/>
  <c r="E18" i="132" s="1"/>
  <c r="T12" i="1" s="1"/>
  <c r="D42" i="14"/>
  <c r="O10" i="112"/>
  <c r="P10" i="112" s="1"/>
  <c r="M3" i="112" s="1"/>
  <c r="L10" i="112"/>
  <c r="M10" i="112" s="1"/>
  <c r="F10" i="112"/>
  <c r="M4" i="112"/>
  <c r="C3" i="112"/>
  <c r="E14" i="112" s="1"/>
  <c r="X42" i="111"/>
  <c r="AK42" i="111" s="1"/>
  <c r="W42" i="111"/>
  <c r="V42" i="111"/>
  <c r="T42" i="111"/>
  <c r="O42" i="111"/>
  <c r="N42" i="111"/>
  <c r="M42" i="111"/>
  <c r="K42" i="111"/>
  <c r="W41" i="111"/>
  <c r="V41" i="111"/>
  <c r="T41" i="111"/>
  <c r="O41" i="111"/>
  <c r="N41" i="111"/>
  <c r="M41" i="111"/>
  <c r="K41" i="111"/>
  <c r="W39" i="111"/>
  <c r="E2" i="111" s="1"/>
  <c r="V39" i="111"/>
  <c r="T39" i="111"/>
  <c r="O39" i="111"/>
  <c r="N39" i="111"/>
  <c r="M39" i="111"/>
  <c r="K39" i="111"/>
  <c r="X37" i="111"/>
  <c r="AK37" i="111" s="1"/>
  <c r="X36" i="111"/>
  <c r="AK36" i="111" s="1"/>
  <c r="AK35" i="111"/>
  <c r="X35" i="111"/>
  <c r="AJ35" i="111" s="1"/>
  <c r="X34" i="111"/>
  <c r="AK34" i="111" s="1"/>
  <c r="X33" i="111"/>
  <c r="AK33" i="111" s="1"/>
  <c r="AK32" i="111"/>
  <c r="AJ32" i="111"/>
  <c r="Y32" i="111"/>
  <c r="X32" i="111"/>
  <c r="X41" i="111" s="1"/>
  <c r="E15" i="111"/>
  <c r="L14" i="85"/>
  <c r="O11" i="85"/>
  <c r="P11" i="85" s="1"/>
  <c r="M3" i="85" s="1"/>
  <c r="O3" i="85" s="1"/>
  <c r="L11" i="85"/>
  <c r="F11" i="85"/>
  <c r="O10" i="85"/>
  <c r="P10" i="85" s="1"/>
  <c r="L10" i="85"/>
  <c r="M10" i="85" s="1"/>
  <c r="N10" i="85" s="1"/>
  <c r="F10" i="85"/>
  <c r="M4" i="85"/>
  <c r="L1" i="85"/>
  <c r="P16" i="82"/>
  <c r="M16" i="82"/>
  <c r="M15" i="82"/>
  <c r="F15" i="82"/>
  <c r="M14" i="82"/>
  <c r="F14" i="82"/>
  <c r="P13" i="82"/>
  <c r="M13" i="82"/>
  <c r="M12" i="82"/>
  <c r="F12" i="82"/>
  <c r="M11" i="82"/>
  <c r="F11" i="82"/>
  <c r="P10" i="82"/>
  <c r="Q10" i="82" s="1"/>
  <c r="Q11" i="82" s="1"/>
  <c r="Q12" i="82" s="1"/>
  <c r="Q13" i="82" s="1"/>
  <c r="Q14" i="82" s="1"/>
  <c r="Q15" i="82" s="1"/>
  <c r="Q16" i="82" s="1"/>
  <c r="N3" i="82" s="1"/>
  <c r="P3" i="82" s="1"/>
  <c r="M10" i="82"/>
  <c r="N10" i="82" s="1"/>
  <c r="F10" i="82"/>
  <c r="N4" i="82"/>
  <c r="E19" i="82"/>
  <c r="F19" i="82" s="1"/>
  <c r="M1" i="82"/>
  <c r="C98" i="10"/>
  <c r="E85" i="10"/>
  <c r="E87" i="10" s="1"/>
  <c r="E90" i="10" s="1"/>
  <c r="D66" i="10"/>
  <c r="CX55" i="10"/>
  <c r="CW55" i="10"/>
  <c r="D55" i="10"/>
  <c r="CX54" i="10"/>
  <c r="CW54" i="10"/>
  <c r="CX53" i="10"/>
  <c r="CW53" i="10"/>
  <c r="CX52" i="10"/>
  <c r="CW52" i="10"/>
  <c r="CX51" i="10"/>
  <c r="CW51" i="10"/>
  <c r="CX50" i="10"/>
  <c r="CW50" i="10"/>
  <c r="CX49" i="10"/>
  <c r="CW49" i="10"/>
  <c r="CX48" i="10"/>
  <c r="CW48" i="10"/>
  <c r="CX47" i="10"/>
  <c r="CW47" i="10"/>
  <c r="E47" i="10"/>
  <c r="C47" i="10"/>
  <c r="CX46" i="10"/>
  <c r="CW46" i="10"/>
  <c r="CX45" i="10"/>
  <c r="CW45" i="10"/>
  <c r="CX44" i="10"/>
  <c r="CW44" i="10"/>
  <c r="B44" i="10"/>
  <c r="C44" i="10" s="1"/>
  <c r="CX43" i="10"/>
  <c r="CW43" i="10"/>
  <c r="CX42" i="10"/>
  <c r="CW42" i="10"/>
  <c r="CX41" i="10"/>
  <c r="CW41" i="10"/>
  <c r="CX40" i="10"/>
  <c r="CW40" i="10"/>
  <c r="C40" i="10"/>
  <c r="CX39" i="10"/>
  <c r="CW39" i="10"/>
  <c r="CX38" i="10"/>
  <c r="CW38" i="10"/>
  <c r="CX37" i="10"/>
  <c r="CW37" i="10"/>
  <c r="CX36" i="10"/>
  <c r="CW36" i="10"/>
  <c r="B36" i="10"/>
  <c r="CX35" i="10"/>
  <c r="CW35" i="10"/>
  <c r="CX34" i="10"/>
  <c r="CW34" i="10"/>
  <c r="CW33" i="10"/>
  <c r="BS33" i="10"/>
  <c r="CX33" i="10" s="1"/>
  <c r="AJ33" i="10"/>
  <c r="AJ34" i="10" s="1"/>
  <c r="AJ35" i="10" s="1"/>
  <c r="AJ36" i="10" s="1"/>
  <c r="AJ37" i="10" s="1"/>
  <c r="AJ38" i="10" s="1"/>
  <c r="AJ39" i="10" s="1"/>
  <c r="AJ40" i="10" s="1"/>
  <c r="AJ41" i="10" s="1"/>
  <c r="AJ42" i="10" s="1"/>
  <c r="AJ43" i="10" s="1"/>
  <c r="AJ44" i="10" s="1"/>
  <c r="AJ45" i="10" s="1"/>
  <c r="AJ46" i="10" s="1"/>
  <c r="AJ47" i="10" s="1"/>
  <c r="AJ48" i="10" s="1"/>
  <c r="AJ49" i="10" s="1"/>
  <c r="AJ50" i="10" s="1"/>
  <c r="AJ51" i="10" s="1"/>
  <c r="AJ52" i="10" s="1"/>
  <c r="AJ53" i="10" s="1"/>
  <c r="AJ54" i="10" s="1"/>
  <c r="AJ55" i="10" s="1"/>
  <c r="AF33" i="10"/>
  <c r="AF34" i="10" s="1"/>
  <c r="AF35" i="10" s="1"/>
  <c r="AF36" i="10" s="1"/>
  <c r="AF37" i="10" s="1"/>
  <c r="AF38" i="10" s="1"/>
  <c r="AF39" i="10" s="1"/>
  <c r="AF40" i="10" s="1"/>
  <c r="AF41" i="10" s="1"/>
  <c r="AF42" i="10" s="1"/>
  <c r="AF43" i="10" s="1"/>
  <c r="AF44" i="10" s="1"/>
  <c r="AF45" i="10" s="1"/>
  <c r="AF46" i="10" s="1"/>
  <c r="AF47" i="10" s="1"/>
  <c r="AF48" i="10" s="1"/>
  <c r="AF49" i="10" s="1"/>
  <c r="AF50" i="10" s="1"/>
  <c r="AF51" i="10" s="1"/>
  <c r="AF52" i="10" s="1"/>
  <c r="AF53" i="10" s="1"/>
  <c r="AF54" i="10" s="1"/>
  <c r="AF55" i="10" s="1"/>
  <c r="AB33" i="10"/>
  <c r="AB34" i="10" s="1"/>
  <c r="AB35" i="10" s="1"/>
  <c r="AB36" i="10" s="1"/>
  <c r="AB37" i="10" s="1"/>
  <c r="AB38" i="10" s="1"/>
  <c r="AB39" i="10" s="1"/>
  <c r="AB40" i="10" s="1"/>
  <c r="AB41" i="10" s="1"/>
  <c r="AB42" i="10" s="1"/>
  <c r="AB43" i="10" s="1"/>
  <c r="AB44" i="10" s="1"/>
  <c r="AB45" i="10" s="1"/>
  <c r="AB46" i="10" s="1"/>
  <c r="AB47" i="10" s="1"/>
  <c r="AB48" i="10" s="1"/>
  <c r="AB49" i="10" s="1"/>
  <c r="AB50" i="10" s="1"/>
  <c r="AB51" i="10" s="1"/>
  <c r="AB52" i="10" s="1"/>
  <c r="AB53" i="10" s="1"/>
  <c r="AB54" i="10" s="1"/>
  <c r="AB55" i="10" s="1"/>
  <c r="CW32" i="10"/>
  <c r="BS32" i="10"/>
  <c r="CX32" i="10" s="1"/>
  <c r="CW31" i="10"/>
  <c r="CV31" i="10"/>
  <c r="CV32" i="10" s="1"/>
  <c r="CV33" i="10" s="1"/>
  <c r="CV34" i="10" s="1"/>
  <c r="CV35" i="10" s="1"/>
  <c r="CV36" i="10" s="1"/>
  <c r="CV37" i="10" s="1"/>
  <c r="CV38" i="10" s="1"/>
  <c r="CV39" i="10" s="1"/>
  <c r="CV40" i="10" s="1"/>
  <c r="CV41" i="10" s="1"/>
  <c r="CV42" i="10" s="1"/>
  <c r="CV43" i="10" s="1"/>
  <c r="CV44" i="10" s="1"/>
  <c r="CV45" i="10" s="1"/>
  <c r="CV46" i="10" s="1"/>
  <c r="CV47" i="10" s="1"/>
  <c r="CV48" i="10" s="1"/>
  <c r="CV49" i="10" s="1"/>
  <c r="CV50" i="10" s="1"/>
  <c r="CV51" i="10" s="1"/>
  <c r="CV52" i="10" s="1"/>
  <c r="CV53" i="10" s="1"/>
  <c r="CV54" i="10" s="1"/>
  <c r="CV55" i="10" s="1"/>
  <c r="CR31" i="10"/>
  <c r="CR32" i="10" s="1"/>
  <c r="CR33" i="10" s="1"/>
  <c r="CR34" i="10" s="1"/>
  <c r="CR35" i="10" s="1"/>
  <c r="CR36" i="10" s="1"/>
  <c r="CR37" i="10" s="1"/>
  <c r="CR38" i="10" s="1"/>
  <c r="CR39" i="10" s="1"/>
  <c r="CR40" i="10" s="1"/>
  <c r="CR41" i="10" s="1"/>
  <c r="CR42" i="10" s="1"/>
  <c r="CR43" i="10" s="1"/>
  <c r="CR44" i="10" s="1"/>
  <c r="CR45" i="10" s="1"/>
  <c r="CR46" i="10" s="1"/>
  <c r="CR47" i="10" s="1"/>
  <c r="CR48" i="10" s="1"/>
  <c r="CR49" i="10" s="1"/>
  <c r="CR50" i="10" s="1"/>
  <c r="CR51" i="10" s="1"/>
  <c r="CR52" i="10" s="1"/>
  <c r="CR53" i="10" s="1"/>
  <c r="CR54" i="10" s="1"/>
  <c r="CR55" i="10" s="1"/>
  <c r="BS31" i="10"/>
  <c r="CX31" i="10" s="1"/>
  <c r="CW30" i="10"/>
  <c r="BS30" i="10"/>
  <c r="CX30" i="10" s="1"/>
  <c r="X30" i="10"/>
  <c r="X31" i="10" s="1"/>
  <c r="X32" i="10" s="1"/>
  <c r="X33" i="10" s="1"/>
  <c r="X34" i="10" s="1"/>
  <c r="X35" i="10" s="1"/>
  <c r="X36" i="10" s="1"/>
  <c r="X37" i="10" s="1"/>
  <c r="X38" i="10" s="1"/>
  <c r="X39" i="10" s="1"/>
  <c r="X40" i="10" s="1"/>
  <c r="X41" i="10" s="1"/>
  <c r="X42" i="10" s="1"/>
  <c r="X43" i="10" s="1"/>
  <c r="X44" i="10" s="1"/>
  <c r="X45" i="10" s="1"/>
  <c r="X46" i="10" s="1"/>
  <c r="X47" i="10" s="1"/>
  <c r="X48" i="10" s="1"/>
  <c r="X49" i="10" s="1"/>
  <c r="X50" i="10" s="1"/>
  <c r="X51" i="10" s="1"/>
  <c r="X52" i="10" s="1"/>
  <c r="X53" i="10" s="1"/>
  <c r="X54" i="10" s="1"/>
  <c r="X55" i="10" s="1"/>
  <c r="CW29" i="10"/>
  <c r="CN29" i="10"/>
  <c r="CN30" i="10" s="1"/>
  <c r="CN31" i="10" s="1"/>
  <c r="CN32" i="10" s="1"/>
  <c r="CN33" i="10" s="1"/>
  <c r="CN34" i="10" s="1"/>
  <c r="CN35" i="10" s="1"/>
  <c r="CN36" i="10" s="1"/>
  <c r="CN37" i="10" s="1"/>
  <c r="CN38" i="10" s="1"/>
  <c r="CN39" i="10" s="1"/>
  <c r="CN40" i="10" s="1"/>
  <c r="CN41" i="10" s="1"/>
  <c r="CN42" i="10" s="1"/>
  <c r="CN43" i="10" s="1"/>
  <c r="CN44" i="10" s="1"/>
  <c r="CN45" i="10" s="1"/>
  <c r="CN46" i="10" s="1"/>
  <c r="CN47" i="10" s="1"/>
  <c r="CN48" i="10" s="1"/>
  <c r="CN49" i="10" s="1"/>
  <c r="CN50" i="10" s="1"/>
  <c r="CN51" i="10" s="1"/>
  <c r="CN52" i="10" s="1"/>
  <c r="CN53" i="10" s="1"/>
  <c r="CN54" i="10" s="1"/>
  <c r="CN55" i="10" s="1"/>
  <c r="BS29" i="10"/>
  <c r="CX29" i="10" s="1"/>
  <c r="C29" i="10"/>
  <c r="CW28" i="10"/>
  <c r="BS28" i="10"/>
  <c r="CX28" i="10" s="1"/>
  <c r="CW27" i="10"/>
  <c r="BS27" i="10"/>
  <c r="CX27" i="10" s="1"/>
  <c r="CW26" i="10"/>
  <c r="CJ26" i="10"/>
  <c r="CJ27" i="10" s="1"/>
  <c r="CJ28" i="10" s="1"/>
  <c r="CJ29" i="10" s="1"/>
  <c r="CJ30" i="10" s="1"/>
  <c r="CJ31" i="10" s="1"/>
  <c r="CJ32" i="10" s="1"/>
  <c r="CJ33" i="10" s="1"/>
  <c r="CJ34" i="10" s="1"/>
  <c r="CJ35" i="10" s="1"/>
  <c r="CJ36" i="10" s="1"/>
  <c r="CJ37" i="10" s="1"/>
  <c r="CJ38" i="10" s="1"/>
  <c r="CJ39" i="10" s="1"/>
  <c r="CJ40" i="10" s="1"/>
  <c r="CJ41" i="10" s="1"/>
  <c r="CJ42" i="10" s="1"/>
  <c r="CJ43" i="10" s="1"/>
  <c r="CJ44" i="10" s="1"/>
  <c r="CJ45" i="10" s="1"/>
  <c r="CJ46" i="10" s="1"/>
  <c r="CJ47" i="10" s="1"/>
  <c r="CJ48" i="10" s="1"/>
  <c r="CJ49" i="10" s="1"/>
  <c r="CJ50" i="10" s="1"/>
  <c r="CJ51" i="10" s="1"/>
  <c r="CJ52" i="10" s="1"/>
  <c r="CJ53" i="10" s="1"/>
  <c r="CJ54" i="10" s="1"/>
  <c r="CJ55" i="10" s="1"/>
  <c r="CF26" i="10"/>
  <c r="CF27" i="10" s="1"/>
  <c r="CF28" i="10" s="1"/>
  <c r="CF29" i="10" s="1"/>
  <c r="CF30" i="10" s="1"/>
  <c r="CF31" i="10" s="1"/>
  <c r="CF32" i="10" s="1"/>
  <c r="CF33" i="10" s="1"/>
  <c r="CF34" i="10" s="1"/>
  <c r="CF35" i="10" s="1"/>
  <c r="CF36" i="10" s="1"/>
  <c r="CF37" i="10" s="1"/>
  <c r="CF38" i="10" s="1"/>
  <c r="CF39" i="10" s="1"/>
  <c r="CF40" i="10" s="1"/>
  <c r="CF41" i="10" s="1"/>
  <c r="CF42" i="10" s="1"/>
  <c r="CF43" i="10" s="1"/>
  <c r="CF44" i="10" s="1"/>
  <c r="CF45" i="10" s="1"/>
  <c r="CF46" i="10" s="1"/>
  <c r="CF47" i="10" s="1"/>
  <c r="CF48" i="10" s="1"/>
  <c r="CF49" i="10" s="1"/>
  <c r="CF50" i="10" s="1"/>
  <c r="CF51" i="10" s="1"/>
  <c r="CF52" i="10" s="1"/>
  <c r="CF53" i="10" s="1"/>
  <c r="CF54" i="10" s="1"/>
  <c r="CF55" i="10" s="1"/>
  <c r="BS26" i="10"/>
  <c r="CX26" i="10" s="1"/>
  <c r="CX25" i="10"/>
  <c r="CW25" i="10"/>
  <c r="CB25" i="10"/>
  <c r="CB26" i="10" s="1"/>
  <c r="CB27" i="10" s="1"/>
  <c r="CB28" i="10" s="1"/>
  <c r="CB29" i="10" s="1"/>
  <c r="CB30" i="10" s="1"/>
  <c r="CB31" i="10" s="1"/>
  <c r="CB32" i="10" s="1"/>
  <c r="CB33" i="10" s="1"/>
  <c r="CB34" i="10" s="1"/>
  <c r="CB35" i="10" s="1"/>
  <c r="CB36" i="10" s="1"/>
  <c r="CB37" i="10" s="1"/>
  <c r="CB38" i="10" s="1"/>
  <c r="CB39" i="10" s="1"/>
  <c r="CB40" i="10" s="1"/>
  <c r="CB41" i="10" s="1"/>
  <c r="CB42" i="10" s="1"/>
  <c r="CB43" i="10" s="1"/>
  <c r="CB44" i="10" s="1"/>
  <c r="CB45" i="10" s="1"/>
  <c r="CB46" i="10" s="1"/>
  <c r="CB47" i="10" s="1"/>
  <c r="CB48" i="10" s="1"/>
  <c r="CB49" i="10" s="1"/>
  <c r="CB50" i="10" s="1"/>
  <c r="CB51" i="10" s="1"/>
  <c r="CB52" i="10" s="1"/>
  <c r="CB53" i="10" s="1"/>
  <c r="CB54" i="10" s="1"/>
  <c r="CB55" i="10" s="1"/>
  <c r="BX25" i="10"/>
  <c r="BX26" i="10" s="1"/>
  <c r="BX27" i="10" s="1"/>
  <c r="BX28" i="10" s="1"/>
  <c r="BX29" i="10" s="1"/>
  <c r="BX30" i="10" s="1"/>
  <c r="BX31" i="10" s="1"/>
  <c r="BX32" i="10" s="1"/>
  <c r="BX33" i="10" s="1"/>
  <c r="BX34" i="10" s="1"/>
  <c r="BX35" i="10" s="1"/>
  <c r="BX36" i="10" s="1"/>
  <c r="BX37" i="10" s="1"/>
  <c r="BX38" i="10" s="1"/>
  <c r="BX39" i="10" s="1"/>
  <c r="BX40" i="10" s="1"/>
  <c r="BX41" i="10" s="1"/>
  <c r="BX42" i="10" s="1"/>
  <c r="BX43" i="10" s="1"/>
  <c r="BX44" i="10" s="1"/>
  <c r="BX45" i="10" s="1"/>
  <c r="BX46" i="10" s="1"/>
  <c r="BX47" i="10" s="1"/>
  <c r="BX48" i="10" s="1"/>
  <c r="BX49" i="10" s="1"/>
  <c r="BX50" i="10" s="1"/>
  <c r="BX51" i="10" s="1"/>
  <c r="BX52" i="10" s="1"/>
  <c r="BX53" i="10" s="1"/>
  <c r="BX54" i="10" s="1"/>
  <c r="BX55" i="10" s="1"/>
  <c r="BS25" i="10"/>
  <c r="CW24" i="10"/>
  <c r="BS24" i="10"/>
  <c r="BQ24" i="10"/>
  <c r="S24" i="10"/>
  <c r="CX23" i="10"/>
  <c r="CW23" i="10"/>
  <c r="CX22" i="10"/>
  <c r="CW22" i="10"/>
  <c r="CX21" i="10"/>
  <c r="CW21" i="10"/>
  <c r="CX20" i="10"/>
  <c r="AL20" i="10"/>
  <c r="N20" i="10"/>
  <c r="CW20" i="10" s="1"/>
  <c r="CX19" i="10"/>
  <c r="CW19" i="10"/>
  <c r="CX18" i="10"/>
  <c r="CW18" i="10"/>
  <c r="CX17" i="10"/>
  <c r="CW17" i="10"/>
  <c r="CX16" i="10"/>
  <c r="CW16" i="10"/>
  <c r="CX15" i="10"/>
  <c r="CW15" i="10"/>
  <c r="CX14" i="10"/>
  <c r="CW14" i="10"/>
  <c r="CX13" i="10"/>
  <c r="CW13" i="10"/>
  <c r="CX11" i="10"/>
  <c r="CW11" i="10"/>
  <c r="C11" i="10"/>
  <c r="CX10" i="10"/>
  <c r="CW10" i="10"/>
  <c r="CX9" i="10"/>
  <c r="CW9" i="10"/>
  <c r="C9" i="10"/>
  <c r="CX8" i="10"/>
  <c r="CW8" i="10"/>
  <c r="C8" i="10"/>
  <c r="CX7" i="10"/>
  <c r="CW7" i="10"/>
  <c r="C7" i="10"/>
  <c r="CX6" i="10"/>
  <c r="CW6" i="10"/>
  <c r="BT6" i="10"/>
  <c r="BT7" i="10" s="1"/>
  <c r="BT8" i="10" s="1"/>
  <c r="BT9" i="10" s="1"/>
  <c r="BT10" i="10" s="1"/>
  <c r="BT11" i="10" s="1"/>
  <c r="BT13" i="10" s="1"/>
  <c r="BT14" i="10" s="1"/>
  <c r="BT15" i="10" s="1"/>
  <c r="BT16" i="10" s="1"/>
  <c r="BT17" i="10" s="1"/>
  <c r="BT18" i="10" s="1"/>
  <c r="BT19" i="10" s="1"/>
  <c r="BT20" i="10" s="1"/>
  <c r="BT21" i="10" s="1"/>
  <c r="BT22" i="10" s="1"/>
  <c r="BT23" i="10" s="1"/>
  <c r="BP6" i="10"/>
  <c r="BP7" i="10" s="1"/>
  <c r="BP8" i="10" s="1"/>
  <c r="BP9" i="10" s="1"/>
  <c r="BP10" i="10" s="1"/>
  <c r="BP11" i="10" s="1"/>
  <c r="BP13" i="10" s="1"/>
  <c r="BP14" i="10" s="1"/>
  <c r="BP15" i="10" s="1"/>
  <c r="BP16" i="10" s="1"/>
  <c r="BP17" i="10" s="1"/>
  <c r="BP18" i="10" s="1"/>
  <c r="BP19" i="10" s="1"/>
  <c r="BP20" i="10" s="1"/>
  <c r="BP21" i="10" s="1"/>
  <c r="BP22" i="10" s="1"/>
  <c r="BP23" i="10" s="1"/>
  <c r="BP24" i="10" s="1"/>
  <c r="BP25" i="10" s="1"/>
  <c r="BP26" i="10" s="1"/>
  <c r="BP27" i="10" s="1"/>
  <c r="BP28" i="10" s="1"/>
  <c r="BP29" i="10" s="1"/>
  <c r="BP30" i="10" s="1"/>
  <c r="BP31" i="10" s="1"/>
  <c r="BP32" i="10" s="1"/>
  <c r="BP33" i="10" s="1"/>
  <c r="BP34" i="10" s="1"/>
  <c r="BP35" i="10" s="1"/>
  <c r="BP36" i="10" s="1"/>
  <c r="BP37" i="10" s="1"/>
  <c r="BP38" i="10" s="1"/>
  <c r="BP39" i="10" s="1"/>
  <c r="BP40" i="10" s="1"/>
  <c r="BP41" i="10" s="1"/>
  <c r="BP42" i="10" s="1"/>
  <c r="BP43" i="10" s="1"/>
  <c r="BP44" i="10" s="1"/>
  <c r="BP45" i="10" s="1"/>
  <c r="BP46" i="10" s="1"/>
  <c r="BP47" i="10" s="1"/>
  <c r="BP48" i="10" s="1"/>
  <c r="BP49" i="10" s="1"/>
  <c r="BP50" i="10" s="1"/>
  <c r="BP51" i="10" s="1"/>
  <c r="BP52" i="10" s="1"/>
  <c r="BP53" i="10" s="1"/>
  <c r="BP54" i="10" s="1"/>
  <c r="BP55" i="10" s="1"/>
  <c r="BL6" i="10"/>
  <c r="BL7" i="10" s="1"/>
  <c r="BL8" i="10" s="1"/>
  <c r="BL9" i="10" s="1"/>
  <c r="BL10" i="10" s="1"/>
  <c r="BL11" i="10" s="1"/>
  <c r="BL13" i="10" s="1"/>
  <c r="BL14" i="10" s="1"/>
  <c r="BL15" i="10" s="1"/>
  <c r="BL16" i="10" s="1"/>
  <c r="BL17" i="10" s="1"/>
  <c r="BL18" i="10" s="1"/>
  <c r="BL19" i="10" s="1"/>
  <c r="BL20" i="10" s="1"/>
  <c r="BL21" i="10" s="1"/>
  <c r="BL22" i="10" s="1"/>
  <c r="BL23" i="10" s="1"/>
  <c r="BL24" i="10" s="1"/>
  <c r="BL25" i="10" s="1"/>
  <c r="BL26" i="10" s="1"/>
  <c r="BL27" i="10" s="1"/>
  <c r="BL28" i="10" s="1"/>
  <c r="BL29" i="10" s="1"/>
  <c r="BL30" i="10" s="1"/>
  <c r="BL31" i="10" s="1"/>
  <c r="BL32" i="10" s="1"/>
  <c r="BL33" i="10" s="1"/>
  <c r="BL34" i="10" s="1"/>
  <c r="BL35" i="10" s="1"/>
  <c r="BL36" i="10" s="1"/>
  <c r="BH6" i="10"/>
  <c r="BH7" i="10" s="1"/>
  <c r="BH8" i="10" s="1"/>
  <c r="BH9" i="10" s="1"/>
  <c r="BH10" i="10" s="1"/>
  <c r="BH11" i="10" s="1"/>
  <c r="BH13" i="10" s="1"/>
  <c r="BH14" i="10" s="1"/>
  <c r="BH15" i="10" s="1"/>
  <c r="BH16" i="10" s="1"/>
  <c r="BH17" i="10" s="1"/>
  <c r="BH18" i="10" s="1"/>
  <c r="BH19" i="10" s="1"/>
  <c r="BH20" i="10" s="1"/>
  <c r="BH21" i="10" s="1"/>
  <c r="BH22" i="10" s="1"/>
  <c r="BH23" i="10" s="1"/>
  <c r="BH24" i="10" s="1"/>
  <c r="BH25" i="10" s="1"/>
  <c r="BH26" i="10" s="1"/>
  <c r="BH27" i="10" s="1"/>
  <c r="BH28" i="10" s="1"/>
  <c r="BH29" i="10" s="1"/>
  <c r="BH30" i="10" s="1"/>
  <c r="BH31" i="10" s="1"/>
  <c r="BH32" i="10" s="1"/>
  <c r="BH33" i="10" s="1"/>
  <c r="BH34" i="10" s="1"/>
  <c r="BH35" i="10" s="1"/>
  <c r="BH36" i="10" s="1"/>
  <c r="BD6" i="10"/>
  <c r="BD7" i="10" s="1"/>
  <c r="BD8" i="10" s="1"/>
  <c r="BD9" i="10" s="1"/>
  <c r="BD10" i="10" s="1"/>
  <c r="BD11" i="10" s="1"/>
  <c r="BD13" i="10" s="1"/>
  <c r="BD14" i="10" s="1"/>
  <c r="BD15" i="10" s="1"/>
  <c r="BD16" i="10" s="1"/>
  <c r="BD17" i="10" s="1"/>
  <c r="BD18" i="10" s="1"/>
  <c r="BD19" i="10" s="1"/>
  <c r="BD20" i="10" s="1"/>
  <c r="BD21" i="10" s="1"/>
  <c r="BD22" i="10" s="1"/>
  <c r="BD23" i="10" s="1"/>
  <c r="BD24" i="10" s="1"/>
  <c r="BD25" i="10" s="1"/>
  <c r="BD26" i="10" s="1"/>
  <c r="BD27" i="10" s="1"/>
  <c r="BD28" i="10" s="1"/>
  <c r="BD29" i="10" s="1"/>
  <c r="BD30" i="10" s="1"/>
  <c r="BD31" i="10" s="1"/>
  <c r="BD32" i="10" s="1"/>
  <c r="BD33" i="10" s="1"/>
  <c r="BD34" i="10" s="1"/>
  <c r="BD35" i="10" s="1"/>
  <c r="BD36" i="10" s="1"/>
  <c r="BD37" i="10" s="1"/>
  <c r="BD38" i="10" s="1"/>
  <c r="BD39" i="10" s="1"/>
  <c r="BD40" i="10" s="1"/>
  <c r="BD41" i="10" s="1"/>
  <c r="BD42" i="10" s="1"/>
  <c r="BD43" i="10" s="1"/>
  <c r="BD44" i="10" s="1"/>
  <c r="BD45" i="10" s="1"/>
  <c r="BD46" i="10" s="1"/>
  <c r="BD47" i="10" s="1"/>
  <c r="BD48" i="10" s="1"/>
  <c r="BD49" i="10" s="1"/>
  <c r="BD50" i="10" s="1"/>
  <c r="BD51" i="10" s="1"/>
  <c r="BD52" i="10" s="1"/>
  <c r="BD53" i="10" s="1"/>
  <c r="BD54" i="10" s="1"/>
  <c r="BD55" i="10" s="1"/>
  <c r="AZ6" i="10"/>
  <c r="AZ7" i="10" s="1"/>
  <c r="AZ8" i="10" s="1"/>
  <c r="AZ9" i="10" s="1"/>
  <c r="AZ10" i="10" s="1"/>
  <c r="AZ11" i="10" s="1"/>
  <c r="AZ13" i="10" s="1"/>
  <c r="AZ14" i="10" s="1"/>
  <c r="AZ15" i="10" s="1"/>
  <c r="AZ16" i="10" s="1"/>
  <c r="AZ17" i="10" s="1"/>
  <c r="AZ18" i="10" s="1"/>
  <c r="AZ19" i="10" s="1"/>
  <c r="AZ20" i="10" s="1"/>
  <c r="AZ21" i="10" s="1"/>
  <c r="AZ22" i="10" s="1"/>
  <c r="AZ23" i="10" s="1"/>
  <c r="AZ24" i="10" s="1"/>
  <c r="AZ25" i="10" s="1"/>
  <c r="AZ26" i="10" s="1"/>
  <c r="AZ27" i="10" s="1"/>
  <c r="AZ28" i="10" s="1"/>
  <c r="AZ29" i="10" s="1"/>
  <c r="AZ30" i="10" s="1"/>
  <c r="AZ31" i="10" s="1"/>
  <c r="AZ32" i="10" s="1"/>
  <c r="AZ33" i="10" s="1"/>
  <c r="AZ34" i="10" s="1"/>
  <c r="AZ35" i="10" s="1"/>
  <c r="AZ36" i="10" s="1"/>
  <c r="AZ37" i="10" s="1"/>
  <c r="AZ38" i="10" s="1"/>
  <c r="AZ39" i="10" s="1"/>
  <c r="AZ40" i="10" s="1"/>
  <c r="AZ41" i="10" s="1"/>
  <c r="AZ42" i="10" s="1"/>
  <c r="AZ43" i="10" s="1"/>
  <c r="AZ44" i="10" s="1"/>
  <c r="AZ45" i="10" s="1"/>
  <c r="AZ46" i="10" s="1"/>
  <c r="AZ47" i="10" s="1"/>
  <c r="AZ48" i="10" s="1"/>
  <c r="AZ49" i="10" s="1"/>
  <c r="AZ50" i="10" s="1"/>
  <c r="AZ51" i="10" s="1"/>
  <c r="AZ52" i="10" s="1"/>
  <c r="AZ53" i="10" s="1"/>
  <c r="AZ54" i="10" s="1"/>
  <c r="AZ55" i="10" s="1"/>
  <c r="AV6" i="10"/>
  <c r="AV7" i="10" s="1"/>
  <c r="AV8" i="10" s="1"/>
  <c r="AV9" i="10" s="1"/>
  <c r="AV10" i="10" s="1"/>
  <c r="AV11" i="10" s="1"/>
  <c r="AV13" i="10" s="1"/>
  <c r="AV14" i="10" s="1"/>
  <c r="AV15" i="10" s="1"/>
  <c r="AV16" i="10" s="1"/>
  <c r="AV17" i="10" s="1"/>
  <c r="AV18" i="10" s="1"/>
  <c r="AV19" i="10" s="1"/>
  <c r="AV20" i="10" s="1"/>
  <c r="AV21" i="10" s="1"/>
  <c r="AV22" i="10" s="1"/>
  <c r="AV23" i="10" s="1"/>
  <c r="AV24" i="10" s="1"/>
  <c r="AV25" i="10" s="1"/>
  <c r="AV26" i="10" s="1"/>
  <c r="AV27" i="10" s="1"/>
  <c r="AV28" i="10" s="1"/>
  <c r="AV29" i="10" s="1"/>
  <c r="AV30" i="10" s="1"/>
  <c r="AV31" i="10" s="1"/>
  <c r="AV32" i="10" s="1"/>
  <c r="AV33" i="10" s="1"/>
  <c r="AV34" i="10" s="1"/>
  <c r="AV35" i="10" s="1"/>
  <c r="AV36" i="10" s="1"/>
  <c r="AV37" i="10" s="1"/>
  <c r="AV38" i="10" s="1"/>
  <c r="AV39" i="10" s="1"/>
  <c r="AV40" i="10" s="1"/>
  <c r="AV41" i="10" s="1"/>
  <c r="AV42" i="10" s="1"/>
  <c r="AV43" i="10" s="1"/>
  <c r="AV44" i="10" s="1"/>
  <c r="AV45" i="10" s="1"/>
  <c r="AV46" i="10" s="1"/>
  <c r="AV47" i="10" s="1"/>
  <c r="AV48" i="10" s="1"/>
  <c r="AV49" i="10" s="1"/>
  <c r="AV50" i="10" s="1"/>
  <c r="AV51" i="10" s="1"/>
  <c r="AV52" i="10" s="1"/>
  <c r="AV53" i="10" s="1"/>
  <c r="AV54" i="10" s="1"/>
  <c r="AV55" i="10" s="1"/>
  <c r="AR6" i="10"/>
  <c r="AR7" i="10" s="1"/>
  <c r="AR8" i="10" s="1"/>
  <c r="AR9" i="10" s="1"/>
  <c r="AR10" i="10" s="1"/>
  <c r="AR11" i="10" s="1"/>
  <c r="AR13" i="10" s="1"/>
  <c r="AR14" i="10" s="1"/>
  <c r="AR15" i="10" s="1"/>
  <c r="AR16" i="10" s="1"/>
  <c r="AR17" i="10" s="1"/>
  <c r="AR18" i="10" s="1"/>
  <c r="AR19" i="10" s="1"/>
  <c r="AR20" i="10" s="1"/>
  <c r="AR21" i="10" s="1"/>
  <c r="AR22" i="10" s="1"/>
  <c r="AR23" i="10" s="1"/>
  <c r="AR24" i="10" s="1"/>
  <c r="AR25" i="10" s="1"/>
  <c r="AR26" i="10" s="1"/>
  <c r="AR27" i="10" s="1"/>
  <c r="AR28" i="10" s="1"/>
  <c r="AR29" i="10" s="1"/>
  <c r="AR30" i="10" s="1"/>
  <c r="AR31" i="10" s="1"/>
  <c r="AR32" i="10" s="1"/>
  <c r="AR33" i="10" s="1"/>
  <c r="AR34" i="10" s="1"/>
  <c r="AR35" i="10" s="1"/>
  <c r="AR36" i="10" s="1"/>
  <c r="AR37" i="10" s="1"/>
  <c r="AR38" i="10" s="1"/>
  <c r="AR39" i="10" s="1"/>
  <c r="AR40" i="10" s="1"/>
  <c r="AR41" i="10" s="1"/>
  <c r="AR42" i="10" s="1"/>
  <c r="AN6" i="10"/>
  <c r="AN7" i="10" s="1"/>
  <c r="AN8" i="10" s="1"/>
  <c r="AN9" i="10" s="1"/>
  <c r="AN10" i="10" s="1"/>
  <c r="AN11" i="10" s="1"/>
  <c r="AN13" i="10" s="1"/>
  <c r="AN14" i="10" s="1"/>
  <c r="AN15" i="10" s="1"/>
  <c r="AN16" i="10" s="1"/>
  <c r="AN17" i="10" s="1"/>
  <c r="AN18" i="10" s="1"/>
  <c r="AN19" i="10" s="1"/>
  <c r="AN20" i="10" s="1"/>
  <c r="AN21" i="10" s="1"/>
  <c r="AN22" i="10" s="1"/>
  <c r="AN23" i="10" s="1"/>
  <c r="AN24" i="10" s="1"/>
  <c r="AN25" i="10" s="1"/>
  <c r="AN26" i="10" s="1"/>
  <c r="AN27" i="10" s="1"/>
  <c r="AN28" i="10" s="1"/>
  <c r="AN29" i="10" s="1"/>
  <c r="AN30" i="10" s="1"/>
  <c r="AN31" i="10" s="1"/>
  <c r="AN32" i="10" s="1"/>
  <c r="AN33" i="10" s="1"/>
  <c r="AN34" i="10" s="1"/>
  <c r="AN35" i="10" s="1"/>
  <c r="AN36" i="10" s="1"/>
  <c r="AN37" i="10" s="1"/>
  <c r="AN38" i="10" s="1"/>
  <c r="AN39" i="10" s="1"/>
  <c r="AN40" i="10" s="1"/>
  <c r="AN41" i="10" s="1"/>
  <c r="AN42" i="10" s="1"/>
  <c r="AN43" i="10" s="1"/>
  <c r="AN44" i="10" s="1"/>
  <c r="AN45" i="10" s="1"/>
  <c r="AN46" i="10" s="1"/>
  <c r="AN47" i="10" s="1"/>
  <c r="AN48" i="10" s="1"/>
  <c r="AN49" i="10" s="1"/>
  <c r="AN50" i="10" s="1"/>
  <c r="AN51" i="10" s="1"/>
  <c r="AN52" i="10" s="1"/>
  <c r="AN53" i="10" s="1"/>
  <c r="AN54" i="10" s="1"/>
  <c r="AN55" i="10" s="1"/>
  <c r="T6" i="10"/>
  <c r="T7" i="10" s="1"/>
  <c r="T8" i="10" s="1"/>
  <c r="T9" i="10" s="1"/>
  <c r="T10" i="10" s="1"/>
  <c r="T11" i="10" s="1"/>
  <c r="T13" i="10" s="1"/>
  <c r="T14" i="10" s="1"/>
  <c r="T15" i="10" s="1"/>
  <c r="T16" i="10" s="1"/>
  <c r="T17" i="10" s="1"/>
  <c r="T18" i="10" s="1"/>
  <c r="T19" i="10" s="1"/>
  <c r="T20" i="10" s="1"/>
  <c r="T21" i="10" s="1"/>
  <c r="T22" i="10" s="1"/>
  <c r="T23" i="10" s="1"/>
  <c r="T24" i="10" s="1"/>
  <c r="T25" i="10" s="1"/>
  <c r="T26" i="10" s="1"/>
  <c r="T27" i="10" s="1"/>
  <c r="T28" i="10" s="1"/>
  <c r="T29" i="10" s="1"/>
  <c r="T30" i="10" s="1"/>
  <c r="T31" i="10" s="1"/>
  <c r="T32" i="10" s="1"/>
  <c r="T33" i="10" s="1"/>
  <c r="T34" i="10" s="1"/>
  <c r="T35" i="10" s="1"/>
  <c r="T36" i="10" s="1"/>
  <c r="T37" i="10" s="1"/>
  <c r="T38" i="10" s="1"/>
  <c r="T39" i="10" s="1"/>
  <c r="T40" i="10" s="1"/>
  <c r="T41" i="10" s="1"/>
  <c r="T42" i="10" s="1"/>
  <c r="T43" i="10" s="1"/>
  <c r="T44" i="10" s="1"/>
  <c r="T45" i="10" s="1"/>
  <c r="T46" i="10" s="1"/>
  <c r="T47" i="10" s="1"/>
  <c r="T48" i="10" s="1"/>
  <c r="T49" i="10" s="1"/>
  <c r="T50" i="10" s="1"/>
  <c r="T51" i="10" s="1"/>
  <c r="T52" i="10" s="1"/>
  <c r="T53" i="10" s="1"/>
  <c r="T54" i="10" s="1"/>
  <c r="T55" i="10" s="1"/>
  <c r="P6" i="10"/>
  <c r="P7" i="10" s="1"/>
  <c r="P8" i="10" s="1"/>
  <c r="P9" i="10" s="1"/>
  <c r="P10" i="10" s="1"/>
  <c r="P11" i="10" s="1"/>
  <c r="P13" i="10" s="1"/>
  <c r="P14" i="10" s="1"/>
  <c r="P15" i="10" s="1"/>
  <c r="P16" i="10" s="1"/>
  <c r="P17" i="10" s="1"/>
  <c r="P18" i="10" s="1"/>
  <c r="P19" i="10" s="1"/>
  <c r="P20" i="10" s="1"/>
  <c r="P21" i="10" s="1"/>
  <c r="P22" i="10" s="1"/>
  <c r="P23" i="10" s="1"/>
  <c r="P24" i="10" s="1"/>
  <c r="P25" i="10" s="1"/>
  <c r="P26" i="10" s="1"/>
  <c r="P27" i="10" s="1"/>
  <c r="P28" i="10" s="1"/>
  <c r="P29" i="10" s="1"/>
  <c r="P30" i="10" s="1"/>
  <c r="P31" i="10" s="1"/>
  <c r="P32" i="10" s="1"/>
  <c r="P33" i="10" s="1"/>
  <c r="P34" i="10" s="1"/>
  <c r="P35" i="10" s="1"/>
  <c r="P36" i="10" s="1"/>
  <c r="P37" i="10" s="1"/>
  <c r="P38" i="10" s="1"/>
  <c r="P39" i="10" s="1"/>
  <c r="P40" i="10" s="1"/>
  <c r="P41" i="10" s="1"/>
  <c r="P42" i="10" s="1"/>
  <c r="P43" i="10" s="1"/>
  <c r="P44" i="10" s="1"/>
  <c r="P45" i="10" s="1"/>
  <c r="P46" i="10" s="1"/>
  <c r="P47" i="10" s="1"/>
  <c r="P48" i="10" s="1"/>
  <c r="P49" i="10" s="1"/>
  <c r="P50" i="10" s="1"/>
  <c r="P51" i="10" s="1"/>
  <c r="P52" i="10" s="1"/>
  <c r="P53" i="10" s="1"/>
  <c r="P54" i="10" s="1"/>
  <c r="P55" i="10" s="1"/>
  <c r="L6" i="10"/>
  <c r="L7" i="10" s="1"/>
  <c r="D6" i="10"/>
  <c r="C102" i="10" s="1"/>
  <c r="CY5" i="10"/>
  <c r="CX5" i="10"/>
  <c r="CW5" i="10"/>
  <c r="B5" i="10"/>
  <c r="C5" i="10" s="1"/>
  <c r="A2" i="10" a="1"/>
  <c r="A2" i="10" s="1"/>
  <c r="A60" i="10" s="1" a="1"/>
  <c r="A60" i="10" s="1"/>
  <c r="H119" i="7"/>
  <c r="O98" i="7"/>
  <c r="L98" i="7"/>
  <c r="F98" i="7"/>
  <c r="O97" i="7"/>
  <c r="L97" i="7"/>
  <c r="F97" i="7"/>
  <c r="O96" i="7"/>
  <c r="L96" i="7"/>
  <c r="F96" i="7"/>
  <c r="O95" i="7"/>
  <c r="L95" i="7"/>
  <c r="F95" i="7"/>
  <c r="O94" i="7"/>
  <c r="L94" i="7"/>
  <c r="F94" i="7"/>
  <c r="O93" i="7"/>
  <c r="L93" i="7"/>
  <c r="F93" i="7"/>
  <c r="O92" i="7"/>
  <c r="L92" i="7"/>
  <c r="F92" i="7"/>
  <c r="O91" i="7"/>
  <c r="L91" i="7"/>
  <c r="F91" i="7"/>
  <c r="O90" i="7"/>
  <c r="L90" i="7"/>
  <c r="F90" i="7"/>
  <c r="O89" i="7"/>
  <c r="L89" i="7"/>
  <c r="F89" i="7"/>
  <c r="O88" i="7"/>
  <c r="L88" i="7"/>
  <c r="F88" i="7"/>
  <c r="O87" i="7"/>
  <c r="L87" i="7"/>
  <c r="F87" i="7"/>
  <c r="O86" i="7"/>
  <c r="L86" i="7"/>
  <c r="F86" i="7"/>
  <c r="O85" i="7"/>
  <c r="L85" i="7"/>
  <c r="F85" i="7"/>
  <c r="R84" i="7"/>
  <c r="O84" i="7"/>
  <c r="L84" i="7"/>
  <c r="F84" i="7"/>
  <c r="O83" i="7"/>
  <c r="L83" i="7"/>
  <c r="F83" i="7"/>
  <c r="O82" i="7"/>
  <c r="L82" i="7"/>
  <c r="F82" i="7"/>
  <c r="O81" i="7"/>
  <c r="L81" i="7"/>
  <c r="F81" i="7"/>
  <c r="O80" i="7"/>
  <c r="L80" i="7"/>
  <c r="F80" i="7"/>
  <c r="O79" i="7"/>
  <c r="L79" i="7"/>
  <c r="F79" i="7"/>
  <c r="O78" i="7"/>
  <c r="L78" i="7"/>
  <c r="F78" i="7"/>
  <c r="O77" i="7"/>
  <c r="L77" i="7"/>
  <c r="F77" i="7"/>
  <c r="O76" i="7"/>
  <c r="L76" i="7"/>
  <c r="F76" i="7"/>
  <c r="O75" i="7"/>
  <c r="L75" i="7"/>
  <c r="F75" i="7"/>
  <c r="O74" i="7"/>
  <c r="L74" i="7"/>
  <c r="F74" i="7"/>
  <c r="O73" i="7"/>
  <c r="L73" i="7"/>
  <c r="F73" i="7"/>
  <c r="O72" i="7"/>
  <c r="L72" i="7"/>
  <c r="F72" i="7"/>
  <c r="O71" i="7"/>
  <c r="L71" i="7"/>
  <c r="F71" i="7"/>
  <c r="O70" i="7"/>
  <c r="L70" i="7"/>
  <c r="F70" i="7"/>
  <c r="R69" i="7"/>
  <c r="O69" i="7"/>
  <c r="L69" i="7"/>
  <c r="F69" i="7"/>
  <c r="O68" i="7"/>
  <c r="L68" i="7"/>
  <c r="F68" i="7"/>
  <c r="O67" i="7"/>
  <c r="L67" i="7"/>
  <c r="F67" i="7"/>
  <c r="O66" i="7"/>
  <c r="L66" i="7"/>
  <c r="F66" i="7"/>
  <c r="O65" i="7"/>
  <c r="L65" i="7"/>
  <c r="F65" i="7"/>
  <c r="O64" i="7"/>
  <c r="L64" i="7"/>
  <c r="F64" i="7"/>
  <c r="O63" i="7"/>
  <c r="L63" i="7"/>
  <c r="F63" i="7"/>
  <c r="O62" i="7"/>
  <c r="L62" i="7"/>
  <c r="F62" i="7"/>
  <c r="R61" i="7"/>
  <c r="O61" i="7"/>
  <c r="L61" i="7"/>
  <c r="F61" i="7"/>
  <c r="O60" i="7"/>
  <c r="L60" i="7"/>
  <c r="F60" i="7"/>
  <c r="R59" i="7"/>
  <c r="O59" i="7"/>
  <c r="L59" i="7"/>
  <c r="F59" i="7"/>
  <c r="O58" i="7"/>
  <c r="L58" i="7"/>
  <c r="F58" i="7"/>
  <c r="R57" i="7"/>
  <c r="O57" i="7"/>
  <c r="L57" i="7"/>
  <c r="F57" i="7"/>
  <c r="O56" i="7"/>
  <c r="L56" i="7"/>
  <c r="F56" i="7"/>
  <c r="O55" i="7"/>
  <c r="L55" i="7"/>
  <c r="F55" i="7"/>
  <c r="O54" i="7"/>
  <c r="L54" i="7"/>
  <c r="F54" i="7"/>
  <c r="O53" i="7"/>
  <c r="L53" i="7"/>
  <c r="F53" i="7"/>
  <c r="O52" i="7"/>
  <c r="L52" i="7"/>
  <c r="F52" i="7"/>
  <c r="O51" i="7"/>
  <c r="L51" i="7"/>
  <c r="F51" i="7"/>
  <c r="O50" i="7"/>
  <c r="L50" i="7"/>
  <c r="F50" i="7"/>
  <c r="O49" i="7"/>
  <c r="L49" i="7"/>
  <c r="F49" i="7"/>
  <c r="O48" i="7"/>
  <c r="L48" i="7"/>
  <c r="F48" i="7"/>
  <c r="O47" i="7"/>
  <c r="L47" i="7"/>
  <c r="F47" i="7"/>
  <c r="O46" i="7"/>
  <c r="L46" i="7"/>
  <c r="F46" i="7"/>
  <c r="R45" i="7"/>
  <c r="O45" i="7"/>
  <c r="L45" i="7"/>
  <c r="F45" i="7"/>
  <c r="O44" i="7"/>
  <c r="L44" i="7"/>
  <c r="F44" i="7"/>
  <c r="O43" i="7"/>
  <c r="L43" i="7"/>
  <c r="F43" i="7"/>
  <c r="O42" i="7"/>
  <c r="L42" i="7"/>
  <c r="F42" i="7"/>
  <c r="O41" i="7"/>
  <c r="L41" i="7"/>
  <c r="F41" i="7"/>
  <c r="O40" i="7"/>
  <c r="L40" i="7"/>
  <c r="F40" i="7"/>
  <c r="O39" i="7"/>
  <c r="L39" i="7"/>
  <c r="F39" i="7"/>
  <c r="O38" i="7"/>
  <c r="L38" i="7"/>
  <c r="F38" i="7"/>
  <c r="O37" i="7"/>
  <c r="L37" i="7"/>
  <c r="F37" i="7"/>
  <c r="O36" i="7"/>
  <c r="L36" i="7"/>
  <c r="F36" i="7"/>
  <c r="O35" i="7"/>
  <c r="L35" i="7"/>
  <c r="F35" i="7"/>
  <c r="O34" i="7"/>
  <c r="L34" i="7"/>
  <c r="F34" i="7"/>
  <c r="O33" i="7"/>
  <c r="L33" i="7"/>
  <c r="F33" i="7"/>
  <c r="H32" i="7"/>
  <c r="O32" i="7" s="1"/>
  <c r="F32" i="7"/>
  <c r="H31" i="7"/>
  <c r="O31" i="7" s="1"/>
  <c r="F31" i="7"/>
  <c r="O30" i="7"/>
  <c r="L30" i="7"/>
  <c r="F30" i="7"/>
  <c r="O29" i="7"/>
  <c r="L29" i="7"/>
  <c r="F29" i="7"/>
  <c r="O28" i="7"/>
  <c r="L28" i="7"/>
  <c r="F28" i="7"/>
  <c r="O27" i="7"/>
  <c r="L27" i="7"/>
  <c r="F27" i="7"/>
  <c r="O26" i="7"/>
  <c r="L26" i="7"/>
  <c r="F26" i="7"/>
  <c r="O25" i="7"/>
  <c r="L25" i="7"/>
  <c r="F25" i="7"/>
  <c r="O24" i="7"/>
  <c r="L24" i="7"/>
  <c r="F24" i="7"/>
  <c r="H23" i="7"/>
  <c r="O23" i="7" s="1"/>
  <c r="F23" i="7"/>
  <c r="O22" i="7"/>
  <c r="L22" i="7"/>
  <c r="F22" i="7"/>
  <c r="O21" i="7"/>
  <c r="L21" i="7"/>
  <c r="F21" i="7"/>
  <c r="O20" i="7"/>
  <c r="L20" i="7"/>
  <c r="F20" i="7"/>
  <c r="O19" i="7"/>
  <c r="L19" i="7"/>
  <c r="F19" i="7"/>
  <c r="H18" i="7"/>
  <c r="L18" i="7" s="1"/>
  <c r="F18" i="7"/>
  <c r="O17" i="7"/>
  <c r="L17" i="7"/>
  <c r="F17" i="7"/>
  <c r="O16" i="7"/>
  <c r="L16" i="7"/>
  <c r="H16" i="7"/>
  <c r="F16" i="7"/>
  <c r="O15" i="7"/>
  <c r="L15" i="7"/>
  <c r="F15" i="7"/>
  <c r="O14" i="7"/>
  <c r="L14" i="7"/>
  <c r="F14" i="7"/>
  <c r="O13" i="7"/>
  <c r="L13" i="7"/>
  <c r="F13" i="7"/>
  <c r="O12" i="7"/>
  <c r="L12" i="7"/>
  <c r="F12" i="7"/>
  <c r="O11" i="7"/>
  <c r="P11" i="7" s="1"/>
  <c r="P12" i="7" s="1"/>
  <c r="P13" i="7" s="1"/>
  <c r="P14" i="7" s="1"/>
  <c r="P15" i="7" s="1"/>
  <c r="P16" i="7" s="1"/>
  <c r="P17" i="7" s="1"/>
  <c r="P18" i="7" s="1"/>
  <c r="P19" i="7" s="1"/>
  <c r="P20" i="7" s="1"/>
  <c r="P21" i="7" s="1"/>
  <c r="P22" i="7" s="1"/>
  <c r="P23" i="7" s="1"/>
  <c r="P24" i="7" s="1"/>
  <c r="P25" i="7" s="1"/>
  <c r="P26" i="7" s="1"/>
  <c r="P27" i="7" s="1"/>
  <c r="P28" i="7" s="1"/>
  <c r="P29" i="7" s="1"/>
  <c r="P30" i="7" s="1"/>
  <c r="P31" i="7" s="1"/>
  <c r="P32" i="7" s="1"/>
  <c r="P33" i="7" s="1"/>
  <c r="P34" i="7" s="1"/>
  <c r="P35" i="7" s="1"/>
  <c r="P36" i="7" s="1"/>
  <c r="P37" i="7" s="1"/>
  <c r="P38" i="7" s="1"/>
  <c r="P39" i="7" s="1"/>
  <c r="P40" i="7" s="1"/>
  <c r="P41" i="7" s="1"/>
  <c r="P42" i="7" s="1"/>
  <c r="P43" i="7" s="1"/>
  <c r="P44" i="7" s="1"/>
  <c r="P45" i="7" s="1"/>
  <c r="P46" i="7" s="1"/>
  <c r="P47" i="7" s="1"/>
  <c r="P48" i="7" s="1"/>
  <c r="P49" i="7" s="1"/>
  <c r="P50" i="7" s="1"/>
  <c r="P51" i="7" s="1"/>
  <c r="P52" i="7" s="1"/>
  <c r="P53" i="7" s="1"/>
  <c r="P54" i="7" s="1"/>
  <c r="P55" i="7" s="1"/>
  <c r="P56" i="7" s="1"/>
  <c r="P57" i="7" s="1"/>
  <c r="P58" i="7" s="1"/>
  <c r="P59" i="7" s="1"/>
  <c r="P60" i="7" s="1"/>
  <c r="P61" i="7" s="1"/>
  <c r="P62" i="7" s="1"/>
  <c r="P63" i="7" s="1"/>
  <c r="P64" i="7" s="1"/>
  <c r="P65" i="7" s="1"/>
  <c r="P66" i="7" s="1"/>
  <c r="P67" i="7" s="1"/>
  <c r="P68" i="7" s="1"/>
  <c r="P69" i="7" s="1"/>
  <c r="P70" i="7" s="1"/>
  <c r="P71" i="7" s="1"/>
  <c r="P72" i="7" s="1"/>
  <c r="P73" i="7" s="1"/>
  <c r="P74" i="7" s="1"/>
  <c r="P75" i="7" s="1"/>
  <c r="P76" i="7" s="1"/>
  <c r="P77" i="7" s="1"/>
  <c r="P78" i="7" s="1"/>
  <c r="P79" i="7" s="1"/>
  <c r="P80" i="7" s="1"/>
  <c r="P81" i="7" s="1"/>
  <c r="P82" i="7" s="1"/>
  <c r="P83" i="7" s="1"/>
  <c r="P84" i="7" s="1"/>
  <c r="P86" i="7" s="1"/>
  <c r="P85" i="7" s="1"/>
  <c r="P87" i="7" s="1"/>
  <c r="P88" i="7" s="1"/>
  <c r="P89" i="7" s="1"/>
  <c r="P90" i="7" s="1"/>
  <c r="P91" i="7" s="1"/>
  <c r="P92" i="7" s="1"/>
  <c r="P93" i="7" s="1"/>
  <c r="P94" i="7" s="1"/>
  <c r="P95" i="7" s="1"/>
  <c r="P96" i="7" s="1"/>
  <c r="P97" i="7" s="1"/>
  <c r="P98" i="7" s="1"/>
  <c r="M3" i="7" s="1"/>
  <c r="F11" i="7"/>
  <c r="O10" i="7"/>
  <c r="P10" i="7" s="1"/>
  <c r="K10" i="7"/>
  <c r="L10" i="7" s="1"/>
  <c r="F10" i="7"/>
  <c r="M4" i="7"/>
  <c r="L1" i="7"/>
  <c r="E100" i="7" s="1"/>
  <c r="F100" i="7" s="1"/>
  <c r="U8" i="1"/>
  <c r="F7" i="68" s="1"/>
  <c r="T8" i="1"/>
  <c r="I8" i="1"/>
  <c r="E19" i="109"/>
  <c r="E15" i="109"/>
  <c r="E14" i="109"/>
  <c r="E12" i="109"/>
  <c r="E16" i="109" s="1"/>
  <c r="C3" i="49"/>
  <c r="E67" i="49" s="1"/>
  <c r="W43" i="109"/>
  <c r="V43" i="109"/>
  <c r="T43" i="109"/>
  <c r="N43" i="109"/>
  <c r="M43" i="109"/>
  <c r="K43" i="109"/>
  <c r="W42" i="109"/>
  <c r="V42" i="109"/>
  <c r="T42" i="109"/>
  <c r="N42" i="109"/>
  <c r="M42" i="109"/>
  <c r="K42" i="109"/>
  <c r="X40" i="109"/>
  <c r="AB40" i="109" s="1"/>
  <c r="W40" i="109"/>
  <c r="V40" i="109"/>
  <c r="T40" i="109"/>
  <c r="N40" i="109"/>
  <c r="M40" i="109"/>
  <c r="K40" i="109"/>
  <c r="X38" i="109"/>
  <c r="X42" i="109" s="1"/>
  <c r="O38" i="109"/>
  <c r="O42" i="109" s="1"/>
  <c r="P42" i="109" s="1"/>
  <c r="X37" i="109"/>
  <c r="AB37" i="109" s="1"/>
  <c r="O37" i="109"/>
  <c r="P37" i="109" s="1"/>
  <c r="X36" i="109"/>
  <c r="AB36" i="109" s="1"/>
  <c r="O36" i="109"/>
  <c r="P36" i="109" s="1"/>
  <c r="AB35" i="109"/>
  <c r="AA35" i="109"/>
  <c r="X35" i="109"/>
  <c r="Y35" i="109" s="1"/>
  <c r="O35" i="109"/>
  <c r="P35" i="109" s="1"/>
  <c r="J35" i="109"/>
  <c r="X34" i="109"/>
  <c r="AB34" i="109" s="1"/>
  <c r="O34" i="109"/>
  <c r="P34" i="109" s="1"/>
  <c r="AB33" i="109"/>
  <c r="AA33" i="109"/>
  <c r="Y33" i="109"/>
  <c r="X33" i="109"/>
  <c r="O33" i="109"/>
  <c r="P33" i="109" s="1"/>
  <c r="X32" i="109"/>
  <c r="X43" i="109" s="1"/>
  <c r="O32" i="109"/>
  <c r="O40" i="109" s="1"/>
  <c r="P40" i="109" s="1"/>
  <c r="E17" i="109"/>
  <c r="E11" i="109"/>
  <c r="E8" i="109"/>
  <c r="E2" i="109"/>
  <c r="L65" i="49"/>
  <c r="O65" i="49" s="1"/>
  <c r="F65" i="49"/>
  <c r="L64" i="49"/>
  <c r="O64" i="49" s="1"/>
  <c r="F64" i="49"/>
  <c r="L63" i="49"/>
  <c r="O63" i="49" s="1"/>
  <c r="F63" i="49"/>
  <c r="L62" i="49"/>
  <c r="O62" i="49" s="1"/>
  <c r="F62" i="49"/>
  <c r="L61" i="49"/>
  <c r="O61" i="49" s="1"/>
  <c r="F61" i="49"/>
  <c r="O60" i="49"/>
  <c r="L60" i="49"/>
  <c r="H60" i="49"/>
  <c r="L59" i="49"/>
  <c r="O59" i="49" s="1"/>
  <c r="L58" i="49"/>
  <c r="O58" i="49" s="1"/>
  <c r="L57" i="49"/>
  <c r="O57" i="49" s="1"/>
  <c r="F57" i="49"/>
  <c r="L56" i="49"/>
  <c r="O56" i="49" s="1"/>
  <c r="F56" i="49"/>
  <c r="L55" i="49"/>
  <c r="O55" i="49" s="1"/>
  <c r="F55" i="49"/>
  <c r="O54" i="49"/>
  <c r="L54" i="49"/>
  <c r="F54" i="49"/>
  <c r="L53" i="49"/>
  <c r="O53" i="49" s="1"/>
  <c r="F53" i="49"/>
  <c r="L52" i="49"/>
  <c r="O52" i="49" s="1"/>
  <c r="F52" i="49"/>
  <c r="L51" i="49"/>
  <c r="O51" i="49" s="1"/>
  <c r="F51" i="49"/>
  <c r="L50" i="49"/>
  <c r="O50" i="49" s="1"/>
  <c r="F50" i="49"/>
  <c r="L49" i="49"/>
  <c r="O49" i="49" s="1"/>
  <c r="F49" i="49"/>
  <c r="O48" i="49"/>
  <c r="L48" i="49"/>
  <c r="F48" i="49"/>
  <c r="L47" i="49"/>
  <c r="O47" i="49" s="1"/>
  <c r="F47" i="49"/>
  <c r="L46" i="49"/>
  <c r="O46" i="49" s="1"/>
  <c r="F46" i="49"/>
  <c r="L45" i="49"/>
  <c r="O45" i="49" s="1"/>
  <c r="F45" i="49"/>
  <c r="H44" i="49"/>
  <c r="L44" i="49" s="1"/>
  <c r="O44" i="49" s="1"/>
  <c r="F44" i="49"/>
  <c r="H43" i="49"/>
  <c r="L43" i="49" s="1"/>
  <c r="O43" i="49" s="1"/>
  <c r="F43" i="49"/>
  <c r="L42" i="49"/>
  <c r="O42" i="49" s="1"/>
  <c r="F42" i="49"/>
  <c r="L41" i="49"/>
  <c r="O41" i="49" s="1"/>
  <c r="F41" i="49"/>
  <c r="L40" i="49"/>
  <c r="O40" i="49" s="1"/>
  <c r="F40" i="49"/>
  <c r="H39" i="49"/>
  <c r="L39" i="49" s="1"/>
  <c r="O39" i="49" s="1"/>
  <c r="F39" i="49"/>
  <c r="O38" i="49"/>
  <c r="L38" i="49"/>
  <c r="F38" i="49"/>
  <c r="H37" i="49"/>
  <c r="L37" i="49" s="1"/>
  <c r="O37" i="49" s="1"/>
  <c r="F37" i="49"/>
  <c r="O36" i="49"/>
  <c r="L36" i="49"/>
  <c r="F36" i="49"/>
  <c r="L35" i="49"/>
  <c r="O35" i="49" s="1"/>
  <c r="F35" i="49"/>
  <c r="O34" i="49"/>
  <c r="L34" i="49"/>
  <c r="F34" i="49"/>
  <c r="L33" i="49"/>
  <c r="O33" i="49" s="1"/>
  <c r="F33" i="49"/>
  <c r="O32" i="49"/>
  <c r="L32" i="49"/>
  <c r="F32" i="49"/>
  <c r="O31" i="49"/>
  <c r="L31" i="49"/>
  <c r="F31" i="49"/>
  <c r="O30" i="49"/>
  <c r="L30" i="49"/>
  <c r="F30" i="49"/>
  <c r="L29" i="49"/>
  <c r="O29" i="49" s="1"/>
  <c r="F29" i="49"/>
  <c r="O28" i="49"/>
  <c r="L28" i="49"/>
  <c r="F28" i="49"/>
  <c r="L27" i="49"/>
  <c r="O27" i="49" s="1"/>
  <c r="F27" i="49"/>
  <c r="O26" i="49"/>
  <c r="L26" i="49"/>
  <c r="F26" i="49"/>
  <c r="L25" i="49"/>
  <c r="O25" i="49" s="1"/>
  <c r="F25" i="49"/>
  <c r="O24" i="49"/>
  <c r="L24" i="49"/>
  <c r="F24" i="49"/>
  <c r="L23" i="49"/>
  <c r="O23" i="49" s="1"/>
  <c r="F23" i="49"/>
  <c r="O22" i="49"/>
  <c r="L22" i="49"/>
  <c r="F22" i="49"/>
  <c r="L21" i="49"/>
  <c r="O21" i="49" s="1"/>
  <c r="F21" i="49"/>
  <c r="O20" i="49"/>
  <c r="L20" i="49"/>
  <c r="F20" i="49"/>
  <c r="L19" i="49"/>
  <c r="O19" i="49" s="1"/>
  <c r="F19" i="49"/>
  <c r="O18" i="49"/>
  <c r="L18" i="49"/>
  <c r="F18" i="49"/>
  <c r="O17" i="49"/>
  <c r="L17" i="49"/>
  <c r="F17" i="49"/>
  <c r="O16" i="49"/>
  <c r="L16" i="49"/>
  <c r="F16" i="49"/>
  <c r="I15" i="49"/>
  <c r="L15" i="49" s="1"/>
  <c r="O15" i="49" s="1"/>
  <c r="F15" i="49"/>
  <c r="L14" i="49"/>
  <c r="F14" i="49"/>
  <c r="L13" i="49"/>
  <c r="O13" i="49" s="1"/>
  <c r="F13" i="49"/>
  <c r="L12" i="49"/>
  <c r="F12" i="49"/>
  <c r="L11" i="49"/>
  <c r="O11" i="49" s="1"/>
  <c r="P11" i="49" s="1"/>
  <c r="F11" i="49"/>
  <c r="N4" i="49"/>
  <c r="M1" i="49"/>
  <c r="BT24" i="10" l="1"/>
  <c r="BT25" i="10" s="1"/>
  <c r="BT26" i="10" s="1"/>
  <c r="BT27" i="10" s="1"/>
  <c r="BT28" i="10" s="1"/>
  <c r="BT29" i="10" s="1"/>
  <c r="BT30" i="10" s="1"/>
  <c r="BT31" i="10" s="1"/>
  <c r="BT32" i="10" s="1"/>
  <c r="BT33" i="10" s="1"/>
  <c r="BT34" i="10" s="1"/>
  <c r="BT35" i="10" s="1"/>
  <c r="BT36" i="10" s="1"/>
  <c r="BT37" i="10" s="1"/>
  <c r="BT38" i="10" s="1"/>
  <c r="BT39" i="10" s="1"/>
  <c r="BT40" i="10" s="1"/>
  <c r="BT41" i="10" s="1"/>
  <c r="BT42" i="10" s="1"/>
  <c r="BT43" i="10" s="1"/>
  <c r="BT44" i="10" s="1"/>
  <c r="BT45" i="10" s="1"/>
  <c r="BT46" i="10" s="1"/>
  <c r="BT47" i="10" s="1"/>
  <c r="BT48" i="10" s="1"/>
  <c r="BT49" i="10" s="1"/>
  <c r="BT50" i="10" s="1"/>
  <c r="BT51" i="10" s="1"/>
  <c r="BT52" i="10" s="1"/>
  <c r="BT53" i="10" s="1"/>
  <c r="BT54" i="10" s="1"/>
  <c r="BT55" i="10" s="1"/>
  <c r="C75" i="10"/>
  <c r="D75" i="10" s="1"/>
  <c r="C73" i="10"/>
  <c r="D73" i="10" s="1"/>
  <c r="C72" i="10"/>
  <c r="D72" i="10" s="1"/>
  <c r="C74" i="10"/>
  <c r="D74" i="10" s="1"/>
  <c r="C30" i="33"/>
  <c r="D30" i="33" s="1"/>
  <c r="P56" i="113"/>
  <c r="AA45" i="114"/>
  <c r="Y36" i="114"/>
  <c r="AA36" i="114"/>
  <c r="AB45" i="114"/>
  <c r="O42" i="114"/>
  <c r="P42" i="114" s="1"/>
  <c r="AB33" i="114"/>
  <c r="X44" i="114"/>
  <c r="AB39" i="114"/>
  <c r="AA38" i="114"/>
  <c r="O44" i="114"/>
  <c r="P44" i="114" s="1"/>
  <c r="AB35" i="114"/>
  <c r="P45" i="114"/>
  <c r="J1" i="14"/>
  <c r="K1" i="24"/>
  <c r="N5" i="82"/>
  <c r="E14" i="85"/>
  <c r="L5" i="24"/>
  <c r="E19" i="117" s="1"/>
  <c r="U17" i="1" s="1"/>
  <c r="F16" i="68" s="1"/>
  <c r="AB43" i="121"/>
  <c r="AA43" i="121"/>
  <c r="P43" i="121"/>
  <c r="AB61" i="121"/>
  <c r="AA61" i="121"/>
  <c r="P61" i="121"/>
  <c r="AB36" i="121"/>
  <c r="AA36" i="121"/>
  <c r="P36" i="121"/>
  <c r="AB54" i="121"/>
  <c r="AA54" i="121"/>
  <c r="P54" i="121"/>
  <c r="P46" i="121"/>
  <c r="AA46" i="121"/>
  <c r="P39" i="121"/>
  <c r="P57" i="121"/>
  <c r="AA39" i="121"/>
  <c r="AA57" i="121"/>
  <c r="Y63" i="121"/>
  <c r="P66" i="121"/>
  <c r="O63" i="121"/>
  <c r="P63" i="121" s="1"/>
  <c r="O65" i="121"/>
  <c r="AB32" i="121"/>
  <c r="AA32" i="121"/>
  <c r="AB50" i="121"/>
  <c r="AA50" i="121"/>
  <c r="P32" i="121"/>
  <c r="P50" i="121"/>
  <c r="P40" i="121"/>
  <c r="P47" i="121"/>
  <c r="P58" i="121"/>
  <c r="AA33" i="121"/>
  <c r="AA40" i="121"/>
  <c r="AA47" i="121"/>
  <c r="P51" i="121"/>
  <c r="AA58" i="121"/>
  <c r="P37" i="121"/>
  <c r="P44" i="121"/>
  <c r="AA51" i="121"/>
  <c r="P55" i="121"/>
  <c r="E13" i="121"/>
  <c r="AA37" i="121"/>
  <c r="AA44" i="121"/>
  <c r="AA55" i="121"/>
  <c r="P34" i="121"/>
  <c r="P41" i="121"/>
  <c r="AA48" i="121"/>
  <c r="P59" i="121"/>
  <c r="AA34" i="121"/>
  <c r="AA41" i="121"/>
  <c r="AA52" i="121"/>
  <c r="AA59" i="121"/>
  <c r="P38" i="121"/>
  <c r="P45" i="121"/>
  <c r="P56" i="121"/>
  <c r="Y66" i="121"/>
  <c r="E17" i="121"/>
  <c r="AA38" i="121"/>
  <c r="AA45" i="121"/>
  <c r="P49" i="121"/>
  <c r="AA56" i="121"/>
  <c r="AA66" i="121"/>
  <c r="P21" i="48"/>
  <c r="P22" i="48" s="1"/>
  <c r="P23" i="48" s="1"/>
  <c r="P24" i="48" s="1"/>
  <c r="P25" i="48" s="1"/>
  <c r="P26" i="48" s="1"/>
  <c r="N3" i="48" s="1"/>
  <c r="P3" i="48" s="1"/>
  <c r="N5" i="48"/>
  <c r="M11" i="48"/>
  <c r="O11" i="48"/>
  <c r="P11" i="48" s="1"/>
  <c r="P12" i="48" s="1"/>
  <c r="P13" i="48" s="1"/>
  <c r="E18" i="120"/>
  <c r="O59" i="120"/>
  <c r="P59" i="120" s="1"/>
  <c r="P32" i="120"/>
  <c r="AB43" i="120"/>
  <c r="AA43" i="120"/>
  <c r="Y47" i="120"/>
  <c r="AB32" i="120"/>
  <c r="X59" i="120"/>
  <c r="AA32" i="120"/>
  <c r="Y32" i="120"/>
  <c r="X61" i="120"/>
  <c r="Y36" i="120"/>
  <c r="Y43" i="120"/>
  <c r="AA47" i="120"/>
  <c r="AB54" i="120"/>
  <c r="AA54" i="120"/>
  <c r="Y54" i="120"/>
  <c r="AA36" i="120"/>
  <c r="O62" i="120"/>
  <c r="P62" i="120" s="1"/>
  <c r="X62" i="120"/>
  <c r="AB48" i="120"/>
  <c r="AB56" i="120"/>
  <c r="AA56" i="120"/>
  <c r="AB45" i="120"/>
  <c r="AB52" i="120"/>
  <c r="Y56" i="120"/>
  <c r="AB34" i="120"/>
  <c r="AA34" i="120"/>
  <c r="AB41" i="120"/>
  <c r="Y45" i="120"/>
  <c r="Y34" i="120"/>
  <c r="Y38" i="120"/>
  <c r="AA45" i="120"/>
  <c r="AA38" i="120"/>
  <c r="Y41" i="120"/>
  <c r="Y52" i="120"/>
  <c r="AA41" i="120"/>
  <c r="Y48" i="120"/>
  <c r="Y50" i="120"/>
  <c r="AA52" i="120"/>
  <c r="Y37" i="120"/>
  <c r="Y39" i="120"/>
  <c r="AA48" i="120"/>
  <c r="AA50" i="120"/>
  <c r="E13" i="120"/>
  <c r="AA37" i="120"/>
  <c r="AA39" i="120"/>
  <c r="Y46" i="120"/>
  <c r="Y57" i="120"/>
  <c r="P33" i="120"/>
  <c r="Y35" i="120"/>
  <c r="Y44" i="120"/>
  <c r="AA46" i="120"/>
  <c r="AA57" i="120"/>
  <c r="AA35" i="120"/>
  <c r="AA44" i="120"/>
  <c r="Y55" i="120"/>
  <c r="Y33" i="120"/>
  <c r="Y42" i="120"/>
  <c r="AA55" i="120"/>
  <c r="M13" i="46"/>
  <c r="N12" i="46"/>
  <c r="P12" i="46"/>
  <c r="P13" i="46" s="1"/>
  <c r="P14" i="46" s="1"/>
  <c r="P15" i="46" s="1"/>
  <c r="P16" i="46" s="1"/>
  <c r="P17" i="46" s="1"/>
  <c r="P18" i="46" s="1"/>
  <c r="P19" i="46" s="1"/>
  <c r="P20" i="46" s="1"/>
  <c r="P21" i="46" s="1"/>
  <c r="P22" i="46" s="1"/>
  <c r="P23" i="46" s="1"/>
  <c r="P24" i="46" s="1"/>
  <c r="P25" i="46" s="1"/>
  <c r="P26" i="46" s="1"/>
  <c r="P27" i="46" s="1"/>
  <c r="P28" i="46" s="1"/>
  <c r="P29" i="46" s="1"/>
  <c r="P30" i="46" s="1"/>
  <c r="P31" i="46" s="1"/>
  <c r="N3" i="46" s="1"/>
  <c r="P3" i="46" s="1"/>
  <c r="N5" i="46"/>
  <c r="N11" i="46"/>
  <c r="O12" i="46"/>
  <c r="T48" i="119"/>
  <c r="T50" i="119"/>
  <c r="AB41" i="119"/>
  <c r="AA41" i="119"/>
  <c r="Y41" i="119"/>
  <c r="P34" i="119"/>
  <c r="AB34" i="119"/>
  <c r="Y39" i="119"/>
  <c r="AB39" i="119"/>
  <c r="AB43" i="119"/>
  <c r="AA39" i="119"/>
  <c r="AB36" i="119"/>
  <c r="AA36" i="119"/>
  <c r="Y36" i="119"/>
  <c r="AB40" i="119"/>
  <c r="AA40" i="119"/>
  <c r="Y40" i="119"/>
  <c r="W48" i="119"/>
  <c r="E2" i="119" s="1"/>
  <c r="X38" i="119"/>
  <c r="X48" i="119"/>
  <c r="P32" i="119"/>
  <c r="Y34" i="119"/>
  <c r="Y43" i="119"/>
  <c r="AA34" i="119"/>
  <c r="AA43" i="119"/>
  <c r="Y32" i="119"/>
  <c r="Y46" i="119"/>
  <c r="AA32" i="119"/>
  <c r="AA46" i="119"/>
  <c r="K50" i="119"/>
  <c r="Y37" i="119"/>
  <c r="AA37" i="119"/>
  <c r="O39" i="119"/>
  <c r="P39" i="119" s="1"/>
  <c r="N50" i="119"/>
  <c r="E13" i="119"/>
  <c r="Y35" i="119"/>
  <c r="Y44" i="119"/>
  <c r="AA35" i="119"/>
  <c r="AA44" i="119"/>
  <c r="Y33" i="119"/>
  <c r="Y42" i="119"/>
  <c r="AA33" i="119"/>
  <c r="AA42" i="119"/>
  <c r="AA51" i="119"/>
  <c r="D44" i="42"/>
  <c r="L1" i="42"/>
  <c r="N12" i="42"/>
  <c r="O12" i="42" s="1"/>
  <c r="O13" i="42" s="1"/>
  <c r="O14" i="42" s="1"/>
  <c r="O15" i="42" s="1"/>
  <c r="O16" i="42" s="1"/>
  <c r="O17" i="42" s="1"/>
  <c r="O18" i="42" s="1"/>
  <c r="O19" i="42" s="1"/>
  <c r="O20" i="42" s="1"/>
  <c r="O21" i="42" s="1"/>
  <c r="O22" i="42" s="1"/>
  <c r="O23" i="42" s="1"/>
  <c r="M5" i="42"/>
  <c r="L10" i="42"/>
  <c r="N12" i="33"/>
  <c r="N13" i="33" s="1"/>
  <c r="N14" i="33" s="1"/>
  <c r="N15" i="33" s="1"/>
  <c r="N16" i="33" s="1"/>
  <c r="N17" i="33" s="1"/>
  <c r="N18" i="33" s="1"/>
  <c r="N19" i="33" s="1"/>
  <c r="N20" i="33" s="1"/>
  <c r="N21" i="33" s="1"/>
  <c r="N22" i="33" s="1"/>
  <c r="N23" i="33" s="1"/>
  <c r="N24" i="33" s="1"/>
  <c r="N25" i="33" s="1"/>
  <c r="N26" i="33" s="1"/>
  <c r="L5" i="33"/>
  <c r="K10" i="33"/>
  <c r="L10" i="33" s="1"/>
  <c r="L5" i="22"/>
  <c r="L11" i="22"/>
  <c r="M11" i="22" s="1"/>
  <c r="N11" i="22"/>
  <c r="O11" i="22" s="1"/>
  <c r="O12" i="22" s="1"/>
  <c r="O13" i="22" s="1"/>
  <c r="O15" i="22" s="1"/>
  <c r="O17" i="22" s="1"/>
  <c r="L12" i="22"/>
  <c r="M12" i="22" s="1"/>
  <c r="AB34" i="118"/>
  <c r="AA34" i="118"/>
  <c r="Y34" i="118"/>
  <c r="AB32" i="118"/>
  <c r="AA32" i="118"/>
  <c r="Y32" i="118"/>
  <c r="X36" i="118"/>
  <c r="AA38" i="118"/>
  <c r="P32" i="118"/>
  <c r="AA39" i="118"/>
  <c r="E18" i="117"/>
  <c r="E17" i="117"/>
  <c r="AB34" i="117"/>
  <c r="AA34" i="117"/>
  <c r="Y34" i="117"/>
  <c r="Y32" i="117"/>
  <c r="X36" i="117"/>
  <c r="AB33" i="117"/>
  <c r="AA38" i="117"/>
  <c r="O32" i="117"/>
  <c r="AA33" i="117"/>
  <c r="AA39" i="117"/>
  <c r="Y33" i="117"/>
  <c r="N15" i="24"/>
  <c r="L11" i="24"/>
  <c r="M11" i="24" s="1"/>
  <c r="N11" i="24"/>
  <c r="O11" i="24" s="1"/>
  <c r="O12" i="24" s="1"/>
  <c r="O13" i="24" s="1"/>
  <c r="O14" i="24" s="1"/>
  <c r="O15" i="24" s="1"/>
  <c r="O16" i="24" s="1"/>
  <c r="O17" i="24" s="1"/>
  <c r="O18" i="24" s="1"/>
  <c r="O19" i="24" s="1"/>
  <c r="O20" i="24" s="1"/>
  <c r="L3" i="24" s="1"/>
  <c r="N3" i="24" s="1"/>
  <c r="L12" i="24"/>
  <c r="M12" i="24" s="1"/>
  <c r="AB77" i="116"/>
  <c r="AA77" i="116"/>
  <c r="Y77" i="116"/>
  <c r="AB75" i="116"/>
  <c r="AA75" i="116"/>
  <c r="Y75" i="116"/>
  <c r="O83" i="116"/>
  <c r="P83" i="116" s="1"/>
  <c r="O81" i="116"/>
  <c r="AB37" i="116"/>
  <c r="Y50" i="116"/>
  <c r="Y53" i="116"/>
  <c r="Y62" i="116"/>
  <c r="W79" i="116"/>
  <c r="X79" i="116" s="1"/>
  <c r="W81" i="116"/>
  <c r="E2" i="116" s="1"/>
  <c r="Y34" i="116"/>
  <c r="AA50" i="116"/>
  <c r="AA53" i="116"/>
  <c r="AA62" i="116"/>
  <c r="X74" i="116"/>
  <c r="AA76" i="116"/>
  <c r="Y76" i="116"/>
  <c r="T81" i="116"/>
  <c r="AA34" i="116"/>
  <c r="P38" i="116"/>
  <c r="AB44" i="116"/>
  <c r="AA44" i="116"/>
  <c r="Y44" i="116"/>
  <c r="AB76" i="116"/>
  <c r="AB41" i="116"/>
  <c r="Y38" i="116"/>
  <c r="Y41" i="116"/>
  <c r="Y57" i="116"/>
  <c r="AB60" i="116"/>
  <c r="AA60" i="116"/>
  <c r="Y66" i="116"/>
  <c r="AB72" i="116"/>
  <c r="AA72" i="116"/>
  <c r="AA38" i="116"/>
  <c r="AA41" i="116"/>
  <c r="Y45" i="116"/>
  <c r="AB51" i="116"/>
  <c r="AA51" i="116"/>
  <c r="Y51" i="116"/>
  <c r="AA57" i="116"/>
  <c r="Y60" i="116"/>
  <c r="AA66" i="116"/>
  <c r="Y69" i="116"/>
  <c r="Y72" i="116"/>
  <c r="X84" i="116"/>
  <c r="AB32" i="116"/>
  <c r="AA32" i="116"/>
  <c r="Y32" i="116"/>
  <c r="AA45" i="116"/>
  <c r="Y48" i="116"/>
  <c r="AA69" i="116"/>
  <c r="O79" i="116"/>
  <c r="P79" i="116" s="1"/>
  <c r="AA48" i="116"/>
  <c r="T83" i="116"/>
  <c r="Y52" i="116"/>
  <c r="Y33" i="116"/>
  <c r="AB39" i="116"/>
  <c r="AA39" i="116"/>
  <c r="Y39" i="116"/>
  <c r="AA52" i="116"/>
  <c r="Y55" i="116"/>
  <c r="AB58" i="116"/>
  <c r="Y64" i="116"/>
  <c r="AB67" i="116"/>
  <c r="AA67" i="116"/>
  <c r="AA33" i="116"/>
  <c r="Y36" i="116"/>
  <c r="AB46" i="116"/>
  <c r="AB49" i="116"/>
  <c r="AA55" i="116"/>
  <c r="AA64" i="116"/>
  <c r="Y67" i="116"/>
  <c r="K81" i="116"/>
  <c r="AA36" i="116"/>
  <c r="Y43" i="116"/>
  <c r="Y46" i="116"/>
  <c r="AA46" i="116"/>
  <c r="Y58" i="116"/>
  <c r="Y65" i="116"/>
  <c r="Y37" i="116"/>
  <c r="Y49" i="116"/>
  <c r="Y56" i="116"/>
  <c r="AA58" i="116"/>
  <c r="AA65" i="116"/>
  <c r="AA70" i="116"/>
  <c r="AA37" i="116"/>
  <c r="AA49" i="116"/>
  <c r="AA56" i="116"/>
  <c r="Y63" i="116"/>
  <c r="P13" i="40"/>
  <c r="P16" i="40" s="1"/>
  <c r="M5" i="40"/>
  <c r="M12" i="40"/>
  <c r="M13" i="40" s="1"/>
  <c r="M14" i="40" s="1"/>
  <c r="M15" i="40" s="1"/>
  <c r="M16" i="40" s="1"/>
  <c r="M17" i="40" s="1"/>
  <c r="M18" i="40" s="1"/>
  <c r="M19" i="40" s="1"/>
  <c r="M20" i="40" s="1"/>
  <c r="M21" i="40" s="1"/>
  <c r="M22" i="40" s="1"/>
  <c r="M23" i="40" s="1"/>
  <c r="M24" i="40" s="1"/>
  <c r="M25" i="40" s="1"/>
  <c r="M26" i="40" s="1"/>
  <c r="M27" i="40" s="1"/>
  <c r="M2" i="40" s="1"/>
  <c r="O2" i="40" s="1"/>
  <c r="O25" i="40"/>
  <c r="O12" i="40"/>
  <c r="P12" i="40" s="1"/>
  <c r="M11" i="40"/>
  <c r="N11" i="40" s="1"/>
  <c r="N12" i="40" s="1"/>
  <c r="N13" i="40" s="1"/>
  <c r="N14" i="40" s="1"/>
  <c r="N15" i="40" s="1"/>
  <c r="O20" i="40"/>
  <c r="O27" i="40"/>
  <c r="M5" i="18"/>
  <c r="AB55" i="115"/>
  <c r="AA55" i="115"/>
  <c r="Y55" i="115"/>
  <c r="O68" i="115"/>
  <c r="AB58" i="115"/>
  <c r="AA58" i="115"/>
  <c r="Y58" i="115"/>
  <c r="AB42" i="115"/>
  <c r="AA42" i="115"/>
  <c r="Y42" i="115"/>
  <c r="P32" i="115"/>
  <c r="Y47" i="115"/>
  <c r="AB61" i="115"/>
  <c r="AA61" i="115"/>
  <c r="Y61" i="115"/>
  <c r="Y40" i="115"/>
  <c r="AA47" i="115"/>
  <c r="X66" i="115"/>
  <c r="X68" i="115"/>
  <c r="Y38" i="115"/>
  <c r="AA40" i="115"/>
  <c r="Y53" i="115"/>
  <c r="Y32" i="115"/>
  <c r="AA35" i="115"/>
  <c r="AA38" i="115"/>
  <c r="Y45" i="115"/>
  <c r="AA53" i="115"/>
  <c r="O66" i="115"/>
  <c r="P66" i="115" s="1"/>
  <c r="AA32" i="115"/>
  <c r="AA45" i="115"/>
  <c r="Y43" i="115"/>
  <c r="Y56" i="115"/>
  <c r="T66" i="115"/>
  <c r="AA43" i="115"/>
  <c r="AB51" i="115"/>
  <c r="AA56" i="115"/>
  <c r="AB59" i="115"/>
  <c r="X69" i="115"/>
  <c r="AA46" i="115"/>
  <c r="Y46" i="115"/>
  <c r="Y48" i="115"/>
  <c r="Y51" i="115"/>
  <c r="AB63" i="115"/>
  <c r="M68" i="115"/>
  <c r="Y36" i="115"/>
  <c r="AB46" i="115"/>
  <c r="AA48" i="115"/>
  <c r="AA51" i="115"/>
  <c r="Y63" i="115"/>
  <c r="AA36" i="115"/>
  <c r="AB39" i="115"/>
  <c r="AA39" i="115"/>
  <c r="Y39" i="115"/>
  <c r="Y60" i="115"/>
  <c r="AA63" i="115"/>
  <c r="V66" i="115"/>
  <c r="AA60" i="115"/>
  <c r="X34" i="115"/>
  <c r="AB44" i="115"/>
  <c r="AA44" i="115"/>
  <c r="Y44" i="115"/>
  <c r="AB57" i="115"/>
  <c r="AA57" i="115"/>
  <c r="Y57" i="115"/>
  <c r="K68" i="115"/>
  <c r="AB37" i="115"/>
  <c r="AB49" i="115"/>
  <c r="AA49" i="115"/>
  <c r="V68" i="115"/>
  <c r="O35" i="115"/>
  <c r="Y59" i="115"/>
  <c r="Y37" i="115"/>
  <c r="AA59" i="115"/>
  <c r="Y33" i="115"/>
  <c r="AA37" i="115"/>
  <c r="Y41" i="115"/>
  <c r="Y52" i="115"/>
  <c r="AA33" i="115"/>
  <c r="Y35" i="115"/>
  <c r="AA41" i="115"/>
  <c r="AA52" i="115"/>
  <c r="Y62" i="115"/>
  <c r="Y64" i="115"/>
  <c r="P14" i="18"/>
  <c r="P15" i="18" s="1"/>
  <c r="P16" i="18" s="1"/>
  <c r="P17" i="18" s="1"/>
  <c r="P18" i="18" s="1"/>
  <c r="P19" i="18" s="1"/>
  <c r="P20" i="18" s="1"/>
  <c r="P21" i="18" s="1"/>
  <c r="P22" i="18" s="1"/>
  <c r="M3" i="18" s="1"/>
  <c r="O3" i="18" s="1"/>
  <c r="M12" i="18"/>
  <c r="O14" i="18"/>
  <c r="M13" i="18"/>
  <c r="M14" i="18" s="1"/>
  <c r="M15" i="18" s="1"/>
  <c r="M16" i="18" s="1"/>
  <c r="M17" i="18" s="1"/>
  <c r="M18" i="18" s="1"/>
  <c r="M19" i="18" s="1"/>
  <c r="M20" i="18" s="1"/>
  <c r="M21" i="18" s="1"/>
  <c r="M22" i="18" s="1"/>
  <c r="M2" i="18" s="1"/>
  <c r="O2" i="18" s="1"/>
  <c r="M5" i="32"/>
  <c r="M11" i="32"/>
  <c r="N10" i="32"/>
  <c r="K11" i="31"/>
  <c r="L10" i="31"/>
  <c r="I5" i="31"/>
  <c r="L1" i="63"/>
  <c r="X42" i="114"/>
  <c r="P32" i="114"/>
  <c r="Y34" i="114"/>
  <c r="AA34" i="114"/>
  <c r="Y32" i="114"/>
  <c r="AB34" i="114"/>
  <c r="Y39" i="114"/>
  <c r="AA32" i="114"/>
  <c r="AA39" i="114"/>
  <c r="P35" i="114"/>
  <c r="Y37" i="114"/>
  <c r="AA37" i="114"/>
  <c r="E13" i="114"/>
  <c r="Y35" i="114"/>
  <c r="AA35" i="114"/>
  <c r="Y33" i="114"/>
  <c r="AA33" i="114"/>
  <c r="E17" i="114"/>
  <c r="Y38" i="114"/>
  <c r="Y45" i="114"/>
  <c r="N11" i="63"/>
  <c r="M12" i="63"/>
  <c r="N12" i="63" s="1"/>
  <c r="U11" i="63"/>
  <c r="V11" i="63" s="1"/>
  <c r="U12" i="63"/>
  <c r="L17" i="63"/>
  <c r="N10" i="63"/>
  <c r="T12" i="63"/>
  <c r="L19" i="63"/>
  <c r="O14" i="63"/>
  <c r="P14" i="63" s="1"/>
  <c r="P15" i="63" s="1"/>
  <c r="P16" i="63" s="1"/>
  <c r="P17" i="63" s="1"/>
  <c r="P18" i="63" s="1"/>
  <c r="P19" i="63" s="1"/>
  <c r="P20" i="63" s="1"/>
  <c r="P21" i="63" s="1"/>
  <c r="P22" i="63" s="1"/>
  <c r="M3" i="63" s="1"/>
  <c r="O3" i="63" s="1"/>
  <c r="T22" i="63"/>
  <c r="T14" i="63"/>
  <c r="L1" i="16"/>
  <c r="AB53" i="113"/>
  <c r="AA53" i="113"/>
  <c r="Y53" i="113"/>
  <c r="O55" i="113"/>
  <c r="P55" i="113" s="1"/>
  <c r="P44" i="113"/>
  <c r="AB39" i="113"/>
  <c r="AA39" i="113"/>
  <c r="Y39" i="113"/>
  <c r="X55" i="113"/>
  <c r="AA56" i="113"/>
  <c r="Y56" i="113"/>
  <c r="AB46" i="113"/>
  <c r="AA46" i="113"/>
  <c r="Y46" i="113"/>
  <c r="AB51" i="113"/>
  <c r="AB32" i="113"/>
  <c r="AA32" i="113"/>
  <c r="Y32" i="113"/>
  <c r="O53" i="113"/>
  <c r="P53" i="113" s="1"/>
  <c r="AB37" i="113"/>
  <c r="P35" i="113"/>
  <c r="Y37" i="113"/>
  <c r="Y44" i="113"/>
  <c r="Y51" i="113"/>
  <c r="E13" i="113"/>
  <c r="P33" i="113"/>
  <c r="AA37" i="113"/>
  <c r="AA44" i="113"/>
  <c r="AA51" i="113"/>
  <c r="Y35" i="113"/>
  <c r="Y42" i="113"/>
  <c r="AB44" i="113"/>
  <c r="Y49" i="113"/>
  <c r="Y33" i="113"/>
  <c r="AA35" i="113"/>
  <c r="AA42" i="113"/>
  <c r="AA49" i="113"/>
  <c r="AA33" i="113"/>
  <c r="AB35" i="113"/>
  <c r="Y40" i="113"/>
  <c r="Y47" i="113"/>
  <c r="E17" i="113"/>
  <c r="AA40" i="113"/>
  <c r="AA47" i="113"/>
  <c r="Y38" i="113"/>
  <c r="Y45" i="113"/>
  <c r="AA38" i="113"/>
  <c r="AA45" i="113"/>
  <c r="Y36" i="113"/>
  <c r="Y43" i="113"/>
  <c r="Y50" i="113"/>
  <c r="O56" i="16"/>
  <c r="U48" i="16"/>
  <c r="P29" i="16"/>
  <c r="P30" i="16" s="1"/>
  <c r="P31" i="16" s="1"/>
  <c r="P32" i="16" s="1"/>
  <c r="P33" i="16" s="1"/>
  <c r="V30" i="16"/>
  <c r="W30" i="16" s="1"/>
  <c r="W29" i="16"/>
  <c r="L39" i="16"/>
  <c r="O74" i="16"/>
  <c r="D17" i="16"/>
  <c r="O83" i="16"/>
  <c r="L31" i="16"/>
  <c r="O62" i="16"/>
  <c r="O66" i="16"/>
  <c r="L36" i="16"/>
  <c r="O84" i="16"/>
  <c r="M28" i="16"/>
  <c r="N28" i="16" s="1"/>
  <c r="L38" i="16"/>
  <c r="L71" i="16"/>
  <c r="O82" i="16"/>
  <c r="K5" i="14"/>
  <c r="E19" i="132" s="1"/>
  <c r="U12" i="1" s="1"/>
  <c r="N11" i="14"/>
  <c r="O11" i="14" s="1"/>
  <c r="O12" i="14" s="1"/>
  <c r="O13" i="14" s="1"/>
  <c r="O14" i="14" s="1"/>
  <c r="O15" i="14" s="1"/>
  <c r="O16" i="14" s="1"/>
  <c r="O17" i="14" s="1"/>
  <c r="O18" i="14" s="1"/>
  <c r="O19" i="14" s="1"/>
  <c r="O20" i="14" s="1"/>
  <c r="L11" i="14"/>
  <c r="AK41" i="111"/>
  <c r="AJ41" i="111"/>
  <c r="Y41" i="111"/>
  <c r="M5" i="112"/>
  <c r="E19" i="111" s="1"/>
  <c r="F14" i="112"/>
  <c r="N10" i="112"/>
  <c r="M2" i="112"/>
  <c r="E14" i="111"/>
  <c r="O3" i="112"/>
  <c r="Y36" i="111"/>
  <c r="X39" i="111"/>
  <c r="AJ36" i="111"/>
  <c r="Y33" i="111"/>
  <c r="AJ33" i="111"/>
  <c r="Y37" i="111"/>
  <c r="AJ37" i="111"/>
  <c r="Y34" i="111"/>
  <c r="AJ34" i="111"/>
  <c r="AJ42" i="111"/>
  <c r="Y35" i="111"/>
  <c r="L1" i="112"/>
  <c r="M11" i="85"/>
  <c r="O10" i="82"/>
  <c r="N11" i="82"/>
  <c r="O11" i="82" s="1"/>
  <c r="N12" i="82"/>
  <c r="CY55" i="10"/>
  <c r="L8" i="10"/>
  <c r="CY7" i="10"/>
  <c r="D68" i="10"/>
  <c r="U9" i="1" s="1"/>
  <c r="F8" i="68" s="1"/>
  <c r="D67" i="10"/>
  <c r="T9" i="1" s="1"/>
  <c r="D65" i="10"/>
  <c r="M9" i="1" s="1"/>
  <c r="CY6" i="10"/>
  <c r="CX24" i="10"/>
  <c r="C78" i="10"/>
  <c r="D78" i="10" s="1"/>
  <c r="C36" i="10"/>
  <c r="C77" i="10" s="1"/>
  <c r="D77" i="10" s="1"/>
  <c r="B65" i="10"/>
  <c r="B66" i="10" s="1"/>
  <c r="C71" i="10"/>
  <c r="D71" i="10" s="1"/>
  <c r="C76" i="10"/>
  <c r="D76" i="10" s="1"/>
  <c r="M10" i="7"/>
  <c r="L31" i="7"/>
  <c r="L23" i="7"/>
  <c r="M5" i="7" s="1"/>
  <c r="L32" i="7"/>
  <c r="E13" i="109"/>
  <c r="E18" i="109"/>
  <c r="N5" i="49"/>
  <c r="Y43" i="109"/>
  <c r="Y42" i="109"/>
  <c r="AB42" i="109"/>
  <c r="AA42" i="109"/>
  <c r="P38" i="109"/>
  <c r="Y40" i="109"/>
  <c r="AA40" i="109"/>
  <c r="Y38" i="109"/>
  <c r="AA38" i="109"/>
  <c r="Y36" i="109"/>
  <c r="AB38" i="109"/>
  <c r="O43" i="109"/>
  <c r="P43" i="109" s="1"/>
  <c r="P32" i="109"/>
  <c r="Y34" i="109"/>
  <c r="AA36" i="109"/>
  <c r="AA34" i="109"/>
  <c r="Y32" i="109"/>
  <c r="AA32" i="109"/>
  <c r="AB32" i="109"/>
  <c r="Y37" i="109"/>
  <c r="AA37" i="109"/>
  <c r="O12" i="49"/>
  <c r="P12" i="49" s="1"/>
  <c r="P13" i="49" s="1"/>
  <c r="P14" i="49" s="1"/>
  <c r="P15" i="49" s="1"/>
  <c r="M11" i="49"/>
  <c r="E19" i="135" l="1"/>
  <c r="U22" i="1" s="1"/>
  <c r="AB44" i="114"/>
  <c r="Y44" i="114"/>
  <c r="AA44" i="114"/>
  <c r="F14" i="85"/>
  <c r="M5" i="85"/>
  <c r="E19" i="131" s="1"/>
  <c r="U24" i="1" s="1"/>
  <c r="F23" i="68" s="1"/>
  <c r="P65" i="121"/>
  <c r="AB65" i="121"/>
  <c r="AA65" i="121"/>
  <c r="AA63" i="121"/>
  <c r="AB63" i="121"/>
  <c r="M12" i="48"/>
  <c r="N11" i="48"/>
  <c r="AB61" i="120"/>
  <c r="AA61" i="120"/>
  <c r="Y61" i="120"/>
  <c r="AB59" i="120"/>
  <c r="AA59" i="120"/>
  <c r="Y59" i="120"/>
  <c r="AB62" i="120"/>
  <c r="AA62" i="120"/>
  <c r="Y62" i="120"/>
  <c r="N13" i="46"/>
  <c r="M14" i="46"/>
  <c r="Y48" i="119"/>
  <c r="AB38" i="119"/>
  <c r="AA38" i="119"/>
  <c r="Y38" i="119"/>
  <c r="X50" i="119"/>
  <c r="O50" i="119"/>
  <c r="P50" i="119" s="1"/>
  <c r="O48" i="119"/>
  <c r="P48" i="119" s="1"/>
  <c r="O25" i="42"/>
  <c r="O26" i="42" s="1"/>
  <c r="O27" i="42" s="1"/>
  <c r="O28" i="42" s="1"/>
  <c r="O29" i="42" s="1"/>
  <c r="O30" i="42" s="1"/>
  <c r="O31" i="42" s="1"/>
  <c r="O32" i="42" s="1"/>
  <c r="O33" i="42" s="1"/>
  <c r="O34" i="42" s="1"/>
  <c r="O35" i="42" s="1"/>
  <c r="O36" i="42" s="1"/>
  <c r="O37" i="42" s="1"/>
  <c r="O38" i="42" s="1"/>
  <c r="M3" i="42" s="1"/>
  <c r="O3" i="42" s="1"/>
  <c r="O24" i="42"/>
  <c r="M10" i="42"/>
  <c r="L11" i="42"/>
  <c r="L3" i="33"/>
  <c r="N3" i="33" s="1"/>
  <c r="N27" i="33"/>
  <c r="K11" i="33"/>
  <c r="L13" i="22"/>
  <c r="AB36" i="118"/>
  <c r="AA36" i="118"/>
  <c r="Y36" i="118"/>
  <c r="O36" i="117"/>
  <c r="P36" i="117" s="1"/>
  <c r="P32" i="117"/>
  <c r="AA32" i="117"/>
  <c r="AB32" i="117"/>
  <c r="Y36" i="117"/>
  <c r="L13" i="24"/>
  <c r="AB74" i="116"/>
  <c r="AA74" i="116"/>
  <c r="Y74" i="116"/>
  <c r="AA79" i="116"/>
  <c r="Y79" i="116"/>
  <c r="AB79" i="116"/>
  <c r="X83" i="116"/>
  <c r="X81" i="116"/>
  <c r="P81" i="116"/>
  <c r="AB84" i="116"/>
  <c r="AA84" i="116"/>
  <c r="Y84" i="116"/>
  <c r="W83" i="116"/>
  <c r="P15" i="40"/>
  <c r="P14" i="40"/>
  <c r="P18" i="40"/>
  <c r="P19" i="40" s="1"/>
  <c r="P20" i="40" s="1"/>
  <c r="P21" i="40" s="1"/>
  <c r="P22" i="40" s="1"/>
  <c r="P23" i="40" s="1"/>
  <c r="P24" i="40" s="1"/>
  <c r="P25" i="40" s="1"/>
  <c r="P26" i="40" s="1"/>
  <c r="P27" i="40" s="1"/>
  <c r="M3" i="40" s="1"/>
  <c r="O3" i="40" s="1"/>
  <c r="P17" i="40"/>
  <c r="Y69" i="115"/>
  <c r="AB68" i="115"/>
  <c r="AA68" i="115"/>
  <c r="Y68" i="115"/>
  <c r="AB66" i="115"/>
  <c r="AA66" i="115"/>
  <c r="Y66" i="115"/>
  <c r="P68" i="115"/>
  <c r="Y34" i="115"/>
  <c r="AB34" i="115"/>
  <c r="AA34" i="115"/>
  <c r="P35" i="115"/>
  <c r="AB35" i="115"/>
  <c r="O69" i="115"/>
  <c r="P69" i="115" s="1"/>
  <c r="N11" i="32"/>
  <c r="M13" i="32"/>
  <c r="K12" i="31"/>
  <c r="L11" i="31"/>
  <c r="AB42" i="114"/>
  <c r="AA42" i="114"/>
  <c r="Y42" i="114"/>
  <c r="T17" i="63"/>
  <c r="V12" i="63"/>
  <c r="U13" i="63"/>
  <c r="V13" i="63" s="1"/>
  <c r="T19" i="63"/>
  <c r="M5" i="63"/>
  <c r="E19" i="114" s="1"/>
  <c r="U19" i="1" s="1"/>
  <c r="F18" i="68" s="1"/>
  <c r="M13" i="63"/>
  <c r="AB55" i="113"/>
  <c r="AA55" i="113"/>
  <c r="Y55" i="113"/>
  <c r="M5" i="16"/>
  <c r="E19" i="113" s="1"/>
  <c r="V31" i="16"/>
  <c r="P34" i="16"/>
  <c r="P35" i="16" s="1"/>
  <c r="P36" i="16" s="1"/>
  <c r="P37" i="16" s="1"/>
  <c r="P38" i="16" s="1"/>
  <c r="P39" i="16" s="1"/>
  <c r="P40" i="16" s="1"/>
  <c r="P41" i="16" s="1"/>
  <c r="P42" i="16" s="1"/>
  <c r="P43" i="16" s="1"/>
  <c r="P44" i="16" s="1"/>
  <c r="P45" i="16" s="1"/>
  <c r="P46" i="16" s="1"/>
  <c r="P47" i="16" s="1"/>
  <c r="P48" i="16" s="1"/>
  <c r="P49" i="16" s="1"/>
  <c r="P50" i="16" s="1"/>
  <c r="P51" i="16" s="1"/>
  <c r="P52" i="16" s="1"/>
  <c r="P53" i="16" s="1"/>
  <c r="P54" i="16" s="1"/>
  <c r="P55" i="16" s="1"/>
  <c r="P56" i="16" s="1"/>
  <c r="P57" i="16" s="1"/>
  <c r="P58" i="16" s="1"/>
  <c r="P59" i="16" s="1"/>
  <c r="P60" i="16" s="1"/>
  <c r="P61" i="16" s="1"/>
  <c r="P62" i="16" s="1"/>
  <c r="P63" i="16" s="1"/>
  <c r="P64" i="16" s="1"/>
  <c r="P65" i="16" s="1"/>
  <c r="P66" i="16" s="1"/>
  <c r="P67" i="16" s="1"/>
  <c r="P68" i="16" s="1"/>
  <c r="P69" i="16" s="1"/>
  <c r="P70" i="16" s="1"/>
  <c r="P71" i="16" s="1"/>
  <c r="P72" i="16" s="1"/>
  <c r="P73" i="16" s="1"/>
  <c r="P74" i="16" s="1"/>
  <c r="P75" i="16" s="1"/>
  <c r="P76" i="16" s="1"/>
  <c r="P77" i="16" s="1"/>
  <c r="P78" i="16" s="1"/>
  <c r="P79" i="16" s="1"/>
  <c r="P80" i="16" s="1"/>
  <c r="P81" i="16" s="1"/>
  <c r="P82" i="16" s="1"/>
  <c r="P83" i="16" s="1"/>
  <c r="P84" i="16" s="1"/>
  <c r="P85" i="16" s="1"/>
  <c r="P86" i="16" s="1"/>
  <c r="P87" i="16" s="1"/>
  <c r="P88" i="16" s="1"/>
  <c r="P89" i="16" s="1"/>
  <c r="M3" i="16" s="1"/>
  <c r="O3" i="16" s="1"/>
  <c r="D16" i="16"/>
  <c r="M29" i="16"/>
  <c r="L12" i="14"/>
  <c r="M11" i="14"/>
  <c r="O21" i="14"/>
  <c r="O22" i="14"/>
  <c r="O23" i="14" s="1"/>
  <c r="O24" i="14" s="1"/>
  <c r="O25" i="14" s="1"/>
  <c r="O26" i="14" s="1"/>
  <c r="O27" i="14" s="1"/>
  <c r="O28" i="14" s="1"/>
  <c r="O29" i="14" s="1"/>
  <c r="O30" i="14" s="1"/>
  <c r="O31" i="14" s="1"/>
  <c r="O32" i="14" s="1"/>
  <c r="O33" i="14" s="1"/>
  <c r="O34" i="14" s="1"/>
  <c r="O35" i="14" s="1"/>
  <c r="O36" i="14" s="1"/>
  <c r="O37" i="14" s="1"/>
  <c r="O38" i="14" s="1"/>
  <c r="O39" i="14" s="1"/>
  <c r="O40" i="14" s="1"/>
  <c r="K3" i="14" s="1"/>
  <c r="M3" i="14" s="1"/>
  <c r="AK39" i="111"/>
  <c r="AJ39" i="111"/>
  <c r="Y39" i="111"/>
  <c r="E12" i="111"/>
  <c r="O2" i="112"/>
  <c r="M2" i="85"/>
  <c r="O2" i="85" s="1"/>
  <c r="N11" i="85"/>
  <c r="N13" i="82"/>
  <c r="O12" i="82"/>
  <c r="D79" i="10"/>
  <c r="L9" i="10"/>
  <c r="CY8" i="10"/>
  <c r="M11" i="7"/>
  <c r="N10" i="7"/>
  <c r="AA43" i="109"/>
  <c r="AB43" i="109"/>
  <c r="R16" i="49"/>
  <c r="P16" i="49"/>
  <c r="N11" i="49"/>
  <c r="M12" i="49"/>
  <c r="N12" i="48" l="1"/>
  <c r="M13" i="48"/>
  <c r="M15" i="46"/>
  <c r="N14" i="46"/>
  <c r="AB50" i="119"/>
  <c r="AA50" i="119"/>
  <c r="Y50" i="119"/>
  <c r="AA48" i="119"/>
  <c r="AB48" i="119"/>
  <c r="L12" i="42"/>
  <c r="M11" i="42"/>
  <c r="L11" i="33"/>
  <c r="K12" i="33"/>
  <c r="M13" i="22"/>
  <c r="L14" i="22"/>
  <c r="AA36" i="117"/>
  <c r="AB36" i="117"/>
  <c r="M13" i="24"/>
  <c r="L14" i="24"/>
  <c r="AB83" i="116"/>
  <c r="AA83" i="116"/>
  <c r="Y83" i="116"/>
  <c r="AB81" i="116"/>
  <c r="AA81" i="116"/>
  <c r="Y81" i="116"/>
  <c r="AA69" i="115"/>
  <c r="AB69" i="115"/>
  <c r="N13" i="32"/>
  <c r="M14" i="32"/>
  <c r="K13" i="31"/>
  <c r="L13" i="31" s="1"/>
  <c r="L12" i="31"/>
  <c r="K14" i="31"/>
  <c r="N13" i="63"/>
  <c r="M14" i="63"/>
  <c r="U14" i="63"/>
  <c r="W31" i="16"/>
  <c r="V32" i="16"/>
  <c r="N29" i="16"/>
  <c r="M30" i="16"/>
  <c r="M12" i="14"/>
  <c r="L13" i="14"/>
  <c r="E16" i="111"/>
  <c r="E13" i="111"/>
  <c r="E18" i="111"/>
  <c r="E17" i="111"/>
  <c r="N14" i="82"/>
  <c r="O13" i="82"/>
  <c r="L10" i="10"/>
  <c r="CY9" i="10"/>
  <c r="M12" i="7"/>
  <c r="N11" i="7"/>
  <c r="M13" i="49"/>
  <c r="N12" i="49"/>
  <c r="R17" i="49"/>
  <c r="P17" i="49"/>
  <c r="M14" i="48" l="1"/>
  <c r="N13" i="48"/>
  <c r="N15" i="46"/>
  <c r="M16" i="46"/>
  <c r="L13" i="42"/>
  <c r="M12" i="42"/>
  <c r="L12" i="33"/>
  <c r="K13" i="33"/>
  <c r="M14" i="22"/>
  <c r="L15" i="22"/>
  <c r="M14" i="24"/>
  <c r="L15" i="24"/>
  <c r="M2" i="32"/>
  <c r="N14" i="32"/>
  <c r="K15" i="31"/>
  <c r="L14" i="31"/>
  <c r="V14" i="63"/>
  <c r="U15" i="63"/>
  <c r="N14" i="63"/>
  <c r="M15" i="63"/>
  <c r="N30" i="16"/>
  <c r="M31" i="16"/>
  <c r="W32" i="16"/>
  <c r="V33" i="16"/>
  <c r="L14" i="14"/>
  <c r="M13" i="14"/>
  <c r="O14" i="82"/>
  <c r="N15" i="82"/>
  <c r="CY10" i="10"/>
  <c r="L11" i="10"/>
  <c r="M13" i="7"/>
  <c r="N12" i="7"/>
  <c r="R18" i="49"/>
  <c r="P18" i="49"/>
  <c r="N13" i="49"/>
  <c r="M14" i="49"/>
  <c r="M15" i="48" l="1"/>
  <c r="N14" i="48"/>
  <c r="M17" i="46"/>
  <c r="N16" i="46"/>
  <c r="M13" i="42"/>
  <c r="L14" i="42"/>
  <c r="L13" i="33"/>
  <c r="K14" i="33"/>
  <c r="M15" i="22"/>
  <c r="L16" i="22"/>
  <c r="M15" i="24"/>
  <c r="L16" i="24"/>
  <c r="L15" i="31"/>
  <c r="I2" i="31"/>
  <c r="N15" i="63"/>
  <c r="M16" i="63"/>
  <c r="V15" i="63"/>
  <c r="U16" i="63"/>
  <c r="W33" i="16"/>
  <c r="V34" i="16"/>
  <c r="N31" i="16"/>
  <c r="M32" i="16"/>
  <c r="M14" i="14"/>
  <c r="L15" i="14"/>
  <c r="O15" i="82"/>
  <c r="N16" i="82"/>
  <c r="L13" i="10"/>
  <c r="CY11" i="10"/>
  <c r="N13" i="7"/>
  <c r="M14" i="7"/>
  <c r="N14" i="49"/>
  <c r="M15" i="49"/>
  <c r="R19" i="49"/>
  <c r="P19" i="49"/>
  <c r="N15" i="48" l="1"/>
  <c r="M16" i="48"/>
  <c r="N17" i="46"/>
  <c r="M18" i="46"/>
  <c r="L15" i="42"/>
  <c r="M14" i="42"/>
  <c r="L14" i="33"/>
  <c r="K15" i="33"/>
  <c r="M16" i="22"/>
  <c r="L17" i="22"/>
  <c r="M16" i="24"/>
  <c r="L17" i="24"/>
  <c r="V16" i="63"/>
  <c r="U17" i="63"/>
  <c r="N16" i="63"/>
  <c r="M17" i="63"/>
  <c r="D11" i="16"/>
  <c r="N32" i="16"/>
  <c r="M33" i="16"/>
  <c r="D20" i="16"/>
  <c r="W34" i="16"/>
  <c r="V35" i="16"/>
  <c r="L16" i="14"/>
  <c r="M15" i="14"/>
  <c r="O16" i="82"/>
  <c r="N2" i="82"/>
  <c r="P2" i="82" s="1"/>
  <c r="CY13" i="10"/>
  <c r="L14" i="10"/>
  <c r="M15" i="7"/>
  <c r="N14" i="7"/>
  <c r="R20" i="49"/>
  <c r="P20" i="49"/>
  <c r="M16" i="49"/>
  <c r="N15" i="49"/>
  <c r="M17" i="48" l="1"/>
  <c r="N16" i="48"/>
  <c r="M19" i="46"/>
  <c r="N18" i="46"/>
  <c r="L16" i="42"/>
  <c r="M15" i="42"/>
  <c r="L15" i="33"/>
  <c r="K16" i="33"/>
  <c r="M17" i="22"/>
  <c r="L18" i="22"/>
  <c r="L18" i="24"/>
  <c r="M17" i="24"/>
  <c r="N17" i="63"/>
  <c r="M18" i="63"/>
  <c r="V17" i="63"/>
  <c r="U18" i="63"/>
  <c r="W35" i="16"/>
  <c r="V36" i="16"/>
  <c r="N33" i="16"/>
  <c r="M34" i="16"/>
  <c r="D13" i="16"/>
  <c r="D14" i="16"/>
  <c r="D18" i="16" s="1"/>
  <c r="M16" i="14"/>
  <c r="L17" i="14"/>
  <c r="L15" i="10"/>
  <c r="CY14" i="10"/>
  <c r="M16" i="7"/>
  <c r="N15" i="7"/>
  <c r="M17" i="49"/>
  <c r="N16" i="49"/>
  <c r="R21" i="49"/>
  <c r="P21" i="49"/>
  <c r="M18" i="48" l="1"/>
  <c r="N17" i="48"/>
  <c r="N19" i="46"/>
  <c r="M20" i="46"/>
  <c r="M16" i="42"/>
  <c r="L17" i="42"/>
  <c r="L16" i="33"/>
  <c r="K17" i="33"/>
  <c r="M18" i="22"/>
  <c r="L2" i="22"/>
  <c r="N2" i="22" s="1"/>
  <c r="M18" i="24"/>
  <c r="L19" i="24"/>
  <c r="V18" i="63"/>
  <c r="U19" i="63"/>
  <c r="N18" i="63"/>
  <c r="M19" i="63"/>
  <c r="N34" i="16"/>
  <c r="M35" i="16"/>
  <c r="W36" i="16"/>
  <c r="V37" i="16"/>
  <c r="L18" i="14"/>
  <c r="M17" i="14"/>
  <c r="L16" i="10"/>
  <c r="CY15" i="10"/>
  <c r="N16" i="7"/>
  <c r="M17" i="7"/>
  <c r="R22" i="49"/>
  <c r="P22" i="49"/>
  <c r="M18" i="49"/>
  <c r="N17" i="49"/>
  <c r="N18" i="48" l="1"/>
  <c r="M19" i="48"/>
  <c r="M21" i="46"/>
  <c r="N20" i="46"/>
  <c r="L18" i="42"/>
  <c r="M17" i="42"/>
  <c r="L17" i="33"/>
  <c r="K18" i="33"/>
  <c r="M19" i="24"/>
  <c r="L20" i="24"/>
  <c r="N19" i="63"/>
  <c r="M20" i="63"/>
  <c r="V19" i="63"/>
  <c r="U20" i="63"/>
  <c r="W37" i="16"/>
  <c r="V38" i="16"/>
  <c r="N35" i="16"/>
  <c r="M36" i="16"/>
  <c r="L19" i="14"/>
  <c r="M18" i="14"/>
  <c r="L17" i="10"/>
  <c r="CY16" i="10"/>
  <c r="M18" i="7"/>
  <c r="N17" i="7"/>
  <c r="M19" i="49"/>
  <c r="N18" i="49"/>
  <c r="R23" i="49"/>
  <c r="P23" i="49"/>
  <c r="M20" i="48" l="1"/>
  <c r="N19" i="48"/>
  <c r="M22" i="46"/>
  <c r="N21" i="46"/>
  <c r="L19" i="42"/>
  <c r="M18" i="42"/>
  <c r="L18" i="33"/>
  <c r="K19" i="33"/>
  <c r="M20" i="24"/>
  <c r="L2" i="24"/>
  <c r="N2" i="24" s="1"/>
  <c r="V20" i="63"/>
  <c r="U21" i="63"/>
  <c r="N20" i="63"/>
  <c r="M21" i="63"/>
  <c r="N36" i="16"/>
  <c r="M37" i="16"/>
  <c r="W38" i="16"/>
  <c r="V39" i="16"/>
  <c r="M19" i="14"/>
  <c r="L20" i="14"/>
  <c r="L18" i="10"/>
  <c r="CY17" i="10"/>
  <c r="M19" i="7"/>
  <c r="N18" i="7"/>
  <c r="R24" i="49"/>
  <c r="P24" i="49"/>
  <c r="M20" i="49"/>
  <c r="N19" i="49"/>
  <c r="N20" i="48" l="1"/>
  <c r="M21" i="48"/>
  <c r="N22" i="46"/>
  <c r="M23" i="46"/>
  <c r="M19" i="42"/>
  <c r="L21" i="42"/>
  <c r="L20" i="42"/>
  <c r="M20" i="42" s="1"/>
  <c r="L19" i="33"/>
  <c r="K20" i="33"/>
  <c r="N21" i="63"/>
  <c r="M22" i="63"/>
  <c r="V21" i="63"/>
  <c r="U22" i="63"/>
  <c r="V22" i="63" s="1"/>
  <c r="V40" i="16"/>
  <c r="W39" i="16"/>
  <c r="N37" i="16"/>
  <c r="M38" i="16"/>
  <c r="L21" i="14"/>
  <c r="M20" i="14"/>
  <c r="L19" i="10"/>
  <c r="CY18" i="10"/>
  <c r="M20" i="7"/>
  <c r="N19" i="7"/>
  <c r="M21" i="49"/>
  <c r="N20" i="49"/>
  <c r="R25" i="49"/>
  <c r="P25" i="49"/>
  <c r="M22" i="48" l="1"/>
  <c r="N21" i="48"/>
  <c r="M24" i="46"/>
  <c r="N23" i="46"/>
  <c r="L22" i="42"/>
  <c r="M21" i="42"/>
  <c r="L20" i="33"/>
  <c r="K21" i="33"/>
  <c r="M2" i="63"/>
  <c r="O2" i="63" s="1"/>
  <c r="N22" i="63"/>
  <c r="N38" i="16"/>
  <c r="M39" i="16"/>
  <c r="W40" i="16"/>
  <c r="V41" i="16"/>
  <c r="M21" i="14"/>
  <c r="L22" i="14"/>
  <c r="CY19" i="10"/>
  <c r="L20" i="10"/>
  <c r="N20" i="7"/>
  <c r="M21" i="7"/>
  <c r="P26" i="49"/>
  <c r="R26" i="49"/>
  <c r="M22" i="49"/>
  <c r="N21" i="49"/>
  <c r="M23" i="48" l="1"/>
  <c r="N22" i="48"/>
  <c r="N24" i="46"/>
  <c r="M25" i="46"/>
  <c r="L23" i="42"/>
  <c r="M22" i="42"/>
  <c r="L21" i="33"/>
  <c r="K22" i="33"/>
  <c r="W41" i="16"/>
  <c r="V42" i="16"/>
  <c r="N39" i="16"/>
  <c r="M40" i="16"/>
  <c r="L23" i="14"/>
  <c r="M22" i="14"/>
  <c r="CY20" i="10"/>
  <c r="L21" i="10"/>
  <c r="N21" i="7"/>
  <c r="M22" i="7"/>
  <c r="M23" i="49"/>
  <c r="N22" i="49"/>
  <c r="R27" i="49"/>
  <c r="P27" i="49"/>
  <c r="M24" i="48" l="1"/>
  <c r="N23" i="48"/>
  <c r="M26" i="46"/>
  <c r="N25" i="46"/>
  <c r="L24" i="42"/>
  <c r="M23" i="42"/>
  <c r="K23" i="33"/>
  <c r="L22" i="33"/>
  <c r="N40" i="16"/>
  <c r="M41" i="16"/>
  <c r="W42" i="16"/>
  <c r="V43" i="16"/>
  <c r="M23" i="14"/>
  <c r="L24" i="14"/>
  <c r="L22" i="10"/>
  <c r="CY21" i="10"/>
  <c r="N22" i="7"/>
  <c r="M23" i="7"/>
  <c r="R28" i="49"/>
  <c r="P28" i="49"/>
  <c r="M24" i="49"/>
  <c r="N23" i="49"/>
  <c r="N24" i="48" l="1"/>
  <c r="M25" i="48"/>
  <c r="M27" i="46"/>
  <c r="N26" i="46"/>
  <c r="M24" i="42"/>
  <c r="L26" i="42"/>
  <c r="L25" i="42"/>
  <c r="M25" i="42" s="1"/>
  <c r="L23" i="33"/>
  <c r="K24" i="33"/>
  <c r="W43" i="16"/>
  <c r="V44" i="16"/>
  <c r="N41" i="16"/>
  <c r="M42" i="16"/>
  <c r="L25" i="14"/>
  <c r="M24" i="14"/>
  <c r="CY22" i="10"/>
  <c r="L23" i="10"/>
  <c r="M24" i="7"/>
  <c r="N23" i="7"/>
  <c r="N24" i="49"/>
  <c r="M25" i="49"/>
  <c r="R29" i="49"/>
  <c r="P29" i="49"/>
  <c r="M26" i="48" l="1"/>
  <c r="N25" i="48"/>
  <c r="M28" i="46"/>
  <c r="N27" i="46"/>
  <c r="M26" i="42"/>
  <c r="L27" i="42"/>
  <c r="K25" i="33"/>
  <c r="L24" i="33"/>
  <c r="N42" i="16"/>
  <c r="M43" i="16"/>
  <c r="W44" i="16"/>
  <c r="V45" i="16"/>
  <c r="L26" i="14"/>
  <c r="M25" i="14"/>
  <c r="CY23" i="10"/>
  <c r="L24" i="10"/>
  <c r="N24" i="7"/>
  <c r="M25" i="7"/>
  <c r="R30" i="49"/>
  <c r="P30" i="49"/>
  <c r="M26" i="49"/>
  <c r="N25" i="49"/>
  <c r="N26" i="48" l="1"/>
  <c r="N2" i="48"/>
  <c r="P2" i="48" s="1"/>
  <c r="M29" i="46"/>
  <c r="N28" i="46"/>
  <c r="L28" i="42"/>
  <c r="M27" i="42"/>
  <c r="L25" i="33"/>
  <c r="K26" i="33"/>
  <c r="W45" i="16"/>
  <c r="V46" i="16"/>
  <c r="N43" i="16"/>
  <c r="M44" i="16"/>
  <c r="M26" i="14"/>
  <c r="L27" i="14"/>
  <c r="L25" i="10"/>
  <c r="CY24" i="10"/>
  <c r="N25" i="7"/>
  <c r="M26" i="7"/>
  <c r="N26" i="49"/>
  <c r="M27" i="49"/>
  <c r="R31" i="49"/>
  <c r="P31" i="49"/>
  <c r="N29" i="46" l="1"/>
  <c r="M30" i="46"/>
  <c r="M28" i="42"/>
  <c r="L29" i="42"/>
  <c r="L2" i="33"/>
  <c r="N2" i="33" s="1"/>
  <c r="K27" i="33"/>
  <c r="L27" i="33" s="1"/>
  <c r="L26" i="33"/>
  <c r="N44" i="16"/>
  <c r="M45" i="16"/>
  <c r="W46" i="16"/>
  <c r="V47" i="16"/>
  <c r="L28" i="14"/>
  <c r="M27" i="14"/>
  <c r="L26" i="10"/>
  <c r="CY25" i="10"/>
  <c r="M27" i="7"/>
  <c r="N26" i="7"/>
  <c r="R32" i="49"/>
  <c r="P32" i="49"/>
  <c r="M28" i="49"/>
  <c r="N27" i="49"/>
  <c r="M31" i="46" l="1"/>
  <c r="N30" i="46"/>
  <c r="L30" i="42"/>
  <c r="M29" i="42"/>
  <c r="V48" i="16"/>
  <c r="W47" i="16"/>
  <c r="N45" i="16"/>
  <c r="M46" i="16"/>
  <c r="M28" i="14"/>
  <c r="L29" i="14"/>
  <c r="CY26" i="10"/>
  <c r="L27" i="10"/>
  <c r="M28" i="7"/>
  <c r="N27" i="7"/>
  <c r="N28" i="49"/>
  <c r="M29" i="49"/>
  <c r="R33" i="49"/>
  <c r="P33" i="49"/>
  <c r="N31" i="46" l="1"/>
  <c r="N2" i="46"/>
  <c r="P2" i="46" s="1"/>
  <c r="L31" i="42"/>
  <c r="M30" i="42"/>
  <c r="N46" i="16"/>
  <c r="M47" i="16"/>
  <c r="W48" i="16"/>
  <c r="V49" i="16"/>
  <c r="L30" i="14"/>
  <c r="M29" i="14"/>
  <c r="CY27" i="10"/>
  <c r="E13" i="10" s="1"/>
  <c r="L28" i="10"/>
  <c r="M29" i="7"/>
  <c r="N28" i="7"/>
  <c r="R34" i="49"/>
  <c r="P34" i="49"/>
  <c r="M30" i="49"/>
  <c r="N29" i="49"/>
  <c r="M31" i="42" l="1"/>
  <c r="L32" i="42"/>
  <c r="W49" i="16"/>
  <c r="V50" i="16"/>
  <c r="N47" i="16"/>
  <c r="M48" i="16"/>
  <c r="L31" i="14"/>
  <c r="M30" i="14"/>
  <c r="CY28" i="10"/>
  <c r="L29" i="10"/>
  <c r="N29" i="7"/>
  <c r="M30" i="7"/>
  <c r="M31" i="49"/>
  <c r="N30" i="49"/>
  <c r="R35" i="49"/>
  <c r="P35" i="49"/>
  <c r="L33" i="42" l="1"/>
  <c r="M32" i="42"/>
  <c r="M49" i="16"/>
  <c r="N48" i="16"/>
  <c r="W50" i="16"/>
  <c r="V51" i="16"/>
  <c r="L32" i="14"/>
  <c r="M31" i="14"/>
  <c r="L30" i="10"/>
  <c r="CY29" i="10"/>
  <c r="N30" i="7"/>
  <c r="M31" i="7"/>
  <c r="R36" i="49"/>
  <c r="P36" i="49"/>
  <c r="M32" i="49"/>
  <c r="N31" i="49"/>
  <c r="M33" i="42" l="1"/>
  <c r="L34" i="42"/>
  <c r="W51" i="16"/>
  <c r="V52" i="16"/>
  <c r="N49" i="16"/>
  <c r="M50" i="16"/>
  <c r="L33" i="14"/>
  <c r="M32" i="14"/>
  <c r="L31" i="10"/>
  <c r="CY30" i="10"/>
  <c r="E16" i="10" s="1"/>
  <c r="N31" i="7"/>
  <c r="M32" i="7"/>
  <c r="M33" i="49"/>
  <c r="N32" i="49"/>
  <c r="R37" i="49"/>
  <c r="P37" i="49"/>
  <c r="L35" i="42" l="1"/>
  <c r="M34" i="42"/>
  <c r="M51" i="16"/>
  <c r="N50" i="16"/>
  <c r="W52" i="16"/>
  <c r="V53" i="16"/>
  <c r="M33" i="14"/>
  <c r="L34" i="14"/>
  <c r="L32" i="10"/>
  <c r="CY31" i="10"/>
  <c r="E17" i="10" s="1"/>
  <c r="M33" i="7"/>
  <c r="N32" i="7"/>
  <c r="P38" i="49"/>
  <c r="R38" i="49"/>
  <c r="M34" i="49"/>
  <c r="N33" i="49"/>
  <c r="L36" i="42" l="1"/>
  <c r="M35" i="42"/>
  <c r="V54" i="16"/>
  <c r="W53" i="16"/>
  <c r="N51" i="16"/>
  <c r="M52" i="16"/>
  <c r="L35" i="14"/>
  <c r="M34" i="14"/>
  <c r="L33" i="10"/>
  <c r="CY32" i="10"/>
  <c r="E18" i="10" s="1"/>
  <c r="M34" i="7"/>
  <c r="N33" i="7"/>
  <c r="M35" i="49"/>
  <c r="N34" i="49"/>
  <c r="R39" i="49"/>
  <c r="R40" i="49" s="1"/>
  <c r="R41" i="49" s="1"/>
  <c r="R42" i="49" s="1"/>
  <c r="R43" i="49" s="1"/>
  <c r="R44" i="49" s="1"/>
  <c r="R45" i="49" s="1"/>
  <c r="R46" i="49" s="1"/>
  <c r="R47" i="49" s="1"/>
  <c r="R48" i="49" s="1"/>
  <c r="R49" i="49" s="1"/>
  <c r="R50" i="49" s="1"/>
  <c r="R51" i="49" s="1"/>
  <c r="R52" i="49" s="1"/>
  <c r="R53" i="49" s="1"/>
  <c r="R54" i="49" s="1"/>
  <c r="R55" i="49" s="1"/>
  <c r="R56" i="49" s="1"/>
  <c r="R57" i="49" s="1"/>
  <c r="R58" i="49" s="1"/>
  <c r="R59" i="49" s="1"/>
  <c r="R60" i="49" s="1"/>
  <c r="R61" i="49" s="1"/>
  <c r="R62" i="49" s="1"/>
  <c r="R63" i="49" s="1"/>
  <c r="R64" i="49" s="1"/>
  <c r="R65" i="49" s="1"/>
  <c r="N3" i="49" s="1"/>
  <c r="P3" i="49" s="1"/>
  <c r="P39" i="49"/>
  <c r="P40" i="49" s="1"/>
  <c r="P41" i="49" s="1"/>
  <c r="P42" i="49" s="1"/>
  <c r="P43" i="49" s="1"/>
  <c r="P44" i="49" s="1"/>
  <c r="P45" i="49" s="1"/>
  <c r="P46" i="49" s="1"/>
  <c r="P47" i="49" s="1"/>
  <c r="P48" i="49" s="1"/>
  <c r="P49" i="49" s="1"/>
  <c r="P50" i="49" s="1"/>
  <c r="P51" i="49" s="1"/>
  <c r="P52" i="49" s="1"/>
  <c r="P53" i="49" s="1"/>
  <c r="P54" i="49" s="1"/>
  <c r="P55" i="49" s="1"/>
  <c r="P56" i="49" s="1"/>
  <c r="P57" i="49" s="1"/>
  <c r="P58" i="49" s="1"/>
  <c r="P59" i="49" s="1"/>
  <c r="P60" i="49" s="1"/>
  <c r="P61" i="49" s="1"/>
  <c r="P62" i="49" s="1"/>
  <c r="P63" i="49" s="1"/>
  <c r="P64" i="49" s="1"/>
  <c r="P65" i="49" s="1"/>
  <c r="L37" i="42" l="1"/>
  <c r="M36" i="42"/>
  <c r="N52" i="16"/>
  <c r="M53" i="16"/>
  <c r="W54" i="16"/>
  <c r="V55" i="16"/>
  <c r="L36" i="14"/>
  <c r="M35" i="14"/>
  <c r="L34" i="10"/>
  <c r="CY33" i="10"/>
  <c r="E19" i="10" s="1"/>
  <c r="M35" i="7"/>
  <c r="N34" i="7"/>
  <c r="M36" i="49"/>
  <c r="N35" i="49"/>
  <c r="L38" i="42" l="1"/>
  <c r="M37" i="42"/>
  <c r="W55" i="16"/>
  <c r="V56" i="16"/>
  <c r="N53" i="16"/>
  <c r="M54" i="16"/>
  <c r="L37" i="14"/>
  <c r="M36" i="14"/>
  <c r="CY34" i="10"/>
  <c r="E20" i="10" s="1"/>
  <c r="L35" i="10"/>
  <c r="M36" i="7"/>
  <c r="N35" i="7"/>
  <c r="M37" i="49"/>
  <c r="N36" i="49"/>
  <c r="M2" i="42" l="1"/>
  <c r="O2" i="42" s="1"/>
  <c r="M38" i="42"/>
  <c r="M55" i="16"/>
  <c r="N54" i="16"/>
  <c r="W56" i="16"/>
  <c r="V57" i="16"/>
  <c r="L38" i="14"/>
  <c r="M37" i="14"/>
  <c r="L36" i="10"/>
  <c r="CY35" i="10"/>
  <c r="E21" i="10" s="1"/>
  <c r="M37" i="7"/>
  <c r="N36" i="7"/>
  <c r="M38" i="49"/>
  <c r="N37" i="49"/>
  <c r="W57" i="16" l="1"/>
  <c r="V58" i="16"/>
  <c r="N55" i="16"/>
  <c r="M56" i="16"/>
  <c r="M38" i="14"/>
  <c r="L39" i="14"/>
  <c r="CY36" i="10"/>
  <c r="E22" i="10" s="1"/>
  <c r="L37" i="10"/>
  <c r="M38" i="7"/>
  <c r="N37" i="7"/>
  <c r="M39" i="49"/>
  <c r="N38" i="49"/>
  <c r="M57" i="16" l="1"/>
  <c r="N56" i="16"/>
  <c r="W58" i="16"/>
  <c r="V59" i="16"/>
  <c r="L40" i="14"/>
  <c r="M39" i="14"/>
  <c r="L38" i="10"/>
  <c r="CY37" i="10"/>
  <c r="E23" i="10" s="1"/>
  <c r="N38" i="7"/>
  <c r="M39" i="7"/>
  <c r="M40" i="49"/>
  <c r="N39" i="49"/>
  <c r="V60" i="16" l="1"/>
  <c r="W59" i="16"/>
  <c r="N57" i="16"/>
  <c r="M58" i="16"/>
  <c r="M40" i="14"/>
  <c r="K2" i="14"/>
  <c r="M2" i="14" s="1"/>
  <c r="L39" i="10"/>
  <c r="CY38" i="10"/>
  <c r="E24" i="10" s="1"/>
  <c r="M40" i="7"/>
  <c r="N39" i="7"/>
  <c r="N40" i="49"/>
  <c r="M41" i="49"/>
  <c r="N58" i="16" l="1"/>
  <c r="M59" i="16"/>
  <c r="W60" i="16"/>
  <c r="V61" i="16"/>
  <c r="CY39" i="10"/>
  <c r="E25" i="10" s="1"/>
  <c r="L40" i="10"/>
  <c r="M41" i="7"/>
  <c r="N40" i="7"/>
  <c r="M42" i="49"/>
  <c r="N41" i="49"/>
  <c r="W61" i="16" l="1"/>
  <c r="V62" i="16"/>
  <c r="M60" i="16"/>
  <c r="N59" i="16"/>
  <c r="L41" i="10"/>
  <c r="CY40" i="10"/>
  <c r="E26" i="10" s="1"/>
  <c r="N41" i="7"/>
  <c r="M42" i="7"/>
  <c r="N42" i="49"/>
  <c r="M43" i="49"/>
  <c r="N60" i="16" l="1"/>
  <c r="M61" i="16"/>
  <c r="W62" i="16"/>
  <c r="V63" i="16"/>
  <c r="L42" i="10"/>
  <c r="CY41" i="10"/>
  <c r="E27" i="10" s="1"/>
  <c r="M43" i="7"/>
  <c r="N42" i="7"/>
  <c r="N43" i="49"/>
  <c r="M44" i="49"/>
  <c r="V64" i="16" l="1"/>
  <c r="W63" i="16"/>
  <c r="N61" i="16"/>
  <c r="M62" i="16"/>
  <c r="L43" i="10"/>
  <c r="CY42" i="10"/>
  <c r="E28" i="10" s="1"/>
  <c r="M44" i="7"/>
  <c r="N43" i="7"/>
  <c r="M45" i="49"/>
  <c r="N44" i="49"/>
  <c r="N62" i="16" l="1"/>
  <c r="M63" i="16"/>
  <c r="W64" i="16"/>
  <c r="V65" i="16"/>
  <c r="CY43" i="10"/>
  <c r="L44" i="10"/>
  <c r="M45" i="7"/>
  <c r="N44" i="7"/>
  <c r="N45" i="49"/>
  <c r="M46" i="49"/>
  <c r="W65" i="16" l="1"/>
  <c r="V66" i="16"/>
  <c r="N63" i="16"/>
  <c r="M64" i="16"/>
  <c r="CY44" i="10"/>
  <c r="L45" i="10"/>
  <c r="N45" i="7"/>
  <c r="M46" i="7"/>
  <c r="M47" i="49"/>
  <c r="N46" i="49"/>
  <c r="N64" i="16" l="1"/>
  <c r="M65" i="16"/>
  <c r="W66" i="16"/>
  <c r="V67" i="16"/>
  <c r="L46" i="10"/>
  <c r="CY45" i="10"/>
  <c r="N46" i="7"/>
  <c r="M47" i="7"/>
  <c r="N47" i="49"/>
  <c r="M48" i="49"/>
  <c r="W67" i="16" l="1"/>
  <c r="V68" i="16"/>
  <c r="N65" i="16"/>
  <c r="M66" i="16"/>
  <c r="CY46" i="10"/>
  <c r="L47" i="10"/>
  <c r="N47" i="7"/>
  <c r="M48" i="7"/>
  <c r="M49" i="49"/>
  <c r="N48" i="49"/>
  <c r="N66" i="16" l="1"/>
  <c r="M67" i="16"/>
  <c r="W68" i="16"/>
  <c r="V69" i="16"/>
  <c r="L48" i="10"/>
  <c r="CY47" i="10"/>
  <c r="M49" i="7"/>
  <c r="N48" i="7"/>
  <c r="N49" i="49"/>
  <c r="M50" i="49"/>
  <c r="W69" i="16" l="1"/>
  <c r="V70" i="16"/>
  <c r="M68" i="16"/>
  <c r="N67" i="16"/>
  <c r="CY48" i="10"/>
  <c r="L49" i="10"/>
  <c r="M50" i="7"/>
  <c r="N49" i="7"/>
  <c r="M51" i="49"/>
  <c r="N50" i="49"/>
  <c r="N68" i="16" l="1"/>
  <c r="M69" i="16"/>
  <c r="W70" i="16"/>
  <c r="V71" i="16"/>
  <c r="L50" i="10"/>
  <c r="CY49" i="10"/>
  <c r="N50" i="7"/>
  <c r="M51" i="7"/>
  <c r="N51" i="49"/>
  <c r="M52" i="49"/>
  <c r="V72" i="16" l="1"/>
  <c r="W71" i="16"/>
  <c r="N69" i="16"/>
  <c r="M70" i="16"/>
  <c r="CY50" i="10"/>
  <c r="L51" i="10"/>
  <c r="M52" i="7"/>
  <c r="N51" i="7"/>
  <c r="M53" i="49"/>
  <c r="N52" i="49"/>
  <c r="N70" i="16" l="1"/>
  <c r="M71" i="16"/>
  <c r="W72" i="16"/>
  <c r="V73" i="16"/>
  <c r="L52" i="10"/>
  <c r="CY51" i="10"/>
  <c r="N52" i="7"/>
  <c r="M53" i="7"/>
  <c r="N53" i="49"/>
  <c r="M54" i="49"/>
  <c r="W73" i="16" l="1"/>
  <c r="V74" i="16"/>
  <c r="M72" i="16"/>
  <c r="N71" i="16"/>
  <c r="CY52" i="10"/>
  <c r="L53" i="10"/>
  <c r="N53" i="7"/>
  <c r="M54" i="7"/>
  <c r="M55" i="49"/>
  <c r="N54" i="49"/>
  <c r="N72" i="16" l="1"/>
  <c r="M73" i="16"/>
  <c r="V75" i="16"/>
  <c r="W74" i="16"/>
  <c r="L54" i="10"/>
  <c r="CY54" i="10" s="1"/>
  <c r="E43" i="10" s="1"/>
  <c r="CY53" i="10"/>
  <c r="N54" i="7"/>
  <c r="M55" i="7"/>
  <c r="N55" i="49"/>
  <c r="M56" i="49"/>
  <c r="W75" i="16" l="1"/>
  <c r="V76" i="16"/>
  <c r="N73" i="16"/>
  <c r="M74" i="16"/>
  <c r="N55" i="7"/>
  <c r="M56" i="7"/>
  <c r="M57" i="49"/>
  <c r="N56" i="49"/>
  <c r="M75" i="16" l="1"/>
  <c r="N74" i="16"/>
  <c r="V77" i="16"/>
  <c r="W76" i="16"/>
  <c r="M57" i="7"/>
  <c r="N56" i="7"/>
  <c r="N57" i="49"/>
  <c r="M58" i="49"/>
  <c r="W77" i="16" l="1"/>
  <c r="V78" i="16"/>
  <c r="N75" i="16"/>
  <c r="M76" i="16"/>
  <c r="M58" i="7"/>
  <c r="N57" i="7"/>
  <c r="M59" i="49"/>
  <c r="N58" i="49"/>
  <c r="M77" i="16" l="1"/>
  <c r="N76" i="16"/>
  <c r="W78" i="16"/>
  <c r="V79" i="16"/>
  <c r="M59" i="7"/>
  <c r="N58" i="7"/>
  <c r="N59" i="49"/>
  <c r="M60" i="49"/>
  <c r="W79" i="16" l="1"/>
  <c r="V80" i="16"/>
  <c r="N77" i="16"/>
  <c r="M78" i="16"/>
  <c r="N59" i="7"/>
  <c r="M60" i="7"/>
  <c r="M61" i="49"/>
  <c r="N60" i="49"/>
  <c r="N78" i="16" l="1"/>
  <c r="M79" i="16"/>
  <c r="W80" i="16"/>
  <c r="V81" i="16"/>
  <c r="M61" i="7"/>
  <c r="N60" i="7"/>
  <c r="N61" i="49"/>
  <c r="M62" i="49"/>
  <c r="W81" i="16" l="1"/>
  <c r="V82" i="16"/>
  <c r="N79" i="16"/>
  <c r="M80" i="16"/>
  <c r="M62" i="7"/>
  <c r="N61" i="7"/>
  <c r="N62" i="49"/>
  <c r="M63" i="49"/>
  <c r="M81" i="16" l="1"/>
  <c r="N80" i="16"/>
  <c r="W82" i="16"/>
  <c r="V83" i="16"/>
  <c r="M63" i="7"/>
  <c r="N62" i="7"/>
  <c r="N63" i="49"/>
  <c r="M64" i="49"/>
  <c r="W83" i="16" l="1"/>
  <c r="V84" i="16"/>
  <c r="N81" i="16"/>
  <c r="M82" i="16"/>
  <c r="N63" i="7"/>
  <c r="M64" i="7"/>
  <c r="M65" i="49"/>
  <c r="N64" i="49"/>
  <c r="N82" i="16" l="1"/>
  <c r="M83" i="16"/>
  <c r="W84" i="16"/>
  <c r="V85" i="16"/>
  <c r="M65" i="7"/>
  <c r="N64" i="7"/>
  <c r="N65" i="49"/>
  <c r="N2" i="49"/>
  <c r="P2" i="49" s="1"/>
  <c r="W85" i="16" l="1"/>
  <c r="V86" i="16"/>
  <c r="N83" i="16"/>
  <c r="M84" i="16"/>
  <c r="M66" i="7"/>
  <c r="N65" i="7"/>
  <c r="N84" i="16" l="1"/>
  <c r="M85" i="16"/>
  <c r="W86" i="16"/>
  <c r="V87" i="16"/>
  <c r="N66" i="7"/>
  <c r="M67" i="7"/>
  <c r="W87" i="16" l="1"/>
  <c r="V88" i="16"/>
  <c r="M86" i="16"/>
  <c r="N85" i="16"/>
  <c r="M68" i="7"/>
  <c r="N67" i="7"/>
  <c r="N86" i="16" l="1"/>
  <c r="M87" i="16"/>
  <c r="V89" i="16"/>
  <c r="W89" i="16" s="1"/>
  <c r="W88" i="16"/>
  <c r="M69" i="7"/>
  <c r="N68" i="7"/>
  <c r="N87" i="16" l="1"/>
  <c r="M88" i="16"/>
  <c r="M70" i="7"/>
  <c r="N69" i="7"/>
  <c r="M89" i="16" l="1"/>
  <c r="N88" i="16"/>
  <c r="N70" i="7"/>
  <c r="M71" i="7"/>
  <c r="N89" i="16" l="1"/>
  <c r="M2" i="16"/>
  <c r="O2" i="16" s="1"/>
  <c r="N71" i="7"/>
  <c r="M72" i="7"/>
  <c r="N72" i="7" l="1"/>
  <c r="M73" i="7"/>
  <c r="N73" i="7" l="1"/>
  <c r="M74" i="7"/>
  <c r="M75" i="7" l="1"/>
  <c r="N74" i="7"/>
  <c r="M76" i="7" l="1"/>
  <c r="N75" i="7"/>
  <c r="M77" i="7" l="1"/>
  <c r="N76" i="7"/>
  <c r="N77" i="7" l="1"/>
  <c r="M78" i="7"/>
  <c r="N78" i="7" l="1"/>
  <c r="M79" i="7"/>
  <c r="N79" i="7" l="1"/>
  <c r="M80" i="7"/>
  <c r="N80" i="7" l="1"/>
  <c r="M81" i="7"/>
  <c r="M82" i="7" l="1"/>
  <c r="N81" i="7"/>
  <c r="M83" i="7" l="1"/>
  <c r="N82" i="7"/>
  <c r="M84" i="7" l="1"/>
  <c r="N83" i="7"/>
  <c r="N84" i="7" l="1"/>
  <c r="M86" i="7"/>
  <c r="M85" i="7" l="1"/>
  <c r="N86" i="7"/>
  <c r="N85" i="7" l="1"/>
  <c r="M87" i="7"/>
  <c r="M88" i="7" l="1"/>
  <c r="N87" i="7"/>
  <c r="M89" i="7" l="1"/>
  <c r="N88" i="7"/>
  <c r="M90" i="7" l="1"/>
  <c r="N89" i="7"/>
  <c r="M91" i="7" l="1"/>
  <c r="N90" i="7"/>
  <c r="M92" i="7" l="1"/>
  <c r="N91" i="7"/>
  <c r="M93" i="7" l="1"/>
  <c r="N92" i="7"/>
  <c r="N93" i="7" l="1"/>
  <c r="M94" i="7"/>
  <c r="M95" i="7" l="1"/>
  <c r="N94" i="7"/>
  <c r="N95" i="7" l="1"/>
  <c r="M96" i="7"/>
  <c r="N96" i="7" l="1"/>
  <c r="M97" i="7"/>
  <c r="M98" i="7" l="1"/>
  <c r="N97" i="7"/>
  <c r="N98" i="7" l="1"/>
  <c r="M2" i="7"/>
  <c r="AZ24" i="68" l="1"/>
  <c r="AZ23" i="68"/>
  <c r="AZ22" i="68"/>
  <c r="AZ21" i="68"/>
  <c r="AZ20" i="68"/>
  <c r="AZ19" i="68"/>
  <c r="AZ18" i="68"/>
  <c r="AZ17" i="68"/>
  <c r="AZ16" i="68"/>
  <c r="AZ15" i="68"/>
  <c r="AZ14" i="68"/>
  <c r="AZ13" i="68"/>
  <c r="AZ12" i="68"/>
  <c r="AZ11" i="68"/>
  <c r="AZ10" i="68"/>
  <c r="AZ9" i="68"/>
  <c r="AZ8" i="68"/>
  <c r="AZ7" i="68"/>
  <c r="C34" i="88" l="1"/>
  <c r="O114" i="88" l="1"/>
  <c r="I114" i="88"/>
  <c r="AV24" i="87" s="1"/>
  <c r="H114" i="88"/>
  <c r="AQ24" i="87" s="1"/>
  <c r="G114" i="88"/>
  <c r="AL24" i="87" s="1"/>
  <c r="F114" i="88"/>
  <c r="AG24" i="87" s="1"/>
  <c r="E114" i="88"/>
  <c r="Z24" i="87" s="1"/>
  <c r="O113" i="88"/>
  <c r="N113" i="88"/>
  <c r="M113" i="88"/>
  <c r="L113" i="88"/>
  <c r="K113" i="88"/>
  <c r="F113" i="88"/>
  <c r="E113" i="88"/>
  <c r="I108" i="88"/>
  <c r="AV23" i="87" s="1"/>
  <c r="H108" i="88"/>
  <c r="AQ23" i="87" s="1"/>
  <c r="G108" i="88"/>
  <c r="AL23" i="87" s="1"/>
  <c r="F108" i="88"/>
  <c r="AG23" i="87" s="1"/>
  <c r="E108" i="88"/>
  <c r="Z23" i="87" s="1"/>
  <c r="O107" i="88"/>
  <c r="N107" i="88"/>
  <c r="M107" i="88"/>
  <c r="L107" i="88"/>
  <c r="K107" i="88"/>
  <c r="J107" i="88"/>
  <c r="I107" i="88"/>
  <c r="H107" i="88"/>
  <c r="G107" i="88"/>
  <c r="F107" i="88"/>
  <c r="O102" i="88"/>
  <c r="N102" i="88"/>
  <c r="M102" i="88"/>
  <c r="G102" i="88"/>
  <c r="AL22" i="87" s="1"/>
  <c r="F102" i="88"/>
  <c r="AG22" i="87" s="1"/>
  <c r="E102" i="88"/>
  <c r="Z22" i="87" s="1"/>
  <c r="O101" i="88"/>
  <c r="N101" i="88"/>
  <c r="M101" i="88"/>
  <c r="L101" i="88"/>
  <c r="K101" i="88"/>
  <c r="J101" i="88"/>
  <c r="I101" i="88"/>
  <c r="E101" i="88"/>
  <c r="O96" i="88"/>
  <c r="N96" i="88"/>
  <c r="M96" i="88"/>
  <c r="L96" i="88"/>
  <c r="K96" i="88"/>
  <c r="BF21" i="87" s="1"/>
  <c r="J96" i="88"/>
  <c r="BA21" i="87" s="1"/>
  <c r="G96" i="88"/>
  <c r="AL21" i="87" s="1"/>
  <c r="F96" i="88"/>
  <c r="AG21" i="87" s="1"/>
  <c r="E96" i="88"/>
  <c r="Z21" i="87" s="1"/>
  <c r="O95" i="88"/>
  <c r="N95" i="88"/>
  <c r="M95" i="88"/>
  <c r="L95" i="88"/>
  <c r="K95" i="88"/>
  <c r="J95" i="88"/>
  <c r="I95" i="88"/>
  <c r="H95" i="88"/>
  <c r="G95" i="88"/>
  <c r="F95" i="88"/>
  <c r="E95" i="88"/>
  <c r="O90" i="88"/>
  <c r="N90" i="88"/>
  <c r="M90" i="88"/>
  <c r="L90" i="88"/>
  <c r="F90" i="88"/>
  <c r="AG20" i="87" s="1"/>
  <c r="E90" i="88"/>
  <c r="Z20" i="87" s="1"/>
  <c r="O89" i="88"/>
  <c r="N89" i="88"/>
  <c r="M89" i="88"/>
  <c r="L89" i="88"/>
  <c r="K89" i="88"/>
  <c r="J89" i="88"/>
  <c r="I89" i="88"/>
  <c r="H89" i="88"/>
  <c r="O84" i="88"/>
  <c r="N84" i="88"/>
  <c r="M84" i="88"/>
  <c r="L84" i="88"/>
  <c r="F84" i="88"/>
  <c r="AG19" i="87" s="1"/>
  <c r="E84" i="88"/>
  <c r="O83" i="88"/>
  <c r="N83" i="88"/>
  <c r="M83" i="88"/>
  <c r="L83" i="88"/>
  <c r="K83" i="88"/>
  <c r="J83" i="88"/>
  <c r="I83" i="88"/>
  <c r="H83" i="88"/>
  <c r="G83" i="88"/>
  <c r="F83" i="88"/>
  <c r="E83" i="88"/>
  <c r="O78" i="88"/>
  <c r="N78" i="88"/>
  <c r="F78" i="88"/>
  <c r="AG18" i="87" s="1"/>
  <c r="E78" i="88"/>
  <c r="Z18" i="87" s="1"/>
  <c r="O77" i="88"/>
  <c r="N77" i="88"/>
  <c r="M77" i="88"/>
  <c r="L77" i="88"/>
  <c r="K77" i="88"/>
  <c r="J77" i="88"/>
  <c r="I77" i="88"/>
  <c r="O72" i="88"/>
  <c r="N72" i="88"/>
  <c r="M72" i="88"/>
  <c r="L72" i="88"/>
  <c r="E72" i="88"/>
  <c r="O71" i="88"/>
  <c r="N71" i="88"/>
  <c r="M71" i="88"/>
  <c r="L71" i="88"/>
  <c r="K71" i="88"/>
  <c r="J71" i="88"/>
  <c r="I71" i="88"/>
  <c r="O66" i="88"/>
  <c r="N66" i="88"/>
  <c r="M66" i="88"/>
  <c r="L66" i="88"/>
  <c r="E66" i="88"/>
  <c r="O65" i="88"/>
  <c r="N65" i="88"/>
  <c r="M65" i="88"/>
  <c r="L65" i="88"/>
  <c r="K65" i="88"/>
  <c r="J65" i="88"/>
  <c r="I65" i="88"/>
  <c r="H65" i="88"/>
  <c r="G65" i="88"/>
  <c r="F65" i="88"/>
  <c r="E65" i="88"/>
  <c r="O60" i="88"/>
  <c r="N60" i="88"/>
  <c r="M60" i="88"/>
  <c r="L60" i="88"/>
  <c r="E60" i="88"/>
  <c r="O59" i="88"/>
  <c r="N59" i="88"/>
  <c r="M59" i="88"/>
  <c r="L59" i="88"/>
  <c r="K59" i="88"/>
  <c r="J59" i="88"/>
  <c r="I59" i="88"/>
  <c r="H59" i="88"/>
  <c r="G59" i="88"/>
  <c r="F59" i="88"/>
  <c r="E59" i="88"/>
  <c r="O54" i="88"/>
  <c r="N54" i="88"/>
  <c r="M54" i="88"/>
  <c r="L54" i="88"/>
  <c r="K54" i="88"/>
  <c r="BF14" i="87" s="1"/>
  <c r="J54" i="88"/>
  <c r="BA14" i="87" s="1"/>
  <c r="F54" i="88"/>
  <c r="AG14" i="87" s="1"/>
  <c r="E54" i="88"/>
  <c r="O53" i="88"/>
  <c r="N53" i="88"/>
  <c r="M53" i="88"/>
  <c r="L53" i="88"/>
  <c r="K53" i="88"/>
  <c r="J53" i="88"/>
  <c r="I53" i="88"/>
  <c r="H53" i="88"/>
  <c r="G53" i="88"/>
  <c r="F53" i="88"/>
  <c r="E53" i="88"/>
  <c r="O48" i="88"/>
  <c r="N48" i="88"/>
  <c r="M48" i="88"/>
  <c r="L48" i="88"/>
  <c r="K48" i="88"/>
  <c r="J48" i="88"/>
  <c r="G48" i="88"/>
  <c r="F48" i="88"/>
  <c r="E48" i="88"/>
  <c r="O47" i="88"/>
  <c r="N47" i="88"/>
  <c r="M47" i="88"/>
  <c r="L47" i="88"/>
  <c r="K47" i="88"/>
  <c r="J47" i="88"/>
  <c r="I47" i="88"/>
  <c r="H47" i="88"/>
  <c r="G47" i="88"/>
  <c r="F47" i="88"/>
  <c r="E47" i="88"/>
  <c r="O42" i="88"/>
  <c r="N42" i="88"/>
  <c r="M42" i="88"/>
  <c r="L42" i="88"/>
  <c r="K42" i="88"/>
  <c r="BF12" i="87" s="1"/>
  <c r="E42" i="88"/>
  <c r="O41" i="88"/>
  <c r="N41" i="88"/>
  <c r="M41" i="88"/>
  <c r="L41" i="88"/>
  <c r="K41" i="88"/>
  <c r="J41" i="88"/>
  <c r="I41" i="88"/>
  <c r="H41" i="88"/>
  <c r="G41" i="88"/>
  <c r="F41" i="88"/>
  <c r="O36" i="88"/>
  <c r="N36" i="88"/>
  <c r="M36" i="88"/>
  <c r="L36" i="88"/>
  <c r="K36" i="88"/>
  <c r="BF11" i="87" s="1"/>
  <c r="J36" i="88"/>
  <c r="BA11" i="87" s="1"/>
  <c r="F36" i="88"/>
  <c r="AG11" i="87" s="1"/>
  <c r="E36" i="88"/>
  <c r="O35" i="88"/>
  <c r="N35" i="88"/>
  <c r="M35" i="88"/>
  <c r="L35" i="88"/>
  <c r="K35" i="88"/>
  <c r="J35" i="88"/>
  <c r="I35" i="88"/>
  <c r="H35" i="88"/>
  <c r="G35" i="88"/>
  <c r="F35" i="88"/>
  <c r="O30" i="88"/>
  <c r="N30" i="88"/>
  <c r="M30" i="88"/>
  <c r="L30" i="88"/>
  <c r="K30" i="88"/>
  <c r="BF10" i="87" s="1"/>
  <c r="E30" i="88"/>
  <c r="O29" i="88"/>
  <c r="N29" i="88"/>
  <c r="M29" i="88"/>
  <c r="L29" i="88"/>
  <c r="K29" i="88"/>
  <c r="J29" i="88"/>
  <c r="I29" i="88"/>
  <c r="H29" i="88"/>
  <c r="O24" i="88"/>
  <c r="N24" i="88"/>
  <c r="M24" i="88"/>
  <c r="L24" i="88"/>
  <c r="K24" i="88"/>
  <c r="J24" i="88"/>
  <c r="I24" i="88"/>
  <c r="H24" i="88"/>
  <c r="AQ9" i="87" s="1"/>
  <c r="G24" i="88"/>
  <c r="AL9" i="87" s="1"/>
  <c r="F24" i="88"/>
  <c r="AG9" i="87" s="1"/>
  <c r="E24" i="88"/>
  <c r="O23" i="88"/>
  <c r="N23" i="88"/>
  <c r="M23" i="88"/>
  <c r="L23" i="88"/>
  <c r="K23" i="88"/>
  <c r="J23" i="88"/>
  <c r="I23" i="88"/>
  <c r="H23" i="88"/>
  <c r="G23" i="88"/>
  <c r="F23" i="88"/>
  <c r="E23" i="88"/>
  <c r="O18" i="88"/>
  <c r="N18" i="88"/>
  <c r="M18" i="88"/>
  <c r="L18" i="88"/>
  <c r="K18" i="88"/>
  <c r="J18" i="88"/>
  <c r="I18" i="88"/>
  <c r="E18" i="88"/>
  <c r="O17" i="88"/>
  <c r="N17" i="88"/>
  <c r="M17" i="88"/>
  <c r="L17" i="88"/>
  <c r="K17" i="88"/>
  <c r="J17" i="88"/>
  <c r="I17" i="88"/>
  <c r="H17" i="88"/>
  <c r="G17" i="88"/>
  <c r="F17" i="88"/>
  <c r="E17" i="88"/>
  <c r="O11" i="88"/>
  <c r="N11" i="88"/>
  <c r="M11" i="88"/>
  <c r="L11" i="88"/>
  <c r="K11" i="88"/>
  <c r="J11" i="88"/>
  <c r="I11" i="88"/>
  <c r="H11" i="88"/>
  <c r="G11" i="88"/>
  <c r="F11" i="88"/>
  <c r="E11" i="88"/>
  <c r="O12" i="88"/>
  <c r="N12" i="88"/>
  <c r="M12" i="88"/>
  <c r="L12" i="88"/>
  <c r="K12" i="88"/>
  <c r="J12" i="88"/>
  <c r="I12" i="88"/>
  <c r="H12" i="88"/>
  <c r="AQ7" i="87" s="1"/>
  <c r="G12" i="88"/>
  <c r="AL7" i="87" s="1"/>
  <c r="E12" i="88"/>
  <c r="F12" i="88"/>
  <c r="AG7" i="87" s="1"/>
  <c r="O6" i="88"/>
  <c r="N6" i="88"/>
  <c r="M6" i="88"/>
  <c r="L6" i="88"/>
  <c r="K6" i="88"/>
  <c r="J6" i="88"/>
  <c r="I6" i="88"/>
  <c r="H6" i="88"/>
  <c r="G6" i="88"/>
  <c r="F6" i="88"/>
  <c r="C70" i="88" l="1"/>
  <c r="C46" i="88"/>
  <c r="C112" i="88" l="1"/>
  <c r="C94" i="88"/>
  <c r="C58" i="88"/>
  <c r="C106" i="88" l="1"/>
  <c r="C40" i="88" l="1"/>
  <c r="BP48" i="87"/>
  <c r="BO31" i="87"/>
  <c r="BP31" i="87" s="1"/>
  <c r="BO24" i="87"/>
  <c r="E19" i="87"/>
  <c r="G19" i="87" s="1"/>
  <c r="E16" i="87"/>
  <c r="G16" i="87" s="1"/>
  <c r="E15" i="87"/>
  <c r="G15" i="87" s="1"/>
  <c r="E14" i="87"/>
  <c r="G14" i="87" s="1"/>
  <c r="E12" i="87"/>
  <c r="G12" i="87" s="1"/>
  <c r="E11" i="87"/>
  <c r="G11" i="87" s="1"/>
  <c r="G8" i="87"/>
  <c r="E7" i="87"/>
  <c r="G7" i="87" s="1"/>
  <c r="H24" i="87"/>
  <c r="H23" i="87"/>
  <c r="H22" i="87"/>
  <c r="H21" i="87"/>
  <c r="H20" i="87"/>
  <c r="H18" i="87"/>
  <c r="H17" i="87"/>
  <c r="H13" i="87"/>
  <c r="H10" i="87"/>
  <c r="H9" i="87"/>
  <c r="F25" i="87"/>
  <c r="G24" i="87"/>
  <c r="G23" i="87"/>
  <c r="G22" i="87"/>
  <c r="G21" i="87"/>
  <c r="G20" i="87"/>
  <c r="G18" i="87"/>
  <c r="G17" i="87"/>
  <c r="G13" i="87"/>
  <c r="G10" i="87"/>
  <c r="G9" i="87"/>
  <c r="C52" i="88" l="1"/>
  <c r="I9" i="87"/>
  <c r="F52" i="87"/>
  <c r="I21" i="87"/>
  <c r="E25" i="87"/>
  <c r="I10" i="87"/>
  <c r="I23" i="87"/>
  <c r="I24" i="87"/>
  <c r="I22" i="87"/>
  <c r="I13" i="87"/>
  <c r="I17" i="87"/>
  <c r="I18" i="87"/>
  <c r="I20" i="87"/>
  <c r="E52" i="87"/>
  <c r="G6" i="87"/>
  <c r="C64" i="88" l="1"/>
  <c r="G52" i="87"/>
  <c r="G25" i="87"/>
  <c r="C76" i="88" l="1"/>
  <c r="H19" i="87" l="1"/>
  <c r="I19" i="87" s="1"/>
  <c r="H16" i="87"/>
  <c r="I16" i="87" s="1"/>
  <c r="H15" i="87"/>
  <c r="I15" i="87" s="1"/>
  <c r="H14" i="87"/>
  <c r="I14" i="87" s="1"/>
  <c r="H12" i="87"/>
  <c r="I12" i="87" s="1"/>
  <c r="H11" i="87"/>
  <c r="I11" i="87" s="1"/>
  <c r="H8" i="87"/>
  <c r="I8" i="87" s="1"/>
  <c r="H6" i="87"/>
  <c r="I6" i="87" l="1"/>
  <c r="H7" i="87" l="1"/>
  <c r="I7" i="87" l="1"/>
  <c r="H25" i="87"/>
  <c r="H52" i="87"/>
  <c r="I25" i="87" l="1"/>
  <c r="I79" i="87" s="1"/>
  <c r="I80" i="87"/>
  <c r="I52" i="87" l="1"/>
  <c r="I83" i="87"/>
  <c r="G21" i="68" l="1"/>
  <c r="N33" i="29"/>
  <c r="M33" i="29"/>
  <c r="L33" i="29"/>
  <c r="K33" i="29"/>
  <c r="I33" i="29"/>
  <c r="N31" i="29"/>
  <c r="M31" i="29"/>
  <c r="L31" i="29"/>
  <c r="K31" i="29"/>
  <c r="I31" i="29"/>
  <c r="N29" i="29"/>
  <c r="M29" i="29"/>
  <c r="K29" i="29"/>
  <c r="N28" i="29"/>
  <c r="M28" i="29"/>
  <c r="B19" i="29"/>
  <c r="E15" i="29"/>
  <c r="E14" i="29"/>
  <c r="E12" i="29"/>
  <c r="E18" i="29" s="1"/>
  <c r="T14" i="1" s="1"/>
  <c r="E11" i="29"/>
  <c r="E10" i="29"/>
  <c r="E16" i="29" s="1"/>
  <c r="E4" i="29"/>
  <c r="N31" i="28"/>
  <c r="M31" i="28"/>
  <c r="L31" i="28"/>
  <c r="K31" i="28"/>
  <c r="I31" i="28"/>
  <c r="N29" i="28"/>
  <c r="M29" i="28"/>
  <c r="L29" i="28"/>
  <c r="K29" i="28"/>
  <c r="I29" i="28"/>
  <c r="N28" i="28"/>
  <c r="M28" i="28"/>
  <c r="I28" i="28"/>
  <c r="N27" i="28"/>
  <c r="M27" i="28"/>
  <c r="K27" i="28"/>
  <c r="I27" i="28"/>
  <c r="N26" i="28"/>
  <c r="M26" i="28"/>
  <c r="N25" i="28"/>
  <c r="M25" i="28"/>
  <c r="N22" i="28"/>
  <c r="M22" i="28"/>
  <c r="L22" i="28"/>
  <c r="K22" i="28"/>
  <c r="I22" i="28"/>
  <c r="N21" i="28"/>
  <c r="M21" i="28"/>
  <c r="E15" i="28"/>
  <c r="E18" i="28" s="1"/>
  <c r="T10" i="1" s="1"/>
  <c r="E14" i="28"/>
  <c r="E17" i="28" s="1"/>
  <c r="E12" i="28"/>
  <c r="E16" i="28" s="1"/>
  <c r="G11" i="28"/>
  <c r="E11" i="28"/>
  <c r="E4" i="28"/>
  <c r="BO36" i="87"/>
  <c r="F6" i="68"/>
  <c r="G6" i="68"/>
  <c r="H96" i="88"/>
  <c r="AQ21" i="87" s="1"/>
  <c r="AE80" i="68"/>
  <c r="AH19" i="68"/>
  <c r="AE79" i="68"/>
  <c r="AE76" i="68"/>
  <c r="AH14" i="68"/>
  <c r="AE74" i="68"/>
  <c r="H48" i="88"/>
  <c r="AE72" i="68"/>
  <c r="AD72" i="68"/>
  <c r="AC72" i="68"/>
  <c r="AE71" i="68"/>
  <c r="AD71" i="68"/>
  <c r="AE70" i="68"/>
  <c r="AD69" i="68"/>
  <c r="AC69" i="68"/>
  <c r="AC9" i="68" s="1"/>
  <c r="T68" i="68"/>
  <c r="AE67" i="68"/>
  <c r="AD67" i="68"/>
  <c r="AE66" i="68"/>
  <c r="AD66" i="68"/>
  <c r="AB66" i="68"/>
  <c r="AA66" i="68"/>
  <c r="Z66" i="68"/>
  <c r="Y66" i="68"/>
  <c r="X66" i="68"/>
  <c r="V66" i="68"/>
  <c r="B66" i="68"/>
  <c r="B67" i="68" s="1"/>
  <c r="B68" i="68" s="1"/>
  <c r="B69" i="68" s="1"/>
  <c r="B70" i="68" s="1"/>
  <c r="B71" i="68" s="1"/>
  <c r="B72" i="68" s="1"/>
  <c r="B73" i="68" s="1"/>
  <c r="B74" i="68" s="1"/>
  <c r="B75" i="68" s="1"/>
  <c r="B76" i="68" s="1"/>
  <c r="B77" i="68" s="1"/>
  <c r="B78" i="68" s="1"/>
  <c r="B79" i="68" s="1"/>
  <c r="B80" i="68" s="1"/>
  <c r="B81" i="68" s="1"/>
  <c r="B82" i="68" s="1"/>
  <c r="B83" i="68" s="1"/>
  <c r="B84" i="68" s="1"/>
  <c r="AE65" i="68"/>
  <c r="AD65" i="68"/>
  <c r="AC65" i="68"/>
  <c r="AB65" i="68"/>
  <c r="AA65" i="68"/>
  <c r="Z65" i="68"/>
  <c r="Y65" i="68"/>
  <c r="Y86" i="68" s="1"/>
  <c r="X65" i="68"/>
  <c r="W65" i="68"/>
  <c r="W86" i="68" s="1"/>
  <c r="V65" i="68"/>
  <c r="U65" i="68"/>
  <c r="U86" i="68" s="1"/>
  <c r="AX62" i="68"/>
  <c r="AW62" i="68"/>
  <c r="AV62" i="68"/>
  <c r="AU62" i="68"/>
  <c r="AT62" i="68"/>
  <c r="AS62" i="68"/>
  <c r="AR62" i="68"/>
  <c r="AQ62" i="68"/>
  <c r="AP62" i="68"/>
  <c r="AO62" i="68"/>
  <c r="AN62" i="68"/>
  <c r="E107" i="88"/>
  <c r="T59" i="68"/>
  <c r="AG57" i="68"/>
  <c r="AF57" i="68"/>
  <c r="AE57" i="68"/>
  <c r="F89" i="88"/>
  <c r="E89" i="88"/>
  <c r="AG56" i="68"/>
  <c r="AF56" i="68"/>
  <c r="AE56" i="68"/>
  <c r="AG55" i="68"/>
  <c r="AE55" i="68"/>
  <c r="AG54" i="68"/>
  <c r="AF54" i="68"/>
  <c r="AG53" i="68"/>
  <c r="AG17" i="68" s="1"/>
  <c r="AF53" i="68"/>
  <c r="AE53" i="68"/>
  <c r="AE17" i="68" s="1"/>
  <c r="AD53" i="68"/>
  <c r="AD17" i="68" s="1"/>
  <c r="AG52" i="68"/>
  <c r="AG16" i="68" s="1"/>
  <c r="AF52" i="68"/>
  <c r="AE52" i="68"/>
  <c r="AD52" i="68"/>
  <c r="AG51" i="68"/>
  <c r="AG15" i="68" s="1"/>
  <c r="AF51" i="68"/>
  <c r="AF15" i="68" s="1"/>
  <c r="AE51" i="68"/>
  <c r="AE15" i="68" s="1"/>
  <c r="AD51" i="68"/>
  <c r="AD50" i="68"/>
  <c r="AD14" i="68" s="1"/>
  <c r="AB50" i="68"/>
  <c r="T49" i="68"/>
  <c r="E41" i="88"/>
  <c r="AG48" i="68"/>
  <c r="AF48" i="68"/>
  <c r="AE48" i="68"/>
  <c r="AD48" i="68"/>
  <c r="AC48" i="68"/>
  <c r="AG47" i="68"/>
  <c r="AF47" i="68"/>
  <c r="AE47" i="68"/>
  <c r="AD47" i="68"/>
  <c r="AC47" i="68"/>
  <c r="AC11" i="68" s="1"/>
  <c r="AB47" i="68"/>
  <c r="AB11" i="68" s="1"/>
  <c r="E29" i="88"/>
  <c r="AG46" i="68"/>
  <c r="AF46" i="68"/>
  <c r="AE46" i="68"/>
  <c r="AD46" i="68"/>
  <c r="AD10" i="68" s="1"/>
  <c r="AA45" i="68"/>
  <c r="AA9" i="68" s="1"/>
  <c r="T44" i="68"/>
  <c r="T43" i="68"/>
  <c r="AG42" i="68"/>
  <c r="AF42" i="68"/>
  <c r="AE42" i="68"/>
  <c r="AD42" i="68"/>
  <c r="AC42" i="68"/>
  <c r="AC7" i="68" s="1"/>
  <c r="AB42" i="68"/>
  <c r="AA42" i="68"/>
  <c r="Z42" i="68"/>
  <c r="Y42" i="68"/>
  <c r="X42" i="68"/>
  <c r="W42" i="68"/>
  <c r="W7" i="68" s="1"/>
  <c r="V42" i="68"/>
  <c r="B42" i="68"/>
  <c r="B43" i="68" s="1"/>
  <c r="B44" i="68" s="1"/>
  <c r="B45" i="68" s="1"/>
  <c r="B46" i="68" s="1"/>
  <c r="B47" i="68" s="1"/>
  <c r="B48" i="68" s="1"/>
  <c r="B49" i="68" s="1"/>
  <c r="B50" i="68" s="1"/>
  <c r="B51" i="68" s="1"/>
  <c r="B52" i="68" s="1"/>
  <c r="B53" i="68" s="1"/>
  <c r="B54" i="68" s="1"/>
  <c r="B55" i="68" s="1"/>
  <c r="B56" i="68" s="1"/>
  <c r="B57" i="68" s="1"/>
  <c r="B58" i="68" s="1"/>
  <c r="B59" i="68" s="1"/>
  <c r="B60" i="68" s="1"/>
  <c r="AG41" i="68"/>
  <c r="AF41" i="68"/>
  <c r="AE41" i="68"/>
  <c r="AD41" i="68"/>
  <c r="AC41" i="68"/>
  <c r="AB41" i="68"/>
  <c r="AA41" i="68"/>
  <c r="Z41" i="68"/>
  <c r="Y41" i="68"/>
  <c r="X41" i="68"/>
  <c r="W41" i="68"/>
  <c r="V41" i="68"/>
  <c r="U41" i="68"/>
  <c r="V39" i="68"/>
  <c r="W39" i="68" s="1"/>
  <c r="X39" i="68" s="1"/>
  <c r="Y39" i="68" s="1"/>
  <c r="Z39" i="68" s="1"/>
  <c r="AA39" i="68" s="1"/>
  <c r="AB39" i="68" s="1"/>
  <c r="AC39" i="68" s="1"/>
  <c r="AD39" i="68" s="1"/>
  <c r="AE39" i="68" s="1"/>
  <c r="AF39" i="68" s="1"/>
  <c r="AG39" i="68" s="1"/>
  <c r="AH39" i="68" s="1"/>
  <c r="AI39" i="68" s="1"/>
  <c r="AJ39" i="68" s="1"/>
  <c r="AK39" i="68" s="1"/>
  <c r="AL39" i="68" s="1"/>
  <c r="AM39" i="68" s="1"/>
  <c r="AN39" i="68" s="1"/>
  <c r="AO39" i="68" s="1"/>
  <c r="AP39" i="68" s="1"/>
  <c r="AQ39" i="68" s="1"/>
  <c r="AR39" i="68" s="1"/>
  <c r="AS39" i="68" s="1"/>
  <c r="AT39" i="68" s="1"/>
  <c r="AU39" i="68" s="1"/>
  <c r="AV39" i="68" s="1"/>
  <c r="AW39" i="68" s="1"/>
  <c r="AX39" i="68" s="1"/>
  <c r="V38" i="68"/>
  <c r="W38" i="68" s="1"/>
  <c r="X38" i="68" s="1"/>
  <c r="Y38" i="68" s="1"/>
  <c r="Z38" i="68" s="1"/>
  <c r="AA38" i="68" s="1"/>
  <c r="AB38" i="68" s="1"/>
  <c r="AC38" i="68" s="1"/>
  <c r="AD38" i="68" s="1"/>
  <c r="AE38" i="68" s="1"/>
  <c r="AF38" i="68" s="1"/>
  <c r="AG38" i="68" s="1"/>
  <c r="AH38" i="68" s="1"/>
  <c r="AI38" i="68" s="1"/>
  <c r="AJ38" i="68" s="1"/>
  <c r="AK38" i="68" s="1"/>
  <c r="AL38" i="68" s="1"/>
  <c r="AM38" i="68" s="1"/>
  <c r="AN38" i="68" s="1"/>
  <c r="AO38" i="68" s="1"/>
  <c r="AP38" i="68" s="1"/>
  <c r="AQ38" i="68" s="1"/>
  <c r="AR38" i="68" s="1"/>
  <c r="AS38" i="68" s="1"/>
  <c r="AT38" i="68" s="1"/>
  <c r="AU38" i="68" s="1"/>
  <c r="AV38" i="68" s="1"/>
  <c r="AW38" i="68" s="1"/>
  <c r="AX38" i="68" s="1"/>
  <c r="BL49" i="87"/>
  <c r="BK49" i="87"/>
  <c r="BL47" i="87"/>
  <c r="BK47" i="87"/>
  <c r="BL46" i="87"/>
  <c r="BK46" i="87"/>
  <c r="BL45" i="87"/>
  <c r="BK45" i="87"/>
  <c r="BL44" i="87"/>
  <c r="BK44" i="87"/>
  <c r="BL43" i="87"/>
  <c r="BK43" i="87"/>
  <c r="BL42" i="87"/>
  <c r="BK42" i="87"/>
  <c r="BL41" i="87"/>
  <c r="BK41" i="87"/>
  <c r="BL40" i="87"/>
  <c r="BK40" i="87"/>
  <c r="BL39" i="87"/>
  <c r="BK39" i="87"/>
  <c r="BL38" i="87"/>
  <c r="BK38" i="87"/>
  <c r="BL33" i="87"/>
  <c r="BK33" i="87"/>
  <c r="BL28" i="87"/>
  <c r="BK28" i="87"/>
  <c r="AX24" i="68"/>
  <c r="AW24" i="68"/>
  <c r="AV24" i="68"/>
  <c r="AU24" i="68"/>
  <c r="AT24" i="68"/>
  <c r="AS24" i="68"/>
  <c r="AR24" i="68"/>
  <c r="AI24" i="68"/>
  <c r="AH24" i="68"/>
  <c r="AG24" i="68"/>
  <c r="AF24" i="68"/>
  <c r="AE24" i="68"/>
  <c r="AD24" i="68"/>
  <c r="AC24" i="68"/>
  <c r="AB24" i="68"/>
  <c r="AA24" i="68"/>
  <c r="Z24" i="68"/>
  <c r="Y24" i="68"/>
  <c r="X24" i="68"/>
  <c r="W24" i="68"/>
  <c r="V24" i="68"/>
  <c r="U24" i="68"/>
  <c r="S24" i="68"/>
  <c r="R24" i="68"/>
  <c r="Q24" i="68"/>
  <c r="N24" i="68"/>
  <c r="M24" i="68"/>
  <c r="AJ60" i="68" s="1"/>
  <c r="J24" i="68"/>
  <c r="I24" i="68"/>
  <c r="BL24" i="87" s="1"/>
  <c r="H24" i="68"/>
  <c r="BK24" i="87" s="1"/>
  <c r="G24" i="68"/>
  <c r="AX23" i="68"/>
  <c r="AW23" i="68"/>
  <c r="AV23" i="68"/>
  <c r="AU23" i="68"/>
  <c r="AT23" i="68"/>
  <c r="AS23" i="68"/>
  <c r="AL23" i="68"/>
  <c r="AK23" i="68"/>
  <c r="AJ23" i="68"/>
  <c r="AI23" i="68"/>
  <c r="AG23" i="68"/>
  <c r="AF23" i="68"/>
  <c r="AE23" i="68"/>
  <c r="AD23" i="68"/>
  <c r="AC23" i="68"/>
  <c r="AB23" i="68"/>
  <c r="AA23" i="68"/>
  <c r="Z23" i="68"/>
  <c r="Y23" i="68"/>
  <c r="X23" i="68"/>
  <c r="W23" i="68"/>
  <c r="V23" i="68"/>
  <c r="U23" i="68"/>
  <c r="R23" i="68"/>
  <c r="Q23" i="68"/>
  <c r="J23" i="68"/>
  <c r="I23" i="68"/>
  <c r="BL23" i="87" s="1"/>
  <c r="H23" i="68"/>
  <c r="BK23" i="87" s="1"/>
  <c r="AX22" i="68"/>
  <c r="AW22" i="68"/>
  <c r="AV22" i="68"/>
  <c r="AU22" i="68"/>
  <c r="AT22" i="68"/>
  <c r="AS22" i="68"/>
  <c r="AR22" i="68"/>
  <c r="AQ22" i="68"/>
  <c r="AP22" i="68"/>
  <c r="AG22" i="68"/>
  <c r="AF22" i="68"/>
  <c r="AE22" i="68"/>
  <c r="AD22" i="68"/>
  <c r="AC22" i="68"/>
  <c r="AB22" i="68"/>
  <c r="AA22" i="68"/>
  <c r="Z22" i="68"/>
  <c r="Y22" i="68"/>
  <c r="X22" i="68"/>
  <c r="W22" i="68"/>
  <c r="V22" i="68"/>
  <c r="U22" i="68"/>
  <c r="L22" i="68"/>
  <c r="J22" i="68"/>
  <c r="I22" i="68"/>
  <c r="BL22" i="87" s="1"/>
  <c r="H22" i="68"/>
  <c r="BK22" i="87" s="1"/>
  <c r="AX21" i="68"/>
  <c r="AW21" i="68"/>
  <c r="AV21" i="68"/>
  <c r="AU21" i="68"/>
  <c r="AT21" i="68"/>
  <c r="AS21" i="68"/>
  <c r="AR21" i="68"/>
  <c r="AQ21" i="68"/>
  <c r="AP21" i="68"/>
  <c r="AO21" i="68"/>
  <c r="AN21" i="68"/>
  <c r="AM21" i="68"/>
  <c r="AJ21" i="68"/>
  <c r="AI21" i="68"/>
  <c r="AH21" i="68"/>
  <c r="AD21" i="68"/>
  <c r="AC21" i="68"/>
  <c r="AB21" i="68"/>
  <c r="AA21" i="68"/>
  <c r="Z21" i="68"/>
  <c r="Y21" i="68"/>
  <c r="X21" i="68"/>
  <c r="W21" i="68"/>
  <c r="V21" i="68"/>
  <c r="U21" i="68"/>
  <c r="R21" i="68"/>
  <c r="L21" i="68"/>
  <c r="J21" i="68"/>
  <c r="I21" i="68"/>
  <c r="BL21" i="87" s="1"/>
  <c r="H21" i="68"/>
  <c r="BK21" i="87" s="1"/>
  <c r="AX20" i="68"/>
  <c r="AW20" i="68"/>
  <c r="AV20" i="68"/>
  <c r="AU20" i="68"/>
  <c r="AT20" i="68"/>
  <c r="AS20" i="68"/>
  <c r="AR20" i="68"/>
  <c r="AQ20" i="68"/>
  <c r="AP20" i="68"/>
  <c r="AO20" i="68"/>
  <c r="AD20" i="68"/>
  <c r="AC20" i="68"/>
  <c r="AB20" i="68"/>
  <c r="AA20" i="68"/>
  <c r="Z20" i="68"/>
  <c r="Y20" i="68"/>
  <c r="X20" i="68"/>
  <c r="W20" i="68"/>
  <c r="V20" i="68"/>
  <c r="U20" i="68"/>
  <c r="L20" i="68"/>
  <c r="J20" i="68"/>
  <c r="I20" i="68"/>
  <c r="BL20" i="87" s="1"/>
  <c r="H20" i="68"/>
  <c r="BK20" i="87" s="1"/>
  <c r="AX19" i="68"/>
  <c r="AW19" i="68"/>
  <c r="AV19" i="68"/>
  <c r="AU19" i="68"/>
  <c r="AT19" i="68"/>
  <c r="AS19" i="68"/>
  <c r="AR19" i="68"/>
  <c r="AQ19" i="68"/>
  <c r="AP19" i="68"/>
  <c r="AO19" i="68"/>
  <c r="AI19" i="68"/>
  <c r="AF19" i="68"/>
  <c r="AD19" i="68"/>
  <c r="AC19" i="68"/>
  <c r="AB19" i="68"/>
  <c r="AA19" i="68"/>
  <c r="Z19" i="68"/>
  <c r="Y19" i="68"/>
  <c r="X19" i="68"/>
  <c r="W19" i="68"/>
  <c r="V19" i="68"/>
  <c r="U19" i="68"/>
  <c r="L19" i="68"/>
  <c r="J19" i="68"/>
  <c r="I19" i="68"/>
  <c r="BL19" i="87" s="1"/>
  <c r="H19" i="68"/>
  <c r="BK19" i="87" s="1"/>
  <c r="AX18" i="68"/>
  <c r="AW18" i="68"/>
  <c r="AV18" i="68"/>
  <c r="AU18" i="68"/>
  <c r="AT18" i="68"/>
  <c r="AS18" i="68"/>
  <c r="AR18" i="68"/>
  <c r="AQ18" i="68"/>
  <c r="AE18" i="68"/>
  <c r="AD18" i="68"/>
  <c r="AC18" i="68"/>
  <c r="AB18" i="68"/>
  <c r="AA18" i="68"/>
  <c r="Z18" i="68"/>
  <c r="Y18" i="68"/>
  <c r="X18" i="68"/>
  <c r="W18" i="68"/>
  <c r="V18" i="68"/>
  <c r="U18" i="68"/>
  <c r="L18" i="68"/>
  <c r="J18" i="68"/>
  <c r="I18" i="68"/>
  <c r="BL18" i="87" s="1"/>
  <c r="H18" i="68"/>
  <c r="BK18" i="87" s="1"/>
  <c r="AX17" i="68"/>
  <c r="AW17" i="68"/>
  <c r="AV17" i="68"/>
  <c r="AU17" i="68"/>
  <c r="AT17" i="68"/>
  <c r="AS17" i="68"/>
  <c r="AR17" i="68"/>
  <c r="AQ17" i="68"/>
  <c r="AP17" i="68"/>
  <c r="AO17" i="68"/>
  <c r="AC17" i="68"/>
  <c r="AB17" i="68"/>
  <c r="AA17" i="68"/>
  <c r="Z17" i="68"/>
  <c r="Y17" i="68"/>
  <c r="X17" i="68"/>
  <c r="W17" i="68"/>
  <c r="V17" i="68"/>
  <c r="U17" i="68"/>
  <c r="L17" i="68"/>
  <c r="J17" i="68"/>
  <c r="I17" i="68"/>
  <c r="BL17" i="87" s="1"/>
  <c r="H17" i="68"/>
  <c r="BK17" i="87" s="1"/>
  <c r="AX16" i="68"/>
  <c r="AW16" i="68"/>
  <c r="AV16" i="68"/>
  <c r="AU16" i="68"/>
  <c r="AT16" i="68"/>
  <c r="AS16" i="68"/>
  <c r="AR16" i="68"/>
  <c r="AQ16" i="68"/>
  <c r="AP16" i="68"/>
  <c r="AO16" i="68"/>
  <c r="AH16" i="68"/>
  <c r="AC16" i="68"/>
  <c r="AB16" i="68"/>
  <c r="AA16" i="68"/>
  <c r="Z16" i="68"/>
  <c r="Y16" i="68"/>
  <c r="X16" i="68"/>
  <c r="W16" i="68"/>
  <c r="V16" i="68"/>
  <c r="U16" i="68"/>
  <c r="L16" i="68"/>
  <c r="J16" i="68"/>
  <c r="I16" i="68"/>
  <c r="H16" i="68"/>
  <c r="AX15" i="68"/>
  <c r="AW15" i="68"/>
  <c r="AV15" i="68"/>
  <c r="AU15" i="68"/>
  <c r="AT15" i="68"/>
  <c r="AS15" i="68"/>
  <c r="AR15" i="68"/>
  <c r="AQ15" i="68"/>
  <c r="AP15" i="68"/>
  <c r="AO15" i="68"/>
  <c r="AH15" i="68"/>
  <c r="AC15" i="68"/>
  <c r="AB15" i="68"/>
  <c r="AA15" i="68"/>
  <c r="Z15" i="68"/>
  <c r="Y15" i="68"/>
  <c r="X15" i="68"/>
  <c r="W15" i="68"/>
  <c r="V15" i="68"/>
  <c r="U15" i="68"/>
  <c r="R15" i="68"/>
  <c r="L15" i="68"/>
  <c r="J15" i="68"/>
  <c r="I15" i="68"/>
  <c r="H15" i="68"/>
  <c r="AX14" i="68"/>
  <c r="AW14" i="68"/>
  <c r="AV14" i="68"/>
  <c r="AU14" i="68"/>
  <c r="AT14" i="68"/>
  <c r="AS14" i="68"/>
  <c r="AR14" i="68"/>
  <c r="AQ14" i="68"/>
  <c r="AP14" i="68"/>
  <c r="AO14" i="68"/>
  <c r="AN14" i="68"/>
  <c r="AM14" i="68"/>
  <c r="AI14" i="68"/>
  <c r="AF14" i="68"/>
  <c r="AC14" i="68"/>
  <c r="AA14" i="68"/>
  <c r="Z14" i="68"/>
  <c r="Y14" i="68"/>
  <c r="X14" i="68"/>
  <c r="W14" i="68"/>
  <c r="V14" i="68"/>
  <c r="U14" i="68"/>
  <c r="L14" i="68"/>
  <c r="J14" i="68"/>
  <c r="I14" i="68"/>
  <c r="BL14" i="87" s="1"/>
  <c r="H14" i="68"/>
  <c r="BK14" i="87" s="1"/>
  <c r="AX13" i="68"/>
  <c r="AW13" i="68"/>
  <c r="AV13" i="68"/>
  <c r="AU13" i="68"/>
  <c r="AT13" i="68"/>
  <c r="AS13" i="68"/>
  <c r="AR13" i="68"/>
  <c r="AQ13" i="68"/>
  <c r="AP13" i="68"/>
  <c r="AO13" i="68"/>
  <c r="AN13" i="68"/>
  <c r="AM13" i="68"/>
  <c r="AJ13" i="68"/>
  <c r="AI13" i="68"/>
  <c r="AH13" i="68"/>
  <c r="AG13" i="68"/>
  <c r="AF13" i="68"/>
  <c r="AE13" i="68"/>
  <c r="AD13" i="68"/>
  <c r="AC13" i="68"/>
  <c r="AB13" i="68"/>
  <c r="AA13" i="68"/>
  <c r="Z13" i="68"/>
  <c r="Y13" i="68"/>
  <c r="X13" i="68"/>
  <c r="W13" i="68"/>
  <c r="V13" i="68"/>
  <c r="U13" i="68"/>
  <c r="L13" i="68"/>
  <c r="J13" i="68"/>
  <c r="I13" i="68"/>
  <c r="BL13" i="87" s="1"/>
  <c r="H13" i="68"/>
  <c r="BK13" i="87" s="1"/>
  <c r="AX12" i="68"/>
  <c r="AW12" i="68"/>
  <c r="AV12" i="68"/>
  <c r="AU12" i="68"/>
  <c r="AT12" i="68"/>
  <c r="AS12" i="68"/>
  <c r="AR12" i="68"/>
  <c r="AQ12" i="68"/>
  <c r="AP12" i="68"/>
  <c r="AO12" i="68"/>
  <c r="AN12" i="68"/>
  <c r="AB12" i="68"/>
  <c r="AA12" i="68"/>
  <c r="Z12" i="68"/>
  <c r="Y12" i="68"/>
  <c r="X12" i="68"/>
  <c r="W12" i="68"/>
  <c r="V12" i="68"/>
  <c r="U12" i="68"/>
  <c r="R12" i="68"/>
  <c r="L12" i="68"/>
  <c r="J12" i="68"/>
  <c r="I12" i="68"/>
  <c r="BL12" i="87" s="1"/>
  <c r="H12" i="68"/>
  <c r="BK12" i="87" s="1"/>
  <c r="AX11" i="68"/>
  <c r="AW11" i="68"/>
  <c r="AV11" i="68"/>
  <c r="AU11" i="68"/>
  <c r="AT11" i="68"/>
  <c r="AS11" i="68"/>
  <c r="AR11" i="68"/>
  <c r="AQ11" i="68"/>
  <c r="AP11" i="68"/>
  <c r="AO11" i="68"/>
  <c r="AN11" i="68"/>
  <c r="AM11" i="68"/>
  <c r="AI11" i="68"/>
  <c r="AA11" i="68"/>
  <c r="Z11" i="68"/>
  <c r="Y11" i="68"/>
  <c r="X11" i="68"/>
  <c r="W11" i="68"/>
  <c r="V11" i="68"/>
  <c r="U11" i="68"/>
  <c r="L11" i="68"/>
  <c r="J11" i="68"/>
  <c r="I11" i="68"/>
  <c r="BL11" i="87" s="1"/>
  <c r="H11" i="68"/>
  <c r="BK11" i="87" s="1"/>
  <c r="AX10" i="68"/>
  <c r="AW10" i="68"/>
  <c r="AV10" i="68"/>
  <c r="AU10" i="68"/>
  <c r="AT10" i="68"/>
  <c r="AS10" i="68"/>
  <c r="AR10" i="68"/>
  <c r="AQ10" i="68"/>
  <c r="AP10" i="68"/>
  <c r="AO10" i="68"/>
  <c r="AN10" i="68"/>
  <c r="AC10" i="68"/>
  <c r="AB10" i="68"/>
  <c r="AA10" i="68"/>
  <c r="Z10" i="68"/>
  <c r="Y10" i="68"/>
  <c r="X10" i="68"/>
  <c r="W10" i="68"/>
  <c r="V10" i="68"/>
  <c r="U10" i="68"/>
  <c r="L10" i="68"/>
  <c r="J10" i="68"/>
  <c r="I10" i="68"/>
  <c r="BL10" i="87" s="1"/>
  <c r="H10" i="68"/>
  <c r="BK10" i="87" s="1"/>
  <c r="AX9" i="68"/>
  <c r="AW9" i="68"/>
  <c r="AV9" i="68"/>
  <c r="AU9" i="68"/>
  <c r="AT9" i="68"/>
  <c r="AS9" i="68"/>
  <c r="AR9" i="68"/>
  <c r="AQ9" i="68"/>
  <c r="AP9" i="68"/>
  <c r="AO9" i="68"/>
  <c r="AN9" i="68"/>
  <c r="AM9" i="68"/>
  <c r="AL9" i="68"/>
  <c r="AK9" i="68"/>
  <c r="AJ9" i="68"/>
  <c r="AI9" i="68"/>
  <c r="AH9" i="68"/>
  <c r="AG9" i="68"/>
  <c r="AF9" i="68"/>
  <c r="AE9" i="68"/>
  <c r="AB9" i="68"/>
  <c r="Z9" i="68"/>
  <c r="Y9" i="68"/>
  <c r="X9" i="68"/>
  <c r="W9" i="68"/>
  <c r="V9" i="68"/>
  <c r="U9" i="68"/>
  <c r="L9" i="68"/>
  <c r="J9" i="68"/>
  <c r="I9" i="68"/>
  <c r="BL9" i="87" s="1"/>
  <c r="H9" i="68"/>
  <c r="BK9" i="87" s="1"/>
  <c r="AX8" i="68"/>
  <c r="AW8" i="68"/>
  <c r="AV8" i="68"/>
  <c r="AU8" i="68"/>
  <c r="AT8" i="68"/>
  <c r="AS8" i="68"/>
  <c r="AR8" i="68"/>
  <c r="AQ8" i="68"/>
  <c r="AP8" i="68"/>
  <c r="AO8" i="68"/>
  <c r="AN8" i="68"/>
  <c r="AM8" i="68"/>
  <c r="AL8" i="68"/>
  <c r="AF8" i="68"/>
  <c r="AC8" i="68"/>
  <c r="AB8" i="68"/>
  <c r="AA8" i="68"/>
  <c r="Z8" i="68"/>
  <c r="Y8" i="68"/>
  <c r="X8" i="68"/>
  <c r="W8" i="68"/>
  <c r="V8" i="68"/>
  <c r="U8" i="68"/>
  <c r="R8" i="68"/>
  <c r="M8" i="68"/>
  <c r="L8" i="68"/>
  <c r="J8" i="68"/>
  <c r="I8" i="68"/>
  <c r="BL8" i="87" s="1"/>
  <c r="H8" i="68"/>
  <c r="BK8" i="87" s="1"/>
  <c r="AX7" i="68"/>
  <c r="AW7" i="68"/>
  <c r="AV7" i="68"/>
  <c r="AU7" i="68"/>
  <c r="AT7" i="68"/>
  <c r="AS7" i="68"/>
  <c r="AR7" i="68"/>
  <c r="AQ7" i="68"/>
  <c r="AP7" i="68"/>
  <c r="AO7" i="68"/>
  <c r="AN7" i="68"/>
  <c r="AM7" i="68"/>
  <c r="AL7" i="68"/>
  <c r="AK7" i="68"/>
  <c r="AJ7" i="68"/>
  <c r="AI7" i="68"/>
  <c r="AH7" i="68"/>
  <c r="U7" i="68"/>
  <c r="R7" i="68"/>
  <c r="L7" i="68"/>
  <c r="J7" i="68"/>
  <c r="I7" i="68"/>
  <c r="BL7" i="87" s="1"/>
  <c r="H7" i="68"/>
  <c r="BK7" i="87" s="1"/>
  <c r="B7" i="68"/>
  <c r="B8" i="68" s="1"/>
  <c r="B9" i="68" s="1"/>
  <c r="B10" i="68" s="1"/>
  <c r="B11" i="68" s="1"/>
  <c r="B12" i="68" s="1"/>
  <c r="B13" i="68" s="1"/>
  <c r="B14" i="68" s="1"/>
  <c r="B15" i="68" s="1"/>
  <c r="B16" i="68" s="1"/>
  <c r="B17" i="68" s="1"/>
  <c r="B18" i="68" s="1"/>
  <c r="B19" i="68" s="1"/>
  <c r="B20" i="68" s="1"/>
  <c r="B21" i="68" s="1"/>
  <c r="B22" i="68" s="1"/>
  <c r="B23" i="68" s="1"/>
  <c r="B24" i="68" s="1"/>
  <c r="AX6" i="68"/>
  <c r="AW6" i="68"/>
  <c r="AV6" i="68"/>
  <c r="AU6" i="68"/>
  <c r="AT6" i="68"/>
  <c r="AS6" i="68"/>
  <c r="AR6" i="68"/>
  <c r="O5" i="88" s="1"/>
  <c r="AQ6" i="68"/>
  <c r="N5" i="88" s="1"/>
  <c r="AP6" i="68"/>
  <c r="M5" i="88" s="1"/>
  <c r="AO6" i="68"/>
  <c r="L5" i="88" s="1"/>
  <c r="AN6" i="68"/>
  <c r="K5" i="88" s="1"/>
  <c r="AM6" i="68"/>
  <c r="J5" i="88" s="1"/>
  <c r="AL6" i="68"/>
  <c r="I5" i="88" s="1"/>
  <c r="AK6" i="68"/>
  <c r="H5" i="88" s="1"/>
  <c r="AJ6" i="68"/>
  <c r="G5" i="88" s="1"/>
  <c r="AI6" i="68"/>
  <c r="F5" i="88" s="1"/>
  <c r="L6" i="68"/>
  <c r="J6" i="68"/>
  <c r="I6" i="68"/>
  <c r="BL6" i="87" s="1"/>
  <c r="H6" i="68"/>
  <c r="BK6" i="87" s="1"/>
  <c r="V4" i="68"/>
  <c r="W4" i="68" s="1"/>
  <c r="X4" i="68" s="1"/>
  <c r="Y4" i="68" s="1"/>
  <c r="Z4" i="68" s="1"/>
  <c r="AA4" i="68" s="1"/>
  <c r="AB4" i="68" s="1"/>
  <c r="AC4" i="68" s="1"/>
  <c r="AD4" i="68" s="1"/>
  <c r="AE4" i="68" s="1"/>
  <c r="AF4" i="68" s="1"/>
  <c r="AG4" i="68" s="1"/>
  <c r="AH4" i="68" s="1"/>
  <c r="AI4" i="68" s="1"/>
  <c r="AJ4" i="68" s="1"/>
  <c r="AK4" i="68" s="1"/>
  <c r="AL4" i="68" s="1"/>
  <c r="AM4" i="68" s="1"/>
  <c r="AN4" i="68" s="1"/>
  <c r="AO4" i="68" s="1"/>
  <c r="AP4" i="68" s="1"/>
  <c r="AQ4" i="68" s="1"/>
  <c r="AR4" i="68" s="1"/>
  <c r="AS4" i="68" s="1"/>
  <c r="AT4" i="68" s="1"/>
  <c r="AU4" i="68" s="1"/>
  <c r="AV4" i="68" s="1"/>
  <c r="AW4" i="68" s="1"/>
  <c r="AX4" i="68" s="1"/>
  <c r="BO49" i="87"/>
  <c r="BO47" i="87"/>
  <c r="BO46" i="87"/>
  <c r="BO43" i="87"/>
  <c r="BO42" i="87"/>
  <c r="BO39" i="87"/>
  <c r="N27" i="1"/>
  <c r="K25" i="1"/>
  <c r="L25" i="1" s="1"/>
  <c r="P24" i="1"/>
  <c r="J24" i="1"/>
  <c r="P23" i="1"/>
  <c r="M23" i="1"/>
  <c r="J23" i="1"/>
  <c r="P22" i="1"/>
  <c r="M22" i="1"/>
  <c r="J22" i="1"/>
  <c r="M21" i="68"/>
  <c r="AC21" i="1"/>
  <c r="P21" i="1"/>
  <c r="M21" i="1"/>
  <c r="J21" i="1"/>
  <c r="AC20" i="1"/>
  <c r="P20" i="1"/>
  <c r="M20" i="1"/>
  <c r="J20" i="1"/>
  <c r="P19" i="1"/>
  <c r="M19" i="1"/>
  <c r="J19" i="1"/>
  <c r="P18" i="1"/>
  <c r="M18" i="1"/>
  <c r="J18" i="1"/>
  <c r="P17" i="1"/>
  <c r="M17" i="1"/>
  <c r="J17" i="1"/>
  <c r="P16" i="1"/>
  <c r="M16" i="1"/>
  <c r="J16" i="1"/>
  <c r="P15" i="1"/>
  <c r="M15" i="1"/>
  <c r="J15" i="1"/>
  <c r="P14" i="1"/>
  <c r="M14" i="1"/>
  <c r="J14" i="1"/>
  <c r="AC13" i="1"/>
  <c r="P13" i="1"/>
  <c r="M13" i="1"/>
  <c r="J13" i="1"/>
  <c r="AC12" i="1"/>
  <c r="P12" i="1"/>
  <c r="M12" i="1"/>
  <c r="J12" i="1"/>
  <c r="P11" i="1"/>
  <c r="M11" i="1"/>
  <c r="J11" i="1"/>
  <c r="AB10" i="1"/>
  <c r="P10" i="1"/>
  <c r="M10" i="1"/>
  <c r="J10" i="1"/>
  <c r="I10" i="1"/>
  <c r="P9" i="1"/>
  <c r="J9" i="1"/>
  <c r="AC8" i="1"/>
  <c r="P8" i="1"/>
  <c r="M8" i="1"/>
  <c r="J8" i="1"/>
  <c r="P7" i="1"/>
  <c r="M7" i="1"/>
  <c r="J7" i="1"/>
  <c r="M6" i="68"/>
  <c r="B7" i="1"/>
  <c r="B8" i="1" s="1"/>
  <c r="B9" i="1" s="1"/>
  <c r="B10" i="1" s="1"/>
  <c r="B11" i="1" s="1"/>
  <c r="B12" i="1" s="1"/>
  <c r="B13" i="1" s="1"/>
  <c r="B14" i="1" s="1"/>
  <c r="B15" i="1" s="1"/>
  <c r="B16" i="1" s="1"/>
  <c r="B17" i="1" s="1"/>
  <c r="B18" i="1" s="1"/>
  <c r="B19" i="1" s="1"/>
  <c r="B20" i="1" s="1"/>
  <c r="B21" i="1" s="1"/>
  <c r="B22" i="1" s="1"/>
  <c r="B23" i="1" s="1"/>
  <c r="B24" i="1" s="1"/>
  <c r="B25" i="1" s="1"/>
  <c r="I4" i="1"/>
  <c r="B116" i="88"/>
  <c r="D50" i="88"/>
  <c r="D44" i="88"/>
  <c r="D38" i="88"/>
  <c r="D32" i="88"/>
  <c r="D26" i="88"/>
  <c r="D20" i="88"/>
  <c r="D14" i="88"/>
  <c r="D8" i="88"/>
  <c r="F2" i="88"/>
  <c r="BI81" i="87"/>
  <c r="BH81" i="87"/>
  <c r="BG81" i="87"/>
  <c r="BF81" i="87"/>
  <c r="BE81" i="87"/>
  <c r="BD81" i="87"/>
  <c r="BC81" i="87"/>
  <c r="BB81" i="87"/>
  <c r="BA81" i="87"/>
  <c r="AZ81" i="87"/>
  <c r="AY81" i="87"/>
  <c r="AX81" i="87"/>
  <c r="AW81" i="87"/>
  <c r="AV81" i="87"/>
  <c r="AU81" i="87"/>
  <c r="AT81" i="87"/>
  <c r="AS81" i="87"/>
  <c r="AR81" i="87"/>
  <c r="AQ81" i="87"/>
  <c r="AP81" i="87"/>
  <c r="AO81" i="87"/>
  <c r="AN81" i="87"/>
  <c r="AM81" i="87"/>
  <c r="AL81" i="87"/>
  <c r="AK81" i="87"/>
  <c r="AJ81" i="87"/>
  <c r="AI81" i="87"/>
  <c r="AH81" i="87"/>
  <c r="AG81" i="87"/>
  <c r="AF81" i="87"/>
  <c r="AE81" i="87"/>
  <c r="AD81" i="87"/>
  <c r="M52" i="87"/>
  <c r="K52" i="87"/>
  <c r="BM36" i="87"/>
  <c r="BL36" i="87"/>
  <c r="BK36" i="87"/>
  <c r="BM35" i="87"/>
  <c r="BL35" i="87"/>
  <c r="BK35" i="87"/>
  <c r="BM34" i="87"/>
  <c r="BL34" i="87"/>
  <c r="BK34" i="87"/>
  <c r="BM32" i="87"/>
  <c r="BL32" i="87"/>
  <c r="BK32" i="87"/>
  <c r="BM31" i="87"/>
  <c r="BL31" i="87"/>
  <c r="BK31" i="87"/>
  <c r="BM30" i="87"/>
  <c r="BL30" i="87"/>
  <c r="BK30" i="87"/>
  <c r="BM29" i="87"/>
  <c r="BL29" i="87"/>
  <c r="BK29" i="87"/>
  <c r="B28" i="87"/>
  <c r="B29" i="87" s="1"/>
  <c r="B30" i="87" s="1"/>
  <c r="B31" i="87" s="1"/>
  <c r="B32" i="87" s="1"/>
  <c r="B33" i="87" s="1"/>
  <c r="B34" i="87" s="1"/>
  <c r="B35" i="87" s="1"/>
  <c r="B36" i="87" s="1"/>
  <c r="B37" i="87" s="1"/>
  <c r="B38" i="87" s="1"/>
  <c r="B39" i="87" s="1"/>
  <c r="B40" i="87" s="1"/>
  <c r="B41" i="87" s="1"/>
  <c r="B42" i="87" s="1"/>
  <c r="B43" i="87" s="1"/>
  <c r="B44" i="87" s="1"/>
  <c r="B45" i="87" s="1"/>
  <c r="B46" i="87" s="1"/>
  <c r="B47" i="87" s="1"/>
  <c r="B48" i="87" s="1"/>
  <c r="B49" i="87" s="1"/>
  <c r="W25" i="87"/>
  <c r="U25" i="87"/>
  <c r="U79" i="87" s="1"/>
  <c r="R25" i="87"/>
  <c r="P25" i="87"/>
  <c r="M25" i="87"/>
  <c r="K25" i="87"/>
  <c r="Y24" i="87"/>
  <c r="AC24" i="87" s="1"/>
  <c r="V24" i="87"/>
  <c r="X24" i="87" s="1"/>
  <c r="Q24" i="87"/>
  <c r="S24" i="87" s="1"/>
  <c r="L24" i="87"/>
  <c r="N24" i="87" s="1"/>
  <c r="Y23" i="87"/>
  <c r="AC23" i="87" s="1"/>
  <c r="V23" i="87"/>
  <c r="X23" i="87" s="1"/>
  <c r="Q23" i="87"/>
  <c r="S23" i="87" s="1"/>
  <c r="L23" i="87"/>
  <c r="N23" i="87" s="1"/>
  <c r="Y22" i="87"/>
  <c r="AC22" i="87" s="1"/>
  <c r="V22" i="87"/>
  <c r="X22" i="87" s="1"/>
  <c r="Q22" i="87"/>
  <c r="S22" i="87" s="1"/>
  <c r="L22" i="87"/>
  <c r="N22" i="87" s="1"/>
  <c r="T21" i="87"/>
  <c r="V21" i="87" s="1"/>
  <c r="X21" i="87" s="1"/>
  <c r="O21" i="87"/>
  <c r="Q21" i="87" s="1"/>
  <c r="S21" i="87" s="1"/>
  <c r="J21" i="87"/>
  <c r="L21" i="87" s="1"/>
  <c r="N21" i="87" s="1"/>
  <c r="T20" i="87"/>
  <c r="V20" i="87" s="1"/>
  <c r="X20" i="87" s="1"/>
  <c r="O20" i="87"/>
  <c r="Q20" i="87" s="1"/>
  <c r="S20" i="87" s="1"/>
  <c r="J20" i="87"/>
  <c r="L20" i="87" s="1"/>
  <c r="N20" i="87" s="1"/>
  <c r="T19" i="87"/>
  <c r="V19" i="87" s="1"/>
  <c r="X19" i="87" s="1"/>
  <c r="J19" i="87"/>
  <c r="O19" i="87" s="1"/>
  <c r="Q19" i="87" s="1"/>
  <c r="S19" i="87" s="1"/>
  <c r="T18" i="87"/>
  <c r="V18" i="87" s="1"/>
  <c r="X18" i="87" s="1"/>
  <c r="O18" i="87"/>
  <c r="Q18" i="87" s="1"/>
  <c r="S18" i="87" s="1"/>
  <c r="J18" i="87"/>
  <c r="L18" i="87" s="1"/>
  <c r="N18" i="87" s="1"/>
  <c r="T17" i="87"/>
  <c r="V17" i="87" s="1"/>
  <c r="X17" i="87" s="1"/>
  <c r="O17" i="87"/>
  <c r="Q17" i="87" s="1"/>
  <c r="S17" i="87" s="1"/>
  <c r="J17" i="87"/>
  <c r="L17" i="87" s="1"/>
  <c r="N17" i="87" s="1"/>
  <c r="BM16" i="87"/>
  <c r="BL16" i="87"/>
  <c r="BK16" i="87"/>
  <c r="T16" i="87"/>
  <c r="Y16" i="87" s="1"/>
  <c r="AC16" i="87" s="1"/>
  <c r="O16" i="87"/>
  <c r="Q16" i="87" s="1"/>
  <c r="S16" i="87" s="1"/>
  <c r="J16" i="87"/>
  <c r="L16" i="87" s="1"/>
  <c r="N16" i="87" s="1"/>
  <c r="BM15" i="87"/>
  <c r="BL15" i="87"/>
  <c r="BK15" i="87"/>
  <c r="Y15" i="87"/>
  <c r="AC15" i="87" s="1"/>
  <c r="V15" i="87"/>
  <c r="X15" i="87" s="1"/>
  <c r="Q15" i="87"/>
  <c r="S15" i="87" s="1"/>
  <c r="L15" i="87"/>
  <c r="N15" i="87" s="1"/>
  <c r="T14" i="87"/>
  <c r="V14" i="87" s="1"/>
  <c r="X14" i="87" s="1"/>
  <c r="O14" i="87"/>
  <c r="Q14" i="87" s="1"/>
  <c r="S14" i="87" s="1"/>
  <c r="J14" i="87"/>
  <c r="L14" i="87" s="1"/>
  <c r="N14" i="87" s="1"/>
  <c r="J13" i="87"/>
  <c r="L13" i="87" s="1"/>
  <c r="N13" i="87" s="1"/>
  <c r="T12" i="87"/>
  <c r="O12" i="87"/>
  <c r="Q12" i="87" s="1"/>
  <c r="S12" i="87" s="1"/>
  <c r="J12" i="87"/>
  <c r="L12" i="87" s="1"/>
  <c r="N12" i="87" s="1"/>
  <c r="T11" i="87"/>
  <c r="O11" i="87"/>
  <c r="Q11" i="87" s="1"/>
  <c r="S11" i="87" s="1"/>
  <c r="J11" i="87"/>
  <c r="L11" i="87" s="1"/>
  <c r="N11" i="87" s="1"/>
  <c r="T10" i="87"/>
  <c r="Y10" i="87" s="1"/>
  <c r="AC10" i="87" s="1"/>
  <c r="O10" i="87"/>
  <c r="Q10" i="87" s="1"/>
  <c r="S10" i="87" s="1"/>
  <c r="J10" i="87"/>
  <c r="L10" i="87" s="1"/>
  <c r="N10" i="87" s="1"/>
  <c r="T9" i="87"/>
  <c r="Y9" i="87" s="1"/>
  <c r="AC9" i="87" s="1"/>
  <c r="O9" i="87"/>
  <c r="Q9" i="87" s="1"/>
  <c r="S9" i="87" s="1"/>
  <c r="J9" i="87"/>
  <c r="L9" i="87" s="1"/>
  <c r="N9" i="87" s="1"/>
  <c r="AS8" i="87"/>
  <c r="Y8" i="87"/>
  <c r="AC8" i="87" s="1"/>
  <c r="Q8" i="87"/>
  <c r="L8" i="87"/>
  <c r="N8" i="87" s="1"/>
  <c r="T7" i="87"/>
  <c r="Y7" i="87" s="1"/>
  <c r="AC7" i="87" s="1"/>
  <c r="O7" i="87"/>
  <c r="Q7" i="87" s="1"/>
  <c r="S7" i="87" s="1"/>
  <c r="J7" i="87"/>
  <c r="L7" i="87" s="1"/>
  <c r="N7" i="87" s="1"/>
  <c r="B7" i="87"/>
  <c r="B8" i="87" s="1"/>
  <c r="B9" i="87" s="1"/>
  <c r="B10" i="87" s="1"/>
  <c r="B11" i="87" s="1"/>
  <c r="B12" i="87" s="1"/>
  <c r="B13" i="87" s="1"/>
  <c r="B14" i="87" s="1"/>
  <c r="B15" i="87" s="1"/>
  <c r="B16" i="87" s="1"/>
  <c r="B17" i="87" s="1"/>
  <c r="B18" i="87" s="1"/>
  <c r="B19" i="87" s="1"/>
  <c r="B20" i="87" s="1"/>
  <c r="B21" i="87" s="1"/>
  <c r="B22" i="87" s="1"/>
  <c r="B23" i="87" s="1"/>
  <c r="B24" i="87" s="1"/>
  <c r="V6" i="87"/>
  <c r="Q6" i="87"/>
  <c r="S6" i="87" s="1"/>
  <c r="L6" i="87"/>
  <c r="N6" i="87" s="1"/>
  <c r="AD7" i="87" l="1"/>
  <c r="CI7" i="87" s="1"/>
  <c r="CK7" i="87" s="1"/>
  <c r="Q17" i="68"/>
  <c r="Q9" i="68"/>
  <c r="N13" i="68"/>
  <c r="AD17" i="87"/>
  <c r="CI17" i="87" s="1"/>
  <c r="CK17" i="87" s="1"/>
  <c r="AD16" i="87"/>
  <c r="CI16" i="87" s="1"/>
  <c r="CK16" i="87" s="1"/>
  <c r="N22" i="68"/>
  <c r="AD15" i="87"/>
  <c r="CI15" i="87" s="1"/>
  <c r="CK15" i="87" s="1"/>
  <c r="AD8" i="87"/>
  <c r="CI8" i="87" s="1"/>
  <c r="CK8" i="87" s="1"/>
  <c r="AD18" i="87"/>
  <c r="CI18" i="87" s="1"/>
  <c r="CK18" i="87" s="1"/>
  <c r="Q10" i="68"/>
  <c r="AD22" i="87"/>
  <c r="CI22" i="87" s="1"/>
  <c r="CK22" i="87" s="1"/>
  <c r="AD20" i="87"/>
  <c r="CI20" i="87" s="1"/>
  <c r="CK20" i="87" s="1"/>
  <c r="AD12" i="87"/>
  <c r="CI12" i="87" s="1"/>
  <c r="CK12" i="87" s="1"/>
  <c r="N17" i="68"/>
  <c r="AD6" i="87"/>
  <c r="CI6" i="87" s="1"/>
  <c r="CK6" i="87" s="1"/>
  <c r="S10" i="68"/>
  <c r="AD10" i="87"/>
  <c r="CI10" i="87" s="1"/>
  <c r="CK10" i="87" s="1"/>
  <c r="AD14" i="87"/>
  <c r="CI14" i="87" s="1"/>
  <c r="CK14" i="87" s="1"/>
  <c r="R24" i="1"/>
  <c r="N7" i="68"/>
  <c r="N11" i="68"/>
  <c r="AD19" i="87"/>
  <c r="CI19" i="87" s="1"/>
  <c r="CK19" i="87" s="1"/>
  <c r="AD23" i="87"/>
  <c r="CI23" i="87" s="1"/>
  <c r="CK23" i="87" s="1"/>
  <c r="S11" i="68"/>
  <c r="AD11" i="87"/>
  <c r="CI11" i="87" s="1"/>
  <c r="CK11" i="87" s="1"/>
  <c r="BO32" i="87"/>
  <c r="BO41" i="87"/>
  <c r="AD9" i="87"/>
  <c r="CI9" i="87" s="1"/>
  <c r="CK9" i="87" s="1"/>
  <c r="AD21" i="87"/>
  <c r="CI21" i="87" s="1"/>
  <c r="CK21" i="87" s="1"/>
  <c r="AD13" i="87"/>
  <c r="CI13" i="87" s="1"/>
  <c r="CK13" i="87" s="1"/>
  <c r="AM23" i="68"/>
  <c r="J108" i="88"/>
  <c r="BA23" i="87" s="1"/>
  <c r="BO28" i="87"/>
  <c r="BO40" i="87"/>
  <c r="R23" i="1"/>
  <c r="S17" i="68"/>
  <c r="R11" i="1"/>
  <c r="T55" i="68"/>
  <c r="AF12" i="68"/>
  <c r="AF21" i="68"/>
  <c r="Y7" i="68"/>
  <c r="AE20" i="68"/>
  <c r="Z7" i="68"/>
  <c r="X86" i="68"/>
  <c r="AA86" i="68"/>
  <c r="AG21" i="68"/>
  <c r="AK60" i="68"/>
  <c r="H113" i="88" s="1"/>
  <c r="G113" i="88"/>
  <c r="N23" i="68"/>
  <c r="R7" i="1"/>
  <c r="K13" i="1"/>
  <c r="L13" i="1" s="1"/>
  <c r="N12" i="68"/>
  <c r="AJ17" i="1"/>
  <c r="M23" i="68"/>
  <c r="M59" i="68" s="1"/>
  <c r="L105" i="88" s="1"/>
  <c r="BO17" i="87"/>
  <c r="AH17" i="68"/>
  <c r="E71" i="88"/>
  <c r="R18" i="1"/>
  <c r="BO10" i="87"/>
  <c r="AF10" i="68"/>
  <c r="R10" i="68"/>
  <c r="S20" i="68"/>
  <c r="BO21" i="87"/>
  <c r="Q21" i="68"/>
  <c r="AK16" i="1"/>
  <c r="BO15" i="87"/>
  <c r="G16" i="68"/>
  <c r="K17" i="1"/>
  <c r="L17" i="1" s="1"/>
  <c r="AK17" i="1"/>
  <c r="BO19" i="87"/>
  <c r="AK20" i="1"/>
  <c r="AM20" i="1"/>
  <c r="AE14" i="68"/>
  <c r="AG14" i="68"/>
  <c r="BO14" i="87"/>
  <c r="R14" i="68"/>
  <c r="I14" i="1"/>
  <c r="M13" i="68" s="1"/>
  <c r="R13" i="68"/>
  <c r="E13" i="29"/>
  <c r="BO13" i="87"/>
  <c r="R14" i="1"/>
  <c r="E17" i="29"/>
  <c r="E13" i="28"/>
  <c r="R9" i="68"/>
  <c r="BO9" i="87"/>
  <c r="AH18" i="68"/>
  <c r="E77" i="88"/>
  <c r="R18" i="68"/>
  <c r="BO18" i="87"/>
  <c r="G12" i="68"/>
  <c r="BO12" i="87"/>
  <c r="R13" i="1"/>
  <c r="Q12" i="68"/>
  <c r="AE12" i="68"/>
  <c r="AH11" i="68"/>
  <c r="E35" i="88"/>
  <c r="R11" i="68"/>
  <c r="BO11" i="87"/>
  <c r="BO23" i="87"/>
  <c r="R22" i="68"/>
  <c r="BO22" i="87"/>
  <c r="AD8" i="68"/>
  <c r="BO8" i="87"/>
  <c r="AG8" i="68"/>
  <c r="F18" i="88"/>
  <c r="AG8" i="87" s="1"/>
  <c r="AM9" i="1"/>
  <c r="S8" i="68"/>
  <c r="AE8" i="68"/>
  <c r="AK9" i="1"/>
  <c r="S9" i="1"/>
  <c r="AD6" i="68"/>
  <c r="S6" i="68"/>
  <c r="AF6" i="68"/>
  <c r="BO7" i="87"/>
  <c r="BM19" i="87"/>
  <c r="BM41" i="87"/>
  <c r="BM10" i="87"/>
  <c r="BM14" i="87"/>
  <c r="BM33" i="87"/>
  <c r="BM38" i="87"/>
  <c r="BM47" i="87"/>
  <c r="BM6" i="87"/>
  <c r="BM7" i="87"/>
  <c r="BM23" i="87"/>
  <c r="BM46" i="87"/>
  <c r="BM44" i="87"/>
  <c r="BM18" i="87"/>
  <c r="M41" i="68"/>
  <c r="F3" i="88" s="1"/>
  <c r="M43" i="68"/>
  <c r="H15" i="88" s="1"/>
  <c r="BM11" i="87"/>
  <c r="BM20" i="87"/>
  <c r="BM28" i="87"/>
  <c r="BM17" i="87"/>
  <c r="BM40" i="87"/>
  <c r="BM43" i="87"/>
  <c r="BM24" i="87"/>
  <c r="BM22" i="87"/>
  <c r="BM12" i="87"/>
  <c r="BM8" i="87"/>
  <c r="BM21" i="87"/>
  <c r="BM49" i="87"/>
  <c r="BM42" i="87"/>
  <c r="BM9" i="87"/>
  <c r="BM45" i="87"/>
  <c r="BM39" i="87"/>
  <c r="BM13" i="87"/>
  <c r="Q7" i="68"/>
  <c r="M9" i="68"/>
  <c r="M10" i="68"/>
  <c r="Q15" i="68"/>
  <c r="R8" i="1"/>
  <c r="S7" i="68"/>
  <c r="S9" i="68"/>
  <c r="S12" i="68"/>
  <c r="S15" i="68"/>
  <c r="M18" i="68"/>
  <c r="M20" i="68"/>
  <c r="M15" i="68"/>
  <c r="R22" i="1"/>
  <c r="S12" i="1"/>
  <c r="S17" i="1"/>
  <c r="R21" i="1"/>
  <c r="S22" i="1"/>
  <c r="P27" i="1"/>
  <c r="K15" i="1"/>
  <c r="L15" i="1" s="1"/>
  <c r="R16" i="1"/>
  <c r="Q18" i="68"/>
  <c r="Q20" i="68"/>
  <c r="N8" i="68"/>
  <c r="M11" i="68"/>
  <c r="M14" i="68"/>
  <c r="S18" i="68"/>
  <c r="S23" i="68"/>
  <c r="S20" i="1"/>
  <c r="Q8" i="68"/>
  <c r="Q13" i="68"/>
  <c r="N14" i="68"/>
  <c r="M16" i="68"/>
  <c r="M22" i="68"/>
  <c r="R15" i="1"/>
  <c r="AK22" i="1"/>
  <c r="Q11" i="68"/>
  <c r="S13" i="68"/>
  <c r="Q14" i="68"/>
  <c r="Q16" i="68"/>
  <c r="M19" i="68"/>
  <c r="G10" i="68"/>
  <c r="S14" i="68"/>
  <c r="S16" i="68"/>
  <c r="N19" i="68"/>
  <c r="Q22" i="68"/>
  <c r="S15" i="1"/>
  <c r="AJ16" i="1"/>
  <c r="G23" i="68"/>
  <c r="S19" i="1"/>
  <c r="AJ21" i="1"/>
  <c r="Q19" i="68"/>
  <c r="S22" i="68"/>
  <c r="R9" i="1"/>
  <c r="K23" i="1"/>
  <c r="L23" i="1" s="1"/>
  <c r="M17" i="68"/>
  <c r="S19" i="68"/>
  <c r="R12" i="1"/>
  <c r="AJ20" i="1"/>
  <c r="Q6" i="68"/>
  <c r="M7" i="68"/>
  <c r="G8" i="68"/>
  <c r="M12" i="68"/>
  <c r="G13" i="68"/>
  <c r="S21" i="68"/>
  <c r="BO20" i="87"/>
  <c r="S21" i="1"/>
  <c r="AM21" i="1"/>
  <c r="S11" i="1"/>
  <c r="N6" i="68"/>
  <c r="N10" i="68"/>
  <c r="K11" i="1"/>
  <c r="L11" i="1" s="1"/>
  <c r="N21" i="68"/>
  <c r="J27" i="1"/>
  <c r="K7" i="1"/>
  <c r="L7" i="1" s="1"/>
  <c r="BO16" i="87"/>
  <c r="AM17" i="1"/>
  <c r="K22" i="1"/>
  <c r="L22" i="1" s="1"/>
  <c r="AJ22" i="1"/>
  <c r="BO38" i="87"/>
  <c r="R10" i="1"/>
  <c r="K9" i="1"/>
  <c r="L9" i="1" s="1"/>
  <c r="K10" i="1"/>
  <c r="L10" i="1" s="1"/>
  <c r="N20" i="68"/>
  <c r="K8" i="1"/>
  <c r="L8" i="1" s="1"/>
  <c r="S16" i="1"/>
  <c r="R17" i="1"/>
  <c r="S18" i="1"/>
  <c r="R19" i="1"/>
  <c r="R20" i="1"/>
  <c r="K21" i="1"/>
  <c r="L21" i="1" s="1"/>
  <c r="BO45" i="87"/>
  <c r="G9" i="68"/>
  <c r="S24" i="1"/>
  <c r="R6" i="68"/>
  <c r="R20" i="68"/>
  <c r="BO6" i="87"/>
  <c r="S7" i="1"/>
  <c r="S23" i="1"/>
  <c r="G18" i="68"/>
  <c r="R19" i="68"/>
  <c r="G19" i="68"/>
  <c r="BO44" i="87"/>
  <c r="S13" i="1"/>
  <c r="S14" i="1"/>
  <c r="G14" i="68"/>
  <c r="G20" i="68"/>
  <c r="BO29" i="87"/>
  <c r="BO30" i="87"/>
  <c r="BO35" i="87"/>
  <c r="S8" i="1"/>
  <c r="S10" i="1"/>
  <c r="G7" i="68"/>
  <c r="R17" i="68"/>
  <c r="AM16" i="1"/>
  <c r="BO33" i="87"/>
  <c r="AJ7" i="1"/>
  <c r="K16" i="1"/>
  <c r="L16" i="1" s="1"/>
  <c r="N15" i="68"/>
  <c r="AK7" i="1"/>
  <c r="AK21" i="1"/>
  <c r="AM22" i="1"/>
  <c r="M27" i="1"/>
  <c r="R27" i="1" s="1"/>
  <c r="G15" i="68"/>
  <c r="N9" i="68"/>
  <c r="AJ9" i="1"/>
  <c r="N18" i="68"/>
  <c r="AM7" i="1"/>
  <c r="K12" i="1"/>
  <c r="L12" i="1" s="1"/>
  <c r="K18" i="1"/>
  <c r="L18" i="1" s="1"/>
  <c r="K19" i="1"/>
  <c r="L19" i="1" s="1"/>
  <c r="K20" i="1"/>
  <c r="L20" i="1" s="1"/>
  <c r="K24" i="1"/>
  <c r="L24" i="1" s="1"/>
  <c r="G11" i="68"/>
  <c r="R16" i="68"/>
  <c r="G17" i="68"/>
  <c r="N16" i="68"/>
  <c r="R52" i="87"/>
  <c r="G2" i="88"/>
  <c r="AF9" i="87"/>
  <c r="AH9" i="87" s="1"/>
  <c r="AF24" i="87"/>
  <c r="AH24" i="87" s="1"/>
  <c r="O13" i="87"/>
  <c r="Q13" i="87" s="1"/>
  <c r="S13" i="87" s="1"/>
  <c r="V16" i="87"/>
  <c r="X16" i="87" s="1"/>
  <c r="AF7" i="87"/>
  <c r="AH7" i="87" s="1"/>
  <c r="Y20" i="87"/>
  <c r="AC20" i="87" s="1"/>
  <c r="Y14" i="87"/>
  <c r="W79" i="87"/>
  <c r="Y17" i="87"/>
  <c r="W80" i="87"/>
  <c r="Y6" i="87"/>
  <c r="AC6" i="87" s="1"/>
  <c r="V7" i="87"/>
  <c r="X7" i="87" s="1"/>
  <c r="Y19" i="87"/>
  <c r="AC19" i="87" s="1"/>
  <c r="W52" i="87"/>
  <c r="S8" i="87"/>
  <c r="J52" i="87"/>
  <c r="P52" i="87"/>
  <c r="Y21" i="87"/>
  <c r="J25" i="87"/>
  <c r="X6" i="87"/>
  <c r="Y12" i="87"/>
  <c r="AC12" i="87" s="1"/>
  <c r="V12" i="87"/>
  <c r="X12" i="87" s="1"/>
  <c r="V11" i="87"/>
  <c r="X11" i="87" s="1"/>
  <c r="Y11" i="87"/>
  <c r="AC11" i="87" s="1"/>
  <c r="Y18" i="87"/>
  <c r="V10" i="87"/>
  <c r="X10" i="87" s="1"/>
  <c r="V8" i="87"/>
  <c r="X8" i="87" s="1"/>
  <c r="V9" i="87"/>
  <c r="X9" i="87" s="1"/>
  <c r="L19" i="87"/>
  <c r="N19" i="87" s="1"/>
  <c r="AK21" i="68"/>
  <c r="AB14" i="68"/>
  <c r="O24" i="68"/>
  <c r="X25" i="1" s="1"/>
  <c r="AG7" i="68"/>
  <c r="W14" i="1" a="1"/>
  <c r="W14" i="1" s="1"/>
  <c r="AG6" i="68"/>
  <c r="AG11" i="68"/>
  <c r="AE11" i="68"/>
  <c r="AC62" i="68"/>
  <c r="AE16" i="68"/>
  <c r="AD7" i="68"/>
  <c r="AG20" i="68"/>
  <c r="AE10" i="68"/>
  <c r="AE7" i="68"/>
  <c r="AF7" i="68"/>
  <c r="AG10" i="68"/>
  <c r="AD16" i="68"/>
  <c r="AC6" i="68"/>
  <c r="AC86" i="68"/>
  <c r="AE21" i="68"/>
  <c r="T57" i="68"/>
  <c r="T50" i="68"/>
  <c r="T45" i="68"/>
  <c r="AD62" i="68"/>
  <c r="AB6" i="68"/>
  <c r="AB86" i="68"/>
  <c r="AD11" i="68"/>
  <c r="U62" i="68"/>
  <c r="U88" i="68" s="1"/>
  <c r="U90" i="68" s="1"/>
  <c r="U6" i="68"/>
  <c r="U26" i="68" s="1"/>
  <c r="Y6" i="68"/>
  <c r="Y62" i="68"/>
  <c r="Y88" i="68" s="1"/>
  <c r="Y90" i="68" s="1"/>
  <c r="AV26" i="68"/>
  <c r="AA62" i="68"/>
  <c r="AJ24" i="68"/>
  <c r="AA7" i="68"/>
  <c r="AG19" i="68"/>
  <c r="AF18" i="68"/>
  <c r="AT26" i="68"/>
  <c r="AU26" i="68"/>
  <c r="Z62" i="68"/>
  <c r="T47" i="68"/>
  <c r="AA6" i="68"/>
  <c r="AW26" i="68"/>
  <c r="AG12" i="68"/>
  <c r="AE6" i="68"/>
  <c r="AF62" i="68"/>
  <c r="T66" i="68"/>
  <c r="AH22" i="68"/>
  <c r="AH10" i="68"/>
  <c r="M60" i="68"/>
  <c r="AE62" i="68"/>
  <c r="AH8" i="68"/>
  <c r="AF11" i="68"/>
  <c r="T41" i="68"/>
  <c r="AH12" i="68"/>
  <c r="T52" i="68"/>
  <c r="AF16" i="68"/>
  <c r="AG62" i="68"/>
  <c r="V86" i="68"/>
  <c r="T65" i="68"/>
  <c r="AI8" i="68"/>
  <c r="T42" i="68"/>
  <c r="AH62" i="68"/>
  <c r="V62" i="68"/>
  <c r="V6" i="68"/>
  <c r="V7" i="68"/>
  <c r="AS26" i="68"/>
  <c r="W62" i="68"/>
  <c r="W88" i="68" s="1"/>
  <c r="W90" i="68" s="1"/>
  <c r="W6" i="68"/>
  <c r="W26" i="68" s="1"/>
  <c r="AF20" i="68"/>
  <c r="X6" i="68"/>
  <c r="X62" i="68"/>
  <c r="X7" i="68"/>
  <c r="AF17" i="68"/>
  <c r="AH23" i="68"/>
  <c r="T69" i="68"/>
  <c r="AD86" i="68"/>
  <c r="AH20" i="68"/>
  <c r="E5" i="88"/>
  <c r="AI20" i="68"/>
  <c r="AD15" i="68"/>
  <c r="T51" i="68"/>
  <c r="AX26" i="68"/>
  <c r="AG86" i="68"/>
  <c r="T48" i="68"/>
  <c r="AC12" i="68"/>
  <c r="AG18" i="68"/>
  <c r="AE86" i="68"/>
  <c r="AD9" i="68"/>
  <c r="M57" i="68"/>
  <c r="AD12" i="68"/>
  <c r="AF86" i="68"/>
  <c r="Z86" i="68"/>
  <c r="Z6" i="68"/>
  <c r="AE19" i="68"/>
  <c r="AK13" i="68"/>
  <c r="AB62" i="68"/>
  <c r="AB7" i="68"/>
  <c r="T27" i="1" l="1"/>
  <c r="O13" i="68"/>
  <c r="X14" i="1" s="1"/>
  <c r="AI13" i="87"/>
  <c r="J114" i="88"/>
  <c r="BA24" i="87" s="1"/>
  <c r="K108" i="88"/>
  <c r="BF23" i="87" s="1"/>
  <c r="AN23" i="68"/>
  <c r="AC18" i="87"/>
  <c r="AF18" i="87" s="1"/>
  <c r="AH18" i="87" s="1"/>
  <c r="AC17" i="87"/>
  <c r="AF17" i="87" s="1"/>
  <c r="AC14" i="87"/>
  <c r="AF14" i="87" s="1"/>
  <c r="AH14" i="87" s="1"/>
  <c r="AK14" i="87" s="1"/>
  <c r="AC21" i="87"/>
  <c r="AF21" i="87" s="1"/>
  <c r="AH21" i="87" s="1"/>
  <c r="AK21" i="87" s="1"/>
  <c r="AM21" i="87" s="1"/>
  <c r="AP21" i="87" s="1"/>
  <c r="AR21" i="87" s="1"/>
  <c r="N25" i="87"/>
  <c r="AJ53" i="68"/>
  <c r="AK53" i="68" s="1"/>
  <c r="H71" i="88" s="1"/>
  <c r="AJ54" i="68"/>
  <c r="O22" i="68"/>
  <c r="X23" i="1" s="1"/>
  <c r="AJ46" i="68"/>
  <c r="F72" i="88"/>
  <c r="AG17" i="87" s="1"/>
  <c r="K14" i="1"/>
  <c r="L14" i="1" s="1"/>
  <c r="Y26" i="68"/>
  <c r="Z26" i="68"/>
  <c r="W22" i="1" a="1"/>
  <c r="W22" i="1" s="1"/>
  <c r="AK24" i="68"/>
  <c r="AA88" i="68"/>
  <c r="AA90" i="68" s="1"/>
  <c r="X88" i="68"/>
  <c r="X90" i="68" s="1"/>
  <c r="AL60" i="68"/>
  <c r="AM60" i="68" s="1"/>
  <c r="J113" i="88" s="1"/>
  <c r="W7" i="1" a="1"/>
  <c r="W7" i="1" s="1"/>
  <c r="AL13" i="68"/>
  <c r="D13" i="68" s="1"/>
  <c r="Z14" i="1" s="1"/>
  <c r="I48" i="88"/>
  <c r="AA26" i="68"/>
  <c r="O23" i="68"/>
  <c r="X24" i="1" s="1"/>
  <c r="I27" i="1"/>
  <c r="AL21" i="68"/>
  <c r="D21" i="68" s="1"/>
  <c r="Z22" i="1" s="1"/>
  <c r="I96" i="88"/>
  <c r="AV21" i="87" s="1"/>
  <c r="M49" i="68"/>
  <c r="M45" i="88" s="1"/>
  <c r="G18" i="88"/>
  <c r="AL8" i="87" s="1"/>
  <c r="H3" i="88"/>
  <c r="BP13" i="87"/>
  <c r="J105" i="88"/>
  <c r="K105" i="88"/>
  <c r="N105" i="88"/>
  <c r="E105" i="88"/>
  <c r="H105" i="88"/>
  <c r="M105" i="88"/>
  <c r="F105" i="88"/>
  <c r="G105" i="88"/>
  <c r="F11" i="68"/>
  <c r="E3" i="88"/>
  <c r="O105" i="88"/>
  <c r="M3" i="88"/>
  <c r="AC88" i="68"/>
  <c r="AC90" i="68" s="1"/>
  <c r="AB26" i="68"/>
  <c r="AB88" i="68"/>
  <c r="AB90" i="68" s="1"/>
  <c r="O19" i="68"/>
  <c r="X20" i="1" s="1"/>
  <c r="N15" i="88"/>
  <c r="W8" i="1" a="1"/>
  <c r="W8" i="1" s="1"/>
  <c r="L3" i="88"/>
  <c r="I3" i="88"/>
  <c r="G3" i="88"/>
  <c r="J15" i="88"/>
  <c r="J3" i="88"/>
  <c r="K15" i="88"/>
  <c r="M15" i="88"/>
  <c r="N3" i="88"/>
  <c r="K3" i="88"/>
  <c r="O3" i="88"/>
  <c r="L15" i="88"/>
  <c r="G15" i="88"/>
  <c r="F15" i="88"/>
  <c r="O15" i="88"/>
  <c r="I15" i="88"/>
  <c r="E15" i="88"/>
  <c r="G54" i="88"/>
  <c r="AL14" i="87" s="1"/>
  <c r="M47" i="68"/>
  <c r="F33" i="88" s="1"/>
  <c r="M56" i="68"/>
  <c r="E87" i="88" s="1"/>
  <c r="O6" i="68"/>
  <c r="X7" i="1" s="1"/>
  <c r="O9" i="68"/>
  <c r="X10" i="1" s="1"/>
  <c r="M54" i="68"/>
  <c r="M46" i="68"/>
  <c r="O12" i="68"/>
  <c r="X13" i="1" s="1"/>
  <c r="M45" i="68"/>
  <c r="K21" i="88" s="1"/>
  <c r="M42" i="68"/>
  <c r="F9" i="88" s="1"/>
  <c r="M55" i="68"/>
  <c r="M50" i="68"/>
  <c r="O51" i="88" s="1"/>
  <c r="M51" i="68"/>
  <c r="L57" i="88" s="1"/>
  <c r="O8" i="68"/>
  <c r="X9" i="1" s="1"/>
  <c r="O16" i="68"/>
  <c r="X17" i="1" s="1"/>
  <c r="M53" i="68"/>
  <c r="M58" i="68"/>
  <c r="E99" i="88" s="1"/>
  <c r="O21" i="68"/>
  <c r="X22" i="1" s="1"/>
  <c r="M52" i="68"/>
  <c r="O20" i="68"/>
  <c r="X21" i="1" s="1"/>
  <c r="O17" i="68"/>
  <c r="X18" i="1" s="1"/>
  <c r="R26" i="68"/>
  <c r="AJ11" i="68"/>
  <c r="AJ56" i="68"/>
  <c r="T56" i="68" s="1"/>
  <c r="O18" i="68"/>
  <c r="X19" i="1" s="1"/>
  <c r="O11" i="68"/>
  <c r="X12" i="1" s="1"/>
  <c r="F77" i="88"/>
  <c r="O14" i="68"/>
  <c r="X15" i="1" s="1"/>
  <c r="O10" i="68"/>
  <c r="X11" i="1" s="1"/>
  <c r="Q26" i="68"/>
  <c r="S26" i="68"/>
  <c r="O7" i="68"/>
  <c r="X8" i="1" s="1"/>
  <c r="M26" i="68"/>
  <c r="M48" i="68"/>
  <c r="E39" i="88" s="1"/>
  <c r="O15" i="68"/>
  <c r="X16" i="1" s="1"/>
  <c r="I105" i="88"/>
  <c r="N26" i="68"/>
  <c r="G22" i="68"/>
  <c r="BP6" i="87"/>
  <c r="BO25" i="87"/>
  <c r="E7" i="68"/>
  <c r="Y8" i="1" s="1"/>
  <c r="AI16" i="68"/>
  <c r="F66" i="88"/>
  <c r="AG16" i="87" s="1"/>
  <c r="AJ19" i="68"/>
  <c r="G84" i="88"/>
  <c r="AL19" i="87" s="1"/>
  <c r="F29" i="88"/>
  <c r="AJ58" i="68"/>
  <c r="G101" i="88" s="1"/>
  <c r="F101" i="88"/>
  <c r="H2" i="88"/>
  <c r="O25" i="87"/>
  <c r="S25" i="87"/>
  <c r="L52" i="87"/>
  <c r="T13" i="87"/>
  <c r="T25" i="87" s="1"/>
  <c r="T79" i="87" s="1"/>
  <c r="Q25" i="87"/>
  <c r="W83" i="87"/>
  <c r="AF11" i="87"/>
  <c r="AH11" i="87" s="1"/>
  <c r="AK11" i="87" s="1"/>
  <c r="AF19" i="87"/>
  <c r="AH19" i="87" s="1"/>
  <c r="L25" i="87"/>
  <c r="AC26" i="68"/>
  <c r="E9" i="68"/>
  <c r="Y10" i="1" s="1"/>
  <c r="AF26" i="68"/>
  <c r="T81" i="68"/>
  <c r="E21" i="68" s="1"/>
  <c r="Y22" i="1" s="1"/>
  <c r="AE26" i="68"/>
  <c r="AF88" i="68"/>
  <c r="AF90" i="68" s="1"/>
  <c r="Z88" i="68"/>
  <c r="Z90" i="68" s="1"/>
  <c r="AD88" i="68"/>
  <c r="AD90" i="68" s="1"/>
  <c r="T73" i="68"/>
  <c r="AK7" i="87"/>
  <c r="AM7" i="87" s="1"/>
  <c r="AK9" i="87"/>
  <c r="AM9" i="87" s="1"/>
  <c r="M93" i="88"/>
  <c r="F93" i="88"/>
  <c r="J93" i="88"/>
  <c r="I93" i="88"/>
  <c r="O93" i="88"/>
  <c r="N93" i="88"/>
  <c r="L93" i="88"/>
  <c r="K93" i="88"/>
  <c r="H93" i="88"/>
  <c r="G93" i="88"/>
  <c r="E93" i="88"/>
  <c r="AJ8" i="68"/>
  <c r="H18" i="88"/>
  <c r="AQ8" i="87" s="1"/>
  <c r="U27" i="68"/>
  <c r="AG88" i="68"/>
  <c r="AG90" i="68" s="1"/>
  <c r="AK24" i="87"/>
  <c r="AM24" i="87" s="1"/>
  <c r="AF15" i="87"/>
  <c r="T7" i="68"/>
  <c r="D7" i="68"/>
  <c r="Z8" i="1" s="1"/>
  <c r="H111" i="88"/>
  <c r="G111" i="88"/>
  <c r="F111" i="88"/>
  <c r="E111" i="88"/>
  <c r="E6" i="68"/>
  <c r="Y7" i="1" s="1"/>
  <c r="AE88" i="68"/>
  <c r="AE90" i="68" s="1"/>
  <c r="AG26" i="68"/>
  <c r="V26" i="68"/>
  <c r="T6" i="68"/>
  <c r="D6" i="68"/>
  <c r="Z7" i="1" s="1"/>
  <c r="AF16" i="87"/>
  <c r="V88" i="68"/>
  <c r="V90" i="68" s="1"/>
  <c r="AH26" i="68"/>
  <c r="AI22" i="68"/>
  <c r="W10" i="1" a="1"/>
  <c r="W10" i="1" s="1"/>
  <c r="D9" i="68"/>
  <c r="Z10" i="1" s="1"/>
  <c r="T9" i="68"/>
  <c r="X26" i="68"/>
  <c r="AD26" i="68"/>
  <c r="AJ14" i="68"/>
  <c r="X27" i="1" l="1"/>
  <c r="H102" i="88"/>
  <c r="AQ22" i="87" s="1"/>
  <c r="K114" i="88"/>
  <c r="BF24" i="87" s="1"/>
  <c r="H54" i="88"/>
  <c r="AQ14" i="87" s="1"/>
  <c r="H84" i="88"/>
  <c r="AQ19" i="87" s="1"/>
  <c r="L108" i="88"/>
  <c r="AO23" i="68"/>
  <c r="W24" i="1" s="1" a="1"/>
  <c r="W24" i="1" s="1"/>
  <c r="G71" i="88"/>
  <c r="N79" i="87"/>
  <c r="G29" i="88"/>
  <c r="T46" i="68"/>
  <c r="O27" i="88"/>
  <c r="T53" i="68"/>
  <c r="K27" i="1"/>
  <c r="I111" i="88"/>
  <c r="AL62" i="68"/>
  <c r="T21" i="68"/>
  <c r="AL24" i="68"/>
  <c r="T13" i="68"/>
  <c r="I113" i="88"/>
  <c r="L111" i="88"/>
  <c r="O111" i="88"/>
  <c r="K111" i="88"/>
  <c r="N111" i="88"/>
  <c r="AM62" i="68"/>
  <c r="J111" i="88"/>
  <c r="T60" i="68"/>
  <c r="M111" i="88"/>
  <c r="AM24" i="68"/>
  <c r="E13" i="68"/>
  <c r="Y14" i="1" s="1"/>
  <c r="J45" i="88"/>
  <c r="N45" i="88"/>
  <c r="H45" i="88"/>
  <c r="G45" i="88"/>
  <c r="I45" i="88"/>
  <c r="O45" i="88"/>
  <c r="F45" i="88"/>
  <c r="E45" i="88"/>
  <c r="L45" i="88"/>
  <c r="K45" i="88"/>
  <c r="S79" i="87"/>
  <c r="I9" i="88"/>
  <c r="AI62" i="68"/>
  <c r="L9" i="88"/>
  <c r="K33" i="88"/>
  <c r="N33" i="88"/>
  <c r="I87" i="88"/>
  <c r="N57" i="88"/>
  <c r="K57" i="88"/>
  <c r="F57" i="88"/>
  <c r="F75" i="88"/>
  <c r="H87" i="88"/>
  <c r="L87" i="88"/>
  <c r="O57" i="88"/>
  <c r="AI17" i="68"/>
  <c r="G51" i="88"/>
  <c r="N69" i="88"/>
  <c r="L33" i="88"/>
  <c r="J87" i="88"/>
  <c r="G57" i="88"/>
  <c r="G89" i="88"/>
  <c r="G27" i="88"/>
  <c r="I51" i="88"/>
  <c r="K87" i="88"/>
  <c r="H57" i="88"/>
  <c r="E57" i="88"/>
  <c r="I57" i="88"/>
  <c r="G87" i="88"/>
  <c r="N87" i="88"/>
  <c r="M87" i="88"/>
  <c r="O87" i="88"/>
  <c r="J33" i="88"/>
  <c r="F87" i="88"/>
  <c r="J57" i="88"/>
  <c r="F71" i="88"/>
  <c r="I33" i="88"/>
  <c r="O69" i="88"/>
  <c r="E69" i="88"/>
  <c r="H33" i="88"/>
  <c r="E33" i="88"/>
  <c r="J69" i="88"/>
  <c r="M57" i="88"/>
  <c r="E75" i="88"/>
  <c r="AI18" i="68"/>
  <c r="G33" i="88"/>
  <c r="H69" i="88"/>
  <c r="G69" i="88"/>
  <c r="AI12" i="68"/>
  <c r="G77" i="88"/>
  <c r="M33" i="88"/>
  <c r="K9" i="88"/>
  <c r="O26" i="68"/>
  <c r="E26" i="68" s="1"/>
  <c r="Y27" i="1" s="1"/>
  <c r="O33" i="88"/>
  <c r="G78" i="88"/>
  <c r="AL18" i="87" s="1"/>
  <c r="N9" i="88"/>
  <c r="M9" i="88"/>
  <c r="G42" i="88"/>
  <c r="AL12" i="87" s="1"/>
  <c r="AI15" i="68"/>
  <c r="I27" i="88"/>
  <c r="L27" i="88"/>
  <c r="J27" i="88"/>
  <c r="F60" i="88"/>
  <c r="AG15" i="87" s="1"/>
  <c r="AH15" i="87" s="1"/>
  <c r="AK15" i="87" s="1"/>
  <c r="J9" i="88"/>
  <c r="F21" i="88"/>
  <c r="L21" i="88"/>
  <c r="J21" i="88"/>
  <c r="I21" i="88"/>
  <c r="O21" i="88"/>
  <c r="E21" i="88"/>
  <c r="G21" i="88"/>
  <c r="H21" i="88"/>
  <c r="J81" i="88"/>
  <c r="M81" i="88"/>
  <c r="H81" i="88"/>
  <c r="G81" i="88"/>
  <c r="F81" i="88"/>
  <c r="L81" i="88"/>
  <c r="N81" i="88"/>
  <c r="I81" i="88"/>
  <c r="E81" i="88"/>
  <c r="O81" i="88"/>
  <c r="K81" i="88"/>
  <c r="G66" i="88"/>
  <c r="AL16" i="87" s="1"/>
  <c r="K51" i="88"/>
  <c r="N51" i="88"/>
  <c r="F51" i="88"/>
  <c r="M51" i="88"/>
  <c r="E51" i="88"/>
  <c r="M27" i="88"/>
  <c r="F99" i="88"/>
  <c r="J51" i="88"/>
  <c r="H51" i="88"/>
  <c r="F69" i="88"/>
  <c r="F27" i="88"/>
  <c r="K27" i="88"/>
  <c r="L51" i="88"/>
  <c r="M21" i="88"/>
  <c r="G36" i="88"/>
  <c r="AL11" i="87" s="1"/>
  <c r="G9" i="88"/>
  <c r="O9" i="88"/>
  <c r="I69" i="88"/>
  <c r="G72" i="88"/>
  <c r="AL17" i="87" s="1"/>
  <c r="L69" i="88"/>
  <c r="N27" i="88"/>
  <c r="G30" i="88"/>
  <c r="AL10" i="87" s="1"/>
  <c r="E63" i="88"/>
  <c r="M63" i="88"/>
  <c r="F63" i="88"/>
  <c r="J63" i="88"/>
  <c r="H63" i="88"/>
  <c r="L63" i="88"/>
  <c r="I63" i="88"/>
  <c r="O63" i="88"/>
  <c r="K63" i="88"/>
  <c r="G63" i="88"/>
  <c r="N63" i="88"/>
  <c r="K69" i="88"/>
  <c r="E27" i="88"/>
  <c r="M69" i="88"/>
  <c r="H27" i="88"/>
  <c r="E9" i="88"/>
  <c r="AI86" i="68"/>
  <c r="F42" i="88"/>
  <c r="AG12" i="87" s="1"/>
  <c r="N21" i="88"/>
  <c r="H9" i="88"/>
  <c r="AI10" i="68"/>
  <c r="F30" i="88"/>
  <c r="AG10" i="87" s="1"/>
  <c r="N39" i="88"/>
  <c r="G39" i="88"/>
  <c r="J39" i="88"/>
  <c r="L39" i="88"/>
  <c r="M39" i="88"/>
  <c r="O39" i="88"/>
  <c r="I39" i="88"/>
  <c r="H39" i="88"/>
  <c r="F39" i="88"/>
  <c r="K39" i="88"/>
  <c r="O52" i="87"/>
  <c r="U80" i="87"/>
  <c r="U83" i="87" s="1"/>
  <c r="U52" i="87"/>
  <c r="AJ17" i="68"/>
  <c r="AH16" i="87"/>
  <c r="AK16" i="87" s="1"/>
  <c r="AK58" i="68"/>
  <c r="H101" i="88" s="1"/>
  <c r="G99" i="88"/>
  <c r="AJ22" i="68"/>
  <c r="AJ16" i="68"/>
  <c r="AK19" i="68"/>
  <c r="I2" i="88"/>
  <c r="V13" i="87"/>
  <c r="X13" i="87" s="1"/>
  <c r="Y13" i="87"/>
  <c r="T52" i="87"/>
  <c r="V27" i="68"/>
  <c r="AF27" i="68"/>
  <c r="AE27" i="68"/>
  <c r="AD27" i="68"/>
  <c r="AG27" i="68"/>
  <c r="AC27" i="68"/>
  <c r="AA27" i="68"/>
  <c r="AB27" i="68"/>
  <c r="Z27" i="68"/>
  <c r="AF8" i="87"/>
  <c r="AH8" i="87" s="1"/>
  <c r="AK19" i="87"/>
  <c r="AM19" i="87" s="1"/>
  <c r="W27" i="68"/>
  <c r="AF6" i="87"/>
  <c r="AE6" i="87"/>
  <c r="Z25" i="87"/>
  <c r="Z79" i="87" s="1"/>
  <c r="X27" i="68"/>
  <c r="AJ12" i="68"/>
  <c r="AK18" i="87"/>
  <c r="Y27" i="68"/>
  <c r="AH27" i="68"/>
  <c r="AN24" i="68"/>
  <c r="AH17" i="87"/>
  <c r="AU21" i="87"/>
  <c r="AW21" i="87" s="1"/>
  <c r="AK14" i="68"/>
  <c r="AK8" i="68"/>
  <c r="T67" i="68"/>
  <c r="W15" i="1" a="1"/>
  <c r="W15" i="1" s="1"/>
  <c r="AP24" i="87"/>
  <c r="AR24" i="87" s="1"/>
  <c r="AF20" i="87"/>
  <c r="AH20" i="87" s="1"/>
  <c r="W9" i="1" a="1"/>
  <c r="W9" i="1" s="1"/>
  <c r="AP7" i="87"/>
  <c r="AR7" i="87" s="1"/>
  <c r="AF12" i="87"/>
  <c r="W12" i="1" a="1"/>
  <c r="W12" i="1" s="1"/>
  <c r="AF23" i="87"/>
  <c r="AH23" i="87" s="1"/>
  <c r="AP9" i="87"/>
  <c r="AR9" i="87" s="1"/>
  <c r="AF22" i="87"/>
  <c r="AF10" i="87"/>
  <c r="H72" i="88" l="1"/>
  <c r="AQ17" i="87" s="1"/>
  <c r="L114" i="88"/>
  <c r="H42" i="88"/>
  <c r="AQ12" i="87" s="1"/>
  <c r="I84" i="88"/>
  <c r="AV19" i="87" s="1"/>
  <c r="H66" i="88"/>
  <c r="AQ16" i="87" s="1"/>
  <c r="I102" i="88"/>
  <c r="AV22" i="87" s="1"/>
  <c r="M108" i="88"/>
  <c r="AP23" i="68"/>
  <c r="N80" i="87"/>
  <c r="N83" i="87" s="1"/>
  <c r="AC13" i="87"/>
  <c r="AC25" i="87" s="1"/>
  <c r="N52" i="87"/>
  <c r="X25" i="87"/>
  <c r="AK11" i="68"/>
  <c r="F22" i="68"/>
  <c r="AL22" i="68"/>
  <c r="E19" i="28"/>
  <c r="U10" i="1" s="1"/>
  <c r="F9" i="68" s="1"/>
  <c r="I81" i="87"/>
  <c r="T71" i="68"/>
  <c r="E11" i="68" s="1"/>
  <c r="Y12" i="1" s="1"/>
  <c r="H36" i="88"/>
  <c r="AQ11" i="87" s="1"/>
  <c r="AI26" i="68"/>
  <c r="AI88" i="68"/>
  <c r="AI90" i="68" s="1"/>
  <c r="AJ62" i="68"/>
  <c r="G75" i="88"/>
  <c r="AJ18" i="68"/>
  <c r="AK54" i="68"/>
  <c r="H77" i="88" s="1"/>
  <c r="G60" i="88"/>
  <c r="AL15" i="87" s="1"/>
  <c r="AM15" i="87" s="1"/>
  <c r="AP15" i="87" s="1"/>
  <c r="AJ10" i="68"/>
  <c r="AJ15" i="68"/>
  <c r="H78" i="88"/>
  <c r="AQ18" i="87" s="1"/>
  <c r="AK17" i="68"/>
  <c r="S52" i="87"/>
  <c r="Q52" i="87"/>
  <c r="V25" i="87"/>
  <c r="T58" i="68"/>
  <c r="J99" i="88"/>
  <c r="L99" i="88"/>
  <c r="M99" i="88"/>
  <c r="I99" i="88"/>
  <c r="O99" i="88"/>
  <c r="K99" i="88"/>
  <c r="N99" i="88"/>
  <c r="H99" i="88"/>
  <c r="AK22" i="68"/>
  <c r="AL19" i="68"/>
  <c r="AK16" i="68"/>
  <c r="AL14" i="68"/>
  <c r="T14" i="68" s="1"/>
  <c r="I54" i="88"/>
  <c r="AV14" i="87" s="1"/>
  <c r="AJ86" i="68"/>
  <c r="G90" i="88"/>
  <c r="AL20" i="87" s="1"/>
  <c r="J2" i="88"/>
  <c r="Y25" i="87"/>
  <c r="Y79" i="87" s="1"/>
  <c r="S80" i="87"/>
  <c r="S83" i="87" s="1"/>
  <c r="T80" i="87"/>
  <c r="T83" i="87" s="1"/>
  <c r="T74" i="68"/>
  <c r="E14" i="68" s="1"/>
  <c r="AK23" i="87"/>
  <c r="AM23" i="87" s="1"/>
  <c r="AH6" i="87"/>
  <c r="D8" i="68"/>
  <c r="Z9" i="1" s="1"/>
  <c r="T8" i="68"/>
  <c r="AK20" i="87"/>
  <c r="AM16" i="87"/>
  <c r="AP19" i="87"/>
  <c r="AK12" i="68"/>
  <c r="AM11" i="87"/>
  <c r="AH12" i="87"/>
  <c r="AK17" i="87"/>
  <c r="AM17" i="87" s="1"/>
  <c r="AH22" i="87"/>
  <c r="AZ21" i="87"/>
  <c r="BB21" i="87" s="1"/>
  <c r="AY21" i="87"/>
  <c r="AK8" i="87"/>
  <c r="AU7" i="87"/>
  <c r="AW7" i="87" s="1"/>
  <c r="AT7" i="87"/>
  <c r="AM18" i="87"/>
  <c r="AU9" i="87"/>
  <c r="AW9" i="87" s="1"/>
  <c r="AT9" i="87"/>
  <c r="AM14" i="87"/>
  <c r="AU24" i="87"/>
  <c r="N81" i="87"/>
  <c r="E8" i="68"/>
  <c r="Y9" i="1" s="1"/>
  <c r="AO24" i="68"/>
  <c r="AJ20" i="68"/>
  <c r="W13" i="1" a="1"/>
  <c r="W13" i="1" s="1"/>
  <c r="Y15" i="1" l="1"/>
  <c r="W11" i="1" a="1"/>
  <c r="W11" i="1" s="1"/>
  <c r="AL18" i="68"/>
  <c r="J78" i="88"/>
  <c r="BA18" i="87" s="1"/>
  <c r="H90" i="88"/>
  <c r="AQ20" i="87" s="1"/>
  <c r="M114" i="88"/>
  <c r="I42" i="88"/>
  <c r="AV12" i="87" s="1"/>
  <c r="H30" i="88"/>
  <c r="AQ10" i="87" s="1"/>
  <c r="I66" i="88"/>
  <c r="AV16" i="87" s="1"/>
  <c r="J102" i="88"/>
  <c r="BA22" i="87" s="1"/>
  <c r="I72" i="88"/>
  <c r="AV17" i="87" s="1"/>
  <c r="I78" i="88"/>
  <c r="AV18" i="87" s="1"/>
  <c r="AK15" i="68"/>
  <c r="N108" i="88"/>
  <c r="AQ23" i="68"/>
  <c r="AF13" i="87"/>
  <c r="AE13" i="87"/>
  <c r="X79" i="87"/>
  <c r="I36" i="88"/>
  <c r="AV11" i="87" s="1"/>
  <c r="AL11" i="68"/>
  <c r="D11" i="68" s="1"/>
  <c r="Z12" i="1" s="1"/>
  <c r="V52" i="87"/>
  <c r="V79" i="87"/>
  <c r="AI27" i="68"/>
  <c r="H60" i="88"/>
  <c r="AQ15" i="87" s="1"/>
  <c r="AR15" i="87" s="1"/>
  <c r="AM22" i="68"/>
  <c r="E19" i="29"/>
  <c r="U14" i="1" s="1"/>
  <c r="F13" i="68" s="1"/>
  <c r="L75" i="88"/>
  <c r="K75" i="88"/>
  <c r="AK10" i="68"/>
  <c r="AK62" i="68"/>
  <c r="I75" i="88"/>
  <c r="J75" i="88"/>
  <c r="H75" i="88"/>
  <c r="AK18" i="68"/>
  <c r="T54" i="68"/>
  <c r="M75" i="88"/>
  <c r="N75" i="88"/>
  <c r="O75" i="88"/>
  <c r="AL17" i="68"/>
  <c r="D14" i="68"/>
  <c r="AC79" i="87"/>
  <c r="AM18" i="68"/>
  <c r="J84" i="88"/>
  <c r="BA19" i="87" s="1"/>
  <c r="AM19" i="68"/>
  <c r="AL16" i="68"/>
  <c r="AJ88" i="68"/>
  <c r="AJ90" i="68" s="1"/>
  <c r="K2" i="88"/>
  <c r="Y52" i="87"/>
  <c r="Y80" i="87"/>
  <c r="Y83" i="87" s="1"/>
  <c r="V80" i="87"/>
  <c r="AR19" i="87"/>
  <c r="AU19" i="87" s="1"/>
  <c r="AW19" i="87" s="1"/>
  <c r="AP17" i="87"/>
  <c r="AR17" i="87" s="1"/>
  <c r="AZ9" i="87"/>
  <c r="BB9" i="87" s="1"/>
  <c r="AY9" i="87"/>
  <c r="AP11" i="87"/>
  <c r="AR11" i="87" s="1"/>
  <c r="AP23" i="87"/>
  <c r="AR23" i="87" s="1"/>
  <c r="AL12" i="68"/>
  <c r="BE21" i="87"/>
  <c r="BG21" i="87" s="1"/>
  <c r="BI21" i="87" s="1"/>
  <c r="BD21" i="87"/>
  <c r="AK12" i="87"/>
  <c r="Z52" i="87"/>
  <c r="Z80" i="87"/>
  <c r="Z83" i="87" s="1"/>
  <c r="AH10" i="87"/>
  <c r="AG25" i="87"/>
  <c r="AP16" i="87"/>
  <c r="AP14" i="87"/>
  <c r="AP18" i="87"/>
  <c r="AK6" i="87"/>
  <c r="AJ6" i="87"/>
  <c r="AP24" i="68"/>
  <c r="W25" i="1" a="1"/>
  <c r="W25" i="1" s="1"/>
  <c r="AM8" i="87"/>
  <c r="AK22" i="87"/>
  <c r="AM22" i="87" s="1"/>
  <c r="AJ26" i="68"/>
  <c r="AK20" i="68"/>
  <c r="AK86" i="68"/>
  <c r="AZ7" i="87"/>
  <c r="BB7" i="87" s="1"/>
  <c r="AY7" i="87"/>
  <c r="AW24" i="87"/>
  <c r="Z15" i="1" l="1"/>
  <c r="J72" i="88"/>
  <c r="BA17" i="87" s="1"/>
  <c r="N114" i="88"/>
  <c r="J66" i="88"/>
  <c r="BA16" i="87" s="1"/>
  <c r="I60" i="88"/>
  <c r="AV15" i="87" s="1"/>
  <c r="J42" i="88"/>
  <c r="BA12" i="87" s="1"/>
  <c r="T62" i="68"/>
  <c r="O108" i="88"/>
  <c r="AR23" i="68"/>
  <c r="T83" i="68"/>
  <c r="E23" i="68" s="1"/>
  <c r="Y24" i="1" s="1"/>
  <c r="X80" i="87"/>
  <c r="X83" i="87" s="1"/>
  <c r="AH13" i="87"/>
  <c r="AF25" i="87"/>
  <c r="AF79" i="87" s="1"/>
  <c r="X52" i="87"/>
  <c r="K84" i="88"/>
  <c r="BF19" i="87" s="1"/>
  <c r="AN19" i="68"/>
  <c r="D19" i="68" s="1"/>
  <c r="Z20" i="1" s="1"/>
  <c r="T79" i="68"/>
  <c r="E19" i="68" s="1"/>
  <c r="Y20" i="1" s="1"/>
  <c r="AN18" i="68"/>
  <c r="AN22" i="68"/>
  <c r="T11" i="68"/>
  <c r="BO34" i="87"/>
  <c r="BO50" i="87" s="1"/>
  <c r="BO52" i="87" s="1"/>
  <c r="AL15" i="68"/>
  <c r="V83" i="87"/>
  <c r="AL10" i="68"/>
  <c r="I30" i="88"/>
  <c r="AV10" i="87" s="1"/>
  <c r="K102" i="88"/>
  <c r="BF22" i="87" s="1"/>
  <c r="AM17" i="68"/>
  <c r="K78" i="88"/>
  <c r="BF18" i="87" s="1"/>
  <c r="AM16" i="68"/>
  <c r="L2" i="88"/>
  <c r="AL86" i="68"/>
  <c r="I90" i="88"/>
  <c r="AV20" i="87" s="1"/>
  <c r="J30" i="88"/>
  <c r="BA10" i="87" s="1"/>
  <c r="AM10" i="68"/>
  <c r="T70" i="68"/>
  <c r="E10" i="68" s="1"/>
  <c r="AK26" i="68"/>
  <c r="AR16" i="87"/>
  <c r="AU16" i="87" s="1"/>
  <c r="AM12" i="87"/>
  <c r="AP12" i="87" s="1"/>
  <c r="AU17" i="87"/>
  <c r="AK10" i="87"/>
  <c r="AM10" i="87" s="1"/>
  <c r="AZ19" i="87"/>
  <c r="BB19" i="87" s="1"/>
  <c r="AJ27" i="68"/>
  <c r="AM12" i="68"/>
  <c r="T72" i="68"/>
  <c r="AP22" i="87"/>
  <c r="AR22" i="87" s="1"/>
  <c r="AM6" i="87"/>
  <c r="AU11" i="87"/>
  <c r="AW11" i="87" s="1"/>
  <c r="AP8" i="87"/>
  <c r="AR8" i="87" s="1"/>
  <c r="AC52" i="87"/>
  <c r="AC80" i="87"/>
  <c r="AC83" i="87" s="1"/>
  <c r="BE7" i="87"/>
  <c r="BG7" i="87" s="1"/>
  <c r="BI7" i="87" s="1"/>
  <c r="BD7" i="87"/>
  <c r="AG79" i="87"/>
  <c r="AZ24" i="87"/>
  <c r="BB24" i="87" s="1"/>
  <c r="AU15" i="87"/>
  <c r="AU23" i="87"/>
  <c r="AW23" i="87" s="1"/>
  <c r="BE9" i="87"/>
  <c r="BG9" i="87" s="1"/>
  <c r="BI9" i="87" s="1"/>
  <c r="BD9" i="87"/>
  <c r="AK88" i="68"/>
  <c r="AK90" i="68" s="1"/>
  <c r="AQ24" i="68"/>
  <c r="T24" i="68" s="1"/>
  <c r="T84" i="68"/>
  <c r="AR14" i="87"/>
  <c r="AL20" i="68"/>
  <c r="AR18" i="87"/>
  <c r="Y11" i="1" l="1"/>
  <c r="AW15" i="87"/>
  <c r="AZ15" i="87" s="1"/>
  <c r="J60" i="88"/>
  <c r="BA15" i="87" s="1"/>
  <c r="AN17" i="68"/>
  <c r="K66" i="88"/>
  <c r="BF16" i="87" s="1"/>
  <c r="F43" i="88"/>
  <c r="F44" i="88" s="1"/>
  <c r="T82" i="68"/>
  <c r="E22" i="68" s="1"/>
  <c r="Y23" i="1" s="1"/>
  <c r="J90" i="88"/>
  <c r="BA20" i="87" s="1"/>
  <c r="W20" i="1" a="1"/>
  <c r="W20" i="1" s="1"/>
  <c r="AR26" i="68"/>
  <c r="T23" i="68"/>
  <c r="D23" i="68"/>
  <c r="Z24" i="1" s="1"/>
  <c r="T19" i="68"/>
  <c r="AK13" i="87"/>
  <c r="AM13" i="87" s="1"/>
  <c r="AJ13" i="87"/>
  <c r="AH25" i="87"/>
  <c r="L78" i="88"/>
  <c r="AO18" i="68"/>
  <c r="L102" i="88"/>
  <c r="AO22" i="68"/>
  <c r="E24" i="68"/>
  <c r="Y25" i="1" s="1"/>
  <c r="M2" i="88"/>
  <c r="J49" i="88" s="1"/>
  <c r="J50" i="88" s="1"/>
  <c r="AL26" i="68"/>
  <c r="AM15" i="68"/>
  <c r="T77" i="68"/>
  <c r="E17" i="68" s="1"/>
  <c r="K72" i="88"/>
  <c r="BF17" i="87" s="1"/>
  <c r="T76" i="68"/>
  <c r="E16" i="68" s="1"/>
  <c r="Y17" i="1" s="1"/>
  <c r="AN16" i="68"/>
  <c r="W17" i="1" s="1" a="1"/>
  <c r="W17" i="1" s="1"/>
  <c r="AL88" i="68"/>
  <c r="AL90" i="68" s="1"/>
  <c r="T10" i="68"/>
  <c r="D10" i="68"/>
  <c r="M49" i="88"/>
  <c r="M50" i="88" s="1"/>
  <c r="G49" i="88"/>
  <c r="G50" i="88" s="1"/>
  <c r="E49" i="88"/>
  <c r="E50" i="88" s="1"/>
  <c r="F49" i="88"/>
  <c r="F50" i="88" s="1"/>
  <c r="K49" i="88"/>
  <c r="K50" i="88" s="1"/>
  <c r="I49" i="88"/>
  <c r="I50" i="88" s="1"/>
  <c r="L49" i="88"/>
  <c r="L50" i="88" s="1"/>
  <c r="BP47" i="87"/>
  <c r="BP39" i="87"/>
  <c r="BP45" i="87"/>
  <c r="BP46" i="87"/>
  <c r="G7" i="88"/>
  <c r="G8" i="88" s="1"/>
  <c r="F7" i="88"/>
  <c r="F8" i="88" s="1"/>
  <c r="BP41" i="87"/>
  <c r="L7" i="88"/>
  <c r="L8" i="88" s="1"/>
  <c r="BP28" i="87"/>
  <c r="J7" i="88"/>
  <c r="J8" i="88" s="1"/>
  <c r="N2" i="88"/>
  <c r="AK27" i="68"/>
  <c r="AQ25" i="87"/>
  <c r="AQ79" i="87" s="1"/>
  <c r="AW17" i="87"/>
  <c r="AK25" i="87"/>
  <c r="AK79" i="87" s="1"/>
  <c r="AR12" i="87"/>
  <c r="AU12" i="87" s="1"/>
  <c r="AU8" i="87"/>
  <c r="AW8" i="87" s="1"/>
  <c r="AT8" i="87"/>
  <c r="AP6" i="87"/>
  <c r="AO6" i="87"/>
  <c r="AF52" i="87"/>
  <c r="AF80" i="87"/>
  <c r="AF83" i="87" s="1"/>
  <c r="AM20" i="68"/>
  <c r="AZ23" i="87"/>
  <c r="BB23" i="87" s="1"/>
  <c r="BE24" i="87"/>
  <c r="BG24" i="87" s="1"/>
  <c r="AZ11" i="87"/>
  <c r="BB11" i="87" s="1"/>
  <c r="AP10" i="87"/>
  <c r="AR10" i="87" s="1"/>
  <c r="AW16" i="87"/>
  <c r="E12" i="68"/>
  <c r="AU22" i="87"/>
  <c r="AW22" i="87" s="1"/>
  <c r="AQ26" i="68"/>
  <c r="D24" i="68"/>
  <c r="Z25" i="1" s="1"/>
  <c r="BE19" i="87"/>
  <c r="BG19" i="87" s="1"/>
  <c r="BI19" i="87" s="1"/>
  <c r="AM86" i="68"/>
  <c r="T12" i="68"/>
  <c r="D12" i="68"/>
  <c r="S81" i="87"/>
  <c r="AU18" i="87"/>
  <c r="AW18" i="87" s="1"/>
  <c r="AU14" i="87"/>
  <c r="AW14" i="87" s="1"/>
  <c r="AM20" i="87"/>
  <c r="AL25" i="87"/>
  <c r="Y13" i="1" l="1"/>
  <c r="W18" i="1" a="1"/>
  <c r="W18" i="1" s="1"/>
  <c r="Y18" i="1"/>
  <c r="Z11" i="1"/>
  <c r="D17" i="68"/>
  <c r="T17" i="68"/>
  <c r="M78" i="88"/>
  <c r="K60" i="88"/>
  <c r="BF15" i="87" s="1"/>
  <c r="K90" i="88"/>
  <c r="BF20" i="87" s="1"/>
  <c r="T78" i="68"/>
  <c r="E18" i="68" s="1"/>
  <c r="AP18" i="68"/>
  <c r="AH79" i="87"/>
  <c r="AO13" i="87"/>
  <c r="AP13" i="87"/>
  <c r="AR13" i="87" s="1"/>
  <c r="W19" i="1" a="1"/>
  <c r="W19" i="1" s="1"/>
  <c r="AO26" i="68"/>
  <c r="T22" i="68"/>
  <c r="D22" i="68"/>
  <c r="Z23" i="1" s="1"/>
  <c r="W23" i="1" a="1"/>
  <c r="W23" i="1" s="1"/>
  <c r="I7" i="88"/>
  <c r="I8" i="88" s="1"/>
  <c r="BP32" i="87"/>
  <c r="K7" i="88"/>
  <c r="K8" i="88" s="1"/>
  <c r="H7" i="88"/>
  <c r="H8" i="88" s="1"/>
  <c r="BP42" i="87"/>
  <c r="E7" i="88"/>
  <c r="E8" i="88" s="1"/>
  <c r="M7" i="88"/>
  <c r="M8" i="88" s="1"/>
  <c r="BP43" i="87"/>
  <c r="H49" i="88"/>
  <c r="H50" i="88" s="1"/>
  <c r="AL27" i="68"/>
  <c r="T75" i="68"/>
  <c r="E15" i="68" s="1"/>
  <c r="AN15" i="68"/>
  <c r="D15" i="68" s="1"/>
  <c r="T16" i="68"/>
  <c r="D16" i="68"/>
  <c r="Z17" i="1" s="1"/>
  <c r="T81" i="87"/>
  <c r="N49" i="88"/>
  <c r="N50" i="88" s="1"/>
  <c r="BP40" i="87"/>
  <c r="BP33" i="87"/>
  <c r="BP44" i="87"/>
  <c r="N7" i="88"/>
  <c r="N8" i="88" s="1"/>
  <c r="BP38" i="87"/>
  <c r="BP30" i="87"/>
  <c r="BP29" i="87"/>
  <c r="O2" i="88"/>
  <c r="BB15" i="87"/>
  <c r="BE15" i="87" s="1"/>
  <c r="AZ17" i="87"/>
  <c r="BB17" i="87" s="1"/>
  <c r="AM26" i="68"/>
  <c r="AP20" i="87"/>
  <c r="AR20" i="87" s="1"/>
  <c r="AM88" i="68"/>
  <c r="AM90" i="68" s="1"/>
  <c r="AV25" i="87"/>
  <c r="BE11" i="87"/>
  <c r="BG11" i="87" s="1"/>
  <c r="BI11" i="87" s="1"/>
  <c r="BE23" i="87"/>
  <c r="BG23" i="87" s="1"/>
  <c r="AM25" i="87"/>
  <c r="AR6" i="87"/>
  <c r="Z13" i="1"/>
  <c r="AZ16" i="87"/>
  <c r="BB16" i="87" s="1"/>
  <c r="AL79" i="87"/>
  <c r="AZ14" i="87"/>
  <c r="BB14" i="87" s="1"/>
  <c r="AY14" i="87"/>
  <c r="AZ22" i="87"/>
  <c r="BB22" i="87" s="1"/>
  <c r="AN20" i="68"/>
  <c r="T80" i="68"/>
  <c r="AN86" i="68"/>
  <c r="AZ18" i="87"/>
  <c r="BB18" i="87" s="1"/>
  <c r="AW12" i="87"/>
  <c r="AZ8" i="87"/>
  <c r="BB8" i="87" s="1"/>
  <c r="AU10" i="87"/>
  <c r="AW10" i="87" s="1"/>
  <c r="Z16" i="1" l="1"/>
  <c r="Y16" i="1"/>
  <c r="AP26" i="68"/>
  <c r="Y19" i="1"/>
  <c r="Z18" i="1"/>
  <c r="BF25" i="87"/>
  <c r="T18" i="68"/>
  <c r="D18" i="68"/>
  <c r="AT13" i="87"/>
  <c r="AU13" i="87"/>
  <c r="AW13" i="87" s="1"/>
  <c r="BP49" i="87"/>
  <c r="U81" i="87"/>
  <c r="T15" i="68"/>
  <c r="W16" i="1" a="1"/>
  <c r="W16" i="1" s="1"/>
  <c r="AM79" i="87"/>
  <c r="O115" i="88"/>
  <c r="F115" i="88"/>
  <c r="F116" i="88" s="1"/>
  <c r="G115" i="88"/>
  <c r="E115" i="88"/>
  <c r="E116" i="88" s="1"/>
  <c r="H115" i="88"/>
  <c r="H116" i="88" s="1"/>
  <c r="I115" i="88"/>
  <c r="AX24" i="87" s="1"/>
  <c r="AY24" i="87" s="1"/>
  <c r="M115" i="88"/>
  <c r="L115" i="88"/>
  <c r="N115" i="88"/>
  <c r="K115" i="88"/>
  <c r="J115" i="88"/>
  <c r="O109" i="88"/>
  <c r="E109" i="88"/>
  <c r="G109" i="88"/>
  <c r="H109" i="88"/>
  <c r="F109" i="88"/>
  <c r="J109" i="88"/>
  <c r="I109" i="88"/>
  <c r="M109" i="88"/>
  <c r="L109" i="88"/>
  <c r="N109" i="88"/>
  <c r="K109" i="88"/>
  <c r="BH23" i="87" s="1"/>
  <c r="O103" i="88"/>
  <c r="O104" i="88" s="1"/>
  <c r="E103" i="88"/>
  <c r="G103" i="88"/>
  <c r="F103" i="88"/>
  <c r="H103" i="88"/>
  <c r="J103" i="88"/>
  <c r="I103" i="88"/>
  <c r="L103" i="88"/>
  <c r="L104" i="88" s="1"/>
  <c r="M103" i="88"/>
  <c r="M104" i="88" s="1"/>
  <c r="N103" i="88"/>
  <c r="N104" i="88" s="1"/>
  <c r="K103" i="88"/>
  <c r="BH22" i="87" s="1"/>
  <c r="O97" i="88"/>
  <c r="O98" i="88" s="1"/>
  <c r="F97" i="88"/>
  <c r="E97" i="88"/>
  <c r="G97" i="88"/>
  <c r="H97" i="88"/>
  <c r="I97" i="88"/>
  <c r="I98" i="88" s="1"/>
  <c r="M97" i="88"/>
  <c r="M98" i="88" s="1"/>
  <c r="J97" i="88"/>
  <c r="J98" i="88" s="1"/>
  <c r="K97" i="88"/>
  <c r="K98" i="88" s="1"/>
  <c r="L97" i="88"/>
  <c r="L98" i="88" s="1"/>
  <c r="N97" i="88"/>
  <c r="N98" i="88" s="1"/>
  <c r="O91" i="88"/>
  <c r="O92" i="88" s="1"/>
  <c r="F91" i="88"/>
  <c r="G91" i="88"/>
  <c r="E91" i="88"/>
  <c r="I91" i="88"/>
  <c r="H91" i="88"/>
  <c r="K91" i="88"/>
  <c r="L91" i="88"/>
  <c r="L92" i="88" s="1"/>
  <c r="M91" i="88"/>
  <c r="M92" i="88" s="1"/>
  <c r="J91" i="88"/>
  <c r="N91" i="88"/>
  <c r="N92" i="88" s="1"/>
  <c r="O85" i="88"/>
  <c r="E85" i="88"/>
  <c r="G85" i="88"/>
  <c r="F85" i="88"/>
  <c r="H85" i="88"/>
  <c r="I85" i="88"/>
  <c r="L85" i="88"/>
  <c r="M85" i="88"/>
  <c r="N85" i="88"/>
  <c r="J85" i="88"/>
  <c r="K85" i="88"/>
  <c r="K86" i="88" s="1"/>
  <c r="N73" i="88"/>
  <c r="O79" i="88"/>
  <c r="G79" i="88"/>
  <c r="E79" i="88"/>
  <c r="H79" i="88"/>
  <c r="F79" i="88"/>
  <c r="I79" i="88"/>
  <c r="M79" i="88"/>
  <c r="L79" i="88"/>
  <c r="K79" i="88"/>
  <c r="J79" i="88"/>
  <c r="N79" i="88"/>
  <c r="M73" i="88"/>
  <c r="O73" i="88"/>
  <c r="G73" i="88"/>
  <c r="F73" i="88"/>
  <c r="E73" i="88"/>
  <c r="H73" i="88"/>
  <c r="I73" i="88"/>
  <c r="J73" i="88"/>
  <c r="K73" i="88"/>
  <c r="K74" i="88" s="1"/>
  <c r="L73" i="88"/>
  <c r="L61" i="88"/>
  <c r="O67" i="88"/>
  <c r="F67" i="88"/>
  <c r="F68" i="88" s="1"/>
  <c r="G67" i="88"/>
  <c r="AN16" i="87" s="1"/>
  <c r="AO16" i="87" s="1"/>
  <c r="E67" i="88"/>
  <c r="E68" i="88" s="1"/>
  <c r="H67" i="88"/>
  <c r="H68" i="88" s="1"/>
  <c r="I67" i="88"/>
  <c r="I68" i="88" s="1"/>
  <c r="K67" i="88"/>
  <c r="K68" i="88" s="1"/>
  <c r="J67" i="88"/>
  <c r="M67" i="88"/>
  <c r="N67" i="88"/>
  <c r="L67" i="88"/>
  <c r="M61" i="88"/>
  <c r="N55" i="88"/>
  <c r="O61" i="88"/>
  <c r="E61" i="88"/>
  <c r="E62" i="88" s="1"/>
  <c r="G61" i="88"/>
  <c r="AN15" i="87" s="1"/>
  <c r="AO15" i="87" s="1"/>
  <c r="F61" i="88"/>
  <c r="F62" i="88" s="1"/>
  <c r="H61" i="88"/>
  <c r="AS15" i="87" s="1"/>
  <c r="AT15" i="87" s="1"/>
  <c r="K61" i="88"/>
  <c r="K62" i="88" s="1"/>
  <c r="I61" i="88"/>
  <c r="J61" i="88"/>
  <c r="BC15" i="87" s="1"/>
  <c r="BD15" i="87" s="1"/>
  <c r="N61" i="88"/>
  <c r="M55" i="88"/>
  <c r="O49" i="88"/>
  <c r="O50" i="88" s="1"/>
  <c r="O55" i="88"/>
  <c r="G55" i="88"/>
  <c r="F55" i="88"/>
  <c r="E55" i="88"/>
  <c r="H55" i="88"/>
  <c r="I55" i="88"/>
  <c r="I56" i="88" s="1"/>
  <c r="J55" i="88"/>
  <c r="K55" i="88"/>
  <c r="L55" i="88"/>
  <c r="O43" i="88"/>
  <c r="O44" i="88" s="1"/>
  <c r="G43" i="88"/>
  <c r="H43" i="88"/>
  <c r="E43" i="88"/>
  <c r="J43" i="88"/>
  <c r="K43" i="88"/>
  <c r="K44" i="88" s="1"/>
  <c r="I43" i="88"/>
  <c r="M43" i="88"/>
  <c r="M44" i="88" s="1"/>
  <c r="L43" i="88"/>
  <c r="L44" i="88" s="1"/>
  <c r="N31" i="88"/>
  <c r="N32" i="88" s="1"/>
  <c r="N43" i="88"/>
  <c r="N44" i="88" s="1"/>
  <c r="O37" i="88"/>
  <c r="O38" i="88" s="1"/>
  <c r="E37" i="88"/>
  <c r="F37" i="88"/>
  <c r="G37" i="88"/>
  <c r="H37" i="88"/>
  <c r="K37" i="88"/>
  <c r="K38" i="88" s="1"/>
  <c r="I37" i="88"/>
  <c r="J37" i="88"/>
  <c r="L37" i="88"/>
  <c r="L38" i="88" s="1"/>
  <c r="M37" i="88"/>
  <c r="M38" i="88" s="1"/>
  <c r="N37" i="88"/>
  <c r="N38" i="88" s="1"/>
  <c r="M31" i="88"/>
  <c r="M32" i="88" s="1"/>
  <c r="O31" i="88"/>
  <c r="O32" i="88" s="1"/>
  <c r="E31" i="88"/>
  <c r="G31" i="88"/>
  <c r="F31" i="88"/>
  <c r="K31" i="88"/>
  <c r="K32" i="88" s="1"/>
  <c r="H31" i="88"/>
  <c r="J31" i="88"/>
  <c r="I31" i="88"/>
  <c r="L31" i="88"/>
  <c r="L32" i="88" s="1"/>
  <c r="O25" i="88"/>
  <c r="O26" i="88" s="1"/>
  <c r="E25" i="88"/>
  <c r="E26" i="88" s="1"/>
  <c r="F25" i="88"/>
  <c r="H25" i="88"/>
  <c r="H26" i="88" s="1"/>
  <c r="G25" i="88"/>
  <c r="K25" i="88"/>
  <c r="K26" i="88" s="1"/>
  <c r="J25" i="88"/>
  <c r="J26" i="88" s="1"/>
  <c r="M25" i="88"/>
  <c r="M26" i="88" s="1"/>
  <c r="I25" i="88"/>
  <c r="I26" i="88" s="1"/>
  <c r="L25" i="88"/>
  <c r="L26" i="88" s="1"/>
  <c r="N25" i="88"/>
  <c r="N26" i="88" s="1"/>
  <c r="N13" i="88"/>
  <c r="N14" i="88" s="1"/>
  <c r="O19" i="88"/>
  <c r="O20" i="88" s="1"/>
  <c r="H19" i="88"/>
  <c r="H20" i="88" s="1"/>
  <c r="I19" i="88"/>
  <c r="F19" i="88"/>
  <c r="F20" i="88" s="1"/>
  <c r="AI8" i="87" s="1"/>
  <c r="AJ8" i="87" s="1"/>
  <c r="E19" i="88"/>
  <c r="G19" i="88"/>
  <c r="J19" i="88"/>
  <c r="J20" i="88" s="1"/>
  <c r="K19" i="88"/>
  <c r="K20" i="88" s="1"/>
  <c r="M19" i="88"/>
  <c r="M20" i="88" s="1"/>
  <c r="L19" i="88"/>
  <c r="L20" i="88" s="1"/>
  <c r="M13" i="88"/>
  <c r="M14" i="88" s="1"/>
  <c r="L13" i="88"/>
  <c r="L14" i="88" s="1"/>
  <c r="N19" i="88"/>
  <c r="N20" i="88" s="1"/>
  <c r="O13" i="88"/>
  <c r="O14" i="88" s="1"/>
  <c r="H13" i="88"/>
  <c r="H14" i="88" s="1"/>
  <c r="G13" i="88"/>
  <c r="E13" i="88"/>
  <c r="F13" i="88"/>
  <c r="F14" i="88" s="1"/>
  <c r="AI7" i="87" s="1"/>
  <c r="AJ7" i="87" s="1"/>
  <c r="I13" i="88"/>
  <c r="I14" i="88" s="1"/>
  <c r="J13" i="88"/>
  <c r="J14" i="88" s="1"/>
  <c r="K13" i="88"/>
  <c r="K14" i="88" s="1"/>
  <c r="O7" i="88"/>
  <c r="O8" i="88" s="1"/>
  <c r="BP34" i="87"/>
  <c r="AM27" i="68"/>
  <c r="AP25" i="87"/>
  <c r="AP79" i="87" s="1"/>
  <c r="BE17" i="87"/>
  <c r="BG17" i="87" s="1"/>
  <c r="BI17" i="87" s="1"/>
  <c r="AZ10" i="87"/>
  <c r="BB10" i="87" s="1"/>
  <c r="BE16" i="87"/>
  <c r="BG16" i="87" s="1"/>
  <c r="BI16" i="87" s="1"/>
  <c r="AN88" i="68"/>
  <c r="AN90" i="68" s="1"/>
  <c r="T90" i="68" s="1"/>
  <c r="AU20" i="87"/>
  <c r="AW20" i="87" s="1"/>
  <c r="AR25" i="87"/>
  <c r="AT6" i="87"/>
  <c r="AU6" i="87"/>
  <c r="BE22" i="87"/>
  <c r="BG22" i="87" s="1"/>
  <c r="E20" i="68"/>
  <c r="Y21" i="1" s="1"/>
  <c r="T86" i="68"/>
  <c r="BE18" i="87"/>
  <c r="BG18" i="87" s="1"/>
  <c r="BA25" i="87"/>
  <c r="BD14" i="87"/>
  <c r="BE14" i="87"/>
  <c r="BG14" i="87" s="1"/>
  <c r="BI14" i="87" s="1"/>
  <c r="AN26" i="68"/>
  <c r="D20" i="68"/>
  <c r="Z21" i="1" s="1"/>
  <c r="T20" i="68"/>
  <c r="BE8" i="87"/>
  <c r="BG8" i="87" s="1"/>
  <c r="BI8" i="87" s="1"/>
  <c r="BD8" i="87"/>
  <c r="AV79" i="87"/>
  <c r="AZ12" i="87"/>
  <c r="BB12" i="87" s="1"/>
  <c r="BG15" i="87"/>
  <c r="BI15" i="87" s="1"/>
  <c r="D26" i="68" l="1"/>
  <c r="Z27" i="1" s="1"/>
  <c r="Z19" i="1"/>
  <c r="J86" i="88"/>
  <c r="BC19" i="87"/>
  <c r="BD19" i="87" s="1"/>
  <c r="K104" i="88"/>
  <c r="BI22" i="87"/>
  <c r="K80" i="88"/>
  <c r="BH18" i="87"/>
  <c r="BI18" i="87" s="1"/>
  <c r="AY13" i="87"/>
  <c r="AZ13" i="87"/>
  <c r="BB13" i="87" s="1"/>
  <c r="T26" i="68"/>
  <c r="AR79" i="87"/>
  <c r="AS16" i="87"/>
  <c r="AT16" i="87" s="1"/>
  <c r="AE15" i="87"/>
  <c r="G68" i="88"/>
  <c r="AE16" i="87"/>
  <c r="G62" i="88"/>
  <c r="AX16" i="87"/>
  <c r="AY16" i="87" s="1"/>
  <c r="AI24" i="87"/>
  <c r="AJ24" i="87" s="1"/>
  <c r="I116" i="88"/>
  <c r="J62" i="88"/>
  <c r="AI15" i="87"/>
  <c r="AJ15" i="87" s="1"/>
  <c r="H62" i="88"/>
  <c r="AE24" i="87"/>
  <c r="AN22" i="87"/>
  <c r="AO22" i="87" s="1"/>
  <c r="G104" i="88"/>
  <c r="AN24" i="87"/>
  <c r="AO24" i="87" s="1"/>
  <c r="G116" i="88"/>
  <c r="E14" i="88"/>
  <c r="E32" i="88"/>
  <c r="AE9" i="87"/>
  <c r="BP9" i="87"/>
  <c r="H56" i="88"/>
  <c r="AS14" i="87"/>
  <c r="AT14" i="87" s="1"/>
  <c r="AX11" i="87"/>
  <c r="AY11" i="87" s="1"/>
  <c r="I38" i="88"/>
  <c r="BC24" i="87"/>
  <c r="BD24" i="87" s="1"/>
  <c r="J116" i="88"/>
  <c r="AX8" i="87"/>
  <c r="I20" i="88"/>
  <c r="I32" i="88"/>
  <c r="AX10" i="87"/>
  <c r="AY10" i="87" s="1"/>
  <c r="AI10" i="87"/>
  <c r="F32" i="88"/>
  <c r="AN9" i="87"/>
  <c r="AO9" i="87" s="1"/>
  <c r="G26" i="88"/>
  <c r="AI16" i="87"/>
  <c r="AJ16" i="87" s="1"/>
  <c r="AS11" i="87"/>
  <c r="AT11" i="87" s="1"/>
  <c r="H38" i="88"/>
  <c r="BC10" i="87"/>
  <c r="BD10" i="87" s="1"/>
  <c r="J32" i="88"/>
  <c r="K110" i="88"/>
  <c r="BI23" i="87"/>
  <c r="AN10" i="87"/>
  <c r="AO10" i="87" s="1"/>
  <c r="G32" i="88"/>
  <c r="E110" i="88"/>
  <c r="BC11" i="87"/>
  <c r="BD11" i="87" s="1"/>
  <c r="J38" i="88"/>
  <c r="J68" i="88"/>
  <c r="BC16" i="87"/>
  <c r="BD16" i="87" s="1"/>
  <c r="AN7" i="87"/>
  <c r="AO7" i="87" s="1"/>
  <c r="G14" i="88"/>
  <c r="H32" i="88"/>
  <c r="AS10" i="87"/>
  <c r="AT10" i="87" s="1"/>
  <c r="E104" i="88"/>
  <c r="F98" i="88"/>
  <c r="AI21" i="87"/>
  <c r="AJ21" i="87" s="1"/>
  <c r="G98" i="88"/>
  <c r="AN21" i="87"/>
  <c r="AO21" i="87" s="1"/>
  <c r="I104" i="88"/>
  <c r="AX22" i="87"/>
  <c r="AY22" i="87" s="1"/>
  <c r="E38" i="88"/>
  <c r="G86" i="88"/>
  <c r="AN19" i="87"/>
  <c r="AO19" i="87" s="1"/>
  <c r="AX15" i="87"/>
  <c r="AY15" i="87" s="1"/>
  <c r="I62" i="88"/>
  <c r="F74" i="88"/>
  <c r="AI17" i="87"/>
  <c r="AJ17" i="87" s="1"/>
  <c r="AS24" i="87"/>
  <c r="AT24" i="87" s="1"/>
  <c r="J80" i="88"/>
  <c r="BC18" i="87"/>
  <c r="BD18" i="87" s="1"/>
  <c r="AS19" i="87"/>
  <c r="AT19" i="87" s="1"/>
  <c r="H86" i="88"/>
  <c r="E20" i="88"/>
  <c r="AI9" i="87"/>
  <c r="AJ9" i="87" s="1"/>
  <c r="F26" i="88"/>
  <c r="F110" i="88"/>
  <c r="AI23" i="87"/>
  <c r="AJ23" i="87" s="1"/>
  <c r="I80" i="88"/>
  <c r="AX18" i="87"/>
  <c r="AY18" i="87" s="1"/>
  <c r="AN14" i="87"/>
  <c r="AO14" i="87" s="1"/>
  <c r="G56" i="88"/>
  <c r="AS18" i="87"/>
  <c r="AT18" i="87" s="1"/>
  <c r="H80" i="88"/>
  <c r="F104" i="88"/>
  <c r="AI22" i="87"/>
  <c r="AJ22" i="87" s="1"/>
  <c r="H74" i="88"/>
  <c r="AS17" i="87"/>
  <c r="AT17" i="87" s="1"/>
  <c r="AN17" i="87"/>
  <c r="AO17" i="87" s="1"/>
  <c r="G74" i="88"/>
  <c r="G20" i="88"/>
  <c r="AN8" i="87"/>
  <c r="AO8" i="87" s="1"/>
  <c r="BC17" i="87"/>
  <c r="BD17" i="87" s="1"/>
  <c r="J74" i="88"/>
  <c r="J104" i="88"/>
  <c r="BC22" i="87"/>
  <c r="BD22" i="87" s="1"/>
  <c r="AI18" i="87"/>
  <c r="AJ18" i="87" s="1"/>
  <c r="F80" i="88"/>
  <c r="BC23" i="87"/>
  <c r="BD23" i="87" s="1"/>
  <c r="J110" i="88"/>
  <c r="E56" i="88"/>
  <c r="AX19" i="87"/>
  <c r="AY19" i="87" s="1"/>
  <c r="I86" i="88"/>
  <c r="I74" i="88"/>
  <c r="AX17" i="87"/>
  <c r="AY17" i="87" s="1"/>
  <c r="E86" i="88"/>
  <c r="AS22" i="87"/>
  <c r="AT22" i="87" s="1"/>
  <c r="H104" i="88"/>
  <c r="F56" i="88"/>
  <c r="AI14" i="87"/>
  <c r="AJ14" i="87" s="1"/>
  <c r="E74" i="88"/>
  <c r="AX23" i="87"/>
  <c r="AY23" i="87" s="1"/>
  <c r="I110" i="88"/>
  <c r="BH24" i="87"/>
  <c r="K116" i="88"/>
  <c r="AN11" i="87"/>
  <c r="AO11" i="87" s="1"/>
  <c r="G38" i="88"/>
  <c r="E80" i="88"/>
  <c r="AI11" i="87"/>
  <c r="AJ11" i="87" s="1"/>
  <c r="F38" i="88"/>
  <c r="AI19" i="87"/>
  <c r="AJ19" i="87" s="1"/>
  <c r="F86" i="88"/>
  <c r="E98" i="88"/>
  <c r="H98" i="88"/>
  <c r="AS21" i="87"/>
  <c r="AT21" i="87" s="1"/>
  <c r="AN23" i="87"/>
  <c r="AO23" i="87" s="1"/>
  <c r="G110" i="88"/>
  <c r="G80" i="88"/>
  <c r="AN18" i="87"/>
  <c r="AO18" i="87" s="1"/>
  <c r="H110" i="88"/>
  <c r="AS23" i="87"/>
  <c r="AT23" i="87" s="1"/>
  <c r="V81" i="87"/>
  <c r="AZ20" i="87"/>
  <c r="BB20" i="87" s="1"/>
  <c r="BE12" i="87"/>
  <c r="BG12" i="87" s="1"/>
  <c r="BI12" i="87" s="1"/>
  <c r="BC12" i="87"/>
  <c r="BD12" i="87" s="1"/>
  <c r="J44" i="88"/>
  <c r="AW6" i="87"/>
  <c r="AU25" i="87"/>
  <c r="AU79" i="87" s="1"/>
  <c r="T88" i="68"/>
  <c r="E44" i="88"/>
  <c r="BP12" i="87"/>
  <c r="BA79" i="87"/>
  <c r="AX12" i="87"/>
  <c r="I44" i="88"/>
  <c r="H44" i="88"/>
  <c r="AS12" i="87"/>
  <c r="G44" i="88"/>
  <c r="AN12" i="87"/>
  <c r="AO12" i="87" s="1"/>
  <c r="AI12" i="87"/>
  <c r="AJ12" i="87" s="1"/>
  <c r="AN27" i="68"/>
  <c r="AO27" i="68"/>
  <c r="AP27" i="68"/>
  <c r="AR27" i="68"/>
  <c r="AQ27" i="68"/>
  <c r="K92" i="88"/>
  <c r="BE10" i="87"/>
  <c r="BG10" i="87" s="1"/>
  <c r="BI10" i="87" s="1"/>
  <c r="AY8" i="87" l="1"/>
  <c r="AJ10" i="87"/>
  <c r="BD13" i="87"/>
  <c r="BE13" i="87"/>
  <c r="BG13" i="87" s="1"/>
  <c r="BI13" i="87" s="1"/>
  <c r="F21" i="68"/>
  <c r="BP16" i="87"/>
  <c r="BP15" i="87"/>
  <c r="BP24" i="87"/>
  <c r="AE14" i="87"/>
  <c r="BP14" i="87"/>
  <c r="BP36" i="87"/>
  <c r="BH25" i="87"/>
  <c r="BI24" i="87"/>
  <c r="BP10" i="87"/>
  <c r="AE10" i="87"/>
  <c r="AE23" i="87"/>
  <c r="BP23" i="87"/>
  <c r="BP7" i="87"/>
  <c r="AE7" i="87"/>
  <c r="AE21" i="87"/>
  <c r="BP21" i="87"/>
  <c r="AE17" i="87"/>
  <c r="BP17" i="87"/>
  <c r="BP19" i="87"/>
  <c r="AE19" i="87"/>
  <c r="AE22" i="87"/>
  <c r="BP22" i="87"/>
  <c r="BP35" i="87"/>
  <c r="BP8" i="87"/>
  <c r="AE8" i="87"/>
  <c r="BP11" i="87"/>
  <c r="AE11" i="87"/>
  <c r="AE18" i="87"/>
  <c r="BP18" i="87"/>
  <c r="Z81" i="87"/>
  <c r="X81" i="87"/>
  <c r="AC81" i="87"/>
  <c r="Y81" i="87"/>
  <c r="AE12" i="87"/>
  <c r="G92" i="88"/>
  <c r="AN20" i="87"/>
  <c r="W81" i="87"/>
  <c r="H92" i="88"/>
  <c r="AS20" i="87"/>
  <c r="AT20" i="87" s="1"/>
  <c r="W21" i="1" a="1"/>
  <c r="W21" i="1" s="1"/>
  <c r="W27" i="1" s="1"/>
  <c r="E92" i="88"/>
  <c r="AT12" i="87"/>
  <c r="AZ6" i="87"/>
  <c r="AY6" i="87"/>
  <c r="AW25" i="87"/>
  <c r="AY12" i="87"/>
  <c r="J92" i="88"/>
  <c r="BC20" i="87"/>
  <c r="BD20" i="87" s="1"/>
  <c r="AI20" i="87"/>
  <c r="F92" i="88"/>
  <c r="AX20" i="87"/>
  <c r="AY20" i="87" s="1"/>
  <c r="I92" i="88"/>
  <c r="BE20" i="87"/>
  <c r="BG20" i="87" s="1"/>
  <c r="BI20" i="87" s="1"/>
  <c r="AX25" i="87" l="1"/>
  <c r="AI80" i="87"/>
  <c r="AX80" i="87"/>
  <c r="AN80" i="87"/>
  <c r="BC80" i="87"/>
  <c r="AW79" i="87"/>
  <c r="BH79" i="87"/>
  <c r="AD80" i="87"/>
  <c r="BP50" i="87"/>
  <c r="BH80" i="87"/>
  <c r="BH52" i="87"/>
  <c r="AE20" i="87"/>
  <c r="BP20" i="87"/>
  <c r="BC25" i="87"/>
  <c r="AZ25" i="87"/>
  <c r="AZ79" i="87" s="1"/>
  <c r="BB6" i="87"/>
  <c r="BF79" i="87"/>
  <c r="AS25" i="87"/>
  <c r="AY25" i="87"/>
  <c r="AT25" i="87"/>
  <c r="AN25" i="87"/>
  <c r="AO20" i="87"/>
  <c r="AJ20" i="87"/>
  <c r="AI25" i="87"/>
  <c r="AD25" i="87"/>
  <c r="AD26" i="87" s="1"/>
  <c r="AO25" i="87" l="1"/>
  <c r="AJ25" i="87"/>
  <c r="BH83" i="87"/>
  <c r="BC79" i="87"/>
  <c r="BC83" i="87" s="1"/>
  <c r="AX79" i="87"/>
  <c r="AX83" i="87" s="1"/>
  <c r="BP25" i="87"/>
  <c r="BP52" i="87" s="1"/>
  <c r="AE80" i="87"/>
  <c r="AE25" i="87"/>
  <c r="AX52" i="87"/>
  <c r="BC52" i="87"/>
  <c r="AS79" i="87"/>
  <c r="AD79" i="87"/>
  <c r="AD83" i="87" s="1"/>
  <c r="AD52" i="87"/>
  <c r="AN79" i="87"/>
  <c r="AN83" i="87" s="1"/>
  <c r="AN52" i="87"/>
  <c r="AY79" i="87"/>
  <c r="AT79" i="87"/>
  <c r="BE6" i="87"/>
  <c r="BE25" i="87" s="1"/>
  <c r="BB25" i="87"/>
  <c r="BD6" i="87"/>
  <c r="AI79" i="87"/>
  <c r="AI83" i="87" s="1"/>
  <c r="AI52" i="87"/>
  <c r="AE26" i="87" l="1"/>
  <c r="BD25" i="87"/>
  <c r="AJ79" i="87"/>
  <c r="AO79" i="87"/>
  <c r="BB79" i="87"/>
  <c r="AE52" i="87"/>
  <c r="AE79" i="87"/>
  <c r="AE83" i="87" s="1"/>
  <c r="BG6" i="87"/>
  <c r="BE79" i="87"/>
  <c r="BD79" i="87" l="1"/>
  <c r="BG25" i="87"/>
  <c r="BI6" i="87"/>
  <c r="BI25" i="87" l="1"/>
  <c r="BG79" i="87"/>
  <c r="BI79" i="87" l="1"/>
  <c r="BA80" i="87" l="1"/>
  <c r="BA83" i="87" s="1"/>
  <c r="AS80" i="87" l="1"/>
  <c r="AS83" i="87" s="1"/>
  <c r="AS52" i="87"/>
  <c r="AL52" i="87"/>
  <c r="AG80" i="87"/>
  <c r="AG83" i="87" s="1"/>
  <c r="BA52" i="87"/>
  <c r="AQ80" i="87"/>
  <c r="AQ83" i="87" s="1"/>
  <c r="AQ52" i="87"/>
  <c r="AL80" i="87" l="1"/>
  <c r="AL83" i="87" s="1"/>
  <c r="AG52" i="87"/>
  <c r="AV80" i="87"/>
  <c r="AV83" i="87" s="1"/>
  <c r="AV52" i="87"/>
  <c r="BF52" i="87"/>
  <c r="BF80" i="87"/>
  <c r="BF83" i="87" s="1"/>
  <c r="AH52" i="87" l="1"/>
  <c r="AH80" i="87"/>
  <c r="AH83" i="87" s="1"/>
  <c r="AJ80" i="87" l="1"/>
  <c r="AJ83" i="87" s="1"/>
  <c r="AJ52" i="87"/>
  <c r="AK52" i="87"/>
  <c r="AK80" i="87"/>
  <c r="AK83" i="87" s="1"/>
  <c r="AM52" i="87" l="1"/>
  <c r="AM80" i="87"/>
  <c r="AM83" i="87" s="1"/>
  <c r="AO80" i="87" l="1"/>
  <c r="AO83" i="87" s="1"/>
  <c r="AO52" i="87"/>
  <c r="AP52" i="87"/>
  <c r="AP80" i="87"/>
  <c r="AP83" i="87" s="1"/>
  <c r="AR52" i="87" l="1"/>
  <c r="AR80" i="87"/>
  <c r="AR83" i="87" s="1"/>
  <c r="AT80" i="87" l="1"/>
  <c r="AT83" i="87" s="1"/>
  <c r="AT52" i="87"/>
  <c r="AU80" i="87"/>
  <c r="AU83" i="87" s="1"/>
  <c r="AU52" i="87"/>
  <c r="AW80" i="87" l="1"/>
  <c r="AW83" i="87" s="1"/>
  <c r="AW52" i="87"/>
  <c r="AZ52" i="87" l="1"/>
  <c r="AZ80" i="87"/>
  <c r="AZ83" i="87" s="1"/>
  <c r="AY80" i="87"/>
  <c r="AY83" i="87" s="1"/>
  <c r="AY52" i="87"/>
  <c r="BB80" i="87" l="1"/>
  <c r="BB83" i="87" s="1"/>
  <c r="BB52" i="87"/>
  <c r="BD52" i="87" l="1"/>
  <c r="BD80" i="87"/>
  <c r="BD83" i="87" s="1"/>
  <c r="BE52" i="87"/>
  <c r="BE80" i="87"/>
  <c r="BE83" i="87" s="1"/>
  <c r="BG52" i="87" l="1"/>
  <c r="BG80" i="87"/>
  <c r="BG83" i="87" s="1"/>
  <c r="BI80" i="87" l="1"/>
  <c r="BI83" i="87" s="1"/>
  <c r="BI52" i="87"/>
  <c r="AH86" i="68" l="1"/>
  <c r="AH88" i="68"/>
  <c r="AH90" i="6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C20" authorId="0" shapeId="0" xr:uid="{FA53BE35-0355-4388-AD69-C91C53688DAE}">
      <text>
        <r>
          <rPr>
            <b/>
            <sz val="9"/>
            <color indexed="81"/>
            <rFont val="Tahoma"/>
            <family val="2"/>
          </rPr>
          <t>Author:</t>
        </r>
        <r>
          <rPr>
            <sz val="9"/>
            <color indexed="81"/>
            <rFont val="Tahoma"/>
            <family val="2"/>
          </rPr>
          <t xml:space="preserve">
9 years from final closing. The expiry will be further changed once the Final Closing date is determined.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I59" authorId="0" shapeId="0" xr:uid="{987521F9-E284-47D1-9EB3-7173122778C0}">
      <text>
        <r>
          <rPr>
            <b/>
            <sz val="9"/>
            <color indexed="81"/>
            <rFont val="Tahoma"/>
            <family val="2"/>
          </rPr>
          <t>Author:</t>
        </r>
        <r>
          <rPr>
            <sz val="9"/>
            <color indexed="81"/>
            <rFont val="Tahoma"/>
            <family val="2"/>
          </rPr>
          <t xml:space="preserve">
edited</t>
        </r>
      </text>
    </comment>
    <comment ref="AJ71" authorId="0" shapeId="0" xr:uid="{C141DB79-7958-4784-9CE5-E6BA7CE98781}">
      <text>
        <r>
          <rPr>
            <b/>
            <sz val="9"/>
            <color indexed="81"/>
            <rFont val="Tahoma"/>
            <family val="2"/>
          </rPr>
          <t>Author:</t>
        </r>
        <r>
          <rPr>
            <sz val="9"/>
            <color indexed="81"/>
            <rFont val="Tahoma"/>
            <family val="2"/>
          </rPr>
          <t xml:space="preserve">
Given fund expiry in Sep-26, expect an extension to be required till 2027</t>
        </r>
      </text>
    </comment>
    <comment ref="D73" authorId="0" shapeId="0" xr:uid="{DA924637-CB06-48F2-A6D7-43FABBA0F1C5}">
      <text>
        <r>
          <rPr>
            <b/>
            <sz val="9"/>
            <color rgb="FF000000"/>
            <rFont val="Tahoma"/>
            <family val="2"/>
          </rPr>
          <t>Author:</t>
        </r>
        <r>
          <rPr>
            <sz val="9"/>
            <color rgb="FF000000"/>
            <rFont val="Tahoma"/>
            <family val="2"/>
          </rPr>
          <t xml:space="preserve">
</t>
        </r>
        <r>
          <rPr>
            <sz val="9"/>
            <color rgb="FF000000"/>
            <rFont val="Tahoma"/>
            <family val="2"/>
          </rPr>
          <t>expected MOIC need to be updated after follow up with GP for deal status</t>
        </r>
      </text>
    </comment>
    <comment ref="F73" authorId="0" shapeId="0" xr:uid="{006AE7D9-293D-40E3-9A83-FBB8436D395F}">
      <text>
        <r>
          <rPr>
            <b/>
            <sz val="9"/>
            <color rgb="FF000000"/>
            <rFont val="Tahoma"/>
            <family val="2"/>
          </rPr>
          <t>Author:</t>
        </r>
        <r>
          <rPr>
            <sz val="9"/>
            <color rgb="FF000000"/>
            <rFont val="Tahoma"/>
            <family val="2"/>
          </rPr>
          <t xml:space="preserve">
</t>
        </r>
        <r>
          <rPr>
            <sz val="9"/>
            <color rgb="FF000000"/>
            <rFont val="Tahoma"/>
            <family val="2"/>
          </rPr>
          <t>expected MOIC need to be updated after follow up with GP for deal status</t>
        </r>
      </text>
    </comment>
    <comment ref="AE76" authorId="0" shapeId="0" xr:uid="{DA44E5E5-8F30-442A-A2B7-8ED6593B1C47}">
      <text>
        <r>
          <rPr>
            <b/>
            <sz val="9"/>
            <color indexed="81"/>
            <rFont val="Tahoma"/>
            <family val="2"/>
          </rPr>
          <t>Author:</t>
        </r>
        <r>
          <rPr>
            <sz val="9"/>
            <color indexed="81"/>
            <rFont val="Tahoma"/>
            <family val="2"/>
          </rPr>
          <t xml:space="preserve">
In Kind distribution</t>
        </r>
      </text>
    </comment>
    <comment ref="D81" authorId="0" shapeId="0" xr:uid="{FF3EC805-657C-47C2-A6C4-BB7050B6BE43}">
      <text>
        <r>
          <rPr>
            <b/>
            <sz val="9"/>
            <color rgb="FF000000"/>
            <rFont val="Tahoma"/>
            <family val="2"/>
          </rPr>
          <t>Author:</t>
        </r>
        <r>
          <rPr>
            <sz val="9"/>
            <color rgb="FF000000"/>
            <rFont val="Tahoma"/>
            <family val="2"/>
          </rPr>
          <t xml:space="preserve">
</t>
        </r>
        <r>
          <rPr>
            <sz val="9"/>
            <color rgb="FF000000"/>
            <rFont val="Tahoma"/>
            <family val="2"/>
          </rPr>
          <t>expected MOIC need to be updated after follow up with GP for deal status</t>
        </r>
      </text>
    </comment>
    <comment ref="F81" authorId="0" shapeId="0" xr:uid="{1A9D8252-88AC-4175-A2CB-AC569E8BD8D8}">
      <text>
        <r>
          <rPr>
            <b/>
            <sz val="9"/>
            <color rgb="FF000000"/>
            <rFont val="Tahoma"/>
            <family val="2"/>
          </rPr>
          <t>Author:</t>
        </r>
        <r>
          <rPr>
            <sz val="9"/>
            <color rgb="FF000000"/>
            <rFont val="Tahoma"/>
            <family val="2"/>
          </rPr>
          <t xml:space="preserve">
</t>
        </r>
        <r>
          <rPr>
            <sz val="9"/>
            <color rgb="FF000000"/>
            <rFont val="Tahoma"/>
            <family val="2"/>
          </rPr>
          <t>expected MOIC need to be updated after follow up with GP for deal status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4" authorId="0" shapeId="0" xr:uid="{96A77FCD-76FE-458D-A8D8-5CA79C02E70F}">
      <text>
        <r>
          <rPr>
            <b/>
            <sz val="9"/>
            <color indexed="81"/>
            <rFont val="Tahoma"/>
            <family val="2"/>
          </rPr>
          <t>Author:</t>
        </r>
        <r>
          <rPr>
            <sz val="9"/>
            <color indexed="81"/>
            <rFont val="Tahoma"/>
            <family val="2"/>
          </rPr>
          <t xml:space="preserve">
quarterly report
</t>
        </r>
      </text>
    </comment>
    <comment ref="E5" authorId="0" shapeId="0" xr:uid="{A3E7F0E6-F9EC-4A63-9339-E67F4CA80A75}">
      <text>
        <r>
          <rPr>
            <b/>
            <sz val="9"/>
            <color indexed="81"/>
            <rFont val="Arial"/>
            <family val="2"/>
          </rPr>
          <t>Author:</t>
        </r>
        <r>
          <rPr>
            <sz val="9"/>
            <color indexed="81"/>
            <rFont val="Arial"/>
            <family val="2"/>
          </rPr>
          <t xml:space="preserve">
quarterly report</t>
        </r>
        <r>
          <rPr>
            <sz val="9"/>
            <color indexed="81"/>
            <rFont val="Tahoma"/>
            <family val="2"/>
          </rPr>
          <t xml:space="preserve">
</t>
        </r>
      </text>
    </comment>
    <comment ref="E6" authorId="0" shapeId="0" xr:uid="{584FF9EF-BA4A-4B5C-8858-EFE693130D0E}">
      <text>
        <r>
          <rPr>
            <b/>
            <sz val="9"/>
            <color indexed="81"/>
            <rFont val="Tahoma"/>
            <family val="2"/>
          </rPr>
          <t>Author:</t>
        </r>
        <r>
          <rPr>
            <sz val="9"/>
            <color indexed="81"/>
            <rFont val="Tahoma"/>
            <family val="2"/>
          </rPr>
          <t xml:space="preserve">
quarterly report
</t>
        </r>
      </text>
    </comment>
    <comment ref="E7" authorId="0" shapeId="0" xr:uid="{78FE4782-7EA1-4D4B-83F4-C26F86B4D0AC}">
      <text>
        <r>
          <rPr>
            <b/>
            <sz val="9"/>
            <color indexed="81"/>
            <rFont val="Tahoma"/>
            <family val="2"/>
          </rPr>
          <t>Author:</t>
        </r>
        <r>
          <rPr>
            <sz val="9"/>
            <color indexed="81"/>
            <rFont val="Tahoma"/>
            <family val="2"/>
          </rPr>
          <t xml:space="preserve">
quarterly report</t>
        </r>
      </text>
    </comment>
    <comment ref="E8" authorId="0" shapeId="0" xr:uid="{CDA87777-6905-47A7-868B-72617AF581DA}">
      <text>
        <r>
          <rPr>
            <b/>
            <sz val="9"/>
            <color indexed="81"/>
            <rFont val="Tahoma"/>
            <family val="2"/>
          </rPr>
          <t>Author:</t>
        </r>
        <r>
          <rPr>
            <sz val="9"/>
            <color indexed="81"/>
            <rFont val="Tahoma"/>
            <family val="2"/>
          </rPr>
          <t xml:space="preserve">
GP Quarterly Report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O10" authorId="0" shapeId="0" xr:uid="{14B7374F-145C-4B6F-B6C1-26860D4793E7}">
      <text>
        <r>
          <rPr>
            <b/>
            <sz val="9"/>
            <color indexed="81"/>
            <rFont val="Tahoma"/>
            <family val="2"/>
          </rPr>
          <t>Author:</t>
        </r>
        <r>
          <rPr>
            <sz val="9"/>
            <color indexed="81"/>
            <rFont val="Tahoma"/>
            <family val="2"/>
          </rPr>
          <t xml:space="preserve">
Distribution figures didn't exclude carried interests</t>
        </r>
      </text>
    </comment>
    <comment ref="M36" authorId="0" shapeId="0" xr:uid="{71DB3A59-D929-4A6E-BEB3-0D16C119041E}">
      <text>
        <r>
          <rPr>
            <b/>
            <sz val="9"/>
            <color indexed="81"/>
            <rFont val="Tahoma"/>
            <family val="2"/>
          </rPr>
          <t>Author:</t>
        </r>
        <r>
          <rPr>
            <sz val="9"/>
            <color indexed="81"/>
            <rFont val="Tahoma"/>
            <family val="2"/>
          </rPr>
          <t xml:space="preserve">
Ascendent system adjustment, as a result CAS show cumulative call amount 7,963,917</t>
        </r>
      </text>
    </comment>
    <comment ref="I45" authorId="0" shapeId="0" xr:uid="{06B62F8C-D71D-40A3-9065-E2BB155B3C77}">
      <text>
        <r>
          <rPr>
            <b/>
            <sz val="9"/>
            <color indexed="81"/>
            <rFont val="Tahoma"/>
            <family val="2"/>
          </rPr>
          <t>Author:</t>
        </r>
        <r>
          <rPr>
            <sz val="9"/>
            <color indexed="81"/>
            <rFont val="Tahoma"/>
            <family val="2"/>
          </rPr>
          <t xml:space="preserve">
1 Oct 2017 - 31 Mar 2018</t>
        </r>
      </text>
    </comment>
    <comment ref="I46" authorId="0" shapeId="0" xr:uid="{9D890A26-637B-4DDC-BC58-746A6A5380A2}">
      <text>
        <r>
          <rPr>
            <b/>
            <sz val="9"/>
            <color indexed="81"/>
            <rFont val="Tahoma"/>
            <family val="2"/>
          </rPr>
          <t>Author:</t>
        </r>
        <r>
          <rPr>
            <sz val="9"/>
            <color indexed="81"/>
            <rFont val="Tahoma"/>
            <family val="2"/>
          </rPr>
          <t xml:space="preserve">
2018Q2</t>
        </r>
      </text>
    </comment>
    <comment ref="I47" authorId="0" shapeId="0" xr:uid="{90D69D2D-8E22-4F7E-B9C0-30A76EC702B8}">
      <text>
        <r>
          <rPr>
            <b/>
            <sz val="9"/>
            <color indexed="81"/>
            <rFont val="Tahoma"/>
            <family val="2"/>
          </rPr>
          <t>Author:</t>
        </r>
        <r>
          <rPr>
            <sz val="9"/>
            <color indexed="81"/>
            <rFont val="Tahoma"/>
            <family val="2"/>
          </rPr>
          <t xml:space="preserve">
2018Q3</t>
        </r>
      </text>
    </comment>
    <comment ref="I49" authorId="0" shapeId="0" xr:uid="{826124F2-3946-4490-8E6A-5F4DAE0672C3}">
      <text>
        <r>
          <rPr>
            <b/>
            <sz val="9"/>
            <color indexed="81"/>
            <rFont val="Tahoma"/>
            <family val="2"/>
          </rPr>
          <t>Author:</t>
        </r>
        <r>
          <rPr>
            <sz val="9"/>
            <color indexed="81"/>
            <rFont val="Tahoma"/>
            <family val="2"/>
          </rPr>
          <t xml:space="preserve">
2018Q4</t>
        </r>
      </text>
    </comment>
    <comment ref="I51" authorId="0" shapeId="0" xr:uid="{1C5D15CC-01BF-4837-B340-05B65949D479}">
      <text>
        <r>
          <rPr>
            <b/>
            <sz val="9"/>
            <color indexed="81"/>
            <rFont val="Tahoma"/>
            <family val="2"/>
          </rPr>
          <t>Author:</t>
        </r>
        <r>
          <rPr>
            <sz val="9"/>
            <color indexed="81"/>
            <rFont val="Tahoma"/>
            <family val="2"/>
          </rPr>
          <t xml:space="preserve">
2019Q1 + 2019Q2</t>
        </r>
      </text>
    </comment>
    <comment ref="I52" authorId="0" shapeId="0" xr:uid="{14A31304-DA8E-41D6-B712-F9BB27B4ECD8}">
      <text>
        <r>
          <rPr>
            <b/>
            <sz val="9"/>
            <color indexed="81"/>
            <rFont val="Tahoma"/>
            <family val="2"/>
          </rPr>
          <t>Author:</t>
        </r>
        <r>
          <rPr>
            <sz val="9"/>
            <color indexed="81"/>
            <rFont val="Tahoma"/>
            <family val="2"/>
          </rPr>
          <t xml:space="preserve">
2019Q3 + 2019Q4</t>
        </r>
      </text>
    </comment>
    <comment ref="I53" authorId="0" shapeId="0" xr:uid="{048C98AC-FE09-45F0-87FC-98B9AEB62618}">
      <text>
        <r>
          <rPr>
            <b/>
            <sz val="9"/>
            <color indexed="81"/>
            <rFont val="Tahoma"/>
            <family val="2"/>
          </rPr>
          <t>Author:</t>
        </r>
        <r>
          <rPr>
            <sz val="9"/>
            <color indexed="81"/>
            <rFont val="Tahoma"/>
            <family val="2"/>
          </rPr>
          <t xml:space="preserve">
2020Q1 + 2020Q2</t>
        </r>
      </text>
    </comment>
    <comment ref="I56" authorId="0" shapeId="0" xr:uid="{1D00AA4F-CD13-43C6-A6B7-8359F189305B}">
      <text>
        <r>
          <rPr>
            <b/>
            <sz val="9"/>
            <color indexed="81"/>
            <rFont val="Tahoma"/>
            <family val="2"/>
          </rPr>
          <t>Author:</t>
        </r>
        <r>
          <rPr>
            <sz val="9"/>
            <color indexed="81"/>
            <rFont val="Tahoma"/>
            <family val="2"/>
          </rPr>
          <t xml:space="preserve">
management fee of 1 Jan 2021 to 30 Jun 2021</t>
        </r>
      </text>
    </comment>
    <comment ref="L67" authorId="0" shapeId="0" xr:uid="{D5BDBB02-F17A-435B-985E-109A09A1E5DA}">
      <text>
        <r>
          <rPr>
            <b/>
            <sz val="9"/>
            <color indexed="81"/>
            <rFont val="Tahoma"/>
            <family val="2"/>
          </rPr>
          <t>Author:</t>
        </r>
        <r>
          <rPr>
            <sz val="9"/>
            <color indexed="81"/>
            <rFont val="Tahoma"/>
            <family val="2"/>
          </rPr>
          <t xml:space="preserve">
Q4 2024 CAS Value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N42" authorId="0" shapeId="0" xr:uid="{DFCA8125-7DAD-49E0-9224-F93E07557812}">
      <text>
        <r>
          <rPr>
            <b/>
            <sz val="9"/>
            <color indexed="81"/>
            <rFont val="Tahoma"/>
            <family val="2"/>
          </rPr>
          <t>Author:</t>
        </r>
        <r>
          <rPr>
            <sz val="9"/>
            <color indexed="81"/>
            <rFont val="Tahoma"/>
            <family val="2"/>
          </rPr>
          <t xml:space="preserve">
this round of Ping An sales proceed was recycled and add back to unfunded commitment</t>
        </r>
      </text>
    </comment>
    <comment ref="L100" authorId="0" shapeId="0" xr:uid="{8953A370-388F-40D5-8CAE-D6C1C2793F65}">
      <text>
        <r>
          <rPr>
            <b/>
            <sz val="9"/>
            <color indexed="81"/>
            <rFont val="Tahoma"/>
            <family val="2"/>
          </rPr>
          <t>Author:</t>
        </r>
        <r>
          <rPr>
            <sz val="9"/>
            <color indexed="81"/>
            <rFont val="Tahoma"/>
            <family val="2"/>
          </rPr>
          <t xml:space="preserve">
Q4 2024 CAS value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32" authorId="0" shapeId="0" xr:uid="{1355382E-9EB9-4AD8-BBF0-91C0656397A0}">
      <text>
        <r>
          <rPr>
            <b/>
            <sz val="9"/>
            <color indexed="81"/>
            <rFont val="Tahoma"/>
            <family val="2"/>
          </rPr>
          <t>Author:</t>
        </r>
        <r>
          <rPr>
            <sz val="9"/>
            <color indexed="81"/>
            <rFont val="Tahoma"/>
            <family val="2"/>
          </rPr>
          <t xml:space="preserve">
Delisted</t>
        </r>
      </text>
    </comment>
    <comment ref="K38" authorId="0" shapeId="0" xr:uid="{631F5384-04BE-4DEB-8838-E65467F5F1CB}">
      <text>
        <r>
          <rPr>
            <b/>
            <sz val="9"/>
            <color indexed="81"/>
            <rFont val="Tahoma"/>
            <family val="2"/>
          </rPr>
          <t>Author:</t>
        </r>
        <r>
          <rPr>
            <sz val="9"/>
            <color indexed="81"/>
            <rFont val="Tahoma"/>
            <family val="2"/>
          </rPr>
          <t xml:space="preserve">
Disclosure is aggregated for Sanhe Shenglei Logistics, Zonglian Semiconductor Tech, Guangzhou Corestone, and Foshan Qiwang - for the purposes of internal report, the aggregate amount has been evenly split between the 4 portfolios</t>
        </r>
      </text>
    </comment>
    <comment ref="N38" authorId="0" shapeId="0" xr:uid="{BE4DEBBE-137A-426C-9231-8F7D19EC5F6A}">
      <text>
        <r>
          <rPr>
            <b/>
            <sz val="9"/>
            <color indexed="81"/>
            <rFont val="Tahoma"/>
            <family val="2"/>
          </rPr>
          <t>Author:</t>
        </r>
        <r>
          <rPr>
            <sz val="9"/>
            <color indexed="81"/>
            <rFont val="Tahoma"/>
            <family val="2"/>
          </rPr>
          <t xml:space="preserve">
Disclosure is aggregated for Sanhe Shenglei Logistics, Zonglian Semiconductor Tech, Guangzhou Corestone, and Foshan Qiwang - for the purposes of internal report, the aggregate amount has been evenly split between the 4 portfolios</t>
        </r>
      </text>
    </comment>
    <comment ref="T38" authorId="0" shapeId="0" xr:uid="{C278ABCB-3593-4BA0-84BF-C64ADBC43185}">
      <text>
        <r>
          <rPr>
            <b/>
            <sz val="9"/>
            <color indexed="81"/>
            <rFont val="Tahoma"/>
            <family val="2"/>
          </rPr>
          <t>Author:</t>
        </r>
        <r>
          <rPr>
            <sz val="9"/>
            <color indexed="81"/>
            <rFont val="Tahoma"/>
            <family val="2"/>
          </rPr>
          <t xml:space="preserve">
Disclosure is aggregated for Sanhe Shenglei Logistics, Zonglian Semiconductor Tech, Guangzhou Corestone, and Foshan Qiwang - for the purposes of internal report, the aggregate amount has been evenly split between the 4 portfolios</t>
        </r>
      </text>
    </comment>
    <comment ref="W38" authorId="0" shapeId="0" xr:uid="{ACBCB6F9-6441-423D-9522-D2967FC447F0}">
      <text>
        <r>
          <rPr>
            <b/>
            <sz val="9"/>
            <color indexed="81"/>
            <rFont val="Tahoma"/>
            <family val="2"/>
          </rPr>
          <t>Author:</t>
        </r>
        <r>
          <rPr>
            <sz val="9"/>
            <color indexed="81"/>
            <rFont val="Tahoma"/>
            <family val="2"/>
          </rPr>
          <t xml:space="preserve">
Disclosure is aggregated for Sanhe Shenglei Logistics, Zonglian Semiconductor Tech, Guangzhou Corestone, and Foshan Qiwang - for the purposes of internal report, the aggregate amount has been evenly split between the 4 portfolios</t>
        </r>
      </text>
    </comment>
    <comment ref="K39" authorId="0" shapeId="0" xr:uid="{69AB71CB-3475-4307-BDFE-A9D85D1BEAA8}">
      <text>
        <r>
          <rPr>
            <b/>
            <sz val="9"/>
            <color indexed="81"/>
            <rFont val="Tahoma"/>
            <family val="2"/>
          </rPr>
          <t>Author:</t>
        </r>
        <r>
          <rPr>
            <sz val="9"/>
            <color indexed="81"/>
            <rFont val="Tahoma"/>
            <family val="2"/>
          </rPr>
          <t xml:space="preserve">
Disclosure is aggregated for Sanhe Shenglei Logistics, Zonglian Semiconductor Tech, Guangzhou Corestone, and Foshan Qiwang - for the purposes of internal report, the aggregate amount has been evenly split between the 4 portfolios</t>
        </r>
      </text>
    </comment>
    <comment ref="N39" authorId="0" shapeId="0" xr:uid="{40B60669-D9D1-4497-8EFD-399957864EBC}">
      <text>
        <r>
          <rPr>
            <b/>
            <sz val="9"/>
            <color indexed="81"/>
            <rFont val="Tahoma"/>
            <family val="2"/>
          </rPr>
          <t>Author:</t>
        </r>
        <r>
          <rPr>
            <sz val="9"/>
            <color indexed="81"/>
            <rFont val="Tahoma"/>
            <family val="2"/>
          </rPr>
          <t xml:space="preserve">
Disclosure is aggregated for Sanhe Shenglei Logistics, Zonglian Semiconductor Tech, Guangzhou Corestone, and Foshan Qiwang - for the purposes of internal report, the aggregate amount has been evenly split between the 4 portfolios</t>
        </r>
      </text>
    </comment>
    <comment ref="T39" authorId="0" shapeId="0" xr:uid="{EA94EFBC-07B7-48C7-8A37-A84812468845}">
      <text>
        <r>
          <rPr>
            <b/>
            <sz val="9"/>
            <color indexed="81"/>
            <rFont val="Tahoma"/>
            <family val="2"/>
          </rPr>
          <t>Author:</t>
        </r>
        <r>
          <rPr>
            <sz val="9"/>
            <color indexed="81"/>
            <rFont val="Tahoma"/>
            <family val="2"/>
          </rPr>
          <t xml:space="preserve">
Disclosure is aggregated for Sanhe Shenglei Logistics, Zonglian Semiconductor Tech, Guangzhou Corestone, and Foshan Qiwang - for the purposes of internal report, the aggregate amount has been evenly split between the 4 portfolios</t>
        </r>
      </text>
    </comment>
    <comment ref="W39" authorId="0" shapeId="0" xr:uid="{583A263D-3D9F-4DC0-8CA5-8F9EEDF186FE}">
      <text>
        <r>
          <rPr>
            <b/>
            <sz val="9"/>
            <color indexed="81"/>
            <rFont val="Tahoma"/>
            <family val="2"/>
          </rPr>
          <t>Author:</t>
        </r>
        <r>
          <rPr>
            <sz val="9"/>
            <color indexed="81"/>
            <rFont val="Tahoma"/>
            <family val="2"/>
          </rPr>
          <t xml:space="preserve">
Disclosure is aggregated for Sanhe Shenglei Logistics, Zonglian Semiconductor Tech, Guangzhou Corestone, and Foshan Qiwang - for the purposes of internal report, the aggregate amount has been evenly split between the 4 portfolios</t>
        </r>
      </text>
    </comment>
    <comment ref="K40" authorId="0" shapeId="0" xr:uid="{86650646-52E7-410D-B744-1BA9C811DA8D}">
      <text>
        <r>
          <rPr>
            <b/>
            <sz val="9"/>
            <color indexed="81"/>
            <rFont val="Tahoma"/>
            <family val="2"/>
          </rPr>
          <t>Author:</t>
        </r>
        <r>
          <rPr>
            <sz val="9"/>
            <color indexed="81"/>
            <rFont val="Tahoma"/>
            <family val="2"/>
          </rPr>
          <t xml:space="preserve">
Disclosure is aggregated for Sanhe Shenglei Logistics, Zonglian Semiconductor Tech, Guangzhou Corestone, and Foshan Qiwang - for the purposes of internal report, the aggregate amount has been evenly split between the 4 portfolios</t>
        </r>
      </text>
    </comment>
    <comment ref="N40" authorId="0" shapeId="0" xr:uid="{DA5319A3-265A-459F-ABB5-9851F78F48DC}">
      <text>
        <r>
          <rPr>
            <b/>
            <sz val="9"/>
            <color indexed="81"/>
            <rFont val="Tahoma"/>
            <family val="2"/>
          </rPr>
          <t>Author:</t>
        </r>
        <r>
          <rPr>
            <sz val="9"/>
            <color indexed="81"/>
            <rFont val="Tahoma"/>
            <family val="2"/>
          </rPr>
          <t xml:space="preserve">
Disclosure is aggregated for Sanhe Shenglei Logistics, Zonglian Semiconductor Tech, Guangzhou Corestone, and Foshan Qiwang - for the purposes of internal report, the aggregate amount has been evenly split between the 4 portfolios</t>
        </r>
      </text>
    </comment>
    <comment ref="T40" authorId="0" shapeId="0" xr:uid="{DD0E33E6-8C1C-46D2-8918-233C67309ADE}">
      <text>
        <r>
          <rPr>
            <b/>
            <sz val="9"/>
            <color indexed="81"/>
            <rFont val="Tahoma"/>
            <family val="2"/>
          </rPr>
          <t>Author:</t>
        </r>
        <r>
          <rPr>
            <sz val="9"/>
            <color indexed="81"/>
            <rFont val="Tahoma"/>
            <family val="2"/>
          </rPr>
          <t xml:space="preserve">
Disclosure is aggregated for Sanhe Shenglei Logistics, Zonglian Semiconductor Tech, Guangzhou Corestone, and Foshan Qiwang - for the purposes of internal report, the aggregate amount has been evenly split between the 4 portfolios</t>
        </r>
      </text>
    </comment>
    <comment ref="W40" authorId="0" shapeId="0" xr:uid="{8CF4DAC9-F75E-4D7C-9565-514F68C695FE}">
      <text>
        <r>
          <rPr>
            <b/>
            <sz val="9"/>
            <color indexed="81"/>
            <rFont val="Tahoma"/>
            <family val="2"/>
          </rPr>
          <t>Author:</t>
        </r>
        <r>
          <rPr>
            <sz val="9"/>
            <color indexed="81"/>
            <rFont val="Tahoma"/>
            <family val="2"/>
          </rPr>
          <t xml:space="preserve">
Disclosure is aggregated for Sanhe Shenglei Logistics, Zonglian Semiconductor Tech, Guangzhou Corestone, and Foshan Qiwang - for the purposes of internal report, the aggregate amount has been evenly split between the 4 portfolios</t>
        </r>
      </text>
    </comment>
    <comment ref="K41" authorId="0" shapeId="0" xr:uid="{92A41EB2-806F-4F14-A014-9E421F9382FA}">
      <text>
        <r>
          <rPr>
            <b/>
            <sz val="9"/>
            <color indexed="81"/>
            <rFont val="Tahoma"/>
            <family val="2"/>
          </rPr>
          <t>Author:</t>
        </r>
        <r>
          <rPr>
            <sz val="9"/>
            <color indexed="81"/>
            <rFont val="Tahoma"/>
            <family val="2"/>
          </rPr>
          <t xml:space="preserve">
Disclosure is aggregated for Sanhe Shenglei Logistics, Zonglian Semiconductor Tech, Guangzhou Corestone, and Foshan Qiwang - for the purposes of internal report, the aggregate amount has been evenly split between the 4 portfolios</t>
        </r>
      </text>
    </comment>
    <comment ref="N41" authorId="0" shapeId="0" xr:uid="{CA113852-4C1E-41C8-A42D-001C9DC7A766}">
      <text>
        <r>
          <rPr>
            <b/>
            <sz val="9"/>
            <color indexed="81"/>
            <rFont val="Tahoma"/>
            <family val="2"/>
          </rPr>
          <t>Author:</t>
        </r>
        <r>
          <rPr>
            <sz val="9"/>
            <color indexed="81"/>
            <rFont val="Tahoma"/>
            <family val="2"/>
          </rPr>
          <t xml:space="preserve">
Disclosure is aggregated for Sanhe Shenglei Logistics, Zonglian Semiconductor Tech, Guangzhou Corestone, and Foshan Qiwang - for the purposes of internal report, the aggregate amount has been evenly split between the 4 portfolios</t>
        </r>
      </text>
    </comment>
    <comment ref="T41" authorId="0" shapeId="0" xr:uid="{E122017F-6F4F-449F-94F8-3A215A41F02B}">
      <text>
        <r>
          <rPr>
            <b/>
            <sz val="9"/>
            <color indexed="81"/>
            <rFont val="Tahoma"/>
            <family val="2"/>
          </rPr>
          <t>Author:</t>
        </r>
        <r>
          <rPr>
            <sz val="9"/>
            <color indexed="81"/>
            <rFont val="Tahoma"/>
            <family val="2"/>
          </rPr>
          <t xml:space="preserve">
Disclosure is aggregated for Sanhe Shenglei Logistics, Zonglian Semiconductor Tech, Guangzhou Corestone, and Foshan Qiwang - for the purposes of internal report, the aggregate amount has been evenly split between the 4 portfolios</t>
        </r>
      </text>
    </comment>
    <comment ref="W41" authorId="0" shapeId="0" xr:uid="{D654F6E4-07A4-4A68-B679-AC60A044F77E}">
      <text>
        <r>
          <rPr>
            <b/>
            <sz val="9"/>
            <color indexed="81"/>
            <rFont val="Tahoma"/>
            <family val="2"/>
          </rPr>
          <t>Author:</t>
        </r>
        <r>
          <rPr>
            <sz val="9"/>
            <color indexed="81"/>
            <rFont val="Tahoma"/>
            <family val="2"/>
          </rPr>
          <t xml:space="preserve">
Disclosure is aggregated for Sanhe Shenglei Logistics, Zonglian Semiconductor Tech, Guangzhou Corestone, and Foshan Qiwang - for the purposes of internal report, the aggregate amount has been evenly split between the 4 portfolios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17" authorId="0" shapeId="0" xr:uid="{510A490F-38B4-4CD0-95BD-9B5B40D38971}">
      <text>
        <r>
          <rPr>
            <b/>
            <sz val="9"/>
            <color indexed="81"/>
            <rFont val="Tahoma"/>
            <family val="2"/>
          </rPr>
          <t>Author:</t>
        </r>
        <r>
          <rPr>
            <sz val="9"/>
            <color indexed="81"/>
            <rFont val="Tahoma"/>
            <family val="2"/>
          </rPr>
          <t xml:space="preserve">
equalization</t>
        </r>
      </text>
    </comment>
    <comment ref="J17" authorId="0" shapeId="0" xr:uid="{F9C32E24-6ED2-4BB5-8C2E-31783388A956}">
      <text>
        <r>
          <rPr>
            <b/>
            <sz val="9"/>
            <color indexed="81"/>
            <rFont val="Tahoma"/>
            <family val="2"/>
          </rPr>
          <t>Author:</t>
        </r>
        <r>
          <rPr>
            <sz val="9"/>
            <color indexed="81"/>
            <rFont val="Tahoma"/>
            <family val="2"/>
          </rPr>
          <t xml:space="preserve">
equalizaation
</t>
        </r>
      </text>
    </comment>
    <comment ref="I18" authorId="0" shapeId="0" xr:uid="{3C5429B9-45C1-4EDF-8802-1F1D0183DC51}">
      <text>
        <r>
          <rPr>
            <b/>
            <sz val="9"/>
            <color indexed="81"/>
            <rFont val="Tahoma"/>
            <family val="2"/>
          </rPr>
          <t>Author:</t>
        </r>
        <r>
          <rPr>
            <sz val="9"/>
            <color indexed="81"/>
            <rFont val="Tahoma"/>
            <family val="2"/>
          </rPr>
          <t xml:space="preserve">
Equalization
</t>
        </r>
      </text>
    </comment>
    <comment ref="I19" authorId="0" shapeId="0" xr:uid="{BB2305B6-8850-4E10-9E55-9B60A50D8522}">
      <text>
        <r>
          <rPr>
            <b/>
            <sz val="9"/>
            <color indexed="81"/>
            <rFont val="Tahoma"/>
            <family val="2"/>
          </rPr>
          <t>Author:</t>
        </r>
        <r>
          <rPr>
            <sz val="9"/>
            <color indexed="81"/>
            <rFont val="Tahoma"/>
            <family val="2"/>
          </rPr>
          <t xml:space="preserve">
Equalization
</t>
        </r>
      </text>
    </comment>
    <comment ref="K44" authorId="0" shapeId="0" xr:uid="{751FA313-CC29-4052-A7DA-41EAE56DBDB8}">
      <text>
        <r>
          <rPr>
            <b/>
            <sz val="9"/>
            <color indexed="81"/>
            <rFont val="Tahoma"/>
            <family val="2"/>
          </rPr>
          <t>Author:</t>
        </r>
        <r>
          <rPr>
            <sz val="9"/>
            <color indexed="81"/>
            <rFont val="Tahoma"/>
            <family val="2"/>
          </rPr>
          <t xml:space="preserve">
Q4 2024 CAS value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42" authorId="0" shapeId="0" xr:uid="{05D3455C-05EB-4144-B7CB-9A5ED90FB05B}">
      <text>
        <r>
          <rPr>
            <b/>
            <sz val="9"/>
            <color indexed="81"/>
            <rFont val="Tahoma"/>
            <family val="2"/>
          </rPr>
          <t>Author:</t>
        </r>
        <r>
          <rPr>
            <sz val="9"/>
            <color indexed="81"/>
            <rFont val="Tahoma"/>
            <family val="2"/>
          </rPr>
          <t xml:space="preserve">
Q4 2024 CAS value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9" authorId="0" shapeId="0" xr:uid="{CD56B869-C00D-40E2-A582-A3323F938D54}">
      <text>
        <r>
          <rPr>
            <b/>
            <sz val="9"/>
            <color indexed="81"/>
            <rFont val="Tahoma"/>
            <family val="2"/>
          </rPr>
          <t>Q4 2024 CAS</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33" authorId="0" shapeId="0" xr:uid="{5AE8E3FC-C319-45FB-9D11-7812E2687F3E}">
      <text>
        <r>
          <rPr>
            <b/>
            <sz val="9"/>
            <color indexed="81"/>
            <rFont val="Tahoma"/>
            <family val="2"/>
          </rPr>
          <t>Author:</t>
        </r>
        <r>
          <rPr>
            <sz val="9"/>
            <color indexed="81"/>
            <rFont val="Tahoma"/>
            <family val="2"/>
          </rPr>
          <t xml:space="preserve">
Local government financial distress resulted in Mengshu being unable to collect on amounts owed</t>
        </r>
      </text>
    </comment>
    <comment ref="G37" authorId="0" shapeId="0" xr:uid="{F73A4598-BA54-497D-B6E1-65C21AF0A930}">
      <text>
        <r>
          <rPr>
            <b/>
            <sz val="9"/>
            <color indexed="81"/>
            <rFont val="Tahoma"/>
            <family val="2"/>
          </rPr>
          <t>Author:</t>
        </r>
        <r>
          <rPr>
            <sz val="9"/>
            <color indexed="81"/>
            <rFont val="Tahoma"/>
            <family val="2"/>
          </rPr>
          <t xml:space="preserve">
Per investor report, listco is only part of the overall business held by DCP</t>
        </r>
      </text>
    </comment>
    <comment ref="D63" authorId="0" shapeId="0" xr:uid="{5AF016B5-EFB9-43D3-AF72-F5A4E521C34F}">
      <text>
        <r>
          <rPr>
            <b/>
            <sz val="9"/>
            <color indexed="81"/>
            <rFont val="Tahoma"/>
            <family val="2"/>
          </rPr>
          <t>Author:</t>
        </r>
        <r>
          <rPr>
            <sz val="9"/>
            <color indexed="81"/>
            <rFont val="Tahoma"/>
            <family val="2"/>
          </rPr>
          <t xml:space="preserve">
Local government financial distress resulted in Mengshu being unable to collect on amounts owed</t>
        </r>
      </text>
    </comment>
    <comment ref="G67" authorId="0" shapeId="0" xr:uid="{1EC6DFE9-C62C-4ABF-8F8F-8F537C15863E}">
      <text>
        <r>
          <rPr>
            <b/>
            <sz val="9"/>
            <color indexed="81"/>
            <rFont val="Tahoma"/>
            <family val="2"/>
          </rPr>
          <t>Author:</t>
        </r>
        <r>
          <rPr>
            <sz val="9"/>
            <color indexed="81"/>
            <rFont val="Tahoma"/>
            <family val="2"/>
          </rPr>
          <t xml:space="preserve">
Per investor report, listco is only part of the overall business held by DCP</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37" authorId="0" shapeId="0" xr:uid="{94F0638F-440D-44C2-AD38-4E5FD68D18E7}">
      <text>
        <r>
          <rPr>
            <b/>
            <sz val="9"/>
            <color indexed="81"/>
            <rFont val="Tahoma"/>
            <family val="2"/>
          </rPr>
          <t>Author:</t>
        </r>
        <r>
          <rPr>
            <sz val="9"/>
            <color indexed="81"/>
            <rFont val="Tahoma"/>
            <family val="2"/>
          </rPr>
          <t xml:space="preserve">
11 December 2017 to 10 December 2018</t>
        </r>
      </text>
    </comment>
    <comment ref="I39" authorId="0" shapeId="0" xr:uid="{9DD13057-0DFB-456A-9979-EA16BCDF8824}">
      <text>
        <r>
          <rPr>
            <b/>
            <sz val="9"/>
            <color indexed="81"/>
            <rFont val="Tahoma"/>
            <family val="2"/>
          </rPr>
          <t>Author:</t>
        </r>
        <r>
          <rPr>
            <sz val="9"/>
            <color indexed="81"/>
            <rFont val="Tahoma"/>
            <family val="2"/>
          </rPr>
          <t xml:space="preserve">
11 December 2018 to 30 June 2019</t>
        </r>
      </text>
    </comment>
    <comment ref="U48" authorId="0" shapeId="0" xr:uid="{FF18B247-457F-4758-877B-E315B710BA15}">
      <text>
        <r>
          <rPr>
            <b/>
            <sz val="9"/>
            <color indexed="81"/>
            <rFont val="Tahoma"/>
            <family val="2"/>
          </rPr>
          <t>Author:</t>
        </r>
        <r>
          <rPr>
            <sz val="9"/>
            <color indexed="81"/>
            <rFont val="Tahoma"/>
            <family val="2"/>
          </rPr>
          <t xml:space="preserve">
the amount was recycled and added back to the unfunded commitment according to the notice</t>
        </r>
      </text>
    </comment>
    <comment ref="U51" authorId="0" shapeId="0" xr:uid="{0C4364AA-5B44-4F64-A322-4F2EE6FD1FDA}">
      <text>
        <r>
          <rPr>
            <b/>
            <sz val="9"/>
            <color indexed="81"/>
            <rFont val="Tahoma"/>
            <family val="2"/>
          </rPr>
          <t>Author:</t>
        </r>
        <r>
          <rPr>
            <sz val="9"/>
            <color indexed="81"/>
            <rFont val="Tahoma"/>
            <family val="2"/>
          </rPr>
          <t xml:space="preserve">
the amount was recycled and added back to the unfunded commitment according to the notice</t>
        </r>
      </text>
    </comment>
    <comment ref="U54" authorId="0" shapeId="0" xr:uid="{3E7EB90B-11B3-4A54-AF57-5369D1C21EC7}">
      <text>
        <r>
          <rPr>
            <b/>
            <sz val="9"/>
            <color indexed="81"/>
            <rFont val="Tahoma"/>
            <family val="2"/>
          </rPr>
          <t>Author:</t>
        </r>
        <r>
          <rPr>
            <sz val="9"/>
            <color indexed="81"/>
            <rFont val="Tahoma"/>
            <family val="2"/>
          </rPr>
          <t xml:space="preserve">
the amount was recycled and added back to the unfunded commitment according to the notice</t>
        </r>
      </text>
    </comment>
    <comment ref="U57" authorId="0" shapeId="0" xr:uid="{8A2385AF-20E6-43B5-B8F9-D31D74511615}">
      <text>
        <r>
          <rPr>
            <b/>
            <sz val="9"/>
            <color indexed="81"/>
            <rFont val="Tahoma"/>
            <family val="2"/>
          </rPr>
          <t>Author:</t>
        </r>
        <r>
          <rPr>
            <sz val="9"/>
            <color indexed="81"/>
            <rFont val="Tahoma"/>
            <family val="2"/>
          </rPr>
          <t xml:space="preserve">
the amount was recycled and added back to the unfunded commitment according to the notice</t>
        </r>
      </text>
    </comment>
    <comment ref="U60" authorId="0" shapeId="0" xr:uid="{2760A1C6-5ACA-41F3-BE84-DCCF15AF70B3}">
      <text>
        <r>
          <rPr>
            <b/>
            <sz val="9"/>
            <color indexed="81"/>
            <rFont val="Tahoma"/>
            <family val="2"/>
          </rPr>
          <t>Author:</t>
        </r>
        <r>
          <rPr>
            <sz val="9"/>
            <color indexed="81"/>
            <rFont val="Tahoma"/>
            <family val="2"/>
          </rPr>
          <t xml:space="preserve">
the amount was recycled and added back to the unfunded commitment according to the notice</t>
        </r>
      </text>
    </comment>
    <comment ref="U65" authorId="0" shapeId="0" xr:uid="{32F4BD42-ECB1-4A2E-9A26-B0F8DC80F44A}">
      <text>
        <r>
          <rPr>
            <b/>
            <sz val="9"/>
            <color indexed="81"/>
            <rFont val="Tahoma"/>
            <family val="2"/>
          </rPr>
          <t>Author:</t>
        </r>
        <r>
          <rPr>
            <sz val="9"/>
            <color indexed="81"/>
            <rFont val="Tahoma"/>
            <family val="2"/>
          </rPr>
          <t xml:space="preserve">
the amount was recycled and added back to the unfunded commitment according to the notice</t>
        </r>
      </text>
    </comment>
    <comment ref="U68" authorId="0" shapeId="0" xr:uid="{B68CB7DC-6088-48C3-9249-FDEB05B661ED}">
      <text>
        <r>
          <rPr>
            <b/>
            <sz val="9"/>
            <color indexed="81"/>
            <rFont val="Tahoma"/>
            <family val="2"/>
          </rPr>
          <t>Author:</t>
        </r>
        <r>
          <rPr>
            <sz val="9"/>
            <color indexed="81"/>
            <rFont val="Tahoma"/>
            <family val="2"/>
          </rPr>
          <t xml:space="preserve">
the amount was recycled and added back to the unfunded commitment according to the notice</t>
        </r>
      </text>
    </comment>
    <comment ref="U71" authorId="0" shapeId="0" xr:uid="{2FEE2BC8-702E-43F2-8B94-DDA8E29F0BC5}">
      <text>
        <r>
          <rPr>
            <b/>
            <sz val="9"/>
            <color indexed="81"/>
            <rFont val="Tahoma"/>
            <family val="2"/>
          </rPr>
          <t>Author:</t>
        </r>
        <r>
          <rPr>
            <sz val="9"/>
            <color indexed="81"/>
            <rFont val="Tahoma"/>
            <family val="2"/>
          </rPr>
          <t xml:space="preserve">
the amount was recycled and added back to the unfunded commitment according to the notice</t>
        </r>
      </text>
    </comment>
    <comment ref="U75" authorId="0" shapeId="0" xr:uid="{9A5C2232-4C48-4E0E-890F-639AB7649E14}">
      <text>
        <r>
          <rPr>
            <b/>
            <sz val="9"/>
            <color indexed="81"/>
            <rFont val="Tahoma"/>
            <family val="2"/>
          </rPr>
          <t>Author:</t>
        </r>
        <r>
          <rPr>
            <sz val="9"/>
            <color indexed="81"/>
            <rFont val="Tahoma"/>
            <family val="2"/>
          </rPr>
          <t xml:space="preserve">
the amount was recycled and added back to the unfunded commitment according to the notice</t>
        </r>
      </text>
    </comment>
    <comment ref="U77" authorId="0" shapeId="0" xr:uid="{1F9B6225-B491-46FD-AC90-E11BE444291C}">
      <text>
        <r>
          <rPr>
            <b/>
            <sz val="9"/>
            <color indexed="81"/>
            <rFont val="Tahoma"/>
            <family val="2"/>
          </rPr>
          <t>Author:</t>
        </r>
        <r>
          <rPr>
            <sz val="9"/>
            <color indexed="81"/>
            <rFont val="Tahoma"/>
            <family val="2"/>
          </rPr>
          <t xml:space="preserve">
the amount was recycled and added back to the unfunded commitment according to the notice</t>
        </r>
      </text>
    </comment>
    <comment ref="U81" authorId="0" shapeId="0" xr:uid="{BF986EEF-7546-4917-8645-643347D7BA01}">
      <text>
        <r>
          <rPr>
            <b/>
            <sz val="9"/>
            <color indexed="81"/>
            <rFont val="Tahoma"/>
            <family val="2"/>
          </rPr>
          <t>Author:</t>
        </r>
        <r>
          <rPr>
            <sz val="9"/>
            <color indexed="81"/>
            <rFont val="Tahoma"/>
            <family val="2"/>
          </rPr>
          <t xml:space="preserve">
the amount was recycled and added back to the unfunded commitment according to the notice</t>
        </r>
      </text>
    </comment>
    <comment ref="U85" authorId="0" shapeId="0" xr:uid="{C98D4C1B-95FC-44E4-BAD9-EED13EAE3E1D}">
      <text>
        <r>
          <rPr>
            <b/>
            <sz val="9"/>
            <color indexed="81"/>
            <rFont val="Tahoma"/>
            <family val="2"/>
          </rPr>
          <t>Author:</t>
        </r>
        <r>
          <rPr>
            <sz val="9"/>
            <color indexed="81"/>
            <rFont val="Tahoma"/>
            <family val="2"/>
          </rPr>
          <t xml:space="preserve">
the amount was recycled and added back to the unfunded commitment according to the notice</t>
        </r>
      </text>
    </comment>
    <comment ref="U89" authorId="0" shapeId="0" xr:uid="{4DFC8C39-DE8D-480F-A2FA-1197BDFB9B3B}">
      <text>
        <r>
          <rPr>
            <b/>
            <sz val="9"/>
            <color indexed="81"/>
            <rFont val="Tahoma"/>
            <family val="2"/>
          </rPr>
          <t>Author:</t>
        </r>
        <r>
          <rPr>
            <sz val="9"/>
            <color indexed="81"/>
            <rFont val="Tahoma"/>
            <family val="2"/>
          </rPr>
          <t xml:space="preserve">
the amount was recycled and added back to the unfunded commitment according to the notice</t>
        </r>
      </text>
    </comment>
    <comment ref="L91" authorId="0" shapeId="0" xr:uid="{F51A0274-22C4-4FEE-8E76-D71451F9465D}">
      <text>
        <r>
          <rPr>
            <b/>
            <sz val="9"/>
            <color indexed="81"/>
            <rFont val="Tahoma"/>
            <family val="2"/>
          </rPr>
          <t>Author:</t>
        </r>
        <r>
          <rPr>
            <sz val="9"/>
            <color indexed="81"/>
            <rFont val="Tahoma"/>
            <family val="2"/>
          </rPr>
          <t xml:space="preserve">
Q4 2024 CAS Value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tc={91D1A16D-4A9B-4C3C-98ED-C5CB94A05DCF}</author>
    <author>tc={C6DCAAF2-7C64-46C9-A017-5B7DB490DBFD}</author>
    <author>tc={1574D934-D1B8-42FE-A9B1-9B1AD4D93625}</author>
    <author>tc={2C22DD67-4955-4F80-815B-013C6F1EC6FD}</author>
    <author>Author</author>
  </authors>
  <commentList>
    <comment ref="M14" authorId="0" shapeId="0" xr:uid="{91D1A16D-4A9B-4C3C-98ED-C5CB94A05DCF}">
      <text>
        <t>[Threaded comment]
Your version of Excel allows you to read this threaded comment; however, any edits to it will get removed if the file is opened in a newer version of Excel. Learn more: https://go.microsoft.com/fwlink/?linkid=870924
Comment:
    Distributions were added back as uncalled</t>
      </text>
    </comment>
    <comment ref="M17" authorId="1" shapeId="0" xr:uid="{C6DCAAF2-7C64-46C9-A017-5B7DB490DBFD}">
      <text>
        <t>[Threaded comment]
Your version of Excel allows you to read this threaded comment; however, any edits to it will get removed if the file is opened in a newer version of Excel. Learn more: https://go.microsoft.com/fwlink/?linkid=870924
Comment:
    Distributions were added back as uncalled</t>
      </text>
    </comment>
    <comment ref="M19" authorId="2" shapeId="0" xr:uid="{1574D934-D1B8-42FE-A9B1-9B1AD4D93625}">
      <text>
        <t>[Threaded comment]
Your version of Excel allows you to read this threaded comment; however, any edits to it will get removed if the file is opened in a newer version of Excel. Learn more: https://go.microsoft.com/fwlink/?linkid=870924
Comment:
    Distributions were added back as uncalled</t>
      </text>
    </comment>
    <comment ref="M22" authorId="3" shapeId="0" xr:uid="{2C22DD67-4955-4F80-815B-013C6F1EC6FD}">
      <text>
        <t>[Threaded comment]
Your version of Excel allows you to read this threaded comment; however, any edits to it will get removed if the file is opened in a newer version of Excel. Learn more: https://go.microsoft.com/fwlink/?linkid=870924
Comment:
    Distributions were added back as uncalled</t>
      </text>
    </comment>
    <comment ref="L24" authorId="4" shapeId="0" xr:uid="{843377AC-7AA4-4FA9-AF50-FE4DB7FB12FD}">
      <text>
        <r>
          <rPr>
            <b/>
            <sz val="9"/>
            <color indexed="81"/>
            <rFont val="Tahoma"/>
            <family val="2"/>
          </rPr>
          <t>Author:</t>
        </r>
        <r>
          <rPr>
            <sz val="9"/>
            <color indexed="81"/>
            <rFont val="Tahoma"/>
            <family val="2"/>
          </rPr>
          <t xml:space="preserve">
Q4 2024 CAS Value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4" authorId="0" shapeId="0" xr:uid="{C772A167-C518-4EEB-B769-E84EC1DD2660}">
      <text>
        <r>
          <rPr>
            <b/>
            <sz val="9"/>
            <color indexed="81"/>
            <rFont val="Tahoma"/>
            <family val="2"/>
          </rPr>
          <t>Author:</t>
        </r>
        <r>
          <rPr>
            <sz val="9"/>
            <color indexed="81"/>
            <rFont val="Tahoma"/>
            <family val="2"/>
          </rPr>
          <t xml:space="preserve">
quarterly report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16" authorId="0" shapeId="0" xr:uid="{040790CE-8AAE-4E46-A21B-C8609B7FF996}">
      <text>
        <r>
          <rPr>
            <b/>
            <sz val="9"/>
            <color indexed="81"/>
            <rFont val="Tahoma"/>
            <family val="2"/>
          </rPr>
          <t>Author:</t>
        </r>
        <r>
          <rPr>
            <sz val="9"/>
            <color indexed="81"/>
            <rFont val="Tahoma"/>
            <family val="2"/>
          </rPr>
          <t xml:space="preserve">
Q3 2024 CAS value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 authorId="0" shapeId="0" xr:uid="{A00F15BD-9D2E-4416-94F1-5BED8C69E3E9}">
      <text>
        <r>
          <rPr>
            <b/>
            <sz val="9"/>
            <color indexed="81"/>
            <rFont val="Tahoma"/>
            <family val="2"/>
          </rPr>
          <t>Author:</t>
        </r>
        <r>
          <rPr>
            <sz val="9"/>
            <color indexed="81"/>
            <rFont val="Tahoma"/>
            <family val="2"/>
          </rPr>
          <t xml:space="preserve">
All the portfolio of the fund are exited
</t>
        </r>
      </text>
    </comment>
    <comment ref="E3" authorId="0" shapeId="0" xr:uid="{EB0936E2-81F0-43DF-AC52-97098C85B736}">
      <text>
        <r>
          <rPr>
            <b/>
            <sz val="9"/>
            <color indexed="81"/>
            <rFont val="Tahoma"/>
            <family val="2"/>
          </rPr>
          <t>Author:</t>
        </r>
        <r>
          <rPr>
            <sz val="9"/>
            <color indexed="81"/>
            <rFont val="Tahoma"/>
            <family val="2"/>
          </rPr>
          <t xml:space="preserve">
All the portfolio of the fund are exited
</t>
        </r>
      </text>
    </comment>
    <comment ref="E4" authorId="0" shapeId="0" xr:uid="{26C4B163-FA9C-4B89-BBFF-DDF3C107B65C}">
      <text>
        <r>
          <rPr>
            <b/>
            <sz val="9"/>
            <color indexed="81"/>
            <rFont val="Tahoma"/>
            <family val="2"/>
          </rPr>
          <t>Author:</t>
        </r>
        <r>
          <rPr>
            <sz val="9"/>
            <color indexed="81"/>
            <rFont val="Tahoma"/>
            <family val="2"/>
          </rPr>
          <t xml:space="preserve">
quarterly report
</t>
        </r>
      </text>
    </comment>
    <comment ref="H5" authorId="0" shapeId="0" xr:uid="{189B61CA-111B-4729-80AA-8B667136C27B}">
      <text>
        <r>
          <rPr>
            <b/>
            <sz val="9"/>
            <color indexed="81"/>
            <rFont val="Tahoma"/>
            <family val="2"/>
          </rPr>
          <t>Author:</t>
        </r>
        <r>
          <rPr>
            <sz val="9"/>
            <color indexed="81"/>
            <rFont val="Tahoma"/>
            <family val="2"/>
          </rPr>
          <t xml:space="preserve">
side letter</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16" authorId="0" shapeId="0" xr:uid="{81EFE0ED-E079-49A3-8591-0E83FDB9801F}">
      <text>
        <r>
          <rPr>
            <b/>
            <sz val="9"/>
            <color indexed="81"/>
            <rFont val="Tahoma"/>
            <family val="2"/>
          </rPr>
          <t>Author:</t>
        </r>
        <r>
          <rPr>
            <sz val="9"/>
            <color indexed="81"/>
            <rFont val="Tahoma"/>
            <family val="2"/>
          </rPr>
          <t xml:space="preserve">
Q3 2024 CAS value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1" authorId="0" shapeId="0" xr:uid="{64079575-4148-413F-B940-5DA2E2AC75BB}">
      <text>
        <r>
          <rPr>
            <b/>
            <sz val="9"/>
            <color indexed="81"/>
            <rFont val="Tahoma"/>
            <family val="2"/>
          </rPr>
          <t>Author:</t>
        </r>
        <r>
          <rPr>
            <sz val="9"/>
            <color indexed="81"/>
            <rFont val="Tahoma"/>
            <family val="2"/>
          </rPr>
          <t xml:space="preserve">
advisory fee</t>
        </r>
      </text>
    </comment>
    <comment ref="J30" authorId="0" shapeId="0" xr:uid="{56EECB21-55F1-4637-9C08-AF4ABF9A4A69}">
      <text>
        <r>
          <rPr>
            <b/>
            <sz val="9"/>
            <color indexed="81"/>
            <rFont val="Tahoma"/>
            <family val="2"/>
          </rPr>
          <t>Author:</t>
        </r>
        <r>
          <rPr>
            <sz val="9"/>
            <color indexed="81"/>
            <rFont val="Tahoma"/>
            <family val="2"/>
          </rPr>
          <t xml:space="preserve">
Q3 2024 CAS Value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14" authorId="0" shapeId="0" xr:uid="{3B0558C9-EA5B-4619-B6F0-D3286DC615BE}">
      <text>
        <r>
          <rPr>
            <b/>
            <sz val="9"/>
            <color indexed="81"/>
            <rFont val="Tahoma"/>
            <family val="2"/>
          </rPr>
          <t>Author:</t>
        </r>
        <r>
          <rPr>
            <sz val="9"/>
            <color indexed="81"/>
            <rFont val="Tahoma"/>
            <family val="2"/>
          </rPr>
          <t xml:space="preserve">
Q4 2024 CAS value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14" authorId="0" shapeId="0" xr:uid="{A3D0521A-7640-4CB2-905B-20B6F67FC69B}">
      <text>
        <r>
          <rPr>
            <b/>
            <sz val="9"/>
            <color indexed="81"/>
            <rFont val="Tahoma"/>
            <family val="2"/>
          </rPr>
          <t>Author:</t>
        </r>
        <r>
          <rPr>
            <sz val="9"/>
            <color indexed="81"/>
            <rFont val="Tahoma"/>
            <family val="2"/>
          </rPr>
          <t xml:space="preserve">
Q4 2024 CAS value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32" authorId="0" shapeId="0" xr:uid="{1855A90C-0D05-4602-A28E-42ADC1474775}">
      <text>
        <r>
          <rPr>
            <b/>
            <sz val="9"/>
            <color indexed="81"/>
            <rFont val="Tahoma"/>
            <family val="2"/>
          </rPr>
          <t>Author:</t>
        </r>
        <r>
          <rPr>
            <sz val="9"/>
            <color indexed="81"/>
            <rFont val="Tahoma"/>
            <family val="2"/>
          </rPr>
          <t xml:space="preserve">
Includes fully realized portfolios OPay, Yunbao Tech</t>
        </r>
      </text>
    </comment>
    <comment ref="V32" authorId="0" shapeId="0" xr:uid="{1FB85452-87B3-4E2E-8D08-28CA5B27B993}">
      <text>
        <r>
          <rPr>
            <b/>
            <sz val="9"/>
            <color indexed="81"/>
            <rFont val="Tahoma"/>
            <family val="2"/>
          </rPr>
          <t>Author:</t>
        </r>
        <r>
          <rPr>
            <sz val="9"/>
            <color indexed="81"/>
            <rFont val="Tahoma"/>
            <family val="2"/>
          </rPr>
          <t xml:space="preserve">
Includes fully realized portfolios OPay and Yunbao Tech (and other partially realized portfolios)</t>
        </r>
      </text>
    </comment>
    <comment ref="K33" authorId="0" shapeId="0" xr:uid="{4037C0E6-53FE-4EBE-B9C4-3ED8F2E98989}">
      <text>
        <r>
          <rPr>
            <b/>
            <sz val="9"/>
            <color indexed="81"/>
            <rFont val="Tahoma"/>
            <family val="2"/>
          </rPr>
          <t>Author:</t>
        </r>
        <r>
          <rPr>
            <sz val="9"/>
            <color indexed="81"/>
            <rFont val="Tahoma"/>
            <family val="2"/>
          </rPr>
          <t xml:space="preserve">
Includes fully realized portfolios: China Pacific Insurance, Evergrande Property Services, JD Health, Ming Yuan Cloud, TigerMed, Xpeng Motors)</t>
        </r>
      </text>
    </comment>
    <comment ref="V33" authorId="0" shapeId="0" xr:uid="{9647E837-FE22-44A4-A354-98607B973E47}">
      <text>
        <r>
          <rPr>
            <b/>
            <sz val="9"/>
            <color indexed="81"/>
            <rFont val="Tahoma"/>
            <family val="2"/>
          </rPr>
          <t>Author:</t>
        </r>
        <r>
          <rPr>
            <sz val="9"/>
            <color indexed="81"/>
            <rFont val="Tahoma"/>
            <family val="2"/>
          </rPr>
          <t xml:space="preserve">
Includes fully realized portfolios BYD (fully realized in 2024), China Pacific Insurance, Evergrande Property Services, JD Health, Ming Yuan Cloud, TigerMed, Xpeng Motors) (and other partially realized portfolios)</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tc={8C108ADE-AF7B-452B-803D-06955BBD2774}</author>
    <author>Author</author>
  </authors>
  <commentList>
    <comment ref="G18" authorId="0" shapeId="0" xr:uid="{8C108ADE-AF7B-452B-803D-06955BBD2774}">
      <text>
        <t>[Threaded comment]
Your version of Excel allows you to read this threaded comment; however, any edits to it will get removed if the file is opened in a newer version of Excel. Learn more: https://go.microsoft.com/fwlink/?linkid=870924
Comment:
    Net received 78,499.63 from 121,791</t>
      </text>
    </comment>
    <comment ref="K22" authorId="1" shapeId="0" xr:uid="{6CC124EC-AE2A-4D6B-9886-BF598496B0C5}">
      <text>
        <r>
          <rPr>
            <b/>
            <sz val="9"/>
            <color indexed="81"/>
            <rFont val="Tahoma"/>
            <family val="2"/>
          </rPr>
          <t>Author:</t>
        </r>
        <r>
          <rPr>
            <sz val="9"/>
            <color indexed="81"/>
            <rFont val="Tahoma"/>
            <family val="2"/>
          </rPr>
          <t xml:space="preserve">
Q4 2024 CAS value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 authorId="0" shapeId="0" xr:uid="{7760F183-33B8-40F5-8E10-A57BAAFE6524}">
      <text>
        <r>
          <rPr>
            <b/>
            <sz val="9"/>
            <color indexed="81"/>
            <rFont val="Tahoma"/>
            <family val="2"/>
          </rPr>
          <t>Author:</t>
        </r>
        <r>
          <rPr>
            <sz val="9"/>
            <color indexed="81"/>
            <rFont val="Tahoma"/>
            <family val="2"/>
          </rPr>
          <t xml:space="preserve">
Quarterly FS</t>
        </r>
      </text>
    </comment>
    <comment ref="E3" authorId="0" shapeId="0" xr:uid="{79FBE105-A0D3-4A1A-A8D2-DE4518FD816C}">
      <text>
        <r>
          <rPr>
            <b/>
            <sz val="9"/>
            <color indexed="81"/>
            <rFont val="Tahoma"/>
            <family val="2"/>
          </rPr>
          <t>Author:</t>
        </r>
        <r>
          <rPr>
            <sz val="9"/>
            <color indexed="81"/>
            <rFont val="Tahoma"/>
            <family val="2"/>
          </rPr>
          <t xml:space="preserve">
Quarterly FS</t>
        </r>
      </text>
    </comment>
    <comment ref="V32" authorId="0" shapeId="0" xr:uid="{3ED4FF98-F71A-4D05-BF9C-33ABC549E5D8}">
      <text>
        <r>
          <rPr>
            <b/>
            <sz val="9"/>
            <color indexed="81"/>
            <rFont val="Tahoma"/>
            <family val="2"/>
          </rPr>
          <t>Author:</t>
        </r>
        <r>
          <rPr>
            <sz val="9"/>
            <color indexed="81"/>
            <rFont val="Tahoma"/>
            <family val="2"/>
          </rPr>
          <t xml:space="preserve">
Includes fully realized portfolios ProfoundBio and Siduma Therapeutics</t>
        </r>
      </text>
    </comment>
    <comment ref="V34" authorId="0" shapeId="0" xr:uid="{88D07CB5-D30A-4371-8FCF-D1BA04901BCD}">
      <text>
        <r>
          <rPr>
            <b/>
            <sz val="9"/>
            <color indexed="81"/>
            <rFont val="Tahoma"/>
            <family val="2"/>
          </rPr>
          <t>Author:</t>
        </r>
        <r>
          <rPr>
            <sz val="9"/>
            <color indexed="81"/>
            <rFont val="Tahoma"/>
            <family val="2"/>
          </rPr>
          <t xml:space="preserve">
Includes fully realized portfolios Anyswap and BNB</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20" authorId="0" shapeId="0" xr:uid="{5F09FE47-8C15-44E3-8418-23ABE123F23C}">
      <text>
        <r>
          <rPr>
            <b/>
            <sz val="9"/>
            <color indexed="81"/>
            <rFont val="Tahoma"/>
            <family val="2"/>
          </rPr>
          <t>Author:</t>
        </r>
        <r>
          <rPr>
            <sz val="9"/>
            <color indexed="81"/>
            <rFont val="Tahoma"/>
            <family val="2"/>
          </rPr>
          <t xml:space="preserve">
Q4 2024 CAS Value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N37" authorId="0" shapeId="0" xr:uid="{05EFE72B-B908-4670-AB1F-3083D75B8CC3}">
      <text>
        <r>
          <rPr>
            <b/>
            <sz val="9"/>
            <color indexed="81"/>
            <rFont val="Tahoma"/>
            <family val="2"/>
          </rPr>
          <t>Author:</t>
        </r>
        <r>
          <rPr>
            <sz val="9"/>
            <color indexed="81"/>
            <rFont val="Tahoma"/>
            <family val="2"/>
          </rPr>
          <t xml:space="preserve">
Undisclosed</t>
        </r>
      </text>
    </comment>
    <comment ref="W37" authorId="0" shapeId="0" xr:uid="{9DA0E052-C0CE-4DFA-BE72-6E27AE83CE78}">
      <text>
        <r>
          <rPr>
            <b/>
            <sz val="9"/>
            <color indexed="81"/>
            <rFont val="Tahoma"/>
            <family val="2"/>
          </rPr>
          <t>Author:</t>
        </r>
        <r>
          <rPr>
            <sz val="9"/>
            <color indexed="81"/>
            <rFont val="Tahoma"/>
            <family val="2"/>
          </rPr>
          <t xml:space="preserve">
Undisclosed</t>
        </r>
      </text>
    </comment>
    <comment ref="A40" authorId="0" shapeId="0" xr:uid="{7D0750DB-B65B-49B3-B9F4-EB843976AB1E}">
      <text>
        <r>
          <rPr>
            <b/>
            <sz val="9"/>
            <color indexed="81"/>
            <rFont val="Tahoma"/>
            <family val="2"/>
          </rPr>
          <t>Author:</t>
        </r>
        <r>
          <rPr>
            <sz val="9"/>
            <color indexed="81"/>
            <rFont val="Tahoma"/>
            <family val="2"/>
          </rPr>
          <t xml:space="preserve">
Hycor Investment (Cayman) Limited</t>
        </r>
      </text>
    </comment>
    <comment ref="A44" authorId="0" shapeId="0" xr:uid="{DED4E931-A7A0-49B5-A12F-A9ECB0A01EC8}">
      <text>
        <r>
          <rPr>
            <b/>
            <sz val="9"/>
            <color indexed="81"/>
            <rFont val="Tahoma"/>
            <family val="2"/>
          </rPr>
          <t>Author:</t>
        </r>
        <r>
          <rPr>
            <sz val="9"/>
            <color indexed="81"/>
            <rFont val="Tahoma"/>
            <family val="2"/>
          </rPr>
          <t xml:space="preserve">
ATM Ultra Height Fund + ATM Global Express Fund</t>
        </r>
      </text>
    </comment>
    <comment ref="N46" authorId="0" shapeId="0" xr:uid="{A312E04E-EA62-4194-A2F9-3D94D4355573}">
      <text>
        <r>
          <rPr>
            <b/>
            <sz val="9"/>
            <color indexed="81"/>
            <rFont val="Tahoma"/>
            <family val="2"/>
          </rPr>
          <t>Author:</t>
        </r>
        <r>
          <rPr>
            <sz val="9"/>
            <color indexed="81"/>
            <rFont val="Tahoma"/>
            <family val="2"/>
          </rPr>
          <t xml:space="preserve">
Undisclosed</t>
        </r>
      </text>
    </comment>
    <comment ref="W46" authorId="0" shapeId="0" xr:uid="{4B094444-4A4F-4C20-A995-DC3736ED064D}">
      <text>
        <r>
          <rPr>
            <b/>
            <sz val="9"/>
            <color indexed="81"/>
            <rFont val="Tahoma"/>
            <family val="2"/>
          </rPr>
          <t>Author:</t>
        </r>
        <r>
          <rPr>
            <sz val="9"/>
            <color indexed="81"/>
            <rFont val="Tahoma"/>
            <family val="2"/>
          </rPr>
          <t xml:space="preserve">
Undisclosed</t>
        </r>
      </text>
    </comment>
    <comment ref="N51" authorId="0" shapeId="0" xr:uid="{8DAF3B26-F404-4374-968C-7CBDCEB48C42}">
      <text>
        <r>
          <rPr>
            <b/>
            <sz val="9"/>
            <color indexed="81"/>
            <rFont val="Tahoma"/>
            <family val="2"/>
          </rPr>
          <t>Author:</t>
        </r>
        <r>
          <rPr>
            <sz val="9"/>
            <color indexed="81"/>
            <rFont val="Tahoma"/>
            <family val="2"/>
          </rPr>
          <t xml:space="preserve">
Undisclosed</t>
        </r>
      </text>
    </comment>
    <comment ref="W51" authorId="0" shapeId="0" xr:uid="{04D5724D-BB7D-4995-B6D0-CB945CF1E579}">
      <text>
        <r>
          <rPr>
            <b/>
            <sz val="9"/>
            <color indexed="81"/>
            <rFont val="Tahoma"/>
            <family val="2"/>
          </rPr>
          <t>Author:</t>
        </r>
        <r>
          <rPr>
            <sz val="9"/>
            <color indexed="81"/>
            <rFont val="Tahoma"/>
            <family val="2"/>
          </rPr>
          <t xml:space="preserve">
Undisclosed</t>
        </r>
      </text>
    </comment>
    <comment ref="N52" authorId="0" shapeId="0" xr:uid="{24CCD2A9-17A2-46E2-A550-C990B8C514F0}">
      <text>
        <r>
          <rPr>
            <b/>
            <sz val="9"/>
            <color indexed="81"/>
            <rFont val="Tahoma"/>
            <family val="2"/>
          </rPr>
          <t>Author:</t>
        </r>
        <r>
          <rPr>
            <sz val="9"/>
            <color indexed="81"/>
            <rFont val="Tahoma"/>
            <family val="2"/>
          </rPr>
          <t xml:space="preserve">
Undisclosed</t>
        </r>
      </text>
    </comment>
    <comment ref="W52" authorId="0" shapeId="0" xr:uid="{C4F09083-4C17-4BE6-8DE2-06A890287523}">
      <text>
        <r>
          <rPr>
            <b/>
            <sz val="9"/>
            <color indexed="81"/>
            <rFont val="Tahoma"/>
            <family val="2"/>
          </rPr>
          <t>Author:</t>
        </r>
        <r>
          <rPr>
            <sz val="9"/>
            <color indexed="81"/>
            <rFont val="Tahoma"/>
            <family val="2"/>
          </rPr>
          <t xml:space="preserve">
Undisclosed</t>
        </r>
      </text>
    </comment>
    <comment ref="N63" authorId="0" shapeId="0" xr:uid="{3C0D2881-67F6-42E9-860D-5A5B692B4DCB}">
      <text>
        <r>
          <rPr>
            <b/>
            <sz val="9"/>
            <color indexed="81"/>
            <rFont val="Tahoma"/>
            <family val="2"/>
          </rPr>
          <t>Author:</t>
        </r>
        <r>
          <rPr>
            <sz val="9"/>
            <color indexed="81"/>
            <rFont val="Tahoma"/>
            <family val="2"/>
          </rPr>
          <t xml:space="preserve">
Undisclosed</t>
        </r>
      </text>
    </comment>
    <comment ref="W63" authorId="0" shapeId="0" xr:uid="{544CD5D0-724C-438B-BE72-EDBE3ECA6880}">
      <text>
        <r>
          <rPr>
            <b/>
            <sz val="9"/>
            <color indexed="81"/>
            <rFont val="Tahoma"/>
            <family val="2"/>
          </rPr>
          <t>Author:</t>
        </r>
        <r>
          <rPr>
            <sz val="9"/>
            <color indexed="81"/>
            <rFont val="Tahoma"/>
            <family val="2"/>
          </rPr>
          <t xml:space="preserve">
Undisclosed</t>
        </r>
      </text>
    </comment>
    <comment ref="K70" authorId="0" shapeId="0" xr:uid="{BFCCF4B7-7EFA-4A7B-A835-88E8487E1BA4}">
      <text>
        <r>
          <rPr>
            <b/>
            <sz val="9"/>
            <color indexed="81"/>
            <rFont val="Tahoma"/>
            <family val="2"/>
          </rPr>
          <t>Author:</t>
        </r>
        <r>
          <rPr>
            <sz val="9"/>
            <color indexed="81"/>
            <rFont val="Tahoma"/>
            <family val="2"/>
          </rPr>
          <t xml:space="preserve">
Undisclosed</t>
        </r>
      </text>
    </comment>
    <comment ref="T70" authorId="0" shapeId="0" xr:uid="{B507BD54-9CBC-4780-9DB4-E003CD85643B}">
      <text>
        <r>
          <rPr>
            <b/>
            <sz val="9"/>
            <color indexed="81"/>
            <rFont val="Tahoma"/>
            <family val="2"/>
          </rPr>
          <t>Author:</t>
        </r>
        <r>
          <rPr>
            <sz val="9"/>
            <color indexed="81"/>
            <rFont val="Tahoma"/>
            <family val="2"/>
          </rPr>
          <t xml:space="preserve">
Undisclosed</t>
        </r>
      </text>
    </comment>
    <comment ref="A74" authorId="0" shapeId="0" xr:uid="{45A00458-54C8-4AC9-A0EF-4C3C578C584A}">
      <text>
        <r>
          <rPr>
            <b/>
            <sz val="9"/>
            <color indexed="81"/>
            <rFont val="Tahoma"/>
            <family val="2"/>
          </rPr>
          <t>Author:</t>
        </r>
        <r>
          <rPr>
            <sz val="9"/>
            <color indexed="81"/>
            <rFont val="Tahoma"/>
            <family val="2"/>
          </rPr>
          <t xml:space="preserve">
Including Lavender Fund, L.P.</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29" authorId="0" shapeId="0" xr:uid="{1AA5E469-EBD1-43C9-99B0-A9E7FC2FD129}">
      <text>
        <r>
          <rPr>
            <b/>
            <sz val="9"/>
            <color indexed="81"/>
            <rFont val="Tahoma"/>
            <family val="2"/>
          </rPr>
          <t>Author:</t>
        </r>
        <r>
          <rPr>
            <sz val="9"/>
            <color indexed="81"/>
            <rFont val="Tahoma"/>
            <family val="2"/>
          </rPr>
          <t xml:space="preserve">
Q4 2024 CAS value</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8" authorId="0" shapeId="0" xr:uid="{DD02890D-A261-4E30-A7D0-E1CB0B665BA4}">
      <text>
        <r>
          <rPr>
            <b/>
            <sz val="9"/>
            <color indexed="81"/>
            <rFont val="Tahoma"/>
            <family val="2"/>
          </rPr>
          <t>Author:</t>
        </r>
        <r>
          <rPr>
            <sz val="9"/>
            <color indexed="81"/>
            <rFont val="Tahoma"/>
            <family val="2"/>
          </rPr>
          <t xml:space="preserve">
Quarterly Report</t>
        </r>
      </text>
    </comment>
    <comment ref="E32" authorId="0" shapeId="0" xr:uid="{1BEB6723-6197-4587-AA01-80DA2D21F378}">
      <text>
        <r>
          <rPr>
            <b/>
            <sz val="9"/>
            <color indexed="81"/>
            <rFont val="Tahoma"/>
            <family val="2"/>
          </rPr>
          <t>Author:</t>
        </r>
        <r>
          <rPr>
            <sz val="9"/>
            <color indexed="81"/>
            <rFont val="Tahoma"/>
            <family val="2"/>
          </rPr>
          <t xml:space="preserve">
2nd tranche: Dec-20</t>
        </r>
      </text>
    </comment>
    <comment ref="V38" authorId="0" shapeId="0" xr:uid="{A8871187-7AC7-4C39-A33F-23D6064AB068}">
      <text>
        <r>
          <rPr>
            <b/>
            <sz val="9"/>
            <color indexed="81"/>
            <rFont val="Tahoma"/>
            <family val="2"/>
          </rPr>
          <t>Author:</t>
        </r>
        <r>
          <rPr>
            <sz val="9"/>
            <color indexed="81"/>
            <rFont val="Tahoma"/>
            <family val="2"/>
          </rPr>
          <t xml:space="preserve">
Split to Yizhi in Sep-24 (8% exit percentage)</t>
        </r>
      </text>
    </comment>
    <comment ref="E39" authorId="0" shapeId="0" xr:uid="{15A70610-76E6-48A6-A462-3DD34963D0FC}">
      <text>
        <r>
          <rPr>
            <b/>
            <sz val="9"/>
            <color indexed="81"/>
            <rFont val="Tahoma"/>
            <family val="2"/>
          </rPr>
          <t>Author:</t>
        </r>
        <r>
          <rPr>
            <sz val="9"/>
            <color indexed="81"/>
            <rFont val="Tahoma"/>
            <family val="2"/>
          </rPr>
          <t xml:space="preserve">
2nd tranche: Apr-20</t>
        </r>
      </text>
    </comment>
    <comment ref="E40" authorId="0" shapeId="0" xr:uid="{A254DEE3-1CD0-4E4A-BF22-3FB99AD1D062}">
      <text>
        <r>
          <rPr>
            <b/>
            <sz val="9"/>
            <color indexed="81"/>
            <rFont val="Tahoma"/>
            <family val="2"/>
          </rPr>
          <t>Author:</t>
        </r>
        <r>
          <rPr>
            <sz val="9"/>
            <color indexed="81"/>
            <rFont val="Tahoma"/>
            <family val="2"/>
          </rPr>
          <t xml:space="preserve">
2nd tranche: Nov-19</t>
        </r>
      </text>
    </comment>
    <comment ref="E42" authorId="0" shapeId="0" xr:uid="{91FA4BF5-DC37-4F2D-BC96-708100A1AFC4}">
      <text>
        <r>
          <rPr>
            <b/>
            <sz val="9"/>
            <color indexed="81"/>
            <rFont val="Tahoma"/>
            <family val="2"/>
          </rPr>
          <t>Author:</t>
        </r>
        <r>
          <rPr>
            <sz val="9"/>
            <color indexed="81"/>
            <rFont val="Tahoma"/>
            <family val="2"/>
          </rPr>
          <t xml:space="preserve">
2nd tranche: Apr-19</t>
        </r>
      </text>
    </comment>
    <comment ref="E43" authorId="0" shapeId="0" xr:uid="{612F7553-FC18-4970-A55A-BD632B0B4FCD}">
      <text>
        <r>
          <rPr>
            <b/>
            <sz val="9"/>
            <color indexed="81"/>
            <rFont val="Tahoma"/>
            <family val="2"/>
          </rPr>
          <t>Author:</t>
        </r>
        <r>
          <rPr>
            <sz val="9"/>
            <color indexed="81"/>
            <rFont val="Tahoma"/>
            <family val="2"/>
          </rPr>
          <t xml:space="preserve">
2nd tranche: Jun-20</t>
        </r>
      </text>
    </comment>
    <comment ref="E45" authorId="0" shapeId="0" xr:uid="{DF30F838-B40E-40FE-B5C4-88601CD10FE7}">
      <text>
        <r>
          <rPr>
            <b/>
            <sz val="9"/>
            <color indexed="81"/>
            <rFont val="Tahoma"/>
            <family val="2"/>
          </rPr>
          <t>Author:</t>
        </r>
        <r>
          <rPr>
            <sz val="9"/>
            <color indexed="81"/>
            <rFont val="Tahoma"/>
            <family val="2"/>
          </rPr>
          <t xml:space="preserve">
2nd tranche: Apr-20</t>
        </r>
      </text>
    </comment>
    <comment ref="E47" authorId="0" shapeId="0" xr:uid="{1E7B8FC2-8FF0-4BC3-99C6-90D4B47126D0}">
      <text>
        <r>
          <rPr>
            <b/>
            <sz val="9"/>
            <color indexed="81"/>
            <rFont val="Tahoma"/>
            <family val="2"/>
          </rPr>
          <t>Author:</t>
        </r>
        <r>
          <rPr>
            <sz val="9"/>
            <color indexed="81"/>
            <rFont val="Tahoma"/>
            <family val="2"/>
          </rPr>
          <t xml:space="preserve">
2nd tranche: Jan-21</t>
        </r>
      </text>
    </comment>
    <comment ref="E48" authorId="0" shapeId="0" xr:uid="{445590AB-FA3B-4A02-AD0E-9E57F3A7E44F}">
      <text>
        <r>
          <rPr>
            <b/>
            <sz val="9"/>
            <color indexed="81"/>
            <rFont val="Tahoma"/>
            <family val="2"/>
          </rPr>
          <t>Author:</t>
        </r>
        <r>
          <rPr>
            <sz val="9"/>
            <color indexed="81"/>
            <rFont val="Tahoma"/>
            <family val="2"/>
          </rPr>
          <t xml:space="preserve">
2nd tranche: Dec-20</t>
        </r>
      </text>
    </comment>
    <comment ref="W49" authorId="0" shapeId="0" xr:uid="{7819B4DC-841F-43E0-A7AF-66B38DA4BF39}">
      <text>
        <r>
          <rPr>
            <b/>
            <sz val="9"/>
            <color indexed="81"/>
            <rFont val="Tahoma"/>
            <family val="2"/>
          </rPr>
          <t>Author:</t>
        </r>
        <r>
          <rPr>
            <sz val="9"/>
            <color indexed="81"/>
            <rFont val="Tahoma"/>
            <family val="2"/>
          </rPr>
          <t xml:space="preserve">
Fully impaired</t>
        </r>
      </text>
    </comment>
    <comment ref="A53" authorId="0" shapeId="0" xr:uid="{B3CDA3D7-43F3-46E2-958E-35E692C27156}">
      <text>
        <r>
          <rPr>
            <b/>
            <sz val="9"/>
            <color indexed="81"/>
            <rFont val="Tahoma"/>
            <family val="2"/>
          </rPr>
          <t>Author:</t>
        </r>
        <r>
          <rPr>
            <sz val="9"/>
            <color indexed="81"/>
            <rFont val="Tahoma"/>
            <family val="2"/>
          </rPr>
          <t xml:space="preserve">
Spun-off from Yuan Inc. </t>
        </r>
      </text>
    </comment>
    <comment ref="E53" authorId="0" shapeId="0" xr:uid="{D1F6BA6B-6406-4D2C-BF80-F0991C41DE55}">
      <text>
        <r>
          <rPr>
            <b/>
            <sz val="9"/>
            <color indexed="81"/>
            <rFont val="Tahoma"/>
            <family val="2"/>
          </rPr>
          <t>Author:</t>
        </r>
        <r>
          <rPr>
            <sz val="9"/>
            <color indexed="81"/>
            <rFont val="Tahoma"/>
            <family val="2"/>
          </rPr>
          <t xml:space="preserve">
2nd tranche: Jun-20</t>
        </r>
      </text>
    </comment>
    <comment ref="B54" authorId="0" shapeId="0" xr:uid="{BA0E40FC-5FE3-4A3D-AB9D-E06933304AFD}">
      <text>
        <r>
          <rPr>
            <b/>
            <sz val="9"/>
            <color indexed="81"/>
            <rFont val="Tahoma"/>
            <family val="2"/>
          </rPr>
          <t>Author:</t>
        </r>
        <r>
          <rPr>
            <sz val="9"/>
            <color indexed="81"/>
            <rFont val="Tahoma"/>
            <family val="2"/>
          </rPr>
          <t xml:space="preserve">
Private education firms are facing significant business impact after government ban on for-profit tutoring in core school subjects in Jul-21.
Fenbi Ltd. spun-off from Yuan Inc. in 2021</t>
        </r>
      </text>
    </comment>
    <comment ref="E54" authorId="0" shapeId="0" xr:uid="{A3ED888A-6547-48AC-B74B-F633F8051EC8}">
      <text>
        <r>
          <rPr>
            <b/>
            <sz val="9"/>
            <color indexed="81"/>
            <rFont val="Tahoma"/>
            <family val="2"/>
          </rPr>
          <t>Author:</t>
        </r>
        <r>
          <rPr>
            <sz val="9"/>
            <color indexed="81"/>
            <rFont val="Tahoma"/>
            <family val="2"/>
          </rPr>
          <t xml:space="preserve">
2nd tranche: Jun-20</t>
        </r>
      </text>
    </comment>
    <comment ref="E56" authorId="0" shapeId="0" xr:uid="{03C05ABD-2517-424E-BB6C-637A6C5F8207}">
      <text>
        <r>
          <rPr>
            <b/>
            <sz val="9"/>
            <color indexed="81"/>
            <rFont val="Tahoma"/>
            <family val="2"/>
          </rPr>
          <t>Author:</t>
        </r>
        <r>
          <rPr>
            <sz val="9"/>
            <color indexed="81"/>
            <rFont val="Tahoma"/>
            <family val="2"/>
          </rPr>
          <t xml:space="preserve">
2nd tranche: Jun-20</t>
        </r>
      </text>
    </comment>
    <comment ref="E75" authorId="0" shapeId="0" xr:uid="{16E7C085-E442-4340-B76A-EE1B92AFEA89}">
      <text>
        <r>
          <rPr>
            <b/>
            <sz val="9"/>
            <color indexed="81"/>
            <rFont val="Tahoma"/>
            <family val="2"/>
          </rPr>
          <t>Author:</t>
        </r>
        <r>
          <rPr>
            <sz val="9"/>
            <color indexed="81"/>
            <rFont val="Tahoma"/>
            <family val="2"/>
          </rPr>
          <t xml:space="preserve">
2nd tranche: Dec-20</t>
        </r>
      </text>
    </comment>
    <comment ref="E82" authorId="0" shapeId="0" xr:uid="{B2514CB0-B50B-4CB1-9AF2-374396226698}">
      <text>
        <r>
          <rPr>
            <b/>
            <sz val="9"/>
            <color indexed="81"/>
            <rFont val="Tahoma"/>
            <family val="2"/>
          </rPr>
          <t>Author:</t>
        </r>
        <r>
          <rPr>
            <sz val="9"/>
            <color indexed="81"/>
            <rFont val="Tahoma"/>
            <family val="2"/>
          </rPr>
          <t xml:space="preserve">
2nd tranche: Apr-20</t>
        </r>
      </text>
    </comment>
    <comment ref="E83" authorId="0" shapeId="0" xr:uid="{7AEA24D3-C573-4826-AA1B-078683CDEA93}">
      <text>
        <r>
          <rPr>
            <b/>
            <sz val="9"/>
            <color indexed="81"/>
            <rFont val="Tahoma"/>
            <family val="2"/>
          </rPr>
          <t>Author:</t>
        </r>
        <r>
          <rPr>
            <sz val="9"/>
            <color indexed="81"/>
            <rFont val="Tahoma"/>
            <family val="2"/>
          </rPr>
          <t xml:space="preserve">
2nd tranche: Nov-19</t>
        </r>
      </text>
    </comment>
    <comment ref="E85" authorId="0" shapeId="0" xr:uid="{C240246C-C251-4AA9-9D92-853E552E7F1A}">
      <text>
        <r>
          <rPr>
            <b/>
            <sz val="9"/>
            <color indexed="81"/>
            <rFont val="Tahoma"/>
            <family val="2"/>
          </rPr>
          <t>Author:</t>
        </r>
        <r>
          <rPr>
            <sz val="9"/>
            <color indexed="81"/>
            <rFont val="Tahoma"/>
            <family val="2"/>
          </rPr>
          <t xml:space="preserve">
2nd tranche: Apr-19</t>
        </r>
      </text>
    </comment>
    <comment ref="E86" authorId="0" shapeId="0" xr:uid="{31CA6D40-4806-4389-BD5C-3F6BF31492CC}">
      <text>
        <r>
          <rPr>
            <b/>
            <sz val="9"/>
            <color indexed="81"/>
            <rFont val="Tahoma"/>
            <family val="2"/>
          </rPr>
          <t>Author:</t>
        </r>
        <r>
          <rPr>
            <sz val="9"/>
            <color indexed="81"/>
            <rFont val="Tahoma"/>
            <family val="2"/>
          </rPr>
          <t xml:space="preserve">
2nd tranche: Jun-20</t>
        </r>
      </text>
    </comment>
    <comment ref="E88" authorId="0" shapeId="0" xr:uid="{151BAB6C-2F67-496B-BC95-888B9D6905B4}">
      <text>
        <r>
          <rPr>
            <b/>
            <sz val="9"/>
            <color indexed="81"/>
            <rFont val="Tahoma"/>
            <family val="2"/>
          </rPr>
          <t>Author:</t>
        </r>
        <r>
          <rPr>
            <sz val="9"/>
            <color indexed="81"/>
            <rFont val="Tahoma"/>
            <family val="2"/>
          </rPr>
          <t xml:space="preserve">
2nd tranche: Apr-20</t>
        </r>
      </text>
    </comment>
    <comment ref="E90" authorId="0" shapeId="0" xr:uid="{597D279D-8DB0-41DB-A294-A8F744AA1416}">
      <text>
        <r>
          <rPr>
            <b/>
            <sz val="9"/>
            <color indexed="81"/>
            <rFont val="Tahoma"/>
            <family val="2"/>
          </rPr>
          <t>Author:</t>
        </r>
        <r>
          <rPr>
            <sz val="9"/>
            <color indexed="81"/>
            <rFont val="Tahoma"/>
            <family val="2"/>
          </rPr>
          <t xml:space="preserve">
2nd tranche: Jan-21</t>
        </r>
      </text>
    </comment>
    <comment ref="E91" authorId="0" shapeId="0" xr:uid="{C7AE07B5-EDED-4367-B24B-4A3AF01BDC0B}">
      <text>
        <r>
          <rPr>
            <b/>
            <sz val="9"/>
            <color indexed="81"/>
            <rFont val="Tahoma"/>
            <family val="2"/>
          </rPr>
          <t>Author:</t>
        </r>
        <r>
          <rPr>
            <sz val="9"/>
            <color indexed="81"/>
            <rFont val="Tahoma"/>
            <family val="2"/>
          </rPr>
          <t xml:space="preserve">
2nd tranche: Dec-20</t>
        </r>
      </text>
    </comment>
    <comment ref="A96" authorId="0" shapeId="0" xr:uid="{B0B05452-0461-4B0B-B040-2853E952013C}">
      <text>
        <r>
          <rPr>
            <b/>
            <sz val="9"/>
            <color indexed="81"/>
            <rFont val="Tahoma"/>
            <family val="2"/>
          </rPr>
          <t>Author:</t>
        </r>
        <r>
          <rPr>
            <sz val="9"/>
            <color indexed="81"/>
            <rFont val="Tahoma"/>
            <family val="2"/>
          </rPr>
          <t xml:space="preserve">
Spun-off from Yuan Inc. </t>
        </r>
      </text>
    </comment>
    <comment ref="E96" authorId="0" shapeId="0" xr:uid="{1998C26F-1626-4ED9-9995-01D411A50E66}">
      <text>
        <r>
          <rPr>
            <b/>
            <sz val="9"/>
            <color indexed="81"/>
            <rFont val="Tahoma"/>
            <family val="2"/>
          </rPr>
          <t>Author:</t>
        </r>
        <r>
          <rPr>
            <sz val="9"/>
            <color indexed="81"/>
            <rFont val="Tahoma"/>
            <family val="2"/>
          </rPr>
          <t xml:space="preserve">
2nd tranche: Jun-20</t>
        </r>
      </text>
    </comment>
    <comment ref="B97" authorId="0" shapeId="0" xr:uid="{3D2DA3FD-8771-4CF7-BF14-7E6CF714F4D2}">
      <text>
        <r>
          <rPr>
            <b/>
            <sz val="9"/>
            <color indexed="81"/>
            <rFont val="Tahoma"/>
            <family val="2"/>
          </rPr>
          <t>Author:</t>
        </r>
        <r>
          <rPr>
            <sz val="9"/>
            <color indexed="81"/>
            <rFont val="Tahoma"/>
            <family val="2"/>
          </rPr>
          <t xml:space="preserve">
Private education firms are facing significant business impact after government ban on for-profit tutoring in core school subjects in Jul-21.
Fenbi Ltd. spun-off from Yuan Inc. in 2021</t>
        </r>
      </text>
    </comment>
    <comment ref="E97" authorId="0" shapeId="0" xr:uid="{863340CB-728C-4472-BEB4-39C00164D906}">
      <text>
        <r>
          <rPr>
            <b/>
            <sz val="9"/>
            <color indexed="81"/>
            <rFont val="Tahoma"/>
            <family val="2"/>
          </rPr>
          <t>Author:</t>
        </r>
        <r>
          <rPr>
            <sz val="9"/>
            <color indexed="81"/>
            <rFont val="Tahoma"/>
            <family val="2"/>
          </rPr>
          <t xml:space="preserve">
2nd tranche: Jun-20</t>
        </r>
      </text>
    </comment>
    <comment ref="E99" authorId="0" shapeId="0" xr:uid="{4AD8475C-1FA6-4443-A12C-CBD55BE40662}">
      <text>
        <r>
          <rPr>
            <b/>
            <sz val="9"/>
            <color indexed="81"/>
            <rFont val="Tahoma"/>
            <family val="2"/>
          </rPr>
          <t>Author:</t>
        </r>
        <r>
          <rPr>
            <sz val="9"/>
            <color indexed="81"/>
            <rFont val="Tahoma"/>
            <family val="2"/>
          </rPr>
          <t xml:space="preserve">
2nd tranche: Jun-20</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26" authorId="0" shapeId="0" xr:uid="{322110A9-E405-4FB8-ADFF-6020F5DD03E4}">
      <text>
        <r>
          <rPr>
            <b/>
            <sz val="9"/>
            <color indexed="81"/>
            <rFont val="Tahoma"/>
            <family val="2"/>
          </rPr>
          <t>Author:</t>
        </r>
        <r>
          <rPr>
            <sz val="9"/>
            <color indexed="81"/>
            <rFont val="Tahoma"/>
            <family val="2"/>
          </rPr>
          <t xml:space="preserve">
Q4 2024 CAS value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3" authorId="0" shapeId="0" xr:uid="{783FE497-C043-4CDA-92EA-36F7E432D438}">
      <text>
        <r>
          <rPr>
            <b/>
            <sz val="9"/>
            <color indexed="81"/>
            <rFont val="Tahoma"/>
            <family val="2"/>
          </rPr>
          <t>Author:</t>
        </r>
        <r>
          <rPr>
            <sz val="9"/>
            <color indexed="81"/>
            <rFont val="Tahoma"/>
            <family val="2"/>
          </rPr>
          <t xml:space="preserve">
from Mar 22 report</t>
        </r>
      </text>
    </comment>
    <comment ref="B15" authorId="0" shapeId="0" xr:uid="{56DFEE3E-BFF7-434A-ACFC-B34FDB3A675B}">
      <text>
        <r>
          <rPr>
            <b/>
            <sz val="9"/>
            <color indexed="81"/>
            <rFont val="Tahoma"/>
            <family val="2"/>
          </rPr>
          <t>Author:</t>
        </r>
        <r>
          <rPr>
            <sz val="9"/>
            <color indexed="81"/>
            <rFont val="Tahoma"/>
            <family val="2"/>
          </rPr>
          <t xml:space="preserve">
from Mar 21 report</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11" authorId="0" shapeId="0" xr:uid="{05AF6865-7772-4E2D-AE4D-72D5E68C1FBC}">
      <text>
        <r>
          <rPr>
            <b/>
            <sz val="9"/>
            <color indexed="81"/>
            <rFont val="Tahoma"/>
            <family val="2"/>
          </rPr>
          <t>Author:</t>
        </r>
        <r>
          <rPr>
            <sz val="9"/>
            <color indexed="81"/>
            <rFont val="Tahoma"/>
            <family val="2"/>
          </rPr>
          <t xml:space="preserve">
Transfer to VMG</t>
        </r>
      </text>
    </comment>
    <comment ref="O16" authorId="0" shapeId="0" xr:uid="{877D99F4-CFC1-42D8-9418-753FACB47BE9}">
      <text>
        <r>
          <rPr>
            <b/>
            <sz val="9"/>
            <color indexed="81"/>
            <rFont val="Tahoma"/>
            <family val="2"/>
          </rPr>
          <t>Author:</t>
        </r>
        <r>
          <rPr>
            <sz val="9"/>
            <color indexed="81"/>
            <rFont val="Tahoma"/>
            <family val="2"/>
          </rPr>
          <t xml:space="preserve">
Does not includes 66,990 of WHT</t>
        </r>
      </text>
    </comment>
    <comment ref="L33" authorId="0" shapeId="0" xr:uid="{60A7F1B2-5A3A-4831-B727-FD749AC5CE8B}">
      <text>
        <r>
          <rPr>
            <b/>
            <sz val="9"/>
            <color indexed="81"/>
            <rFont val="Tahoma"/>
            <family val="2"/>
          </rPr>
          <t>Author:</t>
        </r>
        <r>
          <rPr>
            <sz val="9"/>
            <color indexed="81"/>
            <rFont val="Tahoma"/>
            <family val="2"/>
          </rPr>
          <t xml:space="preserve">
Q4 2024 CAS Value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28" authorId="0" shapeId="0" xr:uid="{4E213D5C-7A35-4A3E-BE32-AC3DB5A6F5F7}">
      <text>
        <r>
          <rPr>
            <b/>
            <sz val="9"/>
            <color indexed="81"/>
            <rFont val="Tahoma"/>
            <family val="2"/>
          </rPr>
          <t>Author:</t>
        </r>
        <r>
          <rPr>
            <sz val="9"/>
            <color indexed="81"/>
            <rFont val="Tahoma"/>
            <family val="2"/>
          </rPr>
          <t xml:space="preserve">
Q3 2024 CAS Value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D13" authorId="0" shapeId="0" xr:uid="{E8564A66-7F6F-4969-BDF9-0D428B0E10CB}">
      <text>
        <r>
          <rPr>
            <b/>
            <sz val="9"/>
            <color indexed="81"/>
            <rFont val="Tahoma"/>
            <family val="2"/>
          </rPr>
          <t>Author:</t>
        </r>
        <r>
          <rPr>
            <sz val="9"/>
            <color indexed="81"/>
            <rFont val="Tahoma"/>
            <family val="2"/>
          </rPr>
          <t xml:space="preserve">
Adjusted to tie to actual 0930 data</t>
        </r>
      </text>
    </comment>
    <comment ref="W28" authorId="0" shapeId="0" xr:uid="{F752F69D-973B-4280-A71C-DD9D8B585A9B}">
      <text>
        <r>
          <rPr>
            <b/>
            <sz val="9"/>
            <color indexed="81"/>
            <rFont val="Tahoma"/>
            <family val="2"/>
          </rPr>
          <t>Author:</t>
        </r>
        <r>
          <rPr>
            <sz val="9"/>
            <color indexed="81"/>
            <rFont val="Tahoma"/>
            <family val="2"/>
          </rPr>
          <t xml:space="preserve">
IQEQ</t>
        </r>
      </text>
    </comment>
    <comment ref="B29" authorId="0" shapeId="0" xr:uid="{22914ED9-3F92-4769-AB0F-EF00049C6409}">
      <text>
        <r>
          <rPr>
            <b/>
            <sz val="9"/>
            <color indexed="81"/>
            <rFont val="Tahoma"/>
            <family val="2"/>
          </rPr>
          <t>Author:</t>
        </r>
        <r>
          <rPr>
            <sz val="9"/>
            <color indexed="81"/>
            <rFont val="Tahoma"/>
            <family val="2"/>
          </rPr>
          <t xml:space="preserve">
Bytedance syndication figures to be tied</t>
        </r>
      </text>
    </comment>
    <comment ref="F29" authorId="0" shapeId="0" xr:uid="{9AA9A757-B4BD-4C2A-83BF-8F04CBF6C322}">
      <text>
        <r>
          <rPr>
            <b/>
            <sz val="9"/>
            <color indexed="81"/>
            <rFont val="Tahoma"/>
            <family val="2"/>
          </rPr>
          <t>Author:</t>
        </r>
        <r>
          <rPr>
            <sz val="9"/>
            <color indexed="81"/>
            <rFont val="Tahoma"/>
            <family val="2"/>
          </rPr>
          <t xml:space="preserve">
from Bytedance syndication tab, sum of all 2020 </t>
        </r>
      </text>
    </comment>
    <comment ref="K29" authorId="0" shapeId="0" xr:uid="{D0EBEBD6-C915-4B0D-A49C-92D81A9E3D38}">
      <text>
        <r>
          <rPr>
            <b/>
            <sz val="9"/>
            <color indexed="81"/>
            <rFont val="Tahoma"/>
            <family val="2"/>
          </rPr>
          <t>Author:</t>
        </r>
        <r>
          <rPr>
            <sz val="9"/>
            <color indexed="81"/>
            <rFont val="Tahoma"/>
            <family val="2"/>
          </rPr>
          <t xml:space="preserve">
syndication 2021, from RW email</t>
        </r>
      </text>
    </comment>
    <comment ref="AA35" authorId="0" shapeId="0" xr:uid="{1CC8670E-F406-4FDC-B68A-DA2DC2696E53}">
      <text>
        <r>
          <rPr>
            <b/>
            <sz val="9"/>
            <color indexed="81"/>
            <rFont val="Tahoma"/>
            <family val="2"/>
          </rPr>
          <t>Author:</t>
        </r>
        <r>
          <rPr>
            <sz val="9"/>
            <color indexed="81"/>
            <rFont val="Tahoma"/>
            <family val="2"/>
          </rPr>
          <t xml:space="preserve">
fixed</t>
        </r>
      </text>
    </comment>
    <comment ref="AA36" authorId="0" shapeId="0" xr:uid="{50A50BD9-B1A8-46F1-BA27-89F0F7F436B5}">
      <text>
        <r>
          <rPr>
            <b/>
            <sz val="9"/>
            <color indexed="81"/>
            <rFont val="Tahoma"/>
            <family val="2"/>
          </rPr>
          <t>Author:</t>
        </r>
        <r>
          <rPr>
            <sz val="9"/>
            <color indexed="81"/>
            <rFont val="Tahoma"/>
            <family val="2"/>
          </rPr>
          <t xml:space="preserve">
fixerd</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2" authorId="0" shapeId="0" xr:uid="{AFD8DFEB-824F-4746-BB4B-9691615A5752}">
      <text>
        <r>
          <rPr>
            <b/>
            <sz val="9"/>
            <color indexed="81"/>
            <rFont val="Tahoma"/>
            <family val="2"/>
          </rPr>
          <t>Author:</t>
        </r>
        <r>
          <rPr>
            <sz val="9"/>
            <color indexed="81"/>
            <rFont val="Tahoma"/>
            <family val="2"/>
          </rPr>
          <t xml:space="preserve">
NPV date</t>
        </r>
      </text>
    </comment>
    <comment ref="C22" authorId="0" shapeId="0" xr:uid="{B5962B64-65AF-4A67-B832-1D34A4C12B08}">
      <text>
        <r>
          <rPr>
            <b/>
            <sz val="9"/>
            <color indexed="81"/>
            <rFont val="Tahoma"/>
            <family val="2"/>
          </rPr>
          <t xml:space="preserve">Author:
</t>
        </r>
        <r>
          <rPr>
            <sz val="9"/>
            <color indexed="81"/>
            <rFont val="Tahoma"/>
            <family val="2"/>
          </rPr>
          <t>historical as -7%, tweaked to 1%</t>
        </r>
      </text>
    </comment>
    <comment ref="C106" authorId="0" shapeId="0" xr:uid="{0FC29699-4077-4B2C-904D-66921379A13F}">
      <text>
        <r>
          <rPr>
            <b/>
            <sz val="9"/>
            <color indexed="81"/>
            <rFont val="Tahoma"/>
            <family val="2"/>
          </rPr>
          <t>Author:</t>
        </r>
        <r>
          <rPr>
            <sz val="9"/>
            <color indexed="81"/>
            <rFont val="Tahoma"/>
            <family val="2"/>
          </rPr>
          <t xml:space="preserve">
need to fix</t>
        </r>
      </text>
    </comment>
    <comment ref="C112" authorId="0" shapeId="0" xr:uid="{9E052CAF-E618-4731-99E6-F7A7F6FFAB49}">
      <text>
        <r>
          <rPr>
            <b/>
            <sz val="9"/>
            <color indexed="81"/>
            <rFont val="Tahoma"/>
            <family val="2"/>
          </rPr>
          <t>Author:</t>
        </r>
        <r>
          <rPr>
            <sz val="9"/>
            <color indexed="81"/>
            <rFont val="Tahoma"/>
            <family val="2"/>
          </rPr>
          <t xml:space="preserve">
need to fix</t>
        </r>
      </text>
    </comment>
    <comment ref="C139" authorId="0" shapeId="0" xr:uid="{29289830-DC2E-4A20-9347-EBD97888661A}">
      <text>
        <r>
          <rPr>
            <b/>
            <sz val="9"/>
            <color indexed="81"/>
            <rFont val="Tahoma"/>
            <family val="2"/>
          </rPr>
          <t>Author:</t>
        </r>
        <r>
          <rPr>
            <sz val="9"/>
            <color indexed="81"/>
            <rFont val="Tahoma"/>
            <family val="2"/>
          </rPr>
          <t xml:space="preserve">
assumed WACC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<sst xmlns="http://schemas.openxmlformats.org/spreadsheetml/2006/main" count="9283" uniqueCount="1487">
  <si>
    <t>No.</t>
  </si>
  <si>
    <t>PE Fund</t>
  </si>
  <si>
    <t>BOYU Capital Fund I</t>
  </si>
  <si>
    <t>Ascendent Fund</t>
  </si>
  <si>
    <t xml:space="preserve">BOYU Capital Offshore Fund </t>
  </si>
  <si>
    <t>C Ventures Fund II</t>
  </si>
  <si>
    <t>DCP Capital Partners</t>
  </si>
  <si>
    <t>Skycus China Fund</t>
  </si>
  <si>
    <t>Hongshan Capital Venture Partners Fund VIII (AKA "Sequoia Capital China Venture Partners VIII")</t>
  </si>
  <si>
    <t>HongShan Capital Growth Partners Fund VI (AKA "Sequoia Capital China Growth Partners VI")</t>
  </si>
  <si>
    <t>DCP Capital Partners II</t>
  </si>
  <si>
    <t>Skycus USD Fund II (AKA “Lionet Fund LP”)</t>
  </si>
  <si>
    <t>BOYU Real Estate Fund I</t>
  </si>
  <si>
    <t>Cottonwood</t>
  </si>
  <si>
    <t>Genedant Ventures I</t>
  </si>
  <si>
    <t>BII</t>
  </si>
  <si>
    <t>Sub-total</t>
  </si>
  <si>
    <t>E15 Fund I</t>
  </si>
  <si>
    <t>E15 Fund 1.5</t>
  </si>
  <si>
    <t>E15 Fund II</t>
  </si>
  <si>
    <t xml:space="preserve">West Street Capital Partners VII </t>
  </si>
  <si>
    <t xml:space="preserve">West Street Capital Partners VIII </t>
  </si>
  <si>
    <t>GTCR XIV Access Offshore LP</t>
  </si>
  <si>
    <t>Entity</t>
  </si>
  <si>
    <t>USD</t>
  </si>
  <si>
    <t>Total</t>
  </si>
  <si>
    <t>CCGBVI</t>
  </si>
  <si>
    <t>Ascendent Capital Partners I, L.P.</t>
  </si>
  <si>
    <t>BOYU Capital Fund I, L.P.</t>
  </si>
  <si>
    <t>BOYU Capital Offshore Fund</t>
  </si>
  <si>
    <t>Boyu Real Estate Fund I, LP</t>
  </si>
  <si>
    <t>C Ventures Fund II, L.P.</t>
  </si>
  <si>
    <t>DCP Capital Partners II, L.P.</t>
  </si>
  <si>
    <t>DCP Capital Partners, L.P.</t>
  </si>
  <si>
    <t>E15 Fund 1.5, LP</t>
  </si>
  <si>
    <t>Fortune Wheel</t>
  </si>
  <si>
    <t>E15 Fund I, LP</t>
  </si>
  <si>
    <t>E15 Fund II, LP</t>
  </si>
  <si>
    <t>HongShan Capital Growth Partners Fund VI, L.P.</t>
  </si>
  <si>
    <t>HongShan Capital Venture Partners Fund VIII, L.P.</t>
  </si>
  <si>
    <t>Skycus China Fund, L.P.</t>
  </si>
  <si>
    <t>Skycus USD Fund II ("Lionet Fund")</t>
  </si>
  <si>
    <t>West Street Capital Partners VII</t>
  </si>
  <si>
    <t>West Street Capital Partners VIII</t>
  </si>
  <si>
    <t>-</t>
  </si>
  <si>
    <t>Grand Total</t>
  </si>
  <si>
    <t>MoIC</t>
  </si>
  <si>
    <t>Singapore</t>
  </si>
  <si>
    <t>Sunpower</t>
  </si>
  <si>
    <t>Distribution</t>
  </si>
  <si>
    <t>Syndication</t>
  </si>
  <si>
    <t xml:space="preserve">Funded </t>
  </si>
  <si>
    <t>Commitment</t>
  </si>
  <si>
    <t>Real Estate</t>
  </si>
  <si>
    <t>DPI (x)</t>
  </si>
  <si>
    <t>RVPI (x)</t>
  </si>
  <si>
    <t>MTM Fair Value</t>
  </si>
  <si>
    <t>PORTFOLIO Listing</t>
  </si>
  <si>
    <t>Kingsway Investment Ltd</t>
  </si>
  <si>
    <t>Nature</t>
  </si>
  <si>
    <t xml:space="preserve">Invested Capital </t>
  </si>
  <si>
    <t>Realized Value</t>
  </si>
  <si>
    <t>Unrealized Value</t>
  </si>
  <si>
    <t>Fund Performance</t>
  </si>
  <si>
    <t>Expected Return</t>
  </si>
  <si>
    <t>Fund Term</t>
  </si>
  <si>
    <t>No.</t>
    <phoneticPr fontId="0" type="noConversion"/>
  </si>
  <si>
    <t xml:space="preserve">Project </t>
  </si>
  <si>
    <t>Geography</t>
  </si>
  <si>
    <t>Sector</t>
  </si>
  <si>
    <t>Asset</t>
  </si>
  <si>
    <t>Investment Date</t>
  </si>
  <si>
    <t xml:space="preserve">Committed </t>
  </si>
  <si>
    <t>Unfunded (O/S)</t>
  </si>
  <si>
    <t>TVPI/MOIC (x)</t>
  </si>
  <si>
    <t>IRR</t>
  </si>
  <si>
    <t>Upside</t>
  </si>
  <si>
    <t>Inception</t>
  </si>
  <si>
    <t>Expiry</t>
  </si>
  <si>
    <t>Fee %</t>
  </si>
  <si>
    <t>Carry %</t>
  </si>
  <si>
    <t>Q3 CAS</t>
  </si>
  <si>
    <t>Q3 Investment Report</t>
  </si>
  <si>
    <t>Q3 Financial Statements</t>
  </si>
  <si>
    <t>Contributed</t>
  </si>
  <si>
    <t>Distributed/
Realised</t>
  </si>
  <si>
    <t>Deal expense</t>
  </si>
  <si>
    <t>MTM/Unrealised</t>
  </si>
  <si>
    <t>China</t>
  </si>
  <si>
    <t>Diversified</t>
  </si>
  <si>
    <t>Private</t>
  </si>
  <si>
    <t>Y</t>
  </si>
  <si>
    <t>PE - Buyout</t>
  </si>
  <si>
    <t>N</t>
  </si>
  <si>
    <t xml:space="preserve">HF </t>
  </si>
  <si>
    <t>PIPP</t>
  </si>
  <si>
    <t>Nil</t>
  </si>
  <si>
    <t>N/A</t>
  </si>
  <si>
    <t>US</t>
  </si>
  <si>
    <t>Technology</t>
  </si>
  <si>
    <t>VC</t>
  </si>
  <si>
    <t xml:space="preserve">Global </t>
  </si>
  <si>
    <t>VMG Ltd</t>
  </si>
  <si>
    <t>FinTech</t>
  </si>
  <si>
    <t>Logistic/ Data Center</t>
  </si>
  <si>
    <t xml:space="preserve">PE - Real Estate </t>
  </si>
  <si>
    <t>Property</t>
  </si>
  <si>
    <t>2030</t>
  </si>
  <si>
    <t>Cottonwood-WTT Real Estate Special Situations Fund, LP</t>
  </si>
  <si>
    <t>Buyout</t>
  </si>
  <si>
    <t>Total_PE Fund</t>
  </si>
  <si>
    <t>d</t>
  </si>
  <si>
    <t>TMT</t>
  </si>
  <si>
    <t>Financials</t>
  </si>
  <si>
    <t>Energy</t>
  </si>
  <si>
    <t>MOIC</t>
  </si>
  <si>
    <t xml:space="preserve"> </t>
  </si>
  <si>
    <t xml:space="preserve">Ark Pacific Special Oppor Fund I </t>
  </si>
  <si>
    <t>VPP</t>
  </si>
  <si>
    <t>Kingsway Investment - PE Fund Investment Summary</t>
  </si>
  <si>
    <t>Forecast</t>
  </si>
  <si>
    <t>Up to date</t>
  </si>
  <si>
    <t>Capital Investment</t>
  </si>
  <si>
    <t>O/S</t>
  </si>
  <si>
    <t>Syndicated to Genedant</t>
  </si>
  <si>
    <t>MTM  Value</t>
  </si>
  <si>
    <t xml:space="preserve">Total </t>
  </si>
  <si>
    <t>Net Cash Flow</t>
  </si>
  <si>
    <t>NOTES:</t>
  </si>
  <si>
    <t>1. IRR is calculated based on forecast / expected future cashflow of the project / fund throughout the lifecycle</t>
  </si>
  <si>
    <t>2. MoIC is calculated based on existing capital funding, distribution / sales proceeds and MTM Value</t>
  </si>
  <si>
    <t>3. MTM Value is based on the the latest fund / project NAV report which may or may not reflect the potential capital upside of each fund / project</t>
  </si>
  <si>
    <t>4. Some PE Projects will be managed by managed by Genedant after granting of RFM licence</t>
  </si>
  <si>
    <t xml:space="preserve">5. Exited funds / projects are shaded in grey </t>
  </si>
  <si>
    <t xml:space="preserve">6. O/S commitment to be funded in 5 to 10 years. Actual contribution may be less based on previous experience due to accelerated fund distribution and fund leverage </t>
  </si>
  <si>
    <t>*. Taikang Insurance is excluded from calculation of total as it has been syndicated out.  The above shown is carried interest accrued.</t>
    <phoneticPr fontId="62" type="noConversion"/>
  </si>
  <si>
    <t>PE Funds</t>
  </si>
  <si>
    <t>Cash Outflow</t>
  </si>
  <si>
    <t>Updated based on capital call estimate in 2025 from Boyu, expect no more further capital call.</t>
  </si>
  <si>
    <t>Commitment amount has been fully called</t>
  </si>
  <si>
    <t>2025 is based on West Street estimate. Remainder is expected to be called in 2026.</t>
  </si>
  <si>
    <t xml:space="preserve">C Capital Fund II </t>
  </si>
  <si>
    <t>2025 is based on C Capital estimate. Commitment amount has been fully called.</t>
  </si>
  <si>
    <t>2025 is based on DCP estimate. Commitment has been fully called.</t>
  </si>
  <si>
    <t>2025 based on West Street guidance, with the remainder being evenly called over 2026-2027.</t>
  </si>
  <si>
    <t>2025 based on DCP estimate, with the remainder being evenly called over 2026-2027. DCP team guided ~20% of portfolio to be deployed p.a. until 2027.</t>
  </si>
  <si>
    <t>2025 based on BOYU estimate. The remainder called in 2026.</t>
  </si>
  <si>
    <t>2025 based on E15 estimate. Assume no more capital call thereafter.</t>
  </si>
  <si>
    <t>2025 based on Cottonwood estimate. With the remaining evenly called over 2026-2027.</t>
  </si>
  <si>
    <t xml:space="preserve">Based on discussion with GCPL team, only US$30m out of the total commitment size will be called. Capital call will be frontloaded. </t>
  </si>
  <si>
    <t>2025 based on GTCR estimate. Assume even capital call for remaining investment period until 2028.</t>
  </si>
  <si>
    <t>Cash Inflow</t>
  </si>
  <si>
    <t>Fund term has expired. No distributions expected in 2025 per Boyu.</t>
  </si>
  <si>
    <t>2025 based on Ascendent guidance.</t>
  </si>
  <si>
    <t>2025 based on Boyu guidance, with no further distribution assumed thereafter.</t>
  </si>
  <si>
    <t>The fund has terminated, so no more distribution in future</t>
  </si>
  <si>
    <t>The fund has no more active investment, so expect final distribution from exit of SAM Labs at latest value. 2025 based on E15 guidance.</t>
  </si>
  <si>
    <t>2025 based on West Street guidance. Assume even distribution at MoM of 2.0x from 2026 to 2028 (end of term).</t>
  </si>
  <si>
    <t xml:space="preserve">Updated 2025 distribution based on C Capital estimate, assume even distribution at MoM of 1.5x from 2026 to 2027 (extension). A discount to target MoIC is made based on YTD performance. </t>
  </si>
  <si>
    <t>Update 2025 distribution based on DCP estimate, assume even distirbution at MoM of 1.8x from 2026 to 2029 (extension).</t>
  </si>
  <si>
    <t>All portfolio realized, not more distribution</t>
  </si>
  <si>
    <t>Update 2025 distribution based on Skycus estimates, assume MoM of 1.8x, include near term exit of JD industrial, JD logistic, SF express and Lalamove. Expect to exercise full extension by 2 years to 2028.</t>
  </si>
  <si>
    <t>2025 based on HS guidance. Assume even distribution at MoM of 2.8x from 2026 to 2030, higher multiple due to its venture nature</t>
  </si>
  <si>
    <t>2025 based on HS guidance. Assume even distribution at MoM of 2x from 2026 to 2030</t>
  </si>
  <si>
    <t>2025 no distribution expected by West Street. Assume even distribution at MoM of 2x from 2026 to 2030 (end of term)</t>
  </si>
  <si>
    <t>DCP estimate $2m distribution in 2025, assume even distribution at MoM of 1.8x from 2026 to 2032 (end of term)</t>
  </si>
  <si>
    <t>Updated 2025 distribution based on Skycus estimates, assume MoM of 2x with even distribution till 2030.</t>
  </si>
  <si>
    <t xml:space="preserve">Updated 2025 distribution based on Boyu estimate, assume even distirbution at MoM of 2.3x from 2026 to 2030, upgrade from prior forecast in view of growing demand for datacenter with AI development. </t>
  </si>
  <si>
    <t xml:space="preserve">Assume even distribution of KIL share (32.1%) of the remaining assets at latest NAV in 2027-2028 </t>
  </si>
  <si>
    <t>2025 based on Cottonwood guidance. Assume even distribution at MoM of 2.5x from 2027 to 2031.</t>
  </si>
  <si>
    <t>Based on dirrect input from GCPL team, overall the fund target to achieve MoM 3.5x</t>
  </si>
  <si>
    <t xml:space="preserve">Assume even distribution at MoM of 2.5x from 2029 to 2033. </t>
  </si>
  <si>
    <t>WACC</t>
  </si>
  <si>
    <t>Accumulated Net Cash Flow</t>
  </si>
  <si>
    <t>Meituan</t>
  </si>
  <si>
    <t>Tencent Music</t>
  </si>
  <si>
    <t>Project</t>
  </si>
  <si>
    <t>IRR (%)</t>
  </si>
  <si>
    <t>Difference</t>
  </si>
  <si>
    <t>Fund Overview</t>
  </si>
  <si>
    <t>Fund Performance Indicator</t>
  </si>
  <si>
    <t>Fee Term</t>
  </si>
  <si>
    <t>Fund Full Name</t>
  </si>
  <si>
    <t>Fair Value of Porfolio Companies (US$/mil)</t>
  </si>
  <si>
    <t>Management fees - investment period</t>
  </si>
  <si>
    <t>2% of commitment</t>
  </si>
  <si>
    <t>Initial Closing Date</t>
  </si>
  <si>
    <t>Total Net Asset Value (US$/mil)</t>
  </si>
  <si>
    <t>Management fees - after investment period</t>
  </si>
  <si>
    <t>2% of invested capital</t>
  </si>
  <si>
    <t>Final Closing Date</t>
  </si>
  <si>
    <t>Fund Gross Multiple (x)</t>
  </si>
  <si>
    <t>Preferred Return</t>
  </si>
  <si>
    <t>Vintage Year</t>
  </si>
  <si>
    <t>Fund Net Multiple (x)</t>
  </si>
  <si>
    <t>Carried Interest</t>
  </si>
  <si>
    <t>General Partner ("GP")</t>
  </si>
  <si>
    <t>Ascendent Capital Partners I GP, L.P.</t>
  </si>
  <si>
    <t>Fund Gross IRR (%)</t>
  </si>
  <si>
    <t>LP Reporting Timeline</t>
  </si>
  <si>
    <t>Investment Manager</t>
  </si>
  <si>
    <t>Ascendent Capital Partners Limited</t>
  </si>
  <si>
    <t>Fund Net IRR (%)</t>
  </si>
  <si>
    <t>Quarterly report (after period end)</t>
  </si>
  <si>
    <t>60 days</t>
  </si>
  <si>
    <t>Fund Domicile</t>
  </si>
  <si>
    <t>Cayman Islands</t>
  </si>
  <si>
    <t>Fund Distribution to Paid-in Capital (DPI %)</t>
  </si>
  <si>
    <t>Annual report (after period end)</t>
  </si>
  <si>
    <t>120 days</t>
  </si>
  <si>
    <t>8 years from Final Closing Date</t>
  </si>
  <si>
    <t>CCG Performance Indicator</t>
  </si>
  <si>
    <t>Extensions</t>
  </si>
  <si>
    <t>1 + 1 year</t>
  </si>
  <si>
    <t>Commitment (US$/mil)</t>
  </si>
  <si>
    <t>Investment Period</t>
  </si>
  <si>
    <t xml:space="preserve">Ownership % </t>
  </si>
  <si>
    <t xml:space="preserve">Fund Currency </t>
  </si>
  <si>
    <t>Cumulative Contribution (US$/mil)</t>
  </si>
  <si>
    <t xml:space="preserve">Fund Size / Total Commitment </t>
  </si>
  <si>
    <t>US$365.4mil</t>
  </si>
  <si>
    <t>Remaining Unfunded Commitment (US$/mil)</t>
  </si>
  <si>
    <t>Minimum Commitment</t>
  </si>
  <si>
    <t>US$10mil</t>
  </si>
  <si>
    <t>Cumulative Distribution (US$/mil)</t>
  </si>
  <si>
    <t>GP commitment</t>
  </si>
  <si>
    <t>US$21.5mil</t>
  </si>
  <si>
    <t>Capital Account Balance (US$/mil)</t>
  </si>
  <si>
    <t>Financial Year End</t>
  </si>
  <si>
    <t>Call-up Percentage (%)</t>
  </si>
  <si>
    <t>Accounting Principles</t>
  </si>
  <si>
    <t>US GAAP</t>
  </si>
  <si>
    <t>Distribution to Paid-in Capital (DPI %)</t>
  </si>
  <si>
    <t xml:space="preserve">Portfolio </t>
  </si>
  <si>
    <t>Multiple (x)</t>
  </si>
  <si>
    <t>Number of Portfolio Company</t>
  </si>
  <si>
    <t>Q4 2023</t>
  </si>
  <si>
    <t>Q4 2024</t>
  </si>
  <si>
    <t>Q1 2025</t>
  </si>
  <si>
    <t>Portfolio</t>
  </si>
  <si>
    <t>Company Description</t>
  </si>
  <si>
    <r>
      <t xml:space="preserve">Status
</t>
    </r>
    <r>
      <rPr>
        <sz val="8.5"/>
        <color theme="1"/>
        <rFont val="Arial"/>
        <family val="2"/>
      </rPr>
      <t>(Unrealized / Partial Realized / Realized / Write-off)</t>
    </r>
  </si>
  <si>
    <t>First Investment Date</t>
  </si>
  <si>
    <t>IPO Date</t>
  </si>
  <si>
    <t>Ticker</t>
  </si>
  <si>
    <t>Exit Date</t>
  </si>
  <si>
    <t>Exit Method</t>
  </si>
  <si>
    <r>
      <t xml:space="preserve">Holding Period 
</t>
    </r>
    <r>
      <rPr>
        <u/>
        <sz val="8.5"/>
        <color theme="1"/>
        <rFont val="Arial"/>
        <family val="2"/>
      </rPr>
      <t>(years)</t>
    </r>
  </si>
  <si>
    <t>Investment Cost (USD/mil)</t>
  </si>
  <si>
    <t>% of Ownership</t>
  </si>
  <si>
    <t>Realized Value (USD/mil)</t>
  </si>
  <si>
    <t>Unrealized Value 
(USD/mil)</t>
  </si>
  <si>
    <t>Total Value (USD/mil)</t>
  </si>
  <si>
    <t>IRR *</t>
  </si>
  <si>
    <t>Total Value - 
$ change YoY</t>
  </si>
  <si>
    <t>Total Value - 
% change YoY</t>
  </si>
  <si>
    <t>Total Value - 
$ change QoQ</t>
  </si>
  <si>
    <t>Total Value - 
% change QoQ</t>
  </si>
  <si>
    <t>WH Group Limited</t>
  </si>
  <si>
    <t>Previously under Shuanghui International; largest meat processor in China and pork producer in the world.</t>
  </si>
  <si>
    <t>Consumer</t>
  </si>
  <si>
    <t>Realized</t>
  </si>
  <si>
    <t>Nano Resources Limited</t>
  </si>
  <si>
    <t>SPV to acquire Tong Dai, a railway supplier of parts for high speed trains in China.</t>
  </si>
  <si>
    <t>Industrials</t>
  </si>
  <si>
    <t>CFP Incorporated</t>
  </si>
  <si>
    <t>One of the largest metal packaging suppliers in China for consumer goods such as beverages and food products.</t>
  </si>
  <si>
    <t>Internet Plus Holdings Ltd</t>
  </si>
  <si>
    <t xml:space="preserve">One of largest online to offline platforms in China for local consumer products and retail services, monetizing on advertising solutions. </t>
  </si>
  <si>
    <t>Ningxia Harmony Dairy</t>
  </si>
  <si>
    <t>Regional dairy company in north China under the name of "Xiajin"</t>
  </si>
  <si>
    <t>Yongding Healthcare Management</t>
  </si>
  <si>
    <t>Ownership of YD Hospital, a Grade II general hospital and 2nd largest general hospital in Wujiang, Suzhou providing basic medical services to local residents.</t>
  </si>
  <si>
    <t>Healthcare</t>
  </si>
  <si>
    <t>Yan'an Pharmaceutical</t>
  </si>
  <si>
    <t>Generic pharmaceutical production to sell in county/rural drugstores, community healthcare centres and private clinics across 18 provinces</t>
  </si>
  <si>
    <t>Partial Realized</t>
  </si>
  <si>
    <t>Sub-Total - Unrealized &amp; Partial Realized</t>
  </si>
  <si>
    <t>Sub-Total - Realized</t>
  </si>
  <si>
    <t>Commentary / Q&amp;A - Tracker</t>
  </si>
  <si>
    <t>Question</t>
  </si>
  <si>
    <t>Response / Commentary</t>
  </si>
  <si>
    <t>Fund Investment Cashflow</t>
  </si>
  <si>
    <t>CAS</t>
  </si>
  <si>
    <t>Recon</t>
  </si>
  <si>
    <t>Cummulative Contribution</t>
  </si>
  <si>
    <t>Date:</t>
  </si>
  <si>
    <t>Cummulative Distribution</t>
  </si>
  <si>
    <t>Capital Account Balance</t>
  </si>
  <si>
    <t>Fund:</t>
  </si>
  <si>
    <t>Ascendant Capital Fund</t>
  </si>
  <si>
    <t>Curr:</t>
  </si>
  <si>
    <t>Transaction type (Call/Distribution)</t>
  </si>
  <si>
    <t>Document date</t>
  </si>
  <si>
    <t>Trans. Date</t>
  </si>
  <si>
    <t>Year</t>
  </si>
  <si>
    <t>Portfolio Investment</t>
  </si>
  <si>
    <t>Mgmt fee</t>
  </si>
  <si>
    <t>Partnership exp</t>
  </si>
  <si>
    <t>Org Fee</t>
  </si>
  <si>
    <t>Trans. Amt</t>
  </si>
  <si>
    <t>Cum. Capital called</t>
  </si>
  <si>
    <t>Remaining callable capital</t>
  </si>
  <si>
    <t>Distributions</t>
  </si>
  <si>
    <t>Cum. Dist before Carry</t>
  </si>
  <si>
    <t>Carry Interest</t>
  </si>
  <si>
    <t>Cum. Dist after Carry</t>
  </si>
  <si>
    <t>Capital Call</t>
  </si>
  <si>
    <t>CC#1</t>
  </si>
  <si>
    <t>Shuanghui</t>
  </si>
  <si>
    <t>CC#2</t>
  </si>
  <si>
    <t>CC#3</t>
  </si>
  <si>
    <t>Ties to 2012 Q2 CAS</t>
  </si>
  <si>
    <t>Recallable distribution</t>
  </si>
  <si>
    <t>DD#1</t>
  </si>
  <si>
    <t>Ties to 2012 Q3 CAS</t>
  </si>
  <si>
    <t>CC#4</t>
  </si>
  <si>
    <t>Queens</t>
  </si>
  <si>
    <t>Shuanghui dvd</t>
  </si>
  <si>
    <t>Ties to 2012 Q4 CAS</t>
  </si>
  <si>
    <t>CC#5</t>
  </si>
  <si>
    <t>Ties to 2013 Q1 CAS</t>
  </si>
  <si>
    <t>CC#7</t>
  </si>
  <si>
    <t>CAN</t>
  </si>
  <si>
    <t>CC#8</t>
  </si>
  <si>
    <t>CC#6</t>
  </si>
  <si>
    <t>Ties to 2013 Q2 CAS</t>
  </si>
  <si>
    <t>CC#9</t>
  </si>
  <si>
    <t>Ties to 2013 Q3 CAS</t>
  </si>
  <si>
    <t>CC#10</t>
  </si>
  <si>
    <t>DD#2</t>
  </si>
  <si>
    <t>CC#11</t>
  </si>
  <si>
    <t>Ties to 2014 Q1 CAS</t>
  </si>
  <si>
    <t>CC#12</t>
  </si>
  <si>
    <t>Bronze</t>
  </si>
  <si>
    <t>CC#13</t>
  </si>
  <si>
    <t>Summer</t>
  </si>
  <si>
    <t>DD#3</t>
  </si>
  <si>
    <t>DD#4</t>
  </si>
  <si>
    <t>Nano dvd</t>
  </si>
  <si>
    <t>DD#5</t>
  </si>
  <si>
    <t>Ties to 2014 Q3 CAS</t>
  </si>
  <si>
    <t>CC#14</t>
  </si>
  <si>
    <t>DD#6</t>
  </si>
  <si>
    <t>CAN &amp; Nano dvd</t>
  </si>
  <si>
    <t>Ties to 2014 Q4 CAS</t>
  </si>
  <si>
    <t>CC#15</t>
  </si>
  <si>
    <t>Dianping</t>
  </si>
  <si>
    <t>Ties to 2015 Q1,Q2 CAS</t>
  </si>
  <si>
    <t>DD#7</t>
  </si>
  <si>
    <t>Shuanghui sale &amp; Nano dvd</t>
  </si>
  <si>
    <t>DD#8</t>
  </si>
  <si>
    <t>Can &amp; Yongding</t>
  </si>
  <si>
    <t>CC#17</t>
  </si>
  <si>
    <t>Mint &amp; Yongding</t>
  </si>
  <si>
    <t>Ties to 2015 Q3 CAS</t>
  </si>
  <si>
    <t>CC#18</t>
  </si>
  <si>
    <t>DD#9</t>
  </si>
  <si>
    <t>Ties to 2016 Q1 CAS</t>
  </si>
  <si>
    <t>CC#19</t>
  </si>
  <si>
    <t>DD#10</t>
  </si>
  <si>
    <t>Nano sale &amp; Bronze dvd</t>
  </si>
  <si>
    <t>Ties to 2016 Q2,Q3,Q4, 2017 Q1 CAS</t>
  </si>
  <si>
    <t>CC#20</t>
  </si>
  <si>
    <t>DD#11</t>
  </si>
  <si>
    <t>Ties to 2017 Q2 CAS</t>
  </si>
  <si>
    <t>DD#12</t>
  </si>
  <si>
    <t>Can</t>
  </si>
  <si>
    <t>Ties to 2017 Q3,Q4 CAS</t>
  </si>
  <si>
    <t>CC#23</t>
  </si>
  <si>
    <t>CC#24</t>
  </si>
  <si>
    <t>Ties to 2018 Q1 CAS</t>
  </si>
  <si>
    <t>CC#25</t>
  </si>
  <si>
    <t>DD#13</t>
  </si>
  <si>
    <t xml:space="preserve">Nano </t>
  </si>
  <si>
    <t>Ties to 2018 Q2 CAS</t>
  </si>
  <si>
    <t>CC#26</t>
  </si>
  <si>
    <t>DD#14</t>
  </si>
  <si>
    <t>Ties to 2018 Q3,Q4 CAS</t>
  </si>
  <si>
    <t>CC#27</t>
  </si>
  <si>
    <t>Ties to 2019 Q1,Q2,Q3 CAS</t>
  </si>
  <si>
    <t>CC#28</t>
  </si>
  <si>
    <t>Ties to 2019 Q4 CAS</t>
  </si>
  <si>
    <t>CC#29</t>
  </si>
  <si>
    <t>Ties to 2020 Q1,Q2 CAS</t>
  </si>
  <si>
    <t>CC#30</t>
  </si>
  <si>
    <t>DD#15</t>
  </si>
  <si>
    <t>New Hope Diary</t>
  </si>
  <si>
    <t>Ties to 2020 Q3,Q4 CAS</t>
  </si>
  <si>
    <t>CC#31</t>
  </si>
  <si>
    <t>DD#16</t>
  </si>
  <si>
    <t>Ningxia Harmony</t>
  </si>
  <si>
    <t>Ties to 2021 Q1 CAS</t>
  </si>
  <si>
    <t>CC#32</t>
  </si>
  <si>
    <t>DD#17</t>
  </si>
  <si>
    <t>DD#18</t>
  </si>
  <si>
    <t>Ties to 2021 Q2,Q3 CAS</t>
  </si>
  <si>
    <t>CC#33</t>
  </si>
  <si>
    <t>DD#19</t>
  </si>
  <si>
    <t>CC#34</t>
  </si>
  <si>
    <t>DD#20</t>
  </si>
  <si>
    <t>Ties to 2023 Q2 CAS</t>
  </si>
  <si>
    <t>DD#21</t>
  </si>
  <si>
    <t>Ties to 2024 Q4 CAS</t>
  </si>
  <si>
    <t>Key Fee Term</t>
  </si>
  <si>
    <t>n.a.*</t>
  </si>
  <si>
    <t>BOYU Capital General Partner I, L.P.</t>
  </si>
  <si>
    <t>BOYU Capital Management Ltd.</t>
  </si>
  <si>
    <t>90 days</t>
  </si>
  <si>
    <t>Jun 2021 (10 years from Initial Closing Date)</t>
  </si>
  <si>
    <t>Jun 2016 (5 years from Initial Closing Date)</t>
  </si>
  <si>
    <t>US$1.0301b</t>
  </si>
  <si>
    <t>US$10.2mil</t>
  </si>
  <si>
    <t>Uni-Champion (Sunrise)</t>
  </si>
  <si>
    <t>Holding company of Sunrise Duty Free, leading private operator of duty free shops in China's 3 largest airports</t>
  </si>
  <si>
    <t>China Cinda Asset Management (Cinda)</t>
  </si>
  <si>
    <t>Non-banking financial institution regulated by China Banking Regulatory Commission. Actively engaged in acquisition and disposal of non-performing assets from China's banking sector. Also established a comprehensive multi-licensed financial services platform.</t>
  </si>
  <si>
    <t>Far East Horizon</t>
  </si>
  <si>
    <t>One of the largest and best managed financial leasing companies in China, providing tailor-made financial leasing services, advisory, trading and brokerage services to SME customers across various industries including healthcare, shipping, construction and education.</t>
  </si>
  <si>
    <t>SH SMG-CJ (OCJ)</t>
  </si>
  <si>
    <t>Largest home shopping company in China, marketing its products under "Oriental Shopping" through various media platforms.</t>
  </si>
  <si>
    <t>Alibaba Group</t>
  </si>
  <si>
    <t>Largest internet asset in China and ecommerce online platform, including alibaba.com, Taobao Group. IPO in Sept 2014. One of the top valued public companies in the world.</t>
  </si>
  <si>
    <t>Marisfrolg</t>
  </si>
  <si>
    <t>Leading high-end multi-brand apparel company in China, based in Shenzhen.</t>
  </si>
  <si>
    <t>Stelux Holdings</t>
  </si>
  <si>
    <t>Mid-end watch and optical products targeting middle income consumers in Greater China and SE Asia. Owns City Chain and Optical88 retail chains and has own brands including Solvil et Titus, CYMA, Pronto, Ellesse and Universal Geneve.</t>
  </si>
  <si>
    <t>Multi Concepts Link (MCL)</t>
  </si>
  <si>
    <t>China-style dessert chain with 20-year exclusive franchise right expiring in 2028 for China and 2030 for Singapore. Operates under the brand "Honeymoon Dessert".</t>
  </si>
  <si>
    <t>Meituan Dianping</t>
  </si>
  <si>
    <t>Ping An Insurance</t>
  </si>
  <si>
    <t>Leading integrated financial services conglomerate in China in life insurance, P&amp;C insurance, banking, trust, securities and asset management. Largest non-state owned and best-run insurance player in China.</t>
  </si>
  <si>
    <t>COFCO Meat</t>
  </si>
  <si>
    <t>China's largest food processor, manufacturer and trader. COFCO Group's core subsidiary primarily for feedstuff producing, breeding, slaughtering, processing and distribution. Listed on HKEX in 2016.</t>
  </si>
  <si>
    <t>Boyu Capital Fund I</t>
  </si>
  <si>
    <t>Mgmt Fee</t>
  </si>
  <si>
    <t>Partnership Exp</t>
  </si>
  <si>
    <t>Distributions (after Carried)</t>
  </si>
  <si>
    <t>Cum. Dist</t>
  </si>
  <si>
    <t xml:space="preserve">Capital Call </t>
  </si>
  <si>
    <t>Sunrise Duty Free</t>
  </si>
  <si>
    <t>Partial refund of capital call #1</t>
  </si>
  <si>
    <t>Cinda</t>
  </si>
  <si>
    <t>Sunrise Duty Free dividend</t>
  </si>
  <si>
    <t>SMJ-CJ Home</t>
  </si>
  <si>
    <t>Alibaba &amp; Far East Horizon</t>
  </si>
  <si>
    <t>Far East Horizon Dividend</t>
  </si>
  <si>
    <t>Far East Horizon, Marisflog, Stelux</t>
  </si>
  <si>
    <t>Stelux CB interest</t>
  </si>
  <si>
    <t>Far East &amp; MCL</t>
  </si>
  <si>
    <t>Sunrise dvd, Far East dvd, Marisfrog dvd, Stelux CB interest</t>
  </si>
  <si>
    <t>Cinda &amp; CJ dvd</t>
  </si>
  <si>
    <t>Marisfrolg dvd, Stelux CB interest</t>
  </si>
  <si>
    <t>Ping An dvd, Marisfrolg dvd</t>
  </si>
  <si>
    <t>Alibaba sale, FEH/OCJ/Ping An dvd, Stelux CB interest</t>
  </si>
  <si>
    <t>Sunrise/Cinda/Marisfrolg dvd</t>
  </si>
  <si>
    <t>CC#16</t>
  </si>
  <si>
    <t>Sunrise DVD, Sterlux CB interest</t>
  </si>
  <si>
    <t>Cinda sale</t>
  </si>
  <si>
    <t>Far East Horizon / OCJ dvd</t>
  </si>
  <si>
    <t>Ping An sale</t>
  </si>
  <si>
    <t>OCJ sale</t>
  </si>
  <si>
    <t>FEH sale, Sunrise dvd, Stelux CB interest</t>
  </si>
  <si>
    <t>Sunrise dvd</t>
  </si>
  <si>
    <t>Alibaba sale &amp; Marisfrolg dvd</t>
  </si>
  <si>
    <t>CC#21</t>
  </si>
  <si>
    <t>Ping An &amp; Stelux CB</t>
  </si>
  <si>
    <t>CC#22</t>
  </si>
  <si>
    <t>Alibaba Sale &amp; FEH dvd</t>
  </si>
  <si>
    <t>Alibaba Sale &amp; Stelux CB early redemption</t>
  </si>
  <si>
    <t>DD#22</t>
  </si>
  <si>
    <t>DD#23</t>
  </si>
  <si>
    <t>Alibaba sale &amp; Sunrise DVD</t>
  </si>
  <si>
    <t>DD#24</t>
  </si>
  <si>
    <t>Sunrise DVD</t>
  </si>
  <si>
    <t>DD#25</t>
  </si>
  <si>
    <t>DD#26</t>
  </si>
  <si>
    <t xml:space="preserve">Sunrise DVD </t>
  </si>
  <si>
    <t>DD#27</t>
  </si>
  <si>
    <t>IPH Shares Sales &amp; FEH DVD</t>
  </si>
  <si>
    <t>DD#28</t>
  </si>
  <si>
    <t>IPH Shares Sales</t>
  </si>
  <si>
    <t>DD#29</t>
  </si>
  <si>
    <t>Alibaba sale</t>
  </si>
  <si>
    <t>DD#30</t>
  </si>
  <si>
    <t>Marisfrolg dvd</t>
  </si>
  <si>
    <t>DD#31</t>
  </si>
  <si>
    <t>DD#32</t>
  </si>
  <si>
    <t>Sunrise dvd &amp; FEH sale</t>
  </si>
  <si>
    <t>DD#33</t>
  </si>
  <si>
    <t>DD#34</t>
  </si>
  <si>
    <t>DD#35</t>
  </si>
  <si>
    <t>Meituan sales</t>
  </si>
  <si>
    <t>DD#36</t>
  </si>
  <si>
    <t>COFCO Meat sales</t>
  </si>
  <si>
    <t>DD#37</t>
  </si>
  <si>
    <t>Marisfrolg sales</t>
  </si>
  <si>
    <t>DD#38</t>
  </si>
  <si>
    <t>DD#39</t>
  </si>
  <si>
    <t>DD#40</t>
  </si>
  <si>
    <t>DD#41</t>
  </si>
  <si>
    <t>DD#42</t>
  </si>
  <si>
    <t>DD#43</t>
  </si>
  <si>
    <t>DD#44</t>
  </si>
  <si>
    <t>DD#45</t>
  </si>
  <si>
    <t>CC#35</t>
  </si>
  <si>
    <t>DD#46</t>
  </si>
  <si>
    <t>Sunrise dividends</t>
  </si>
  <si>
    <t>CC#36</t>
  </si>
  <si>
    <t>DD#47</t>
  </si>
  <si>
    <t>CC#37</t>
  </si>
  <si>
    <t>CC#38</t>
  </si>
  <si>
    <t>CC#39</t>
  </si>
  <si>
    <t>DD#48</t>
  </si>
  <si>
    <t>Ties to 2023 Q3 CAS</t>
  </si>
  <si>
    <t>DD#49</t>
  </si>
  <si>
    <t>Sunrise Dividend Distribution History</t>
  </si>
  <si>
    <t>Total Sunrise dividends</t>
  </si>
  <si>
    <t>BOYU CAPITAL OFFSHORE FUND</t>
  </si>
  <si>
    <t>Transation History</t>
  </si>
  <si>
    <t>SERIES A UNRESTRICTED INITIAL SERIES - MAY
2016</t>
  </si>
  <si>
    <t>SERIES A UNRESTRICTED INITIAL SERIES - MAY 2016 - OFFSHORE NOV 2020/FEB 2021</t>
  </si>
  <si>
    <t>BOYU CAPITAL FUND SP INITIAL SERIES A UR - JANUARY 2020/March 2021</t>
  </si>
  <si>
    <t>BOYU CAPITAL FUND SP INITIAL SERIES A UR - DEC21</t>
  </si>
  <si>
    <t>BOYU CAPITAL FUND SP INITIAL SERIES A UR - MAR22</t>
  </si>
  <si>
    <t>BOYU CAPITAL FUND SP INITIAL SERIES A UR - MAY23</t>
  </si>
  <si>
    <t>BOYU CAPITAL FUND SP INITIAL SERIES A UR - JUN23</t>
  </si>
  <si>
    <t>BOYU CAPITAL FUND SP2 INITIAL SERIES A UR - JULY 2020/FEB 2021</t>
  </si>
  <si>
    <t>SR15 MAY22</t>
  </si>
  <si>
    <t>BOYU CAPITAL FUND SP3 INITIAL SERIES A UR - SEPTEMBER 2020</t>
  </si>
  <si>
    <t>BOYU CAPITAL FUND SP4 INITIAL SERIES A UR - JANUARY 2021</t>
  </si>
  <si>
    <t>SP8 SERIES A UR
MAY 21</t>
  </si>
  <si>
    <t>SP9 SERIES A UR
MAY 21</t>
  </si>
  <si>
    <t>SP10 SERIES A UR
MAY 21</t>
  </si>
  <si>
    <t>SP7 SERIES A UR
MAY 21</t>
  </si>
  <si>
    <t>SP SERIES A UR
SR01 JUN21</t>
  </si>
  <si>
    <t>SP13 SERIES A UR
SR01 JUL21</t>
  </si>
  <si>
    <t>SP14 SERIES A UR
SR01 JUL21</t>
  </si>
  <si>
    <t>SP15 SERIES A UR
SR01 AUG21</t>
  </si>
  <si>
    <t>SP16 SERIES A UR
SR01 AUG21</t>
  </si>
  <si>
    <t>SP17 SERIES A UR SR01 NOV21</t>
  </si>
  <si>
    <t>SP18 SERIES A UR SR01 JAN22</t>
  </si>
  <si>
    <t>SP19 SERIES A UR SR01 JAN22</t>
  </si>
  <si>
    <t>Consolidated</t>
  </si>
  <si>
    <t>NAV Date</t>
  </si>
  <si>
    <t>No. of Shares</t>
  </si>
  <si>
    <t>NAV</t>
  </si>
  <si>
    <t>Transaction Amount</t>
  </si>
  <si>
    <t>Market value</t>
  </si>
  <si>
    <t>Date</t>
  </si>
  <si>
    <t>Amount</t>
  </si>
  <si>
    <t>Gain/(loss)</t>
  </si>
  <si>
    <t>Subscription</t>
  </si>
  <si>
    <t>1st Redemption</t>
  </si>
  <si>
    <t>2nd Redemption</t>
  </si>
  <si>
    <t>3rd Redemption</t>
  </si>
  <si>
    <t>4th Redemption</t>
  </si>
  <si>
    <t>5th Redemption</t>
  </si>
  <si>
    <t>6th Redemption</t>
  </si>
  <si>
    <t>7th Redemption</t>
  </si>
  <si>
    <t>8th Redemption</t>
  </si>
  <si>
    <t>9th Redemption</t>
  </si>
  <si>
    <t>10th Redemption</t>
  </si>
  <si>
    <t>Partial Redemption</t>
  </si>
  <si>
    <t>Redemption</t>
  </si>
  <si>
    <t>Unrealised</t>
  </si>
  <si>
    <t>Distribution by year</t>
  </si>
  <si>
    <t>Accumulated distribution</t>
  </si>
  <si>
    <t>1.75% of commitment</t>
  </si>
  <si>
    <t>1.75% of invested capital</t>
  </si>
  <si>
    <t>n.a.</t>
  </si>
  <si>
    <t>Boyu Real Estate
General Partner I, Ltd</t>
  </si>
  <si>
    <t>10 years from initial closing date</t>
  </si>
  <si>
    <t>1+1</t>
  </si>
  <si>
    <t>5 years from initial closing date</t>
  </si>
  <si>
    <t>US$900m</t>
  </si>
  <si>
    <t>US$10m</t>
  </si>
  <si>
    <t>1.5% of the Aggregate Parallel Commitments</t>
  </si>
  <si>
    <t>Jiayuan International Group Limited</t>
  </si>
  <si>
    <t>HK real estate developper (delisted in Oct-2024)</t>
  </si>
  <si>
    <t>CEICloud Jinshan Data Center</t>
  </si>
  <si>
    <t>An established IDC operator to develop data centre in Jinshan District, Shanghai</t>
  </si>
  <si>
    <t>VX Logistics Development Co., Ltd.</t>
  </si>
  <si>
    <t>VX is the second largest logistics developer, owner, and operator (by GFA under management) in China, only trailing GLP</t>
  </si>
  <si>
    <t>Unrealized</t>
  </si>
  <si>
    <t>Langfang Dongyi Supply Chain Management Co., Ltd.</t>
  </si>
  <si>
    <t xml:space="preserve">Boyu RE partners with E-way, to develop a logistics warehouse project in Langfang, a satellite city to Beijing. </t>
  </si>
  <si>
    <t>Changshu Yowant Technology Development Co., Ltd.</t>
  </si>
  <si>
    <t>Boyu RE partners with Marvel to develop a logistics warehouse project in Changshu, adjacent to 
Shanghai.</t>
  </si>
  <si>
    <t>Jinke Smart Services Group Co., Ltd.</t>
  </si>
  <si>
    <t>Jinke Services is a leading property management service provider in China and the largest 
property management company in Southwest China</t>
  </si>
  <si>
    <t>Sanhe Shenglei Logistics Co., Ltd.</t>
  </si>
  <si>
    <t>Boyu partners with E-way to develop a logistics warehouse project in Langfang, a satellite city to Beijing.</t>
  </si>
  <si>
    <t>Zonglian Semiconductor Technology (Shanghai) Co., Ltd.</t>
  </si>
  <si>
    <t>Boyu partners with Marvel to acquire a second-hand land parcel and to develop a logistics warehouse project in Fengxian District, Shanghai</t>
  </si>
  <si>
    <t>Guangzhou Corestone Gangcheng Supply Chain Services Co., Ltd.</t>
  </si>
  <si>
    <t>Boyu partners with Corestone to develop a logistics warehouse project in Baiyun District, Guangzhou, near Guangzhou International Airport.  The land has buildable GFA of around 128,000 sqm.</t>
  </si>
  <si>
    <t>Foshan Qiwang Supply Chain Management Co., Ltd.</t>
  </si>
  <si>
    <t>Boyu partners with Marvel to acquire a first-hand land parcel and to develop a logistics warehouse project in Nanhai District, Foshan, 10km drive from Guangzhou city center.  The land has a buildable GFA of around 124,000 sqm.</t>
  </si>
  <si>
    <t>ZData Intelligent Valley Limited</t>
  </si>
  <si>
    <t>Zdata currently operates 8 IDC with total IT load of c.245 MW.  8 projects are under construction with an additional IT load of c.550 MW in Tier 1 cities and other selected strategic locations.</t>
  </si>
  <si>
    <t>Beijing Tujing Technology Co., Ltd.</t>
  </si>
  <si>
    <t>Boyu partners with Bluehall, a renowned IDC operator with in-depth operating experience in Greater Beijing Airea, to develop a hyperscale IDC greenfield project in Yanqing District, Beijing, with an estimated 38.4 MW design IT load that hosts &gt;5,000 racks in total</t>
  </si>
  <si>
    <t>Foshan Haiji Supply Chain Management Co., Ltd.</t>
  </si>
  <si>
    <t>Boyu partners with Corestone to develop a logistics warehouse project in Nanhai District, Foshan, with close proximity to both Guangzhou and Foshan city centre. The land has buildable GFA of around 131,200 sqm.</t>
  </si>
  <si>
    <t>Wuxi Yitai Equipment Manufacturing Co., Ltd.</t>
  </si>
  <si>
    <t>Boyu RE partners with ESR to develop a three-storey ramped warehouse / workshop in Wuxi, with a buildable GFA of around 114,600 sqm</t>
  </si>
  <si>
    <t>DayOne Data Centers Limited</t>
  </si>
  <si>
    <t>IDC Developer and operator with leading position in Southeast Asia and other regions.</t>
  </si>
  <si>
    <t>Jiayuan International</t>
  </si>
  <si>
    <t>CEICloud</t>
  </si>
  <si>
    <t>CC#4/DD#2</t>
  </si>
  <si>
    <t>CC#5/DD#3</t>
  </si>
  <si>
    <t>CEICloud Portfolio Investment</t>
  </si>
  <si>
    <t>Catch Up</t>
  </si>
  <si>
    <t>VX &amp; Marvel Changshu</t>
  </si>
  <si>
    <t>Jinke Property</t>
  </si>
  <si>
    <t>Ties to 2024 Q3 CAS</t>
  </si>
  <si>
    <t>C Ventures Fund Limited (Cayman)</t>
  </si>
  <si>
    <t>C Ventures Fund II Investment Manager LLC (Delware, US)</t>
  </si>
  <si>
    <t>Fund Performance (DPI %)</t>
  </si>
  <si>
    <t>Sep 2026 (8 years from Initial Closing Date)</t>
  </si>
  <si>
    <t>1 year</t>
  </si>
  <si>
    <t>Sep 2021 (3 years from Initial Closing Date + 1 year extension)</t>
  </si>
  <si>
    <t>US$56mil</t>
  </si>
  <si>
    <t>US$0.5mil</t>
  </si>
  <si>
    <t>IFRS</t>
  </si>
  <si>
    <t>Net IRR (%)</t>
  </si>
  <si>
    <t>Golong</t>
  </si>
  <si>
    <t>Beauty and cosmetics brand management company in China</t>
  </si>
  <si>
    <t>Biren</t>
  </si>
  <si>
    <t>Leading GPGPU computing technology company in China</t>
  </si>
  <si>
    <t>Fiture</t>
  </si>
  <si>
    <t>Leading fitness mirror brand with star founding team from US-listed FTA</t>
  </si>
  <si>
    <t>Lalamove</t>
  </si>
  <si>
    <t>Leading global on-demand logistics matching platform</t>
  </si>
  <si>
    <t>Logistics</t>
  </si>
  <si>
    <t>GritWorld</t>
  </si>
  <si>
    <t>Leading digital content engine company</t>
  </si>
  <si>
    <t>Tezign</t>
  </si>
  <si>
    <t>Leading content production and management platform</t>
  </si>
  <si>
    <t>RoboticPlus.AI</t>
  </si>
  <si>
    <t>Develop Mechanisation, Automation, Robotics and Sensor (MARS) technologies for horticulture and other primary industries.</t>
  </si>
  <si>
    <t>Qcode</t>
  </si>
  <si>
    <t>Podcast network and audio production studio based in Los Angeles and works with Hollywood A-list talent</t>
  </si>
  <si>
    <t>Shimao</t>
  </si>
  <si>
    <t>Property management and community living services provider</t>
  </si>
  <si>
    <t>Pre-investment</t>
  </si>
  <si>
    <t>0813 HK</t>
  </si>
  <si>
    <t>Agile Robots</t>
  </si>
  <si>
    <t>A high-tech startup based in Munich in developing robot systems and solutions.</t>
  </si>
  <si>
    <t>0020 HK</t>
  </si>
  <si>
    <t>Chaodian</t>
  </si>
  <si>
    <t>Virtual idol creation and management company. A subsidiary of Bilibili.</t>
  </si>
  <si>
    <t>Others</t>
  </si>
  <si>
    <t>Helen's</t>
  </si>
  <si>
    <t>Low price bar chain in mainland China</t>
  </si>
  <si>
    <t>SenseTime</t>
  </si>
  <si>
    <t>The Largest AI-enabling platform in Asia with facial recognition technology ranked #1 globally.</t>
  </si>
  <si>
    <t>RTFKT</t>
  </si>
  <si>
    <t>Creators of virtual sneakers and collectibles, merging realities in fashion and gaming.</t>
  </si>
  <si>
    <t>Knowbox</t>
  </si>
  <si>
    <t>China's leading K12 online education enterprise with AI technology. Alibaba backed company.</t>
  </si>
  <si>
    <t>Write-off</t>
  </si>
  <si>
    <t>Wholly Moly</t>
  </si>
  <si>
    <t>Functional healthy grain brand and a pioneer in the oat bran category.</t>
  </si>
  <si>
    <t>Miss Berry</t>
  </si>
  <si>
    <t>Fermentation Bubble Fruit Wine manufacturer (Tmall brand)</t>
  </si>
  <si>
    <t>Per CAS</t>
  </si>
  <si>
    <t>Tezign/RoboticPlus/SenseTime</t>
  </si>
  <si>
    <t>Helen/Lalamove</t>
  </si>
  <si>
    <t>Fiture/Missberry/Token</t>
  </si>
  <si>
    <t>Recallable Distribution</t>
  </si>
  <si>
    <t>Agile</t>
  </si>
  <si>
    <t>Helen</t>
  </si>
  <si>
    <t>tie with 2023 Q1 CAS</t>
  </si>
  <si>
    <t>tie with 2023 Q3 CAS</t>
  </si>
  <si>
    <t>tie with 2024 Q1 CAS</t>
  </si>
  <si>
    <t>tie with 2024 Q3 CAS</t>
  </si>
  <si>
    <t>tie with 2024 Q4 CAS</t>
  </si>
  <si>
    <t xml:space="preserve">Unrealised FV </t>
  </si>
  <si>
    <t>Capital account balance</t>
  </si>
  <si>
    <t>1.5% of commitment</t>
  </si>
  <si>
    <t>2023</t>
  </si>
  <si>
    <t>1.5% of contributed capital</t>
  </si>
  <si>
    <t>n.a</t>
  </si>
  <si>
    <t>Cottonwood Afflilate</t>
  </si>
  <si>
    <t>CW Investment Advsiors, LLC</t>
  </si>
  <si>
    <t>2031 (7 years from Initial Closing Date)</t>
  </si>
  <si>
    <t>3, 1 year periods</t>
  </si>
  <si>
    <t>3 years from final closing</t>
  </si>
  <si>
    <t>259.235m</t>
  </si>
  <si>
    <t>US$15mil</t>
  </si>
  <si>
    <t>Ranger (Note A)</t>
  </si>
  <si>
    <t>Construction funding</t>
  </si>
  <si>
    <t>Real Estate (Multi-Family)</t>
  </si>
  <si>
    <t>Ranger (Note B)</t>
  </si>
  <si>
    <t>Schooner</t>
  </si>
  <si>
    <t>Wahoo</t>
  </si>
  <si>
    <t>Real Estate (Land)</t>
  </si>
  <si>
    <t>Falcon</t>
  </si>
  <si>
    <t>Real Estate (Industrial)</t>
  </si>
  <si>
    <t>Buckeye</t>
  </si>
  <si>
    <t>Wildcat</t>
  </si>
  <si>
    <t>Longhorn 1</t>
  </si>
  <si>
    <t>Longhorn 2</t>
  </si>
  <si>
    <t>Longhorn 3</t>
  </si>
  <si>
    <t>Longhorn 4</t>
  </si>
  <si>
    <t>Distributions (before Carried)</t>
  </si>
  <si>
    <t>Withholding tax</t>
  </si>
  <si>
    <t>Equalisation</t>
  </si>
  <si>
    <t>Equalisation#1</t>
  </si>
  <si>
    <t>Equalisation relating to CC#1</t>
  </si>
  <si>
    <t>Equalisation interest</t>
  </si>
  <si>
    <t>Equalisation#2</t>
  </si>
  <si>
    <t>Equalisation relating to CC#2</t>
  </si>
  <si>
    <t xml:space="preserve">Capital Balance </t>
  </si>
  <si>
    <t>2% of funded commitment</t>
  </si>
  <si>
    <t>n.a. *</t>
  </si>
  <si>
    <t>DCP General Partner, Ltd. (Cayman)</t>
  </si>
  <si>
    <t>DCP Management, Ltd. (Cayman)</t>
  </si>
  <si>
    <t>Fund Distribution to Paid-in Capital (DPI)</t>
  </si>
  <si>
    <t>11 years from the first investment date</t>
  </si>
  <si>
    <t>1 year + any additional 1 year approved by Advisory Committee</t>
  </si>
  <si>
    <t>6 years from first investment date</t>
  </si>
  <si>
    <t>US$2.0547bil</t>
  </si>
  <si>
    <t>% of Invested Capital</t>
  </si>
  <si>
    <t>Leading environmental protection and energy efficiency solutions provider in China</t>
  </si>
  <si>
    <t>Business Services</t>
  </si>
  <si>
    <t>China Mengshu</t>
  </si>
  <si>
    <t>Leading player in China's rapidly growing ecology and greenery sector with a large tree plantation operation</t>
  </si>
  <si>
    <t>Resources</t>
  </si>
  <si>
    <t>COFCO Joycome</t>
  </si>
  <si>
    <t>Rapidly growing hog company in China with a vertically integrated business model</t>
  </si>
  <si>
    <t>01610.HK</t>
  </si>
  <si>
    <t>Market sale</t>
  </si>
  <si>
    <t>MFS Technology</t>
  </si>
  <si>
    <t>One-stop solutions provider for printed circuit interconnections (FPC/PCB/Rigid Flex) headquartered in Singapore</t>
  </si>
  <si>
    <t>Strategic sale</t>
  </si>
  <si>
    <t>Venus Medtech</t>
  </si>
  <si>
    <t>Medical device company pioneering transcatheter aortic alve replacement technology in China</t>
  </si>
  <si>
    <t>02500.HK</t>
  </si>
  <si>
    <t>Far East Horizon Leasing</t>
  </si>
  <si>
    <t>Leasing company in China targeting the SME financing market</t>
  </si>
  <si>
    <t>03360.HK</t>
  </si>
  <si>
    <t>Shape Technologies</t>
  </si>
  <si>
    <t>Leader in ultra high pressure pumps and robotic solutions for industrial cutting and automation</t>
  </si>
  <si>
    <t>Orgain Nutrition</t>
  </si>
  <si>
    <t>Leading manufacturer and marketer of healthy, organic, natural nutritional products</t>
  </si>
  <si>
    <t>Sinopharm Leasing</t>
  </si>
  <si>
    <t>Leasing company in China focused on healthcare leasing</t>
  </si>
  <si>
    <t>Samsonite International S.A.</t>
  </si>
  <si>
    <t>Global leader in travel luggages with core brands Samsonite, Tumi, and American Tourister</t>
  </si>
  <si>
    <t>01910.HK</t>
  </si>
  <si>
    <t>V2 Healthcare</t>
  </si>
  <si>
    <t>Platform investing in innovative healthcare companies</t>
  </si>
  <si>
    <t>Dongbao Pharmaceutical</t>
  </si>
  <si>
    <t>Pharmaceutical company in China focused on anti-diabetic drugs</t>
  </si>
  <si>
    <t>600867.SZ</t>
  </si>
  <si>
    <t>YFD Education</t>
  </si>
  <si>
    <t>Online education company in China focused on K12 after school tutoring classes</t>
  </si>
  <si>
    <t>Hotwon Network Group</t>
  </si>
  <si>
    <t>Data center operator</t>
  </si>
  <si>
    <t>Xingsheng Preference Group Purchasing</t>
  </si>
  <si>
    <t>Community group purchasing platform where residents in the same neighborhood collectively order groceries and fresh produce</t>
  </si>
  <si>
    <t>American-Sino Healthcare</t>
  </si>
  <si>
    <t>Healthcare services provider in Shanghai</t>
  </si>
  <si>
    <t>Fenbi Services</t>
  </si>
  <si>
    <t>Leading provider for online and offline professional training services</t>
  </si>
  <si>
    <t>Oriental Yuhong Waterproof Technology</t>
  </si>
  <si>
    <t>Largest waterproofing system supplier in China for infrastructure projects and commercial / industrial buildings</t>
  </si>
  <si>
    <t>002271.SZ</t>
  </si>
  <si>
    <t>Datong Insurance Services</t>
  </si>
  <si>
    <t>Independent insurance brokerage firm</t>
  </si>
  <si>
    <t>China Feihe</t>
  </si>
  <si>
    <t>Largest domestic infant milk formula company in China</t>
  </si>
  <si>
    <t>06186.HK</t>
  </si>
  <si>
    <t>what is the cause of unrealized value decline?</t>
  </si>
  <si>
    <t>Q4 unrealised value is based on negotiated sale price in 2025. We've just fully exited the investment, achieving 1.7x MoM. Despite the challenging market environment in China, we successfully drove this full exit through an effective change-of-control sale</t>
  </si>
  <si>
    <t>when did it gets written off?</t>
  </si>
  <si>
    <t xml:space="preserve">The fair value has been written down to zero in Q4. The cost has not been written off as the company is still in the process of being liquidated. </t>
  </si>
  <si>
    <t>what led to the realization of 3M value while it has been exited in 2023?</t>
  </si>
  <si>
    <t>3m is related to post-closing adjustment proceeds</t>
  </si>
  <si>
    <t>Drop in share price</t>
  </si>
  <si>
    <t>why there is a 19m increase in investment cost while the report mention 56.3m new investment? Why is the unrealized value increasing more than 27m and realized value by 1m? Especially when company revenue has decline?</t>
  </si>
  <si>
    <t xml:space="preserve">56m was invested in two tranches, 37m and 19m were reflected in Q3 &amp; Q4, respectively. The increase in unrealised value is mainly due to the additional investment cost of 19m in Q4. Realised value is the interest income from Shape. </t>
  </si>
  <si>
    <t>why is the unrealized value marked down when a 1.3x MOM is locked in for tranch 2?</t>
  </si>
  <si>
    <t xml:space="preserve">Q4 unrealised value is based on final proceeds received in 2025. </t>
  </si>
  <si>
    <t xml:space="preserve">what is the exit plan with the remaining 2 companies </t>
  </si>
  <si>
    <t xml:space="preserve">Current target is to exit them by 2027, either through an IPO or redemption </t>
  </si>
  <si>
    <t>is the markdown due to share price changes?</t>
  </si>
  <si>
    <t>Yes</t>
  </si>
  <si>
    <t>Why markdown when financial has turned around?</t>
  </si>
  <si>
    <t>Mainly due to RMB depreciated against USD</t>
  </si>
  <si>
    <t xml:space="preserve">-	Trading comps of EV/Sales declined to 1.31x from 1.56x
-	LTM GMV declined by 8% vs. Q3
-	RMB depreciated against USD </t>
  </si>
  <si>
    <t>why is there markdown? FX reason?</t>
  </si>
  <si>
    <t>(1) lower EV/sales multiple as the stock price of comps went down, and (2) FX effect (RMB depreciation).</t>
  </si>
  <si>
    <t>why lead to the material markdown of unrealized value?</t>
  </si>
  <si>
    <t xml:space="preserve">Mainly due to the regulatory changes on insurance companies.  </t>
  </si>
  <si>
    <t>Total fund size</t>
  </si>
  <si>
    <t>Total LP Commitment</t>
  </si>
  <si>
    <t>Partnership interest</t>
  </si>
  <si>
    <t>Total LP contribution</t>
  </si>
  <si>
    <t>Called up %</t>
  </si>
  <si>
    <t>Distribution to Paid-In (DPI) (%)</t>
  </si>
  <si>
    <t>Unrealised value of fund</t>
  </si>
  <si>
    <t>Jun'20 capital account balance</t>
  </si>
  <si>
    <t>Realised value of fund</t>
  </si>
  <si>
    <t>Remaining Value to Paid-In (RVPI) (%)</t>
  </si>
  <si>
    <t>Multiple</t>
  </si>
  <si>
    <t>Management fee %</t>
  </si>
  <si>
    <t>per LPA</t>
  </si>
  <si>
    <t>Carried interest %</t>
  </si>
  <si>
    <t>Hurdle</t>
  </si>
  <si>
    <t>To tie to cap call/dist notice</t>
  </si>
  <si>
    <t>Recycled Amount</t>
  </si>
  <si>
    <t>MFS &amp; Far East</t>
  </si>
  <si>
    <t>DD#1 (recyclable)</t>
  </si>
  <si>
    <t>Sunpower, Mengshu, Venus Medtech &amp; COFCO Meat</t>
  </si>
  <si>
    <t>Project Snow</t>
  </si>
  <si>
    <t>COFCO Meat, Sunpower</t>
  </si>
  <si>
    <t>Project Samwise, Orgain</t>
  </si>
  <si>
    <t>Venus Medtech, COFCO Meat</t>
  </si>
  <si>
    <t>Orgain</t>
  </si>
  <si>
    <t>Shape Technology</t>
  </si>
  <si>
    <t>YFD Education/Samsonite/Sinopharm Leasing</t>
  </si>
  <si>
    <t>Sunpower, Far East Horizon</t>
  </si>
  <si>
    <t>Far East</t>
  </si>
  <si>
    <t>Datong Insurance</t>
  </si>
  <si>
    <t>Capital return</t>
  </si>
  <si>
    <t>Recycle amount</t>
  </si>
  <si>
    <t>American-Sino Healthcare/Oriental Yuhong Waterproof Technology/Dongbao Parmaceutical</t>
  </si>
  <si>
    <t>Tied to 2022 Q3 CAS</t>
  </si>
  <si>
    <t>Datong Insurance/American-Sino Healthcare/Oriental Yuhong Waterproof Technology</t>
  </si>
  <si>
    <t>Dongbao/Orgain/Sunpower/Oriental Yuhong Waterproof Technology/V2</t>
  </si>
  <si>
    <t>Shape Technologies/Far East Horizon/Project Crane/Project Vstar2/V2 Healthcare</t>
  </si>
  <si>
    <t>Samsonite/Datong Insurance/Sinopharm Leasing/Project Crane/Sunpower/COFCO</t>
  </si>
  <si>
    <t>Datong Insurance/Orgain/Far East Horizon</t>
  </si>
  <si>
    <t>Far East/Samsonite/V2/Orgain</t>
  </si>
  <si>
    <t>Project Crane</t>
  </si>
  <si>
    <t>Far East/Samsonite/Dongbao/V2/Yuhong</t>
  </si>
  <si>
    <t>Samsonite/Project Crane</t>
  </si>
  <si>
    <t>MFS/Samsonite</t>
  </si>
  <si>
    <t>Sunpower/Samsonite</t>
  </si>
  <si>
    <t>Samsonite</t>
  </si>
  <si>
    <t>Ties to 2024 Q1 CAS</t>
  </si>
  <si>
    <t>Ties to 2024 Q2 CAS</t>
  </si>
  <si>
    <t>Dongbao/Far East/Yuhong</t>
  </si>
  <si>
    <t>MFS</t>
  </si>
  <si>
    <t>Far East Horizon/China Feihe/MFS/Samsonite/Shape Technologies/Oriental Yuhong</t>
  </si>
  <si>
    <t>DCP General Partner II, Ltd. (Cayman)</t>
  </si>
  <si>
    <t>US$2.6bil</t>
  </si>
  <si>
    <t>C1 Consumer</t>
  </si>
  <si>
    <t>Platform investing in high growth branded consumer product companies</t>
  </si>
  <si>
    <t>V3 Healthcare</t>
  </si>
  <si>
    <t>51job</t>
  </si>
  <si>
    <t>One of the largest providers of integrated HR services in China</t>
  </si>
  <si>
    <t>Jamieson Wellness</t>
  </si>
  <si>
    <t>Vitamins, minerals and supplements company in Canada</t>
  </si>
  <si>
    <t>Sun Art Retail Group</t>
  </si>
  <si>
    <t>06808.HK</t>
  </si>
  <si>
    <t>- lower EV/sales multiple as the stock price of comps went down, and  
- FX effect (RMB depreciation).</t>
  </si>
  <si>
    <t>Please confirm the below investment details in chronological order: 1) Acquire 100% of SunValley in July 2023; 2) Transfer of 49% interest to Sunner in 3Q 2024 at cost for 53m; 3) Pending transfer of 51% remaining interest to Sunner in 2025 at 3x MoM. 
Please provide capital call record to show that the 100% acquisition in 2023 has only used 51% of the LP capital and the remaining 49% through fund facility, also the rationale of such arrangement? If the LP capital is not called for the 49% stake, why is that recorded in "investment cost" in 3Q and removed in 4Q report?
Please explain the rationale to separate the transfer into 2 tranches with Sunner at different considerations? Why is LP capital investment (51%) not transacted first and generate distribution for LP?
Why is there difference between commited investment cost and investment cost?</t>
  </si>
  <si>
    <t>Magpie’s owners required substantial funding for the sale of the business to DCP to be in RMB from our RMB Fund for their own internal purposes. DCP committed the maximum amount allowed for a single investment by the DCP RMB Fund of RMB200 million. The remaining approximately US$60 million needed to complete the transaction was committed by the USD Fund.
DCP was approached by a domestic strategic investor who wanted to participate in the acquisition.  This syndication partner committed ~$50 million towards the deal.
As this was an RMB Fund deal, Sunner's syndication amount was used to reduce the US Dollar Fund’s commitment to $14 million.
Both funding from LP capital and credit facility will attribute to the investment cost.
Committed amount vs investment cost: due to NX fund unfunded commitment.</t>
  </si>
  <si>
    <t>why is there no change in valuation since 2021?</t>
  </si>
  <si>
    <t>We are marking it at cost to be conservative. The transaction included significant governance arrangements, including veto rights on all major corporate decisions. DCP also negotiated a board observer seat. The Investment is well protected with features including a QIPO provision, redemption at 8% (implied 1.4x MoM) if no IPO at MoM of higher of 1.5x and 20% IRR in 5 years</t>
  </si>
  <si>
    <t>is the valuation increase based on the QIPO IRR%?</t>
  </si>
  <si>
    <t>getting closer to the redemption date</t>
  </si>
  <si>
    <t>why is there a change in committed investment cost? What supports the markup of unrealized value while EBITDA has been declining?</t>
  </si>
  <si>
    <t>- FX impact for the committed amount change.
- Increased LTM revenue</t>
  </si>
  <si>
    <t>Oriental Yuhong Waterproof Technology/CI Consumer</t>
  </si>
  <si>
    <t xml:space="preserve">Equalization </t>
  </si>
  <si>
    <t>Equalization #1</t>
  </si>
  <si>
    <t>Equalization in respect of Fourteenth Closing</t>
  </si>
  <si>
    <t>Equalization #2</t>
  </si>
  <si>
    <t>American-Sino Healthcare/V3 Healthcare/Xingsheng Preference Group Purchasing/Oriental Yuhong Waterproof Technology</t>
  </si>
  <si>
    <t>Yuhong</t>
  </si>
  <si>
    <t>Oriental Yuhong Waterproof Technology/China Feihe</t>
  </si>
  <si>
    <t>Bridge Investment of Jamieson Wellness/Oriental Yuhong Waterproof Technology/American-Sino Healthcare</t>
  </si>
  <si>
    <t xml:space="preserve">Yuhong and China Feihe </t>
  </si>
  <si>
    <t xml:space="preserve">Note: </t>
  </si>
  <si>
    <t>1.5 years from Initial Closing Date</t>
  </si>
  <si>
    <t>E15 Fund I GP, LLC</t>
  </si>
  <si>
    <t>E15 Fund I Advisors, LLC</t>
  </si>
  <si>
    <t>10 years from Final Closing Date</t>
  </si>
  <si>
    <t>Fortune Wheel Performance Indicator</t>
  </si>
  <si>
    <t>3 years from Final Closing Date</t>
  </si>
  <si>
    <t>US$6mil</t>
  </si>
  <si>
    <t>Unrealised &amp; Partial Realised Portfolio</t>
  </si>
  <si>
    <t>Investment Cost (USD)</t>
  </si>
  <si>
    <t>% of Owernship</t>
  </si>
  <si>
    <t>Realized Value (USD)</t>
  </si>
  <si>
    <t>Unrealized Value (USD)</t>
  </si>
  <si>
    <t>Total Value (USD)</t>
  </si>
  <si>
    <t>SAM Labs</t>
  </si>
  <si>
    <t>SAM labs provides STEAM and coding resources  for K8 teachers to teach STEAM and Coding courses</t>
  </si>
  <si>
    <t>Education</t>
  </si>
  <si>
    <t>Sub-total (Unrealised &amp; Partial Realised)</t>
  </si>
  <si>
    <t>Realised Portfolio</t>
  </si>
  <si>
    <t>Company Desription</t>
  </si>
  <si>
    <t>Unrealized Value (USD/mil)</t>
  </si>
  <si>
    <t xml:space="preserve">Holding Period </t>
  </si>
  <si>
    <t>Homebay Series A (write-off)</t>
  </si>
  <si>
    <t>Home Bay provides a solution that makes it easy for homeowners to market, sell, and buy a property without the use of a traditional agent.</t>
  </si>
  <si>
    <t>Real Estate Technology</t>
  </si>
  <si>
    <t>Write Off</t>
  </si>
  <si>
    <t>&lt; 3 years</t>
  </si>
  <si>
    <t>Homebay Series A1 (write-off)</t>
  </si>
  <si>
    <t>Auris Surgical Robotics</t>
  </si>
  <si>
    <t>Auris Health is a surgical robotic development company pioneering the next era of medical intervention by developing platforms that enhance physician capabilities, evolve minimally invasive techniques, and create new categories of care that redefine optimal patient outcomes. Auris is based in Silicon Valley.</t>
  </si>
  <si>
    <t>Healthcare Technology</t>
  </si>
  <si>
    <t xml:space="preserve">Trade Sale </t>
  </si>
  <si>
    <t>&lt; 2 years</t>
  </si>
  <si>
    <t>Noon (write-off)</t>
  </si>
  <si>
    <t>A smart lighting company co-founded by Philip Liang</t>
  </si>
  <si>
    <t>IoT</t>
  </si>
  <si>
    <t>Sub-total (Realised)</t>
  </si>
  <si>
    <t>Significant Event - FY2021Q3</t>
  </si>
  <si>
    <t>Projet Homebay was totally written off during this quarter.</t>
  </si>
  <si>
    <t>Transaction type (Ccall/Distribution)</t>
  </si>
  <si>
    <t>Carried Interest received as co-GP</t>
  </si>
  <si>
    <t>Auris, Homebay</t>
  </si>
  <si>
    <t>SAM</t>
  </si>
  <si>
    <t>Auris exit</t>
  </si>
  <si>
    <t>per CAS account</t>
  </si>
  <si>
    <t>1 year from Initial Closing Date</t>
  </si>
  <si>
    <t>E15 Fund 1.5 GP, LLC,</t>
  </si>
  <si>
    <t>E15 Fund Advisors, LLC,</t>
  </si>
  <si>
    <t>US$5mil</t>
  </si>
  <si>
    <t>US$1mil</t>
  </si>
  <si>
    <t>All the portfolio have been realised as of 2021Q3</t>
  </si>
  <si>
    <t>Homebay Series A1 (Write Off)</t>
  </si>
  <si>
    <t>2021Q3</t>
  </si>
  <si>
    <t>1 month</t>
  </si>
  <si>
    <t xml:space="preserve">The Fund wrote off its last investment of Homebay in 2021Q3. There is no more investment value under the fund. </t>
  </si>
  <si>
    <t>Ties to 2023 Q1 CAS</t>
  </si>
  <si>
    <t xml:space="preserve">Capital Account Balance </t>
  </si>
  <si>
    <t>E15 Fund II GP, LLC,</t>
  </si>
  <si>
    <t>E15 Fund Advisors, LLC</t>
  </si>
  <si>
    <t>10 years from inception</t>
  </si>
  <si>
    <t>4 years from Final Closing Date</t>
  </si>
  <si>
    <t>US$31.14mil</t>
  </si>
  <si>
    <t>% of Total Investment Cost</t>
  </si>
  <si>
    <t>Celebrity Agent</t>
  </si>
  <si>
    <t>Celebrity Agent is a platform for real estate agents and lenders to grow their transaction volume by using the AI driven platform to generate new leads.</t>
  </si>
  <si>
    <t>Caeli Vascular</t>
  </si>
  <si>
    <t>Caeli is a medical device company incorporated in the US and creating a new novel catheter to remove blood clots revolutionizing patient care for deep vein thrombosis and pulmonary embolisms.</t>
  </si>
  <si>
    <t>Unmind Limited</t>
  </si>
  <si>
    <t>Unmind is a B2B mental health solutions company incorporated in the UK.</t>
  </si>
  <si>
    <t>Vicarious Surgical, Inc</t>
  </si>
  <si>
    <t>Robotic surgery system re-imagining minimally invasive surgery.</t>
  </si>
  <si>
    <t>NYSE: RBOT</t>
  </si>
  <si>
    <t>Frankie Health (previously Floe Interactive)</t>
  </si>
  <si>
    <t>Intelligent SaaS platform that delivers personalized mental health support to remote teams by identifying when team members are suffering from anxiety, stress or burnout and offers personalized mental health support.</t>
  </si>
  <si>
    <t>carried interest</t>
  </si>
  <si>
    <t>Tied to Q2 CAS</t>
  </si>
  <si>
    <t>Tied to Q3 CAS</t>
  </si>
  <si>
    <t>Tied to Q4 CAS</t>
  </si>
  <si>
    <t>Vicarious Surgical</t>
  </si>
  <si>
    <t>Tied to 2022Q1 CAS</t>
  </si>
  <si>
    <t>Tied to 2022Q2 CAS</t>
  </si>
  <si>
    <t>Tied to 2022Q3 &amp; Q4 CAS</t>
  </si>
  <si>
    <t>Floe Interactive</t>
  </si>
  <si>
    <t>Tied to 2023Q1 CAS</t>
  </si>
  <si>
    <t>Caeli and Celebrity Agent</t>
  </si>
  <si>
    <t>Tied to 2023Q2 CAS</t>
  </si>
  <si>
    <t>Tied to 2023Q3 CAS</t>
  </si>
  <si>
    <t>Tied to 2024Q3 CAS</t>
  </si>
  <si>
    <t>Genedent Ventures I</t>
  </si>
  <si>
    <t>2% per annum of the aggregate invested capital</t>
  </si>
  <si>
    <t>GV Management Limited</t>
  </si>
  <si>
    <t>Gendent Capital Pte Ltd</t>
  </si>
  <si>
    <t>Semi annual report (after period end)</t>
  </si>
  <si>
    <t>45 days</t>
  </si>
  <si>
    <t>2034 (10 years from initial closing date)</t>
  </si>
  <si>
    <t>2, 1 year periods</t>
  </si>
  <si>
    <t>40 million</t>
  </si>
  <si>
    <t>1m for new investor</t>
  </si>
  <si>
    <t>400k</t>
  </si>
  <si>
    <t>Autonoma Inc</t>
  </si>
  <si>
    <t>Offers integrated autonomous mobility solutions designed specifically for B2B and B2G markets outside of China</t>
  </si>
  <si>
    <t>RyboDyn, Inc</t>
  </si>
  <si>
    <t>Dark Genome company focus on novel cancer target discovery and asset development</t>
  </si>
  <si>
    <t>Project Auto</t>
  </si>
  <si>
    <t>Project Ryb30</t>
  </si>
  <si>
    <t>1.5% of aggregate capital</t>
  </si>
  <si>
    <t>0.69 to 1.35% of aggregate caital</t>
  </si>
  <si>
    <t>GTCR Management XIV LP</t>
  </si>
  <si>
    <t>GTCR XIV Access Advisors LLC</t>
  </si>
  <si>
    <t>Delaware</t>
  </si>
  <si>
    <t>2033 (10 years from effective date)</t>
  </si>
  <si>
    <t>5 years from effective date</t>
  </si>
  <si>
    <t>USD 11.5 billion</t>
  </si>
  <si>
    <t>USD 450million</t>
  </si>
  <si>
    <t>AssetMark</t>
  </si>
  <si>
    <t>Leading provider of extensive wealth management and technology solutions that help financial advisors meet the needs of their customers</t>
  </si>
  <si>
    <t>Blucrest</t>
  </si>
  <si>
    <t xml:space="preserve">Management start-up focusing on acquiring companies and assets as part of its strategy to build a market-leading consumer subscription business. </t>
  </si>
  <si>
    <t>Epselon</t>
  </si>
  <si>
    <t>Management Start-up</t>
  </si>
  <si>
    <t>TRANZACT</t>
  </si>
  <si>
    <t xml:space="preserve">Leading D2C insurance distribution and marketing agency, providing a full suite of capabilities, including marketing and demand generation, sales execution, post-sales engagement and technology solutions. </t>
  </si>
  <si>
    <t>Worldpay</t>
  </si>
  <si>
    <t>Payment processing company in London</t>
  </si>
  <si>
    <t>Other investments</t>
  </si>
  <si>
    <t>Ties with 2024 Q4 CAS</t>
  </si>
  <si>
    <t>Hongshan Capital Growth Partners Fund VI</t>
  </si>
  <si>
    <t>SC China Growth VI Management, L.P.</t>
  </si>
  <si>
    <t>Drawdown Notice</t>
  </si>
  <si>
    <t>10 days</t>
  </si>
  <si>
    <t>US$346mil</t>
  </si>
  <si>
    <t>Subtotal Private Investments</t>
  </si>
  <si>
    <t>Subtotal Public Investments</t>
  </si>
  <si>
    <t>Subtotal Crypto Assets</t>
  </si>
  <si>
    <t>Hongshan Capital Growth Partners Fund VIII</t>
  </si>
  <si>
    <t>SC China Venture VIII Management, L.P.</t>
  </si>
  <si>
    <t>US$82.7mil</t>
  </si>
  <si>
    <t>Lionet Fund, L.P.</t>
  </si>
  <si>
    <t>2% of acquisition costs of investments</t>
    <phoneticPr fontId="13" type="noConversion"/>
  </si>
  <si>
    <t>Grandiflora Hook GP Limited</t>
  </si>
  <si>
    <t>90 business days</t>
  </si>
  <si>
    <t>May 2030 (9 years from final closing date)</t>
  </si>
  <si>
    <t>1 + 1</t>
  </si>
  <si>
    <t>May 2025 (4 years from final closing date + 1 year extension)</t>
  </si>
  <si>
    <t>USD$1,392.79mil</t>
  </si>
  <si>
    <t>US$13.79mil</t>
  </si>
  <si>
    <t>ClouDr (智云健康)</t>
  </si>
  <si>
    <t>ClouDr is a leading one-stop chronic disease management and smart healthcare platform in China.</t>
  </si>
  <si>
    <t>Xingsheng Selected (兴盛优选)</t>
  </si>
  <si>
    <t>Xingsheng is a leading player in the community group buying industry.</t>
  </si>
  <si>
    <t>Yuanfudao Online Education (猿辅导)</t>
  </si>
  <si>
    <t>YuanFuDao is a leading online education platform serving primary and secondary school students in China.</t>
  </si>
  <si>
    <t>XtalPi (晶泰科技)</t>
  </si>
  <si>
    <t>A pharmaceutical technology company dedicated to empower pharmaceutical industry by revolutionizing drug discovery and development approach.</t>
  </si>
  <si>
    <t>Quwan Holding Limited – TT
Chat (TT语音)</t>
  </si>
  <si>
    <t>In the mobile gaming market, the company developed and released “TT Chat”, a voice-based RTC app.</t>
  </si>
  <si>
    <t>WorkTrans Technology (喔趣科技)</t>
  </si>
  <si>
    <t>The company provides HCM (Human Capital Management) SaaS system for large and medium-sized labor-intensive enterprises.</t>
  </si>
  <si>
    <t>Inceptio Technology (赢彻)</t>
  </si>
  <si>
    <t xml:space="preserve">Founded in April 2018, the company aims to build a nationwide freight network using autonomous driving trucks. It focuses on the transformation of line-haul logistics by providing a more secure, efficient, and economical Transportation-As-A-Service (TaaS) to logistic customers. </t>
  </si>
  <si>
    <t>Jiangxiaobai Holdings (江小白)</t>
  </si>
  <si>
    <t xml:space="preserve">Jiangxiaobai is a new Chinese alcohol drink brand covering 4 product categories - 白酒, mixed liquor, rice wine and imported spirits. </t>
  </si>
  <si>
    <t>Wuxi Diagnostics Investment (药明澳测)</t>
  </si>
  <si>
    <t xml:space="preserve">WuXi Diagnostics is the first diagnostic company in China to practice the concept of integrated diagnosis. WuXi Diagnostics is a joint venture formed in 2018 between WuXi AppTec Group and Mayo Clinic. </t>
  </si>
  <si>
    <t>TUHU Car Inc. (途虎养车网)</t>
  </si>
  <si>
    <t>An e-commerce platform for auto maintenance in China.</t>
  </si>
  <si>
    <t>J&amp;T Express (极兔速运)</t>
  </si>
  <si>
    <t>An emerging express delivery company now operating in
China and Southeast Asia</t>
  </si>
  <si>
    <t>ATM Global Express Fund L.P. (汇森速运)</t>
  </si>
  <si>
    <t>SPV for J&amp;T Express</t>
  </si>
  <si>
    <t>ATM Ultra Height Fund L.P. (极兔速运(追加))</t>
  </si>
  <si>
    <t>SPV</t>
  </si>
  <si>
    <t>Didi Freight (滴滴货运)</t>
  </si>
  <si>
    <t>DiDi Freight is an on-demand local freight delivery platform targeting to match individual or SMBs shippers with carriers.</t>
  </si>
  <si>
    <t>Agile Robots (思灵机器人)</t>
  </si>
  <si>
    <t xml:space="preserve">A high-tech start-up that focuses on next generation intelligent robots leveraging technologies including robot vision, motion planning, adaptive grasping, human-robot collaboration and machine learning. </t>
  </si>
  <si>
    <t>SF-Cityrush (顺丰同城) (9699.HKEx)</t>
  </si>
  <si>
    <t>A leading local on-demand delivery platform in China, provides local delivery services for merchants and individual senders within 30 to 60 minutes, covering various scenarios such as restaurants, medicines, supermarkets, clothing stores, etc</t>
  </si>
  <si>
    <t>Fenbi Education  (粉笔)</t>
  </si>
  <si>
    <t>A leading vocational and enrollment examination education institution in China.</t>
  </si>
  <si>
    <t>YQNLink (运去哪)</t>
  </si>
  <si>
    <t>A leading online one-stop international logistics platform, provides services for international trade enterprises, including road transportation, trailer, shipping freight, customs declaration, warehouse, cargo insurance</t>
  </si>
  <si>
    <t>Boss Zhipin (Boss 直聘) (BZ.Nasdaq)</t>
  </si>
  <si>
    <t>A provider of recruitment application designed to offer job opportunities to freshman and recent college graduates</t>
  </si>
  <si>
    <t>BZ US</t>
  </si>
  <si>
    <t>HuiGene Therapeutics (辉大基因)</t>
  </si>
  <si>
    <t>HuiGene is committed to providing gene therapies based on the leading, fully integrated technologies for precision genetic medicines</t>
  </si>
  <si>
    <t>Jingdong Property Group
Corporation (京东产发)***
(Series A Preferred
Shares)</t>
  </si>
  <si>
    <t>京东产发 is a subsidiary of JD.com that provides infrastructure assets, property management and comprehensive services. It is committed to becoming a leader in the development, operation and management of high-quality infrastructure properties.</t>
  </si>
  <si>
    <t>WEILONG Delicious Global
Holdings Ltd (卫龙食品)</t>
  </si>
  <si>
    <t>Weilong focuses on the research and development, manufacturing, sales, and distribution of spicy snack food. It has a well-diversified and strategically constructed product portfolio, covering the seasoned flour products, vegetable products, bean-based products, and others.</t>
  </si>
  <si>
    <t>Jenscare Svientific Co., Ltd.
(健世科技)</t>
  </si>
  <si>
    <t>Jenscare is a medical device company developing world leading mini-invasive, catheter base tricuspid valve replacement to treat tricuspid valve regurgitation.</t>
  </si>
  <si>
    <t>SensorsData Inc. (神策网络)</t>
  </si>
  <si>
    <t>Sensors Data provides a full-process of data-driven solutions, including data collection, data modeling, data storage, data analysis and applications, to help enterprises drive business growth.</t>
  </si>
  <si>
    <t>Horizon Robotics (地平线机器人)</t>
  </si>
  <si>
    <t>Horizon Robotics is the first and leading Chinese maker of vehicle AI chips. In just few years since its inception in July 2015, Horizon Robotics has pioneered an innovative approach of co-optimizing scenario-based AI algorithms with processor architecture and has created a thriving ecosystem.</t>
  </si>
  <si>
    <t>Automobile</t>
  </si>
  <si>
    <t xml:space="preserve">Wow Colour Investment Limited （色界）
</t>
  </si>
  <si>
    <t>WOW COLOUR Investment Limited is a new cosmetics retail chain that was founded in January of 2020 under the umbrella of Miniso, a low cost variety store retail chain originated in Guangzhou that mimics aesthetics and styles from Uniqlo and Muji.</t>
  </si>
  <si>
    <t>Shenzhen Yuanli Life Sciences
Co., Ltd. (原力生命) (Ordinary
Shares)
(色界) (Series A+ Preferred
Shares)</t>
  </si>
  <si>
    <t>An innovative biopharmaceutical company in developing the new generation of global innovative tumor-targeted therapies and tumor immunomodulators with its deep understanding of disease biology</t>
  </si>
  <si>
    <t>Hive Box Holdings Limited
(丰巢科技) (Class A Ordinary
Shares)
Co., Ltd. (原力生命) (Ordinary
Shares)
(色界) (Series A+ Preferred
Shares)</t>
  </si>
  <si>
    <t>Hive Box Holdings Limited was established in June 6th, 2015. As the largest self service parcel locker operator in China, Hive Box provides advanced last mile solutions to meet various needs of both couriers and consumers. By</t>
  </si>
  <si>
    <t>Xforceplus Inc.（票易通）</t>
  </si>
  <si>
    <t xml:space="preserve">Xforceplus is a leading cloud platform for connected invoice (fapiao) management and supply chain collaboration in China. </t>
  </si>
  <si>
    <t>SaaS</t>
  </si>
  <si>
    <t>HEYTEA (喜茶)</t>
  </si>
  <si>
    <t>leading high-end new-style tea brand established in 2012</t>
  </si>
  <si>
    <t>Beauty Soul Inc. (Spes)</t>
  </si>
  <si>
    <t>SPES, a mid-to-high-end hair care brand established in 2020, offering a matrix of hair care and hair dyeing products.</t>
  </si>
  <si>
    <t>Judot (炬点)</t>
  </si>
  <si>
    <t>The company improved on the fast fashion business model by leveraging real-time fashion trends and luxurious silk/cashmere materials</t>
  </si>
  <si>
    <t>Kemai Biological Technology (Suzhou) Limited (科迈生物)</t>
  </si>
  <si>
    <t>Kemai focuses on the research and development of rapid digital antibody generation technology to directly predict the generation of antibody sequences by analyzing antigen protein sequences in silico, hence accelerating the overall antibody screening and design speed.</t>
  </si>
  <si>
    <t>Duyu Culture (镀羽文化)</t>
  </si>
  <si>
    <t>Duyu Culture is a cultural content creation company that focuses on Z Generation and produces high-quality short video incorporating entertainment and deep thinking.</t>
  </si>
  <si>
    <t>Axter Therapeutics (Cayman) Ltd. (艾斯拓康)</t>
  </si>
  <si>
    <t xml:space="preserve">Axter Therapeutics is a China-based biotech company focusing on developing new medications to serve the domestic and global patients with cancers and center nervous system (CNS) disorders. </t>
  </si>
  <si>
    <t>Huoban Inc. (伙伴云)</t>
  </si>
  <si>
    <t xml:space="preserve">Huoban is a no-code development platform that empowers firms to build the solutions they need to drive innovation and increase agility within their teams. </t>
  </si>
  <si>
    <t>Enterprise Services</t>
  </si>
  <si>
    <t xml:space="preserve">Metis Pharmaceuticals Inc. (剂泰医药) </t>
  </si>
  <si>
    <t xml:space="preserve"> Metis is committed to becoming a new-generation technology-driven drug research and development company, focusing on drug delivery and formulation research and development. </t>
  </si>
  <si>
    <t>Gaosi Education (高思教育)</t>
  </si>
  <si>
    <t>Gaosi Education Group is a well-known domestic extracurricular tutorial institution.</t>
  </si>
  <si>
    <t>Xiaoyaoyao (小药药).</t>
  </si>
  <si>
    <t>Xiaoyaoyao is China's largest online pharmaceutical wholesaler offering B2B e-commerce platform to retail pharmacies and clinics,</t>
  </si>
  <si>
    <t>Hello TDAT Fund, L.P. (兴盛优选) - Xingsheng</t>
  </si>
  <si>
    <t>Follow-on investment for Xingsheng</t>
  </si>
  <si>
    <t>Gosling Fund, L.P. - Genki Forest (元气森林)</t>
  </si>
  <si>
    <t>Chinese innovative soft drink brand specializing in sugar free tea and flavored sparkling water.</t>
  </si>
  <si>
    <t>Orchid Fund, L.P. - Shumei Technology (数美科技)</t>
  </si>
  <si>
    <t>ShuMei was founded in June 2016 and dedicated to delivering professional online fraud attacks and risk content filter for global customers.</t>
  </si>
  <si>
    <t>Giant Biogene Holding Co., Ltd</t>
  </si>
  <si>
    <t>Giant Biogene is a large health consumer enterprise based on its proprietary technology - "Human-like Collagen" to build up the product matrixes covering four categories - functional skin care, medical devices, preventive medicine and nutritional medicine.</t>
  </si>
  <si>
    <t>Sunac Services Holdings Ltd （融创服务）</t>
  </si>
  <si>
    <t>Sunac Services Holdings Limited is the fastest-growing large-scale property management service provider in China.</t>
  </si>
  <si>
    <t>1516 HK</t>
  </si>
  <si>
    <t>China Resources Mixc Lifestyle Services Ltd ）(华润万象生活)</t>
  </si>
  <si>
    <t>China Resources Mixc Lifestyle Services (CRML Services) is a leading property management and commercial operational service provider in China</t>
  </si>
  <si>
    <t>Property Management Service</t>
  </si>
  <si>
    <t>1209 HK</t>
  </si>
  <si>
    <t>Baidu, Inc. (BIDU.Nasdaq / 9888.HKEx)</t>
  </si>
  <si>
    <t>The world's largest Chinese search engine, China's largest Internet integrated service company centered on information and knowledge, and a world-leading artificial intelligence company.</t>
  </si>
  <si>
    <t>BIDU US</t>
  </si>
  <si>
    <t>New Mission Fund, L.P.</t>
  </si>
  <si>
    <t>Undisclosed</t>
  </si>
  <si>
    <t>Balancing line item</t>
  </si>
  <si>
    <r>
      <t xml:space="preserve">Status
</t>
    </r>
    <r>
      <rPr>
        <sz val="8.5"/>
        <color theme="1"/>
        <rFont val="Arial"/>
        <family val="2"/>
      </rPr>
      <t>(Unrealized / Partial Realized / Realized)</t>
    </r>
  </si>
  <si>
    <t>Lionet Fund</t>
  </si>
  <si>
    <t>2021</t>
  </si>
  <si>
    <t>Sunac Services</t>
  </si>
  <si>
    <t>Baidu</t>
  </si>
  <si>
    <t>WorkTrans / Weilong</t>
  </si>
  <si>
    <t>Ties to 2023 Q4 CAS</t>
  </si>
  <si>
    <t>Quwan/ Weilong/ Kanzhen/ Giant/ Jenscare</t>
  </si>
  <si>
    <t>2024</t>
  </si>
  <si>
    <t xml:space="preserve">Didi Freight / ClouDr / Weilong </t>
  </si>
  <si>
    <t>Wow Colour / ClouDr / Weilong / Giant Biogene / Boss Zhipin</t>
  </si>
  <si>
    <t>Giant Biogene Holding Co. Ltd</t>
  </si>
  <si>
    <t>Parallel Universes Asset Management Limited</t>
  </si>
  <si>
    <t>Advisor: Skycus Asset Management Co. Ltd. (PRC)</t>
  </si>
  <si>
    <t>May 2026 (7 years from final closing date)</t>
  </si>
  <si>
    <t>May 2023 (4 years from final closing date + 1 year extension)</t>
  </si>
  <si>
    <t>US$977.75mil</t>
  </si>
  <si>
    <t>ByteDance</t>
  </si>
  <si>
    <t>Media platforms including Toutiao, TikTok/Douyin, Hypstar/Houshan</t>
  </si>
  <si>
    <t>JD Logistics, Inc.</t>
  </si>
  <si>
    <t>JD logistics leverages big data, cloud computing, IoT technologies</t>
  </si>
  <si>
    <t>02618.HK</t>
  </si>
  <si>
    <t>Full Truck Alliance Group</t>
  </si>
  <si>
    <t>Operator of Manbang, China's leading trucking platform</t>
  </si>
  <si>
    <t>NYSE:YMM</t>
  </si>
  <si>
    <t>Cango Inc.</t>
  </si>
  <si>
    <t>Leading automotive transaction service platform in China connecting dealers, financial institutions, car buyers, and other industry participants for low-cost capital sources</t>
  </si>
  <si>
    <t>NYSE:CANG</t>
  </si>
  <si>
    <t>Pinduoduo Inc.</t>
  </si>
  <si>
    <t>C2B e-commerce platform in China that allows users to participate in group buying deals</t>
  </si>
  <si>
    <t>NASDAQ:PDD</t>
  </si>
  <si>
    <t>ForU Worldwide Inc.</t>
  </si>
  <si>
    <t>Operator of Fuyoukache online platform, a leader in intercity full truckload logistics in China</t>
  </si>
  <si>
    <t>Yitu Limited</t>
  </si>
  <si>
    <t>Leading player in China's AI-driven machine vision industry</t>
  </si>
  <si>
    <t>NetEase Cloud Music Inc.</t>
  </si>
  <si>
    <t xml:space="preserve">Music streaming service developed and operated by NetEase, Inc. </t>
  </si>
  <si>
    <t>09899.HK</t>
  </si>
  <si>
    <t>G7 Networks Limited</t>
  </si>
  <si>
    <t>Largest telematics platform provider in China used by a vast majority of China's largest trucking companies</t>
  </si>
  <si>
    <t>Leqee Group Limited</t>
  </si>
  <si>
    <t>Leqee specializes in providing integrated solutions for cross-border e-commerce and digital marketing for international brands targeting Chinese consumers</t>
  </si>
  <si>
    <t>Edding Group Company Limited</t>
  </si>
  <si>
    <t>Eddingpharm is a leading pharmaceuticals marketing company with long-term cooperation with multinational pharmaceutical companies</t>
  </si>
  <si>
    <t>HBC Holding Cayman Islands Ltd.</t>
  </si>
  <si>
    <t>Huang Bao Che is a tourist destination-based service provider, with a Chinese-speaking driver and tour guide supply chain system providing Chinese outbound tourists with chauffeur, tour guide and other tourism services</t>
  </si>
  <si>
    <t>Acne Studios Holding AB</t>
  </si>
  <si>
    <t>Acne Studios is a globally well-known fashion luxury brand</t>
  </si>
  <si>
    <t>Dingdong (Cayman) Limited</t>
  </si>
  <si>
    <t>Dingdong Mai Cai specializes in fresh e-commerce with a "central warehouse + pre-delivery warehouse" model in China</t>
  </si>
  <si>
    <t>NYSE:DDL</t>
  </si>
  <si>
    <t>JD Health International Inc.</t>
  </si>
  <si>
    <t>JD Health is an e-commerce platform for pharmaceutical products</t>
  </si>
  <si>
    <t>06618.HK</t>
  </si>
  <si>
    <t>Xiaoma Edu Limited</t>
  </si>
  <si>
    <t>XiaoMa.Wang is an education company that provides coding courses for young children and teenagers</t>
  </si>
  <si>
    <t>震坤行工业超市（上海）有限公司</t>
  </si>
  <si>
    <t>Zhenkunhang is a one-stop MRO (maintenance, repair &amp; operations) industrial products e-commerce platform</t>
  </si>
  <si>
    <t>Industrial</t>
  </si>
  <si>
    <t>NYSE:ZKH</t>
  </si>
  <si>
    <t>Fever Edm</t>
  </si>
  <si>
    <t>Fever Edm is an electronic music service platform</t>
  </si>
  <si>
    <t>Xingsheng Preference Electronic Business Limited</t>
  </si>
  <si>
    <t>Xingsheng Youxuan is an early mover and leader in the community group buying industry</t>
  </si>
  <si>
    <t>Huolala Global Investment Limited</t>
  </si>
  <si>
    <t>Huolala (known as Lalamove) leverages an online platform to gather large social transport cpacity to provide logistics solutions</t>
  </si>
  <si>
    <t>Agile Robots AG</t>
  </si>
  <si>
    <t>Agile Robots performs R&amp;D and development/application of intelligent robot systems</t>
  </si>
  <si>
    <t>Fenbi Ltd.</t>
  </si>
  <si>
    <t>Fenbi Ltd. Is a non-degree vocational education and training service provider in China</t>
  </si>
  <si>
    <t>2469.HK</t>
  </si>
  <si>
    <t>Yuan Inc.</t>
  </si>
  <si>
    <t>Yuanfudao is an online education company focused on K12</t>
  </si>
  <si>
    <t>Waterdrop Inc.</t>
  </si>
  <si>
    <t>Waterdrop is a third-party online insurance broker, offering online health insurance products</t>
  </si>
  <si>
    <t>NYSE:WDH</t>
  </si>
  <si>
    <t>Inceptio Group Limited</t>
  </si>
  <si>
    <t>Inceptio Technology is establishing a nationwide freight network using autonomous driving trucks</t>
  </si>
  <si>
    <t>杭州顺丰同城实业股份有限公司</t>
  </si>
  <si>
    <t>SF-Cityrush (Shunfeng Tongcheng) provides intra-city logistics delivery services</t>
  </si>
  <si>
    <t>09699.HK</t>
  </si>
  <si>
    <t>Quwan Holding Limited</t>
  </si>
  <si>
    <t>Quwan Holding Limited is China's leading mobile game social platform for gamers</t>
  </si>
  <si>
    <t>JD Industrial Technology Inc.</t>
  </si>
  <si>
    <t>JD Industrial Technology Inc. sells industrial products through its e-commerce platform</t>
  </si>
  <si>
    <t>Wei Hai International Holding Ltd.</t>
  </si>
  <si>
    <t>Wei Hai International Holding Ltd. provides training, consulting, and staff recruitment services to catering, chain operation and other service industry</t>
  </si>
  <si>
    <t>Tuhu Car Inc.</t>
  </si>
  <si>
    <t>Tuhu provides "reserve online + install offline" automotive maintenance services</t>
  </si>
  <si>
    <t>Automotive</t>
  </si>
  <si>
    <t>09690.HK</t>
  </si>
  <si>
    <t>ThinkForce</t>
  </si>
  <si>
    <t>ThinkForce (Yizhi Electronics) was split-off from Yitu Technology in 2024, focusing on the development of servers and edge computing equipment</t>
  </si>
  <si>
    <t>Tencent Music Entertainment</t>
  </si>
  <si>
    <t>Largest online music entertainment platform in China</t>
  </si>
  <si>
    <t>NYSE:TME</t>
  </si>
  <si>
    <t>Peijia Medical Limited</t>
  </si>
  <si>
    <t>Peijia Medical researches, produces, and sells high-end medical devices for heart valve disease</t>
  </si>
  <si>
    <t>09996.HK</t>
  </si>
  <si>
    <t>Distribution Notice</t>
  </si>
  <si>
    <t>Peijia</t>
  </si>
  <si>
    <t>JD Health</t>
  </si>
  <si>
    <t>Pinduoduo/Cloud Village/Fenbi/SF-Cityrush</t>
  </si>
  <si>
    <t>Tie to 2024 Q3 CAS</t>
  </si>
  <si>
    <t>NetEast Cloud/SF-Cityrush/Zhenkunhang/Waterdrop</t>
  </si>
  <si>
    <t>Tie to 2024 Q4 CAS</t>
  </si>
  <si>
    <t>Unrealised FV</t>
  </si>
  <si>
    <t>West Street Capital Partners VII Offshore, L.P.</t>
  </si>
  <si>
    <t>1% of Net invested capital</t>
  </si>
  <si>
    <t>Goldman Sachs &amp; Co. LLC, Merchant Banking Division</t>
  </si>
  <si>
    <t>Fund Distribution to Paid-in Capital (DPI x)</t>
  </si>
  <si>
    <t>Aug 2028 (10 years from inception)</t>
  </si>
  <si>
    <t>VMG Performance Indicator</t>
  </si>
  <si>
    <t>1+2</t>
  </si>
  <si>
    <t>5 years from Final Closing Date</t>
  </si>
  <si>
    <t>US$7.242bn</t>
  </si>
  <si>
    <t>US$911mil</t>
  </si>
  <si>
    <t>Aptos, LLC</t>
  </si>
  <si>
    <t>Provider of omni-channel software solutions</t>
  </si>
  <si>
    <t>6%</t>
  </si>
  <si>
    <t>Bass Pro Group, LLC</t>
  </si>
  <si>
    <t>Operator of retail stores offering outdoor gear and apparel</t>
  </si>
  <si>
    <t>37%</t>
  </si>
  <si>
    <t>Boyd Corporation</t>
  </si>
  <si>
    <t>Provider of thermal management and environmental sealing solutions</t>
  </si>
  <si>
    <t>9%</t>
  </si>
  <si>
    <t>HUMAN</t>
  </si>
  <si>
    <t>Provider of bot detection and digital ad fraud prevention solutions</t>
  </si>
  <si>
    <t>17%</t>
  </si>
  <si>
    <t>Inhabit</t>
  </si>
  <si>
    <t>Provider of property and vacation rental management software solutions</t>
  </si>
  <si>
    <t>14%</t>
  </si>
  <si>
    <t>K&amp;N Engineering, Inc.</t>
  </si>
  <si>
    <t>Manufacturer of high performance automotive aftermarket parts</t>
  </si>
  <si>
    <t>Lucid Energy Group II, LLC</t>
  </si>
  <si>
    <t>Provider of natural gas services</t>
  </si>
  <si>
    <t>22%</t>
  </si>
  <si>
    <t>McDermott International, Inc.</t>
  </si>
  <si>
    <t>Provider of engineering, procurement, construction, and installation services for the energy industry</t>
  </si>
  <si>
    <t>MyEyeDr.</t>
  </si>
  <si>
    <t>Operator of optometry practices</t>
  </si>
  <si>
    <t>10%</t>
  </si>
  <si>
    <t>Omega Healthcare</t>
  </si>
  <si>
    <t>Provider of health care revenue cycle management services</t>
  </si>
  <si>
    <t>31%</t>
  </si>
  <si>
    <t>People Corporation</t>
  </si>
  <si>
    <t>Provider of group benefits consulting and third party administration claims</t>
  </si>
  <si>
    <t>Rhythm Energy, Inc.</t>
  </si>
  <si>
    <t>Operator of a residential retail energy platform</t>
  </si>
  <si>
    <t>Energy Transition</t>
  </si>
  <si>
    <t>Slickdeals, LLC</t>
  </si>
  <si>
    <t>Operator of an e-commerce platform</t>
  </si>
  <si>
    <t>Trader Interactive, LLC</t>
  </si>
  <si>
    <t>Operator of online marketplaces for lifestyle vehicles and commercial equipment</t>
  </si>
  <si>
    <t>Transcendia, Inc.</t>
  </si>
  <si>
    <t>Provider of custom engineered specialty films and coatings</t>
  </si>
  <si>
    <t>Zaxby’s Operating Company L.P.</t>
  </si>
  <si>
    <t>Franchisor and operator of a quick service restaurant chain</t>
  </si>
  <si>
    <t>15%</t>
  </si>
  <si>
    <t>Advania</t>
  </si>
  <si>
    <t>Provider of managed and professional IT services in the Nordics</t>
  </si>
  <si>
    <t>Aston Lark</t>
  </si>
  <si>
    <t>Provider of insurance broking and risk management services</t>
  </si>
  <si>
    <t>59%</t>
  </si>
  <si>
    <t>Caldic B.V.</t>
  </si>
  <si>
    <t>Distributor of specialty chemicals and food ingredients</t>
  </si>
  <si>
    <t>Chemicals</t>
  </si>
  <si>
    <t>40%</t>
  </si>
  <si>
    <t>Groupe B&amp;B Hotels SAS</t>
  </si>
  <si>
    <t>Operator of a budget hotel chain in Europe</t>
  </si>
  <si>
    <t>Meilleurtaux Group</t>
  </si>
  <si>
    <t>Provider of brokerage services</t>
  </si>
  <si>
    <t>Navico Holding AS</t>
  </si>
  <si>
    <t>Provider of design and manufacturing services for marine electronics</t>
  </si>
  <si>
    <t>Manufacturing</t>
  </si>
  <si>
    <t>23%</t>
  </si>
  <si>
    <t>Northvolt AB</t>
  </si>
  <si>
    <t>Manufacturer of batteries targeting the automotive and energy storage sectors</t>
  </si>
  <si>
    <t>0%</t>
  </si>
  <si>
    <t>Voodoo SAS</t>
  </si>
  <si>
    <t>Operator of a global mobile game publisher</t>
  </si>
  <si>
    <t>Icon Cancer Care</t>
  </si>
  <si>
    <t>Provider of cancer care services</t>
  </si>
  <si>
    <t>Noveltech Feeds Private Limited</t>
  </si>
  <si>
    <t>Operator of an animal nutrition platform</t>
  </si>
  <si>
    <t>Reason for mark-up? Stable growth on both revenue and EBITDA but showing moderation</t>
  </si>
  <si>
    <t>MyEyeDr.’s mark increased from 1.6x in Q3’24 to 1.7x in Q4’24 due to the company’s outperformance relative to budget and strong recent trading among both private transactions and public peers.
Of our public and private comp set, the core optical retail category had an LTM EV/EBITDA multiple of 10.1x in Q3’24 and 14.6x in Q4’24.
In Q3 2024, the company grew revenue and PF Adj. EBITDA by 5% and 15%, respectively. The outperformance was driven by the increase in gross margin, corporate SG&amp;A favorability, and continued efficiencies in associate labor.
The company reinstated its M&amp;A program after one year of no inorganic growth and has further driven outperformance relative to budget.</t>
  </si>
  <si>
    <t>Why no mark-up on the back of OTPP round?</t>
  </si>
  <si>
    <t>WSCP VIII initially invested $94mm in Omega in 2022, the fund is now committing an additional $210mm. Following the up size, the overall Omega position in CP VIII will remain flat because the full position mark will be a weighted average of the two separate investments.</t>
  </si>
  <si>
    <t>Reason for consecutive quarter write-down? Any exit plan in place for remaining investment?</t>
  </si>
  <si>
    <t>Slickdeals was marked down from 1.2x in Q3’24 to 1.0x in Q4’24 due to recent performance trends and revised management expectation for Q4 2024 performance.
In Q1 2023, the Company began a comprehensive strategic review of its value agenda and cost structure. Following that assessment, management decided to significantly streamline operations and prioritize the Deals business over the Coupons segment and other ancillary revenue streams (e.g. personal finance), in order to focus on the areas where Slickdeals is most differentiated vs. peers.
In Q3 2024, total revenue declined (2)% YoY, driven by lower commission rates (-16% YoY) and lower credit card promotional activity (-12% YoY). However, this was partially offset by growth in gross merchandise value of 23% YoY. Adj. EBITDA declined (23)% YoY due to investments in the cost structure; however, these have modernized the technology infrastructure, improved the speed and quality of product development, and positioned the company for growth going forward.
Management is projecting that they will execute on the performance improvement plan to return the business to growth and drive margin expansion through 2025.
There are no exit plans we can disclose at this time.</t>
  </si>
  <si>
    <t>Why no revenue growth in 2024, down from 15.6% YoY in 2022 and 7.5% YoY in 2023?</t>
  </si>
  <si>
    <t>Update on potential asset recovery initiatives?</t>
  </si>
  <si>
    <t>As previously communicated, over several months in 2024, Goldman Sachs worked with Northvolt’s customers, lenders and shareholders
on securing a short-term bridge financing to extend Northvolt’s liquidity runway into the first quarter of 2025, providing the company with
the time required to improve operations, complete a restructuring of its capital stack and raise longer-term financing to fund its revised
business plan. Despite our extensive efforts as a minority shareholder to bring Northvolt’s various stakeholders together, a
comprehensive solution was not found before Northvolt filing for Chapter 11 in the US on November 21, 2024. As of December 31, 2024,
the Chapter 11 process was ongoing. As a result, we marked Northvolt’s estimated value to zero and stopped charging a management
fee on the Northvolt investment effective November 21, 2024. CP VIII will not provide any additional funding to Northvolt. We continue
to work on realizing any potential recovery associated with the investment; however, there can be no assurances that any recovery will
be realized. We are very disappointed in this outcome.</t>
  </si>
  <si>
    <t>CC</t>
  </si>
  <si>
    <t>People Corporation/Aptos</t>
  </si>
  <si>
    <t>Advania AB/Groupe B&amp;B Hotels</t>
  </si>
  <si>
    <t>DD</t>
  </si>
  <si>
    <t>Trader Interactive LLC</t>
  </si>
  <si>
    <t>Lucid Energy</t>
  </si>
  <si>
    <t>Bass Pro Group</t>
  </si>
  <si>
    <t>Caldic B.V</t>
  </si>
  <si>
    <t>Rhythm Energy, Omega Healthcare</t>
  </si>
  <si>
    <t>Aston Lark,Icon Cancer Care</t>
  </si>
  <si>
    <t>Transcendia Holdings/Northvolt AB/Rhythm Energy</t>
  </si>
  <si>
    <t>Zaxby's Operating company</t>
  </si>
  <si>
    <t>Grope B&amp;B Hotels SAS</t>
  </si>
  <si>
    <t>West Street Capital Partners VIII Offshore, L.P.</t>
  </si>
  <si>
    <t>1.5% of Net invested capital</t>
  </si>
  <si>
    <t>US$9.685bn</t>
  </si>
  <si>
    <t>US$916mil</t>
  </si>
  <si>
    <t>4G Clinical Holdings, LLC</t>
  </si>
  <si>
    <t>Provider of clinical trial supply chain management solutions</t>
  </si>
  <si>
    <t>3%</t>
  </si>
  <si>
    <t>CarltonOne Engagement</t>
  </si>
  <si>
    <t>Provider of cloud-based employee engagement, customer loyalty and rewards program solutions</t>
  </si>
  <si>
    <t>Cprime</t>
  </si>
  <si>
    <t>Provider of strategic technology consulting services</t>
  </si>
  <si>
    <t>DOXA Insurance</t>
  </si>
  <si>
    <t>Operator of a specialty insurance distribution platform</t>
  </si>
  <si>
    <t>19%</t>
  </si>
  <si>
    <t>Fortress Security Holdings, LLC</t>
  </si>
  <si>
    <t>Provider of supply chain risk management software and associated services</t>
  </si>
  <si>
    <t>7%</t>
  </si>
  <si>
    <t>Hydrostor Inc.</t>
  </si>
  <si>
    <t>Provider of long-duration energy storage technology</t>
  </si>
  <si>
    <t>18%</t>
  </si>
  <si>
    <t>iSpot.tv, Inc.</t>
  </si>
  <si>
    <t>Provider of television management and analytics services</t>
  </si>
  <si>
    <t>MadHive, Inc.</t>
  </si>
  <si>
    <t>Operator of an enterprise software company focused on digital advertising</t>
  </si>
  <si>
    <t>MDVIP, Inc.</t>
  </si>
  <si>
    <t>Operator of a membership-based healthcare platform in the US</t>
  </si>
  <si>
    <t>28%</t>
  </si>
  <si>
    <t>Parexel International Corporation</t>
  </si>
  <si>
    <t>Provider of clinical research and logistics services</t>
  </si>
  <si>
    <t>Provider of group benefits consulting and third party administration services</t>
  </si>
  <si>
    <t>Redwood Materials, Inc.</t>
  </si>
  <si>
    <t>Provider of battery recycling services targetign the electric vehicle market</t>
  </si>
  <si>
    <t>Visual Comfort &amp; Co.</t>
  </si>
  <si>
    <t>Retailer in the premium decorative and residential lighting industry in the US</t>
  </si>
  <si>
    <t>16%</t>
  </si>
  <si>
    <t>World Insurance Associates, LLC</t>
  </si>
  <si>
    <t>Provider of insurance products and retirement/wealth management services</t>
  </si>
  <si>
    <t>30%</t>
  </si>
  <si>
    <t>Multi-regional franchisor and operator of a quick service restaurant chain</t>
  </si>
  <si>
    <t>Adler &amp; Allan</t>
  </si>
  <si>
    <t>Provider of integrated environmental risk management and advisory services</t>
  </si>
  <si>
    <t>Advania AB</t>
  </si>
  <si>
    <t>Clear Group</t>
  </si>
  <si>
    <t>Provider of commercial insurance in the UK</t>
  </si>
  <si>
    <t>11%</t>
  </si>
  <si>
    <t>Constructel Visabeira</t>
  </si>
  <si>
    <t>Provider of telecommunications and energy infrastructure services</t>
  </si>
  <si>
    <t>Telecommunications</t>
  </si>
  <si>
    <t>Groupe Crystal</t>
  </si>
  <si>
    <t>Provider of wealth management distribution services</t>
  </si>
  <si>
    <t>Kahoot! ASA</t>
  </si>
  <si>
    <t>Operator of a global digital engagement company offering learning products</t>
  </si>
  <si>
    <t>LRQA Group Limited</t>
  </si>
  <si>
    <t>Provider of business assurance, inspection and cybersecurity consulting services</t>
  </si>
  <si>
    <t>13%</t>
  </si>
  <si>
    <t>Norgine Europe B.V.</t>
  </si>
  <si>
    <t>Operator of a specialty pharmaceuticals platform</t>
  </si>
  <si>
    <t>Oikos Holding GmbH</t>
  </si>
  <si>
    <t>Manufacturer of prefabricated modular single-family homes in Germany</t>
  </si>
  <si>
    <t>Rimac Group, d.o.o.</t>
  </si>
  <si>
    <t>Developer and producer of proprietary electric vehicle technology</t>
  </si>
  <si>
    <t>1%</t>
  </si>
  <si>
    <t>Aragen Life Sciences Limited</t>
  </si>
  <si>
    <t>Provider of drug discovery, development and manufacturing services in India</t>
  </si>
  <si>
    <t>12%</t>
  </si>
  <si>
    <t>New Frontier Health</t>
  </si>
  <si>
    <t>Operator of the largest premium private healthcare service in China</t>
  </si>
  <si>
    <t>4%</t>
  </si>
  <si>
    <t>Nippo Corporation</t>
  </si>
  <si>
    <t>Operator of the largest road construction company in Japan</t>
  </si>
  <si>
    <t>47%</t>
  </si>
  <si>
    <t>Mark-up is based on new round valuation?</t>
  </si>
  <si>
    <t>Hydrostor has been marked at 1.3x since Q3’23. The performance was marked up from 1.0x in Q2’23 to 1.3x in Q3’23 due to continued development of Willow Rock and Silver City projects.</t>
  </si>
  <si>
    <t>Why price hike has not led to EBITDA margin improvement? Reason for mark-up?</t>
  </si>
  <si>
    <t>MDVIP’s mark increased from 1.2x to 1.3x, supported by continued strong performance and private transactions in the space.
In FY2025 ending in September, the company reported YoY net revenue and PF Adj. EBITDA growth of 15% and 11%, respectively, driven by strong net member retention and the addition of new operating members to the network.
The company is partnering with the Value Accelerator to focus on driving new hires to its salesforce as well as innovating its go-to-market strategy and marketing engine.</t>
  </si>
  <si>
    <t>Reasons for recovery in negative revenue growth in 2023?</t>
  </si>
  <si>
    <t>Favorable financial performance for the year ended December 31, 2024 was driven by improved performance in the company's proprietary online and brick and mortar retail business and continued product availability.
VCC continues to expand its footprint in the US with the opening of seven new showrooms in 2024. As of December 2024, the company had 55 showrooms</t>
  </si>
  <si>
    <t>Advania’s performance was resilient in comparison to peers against challenging macroeconomic conditions in the Nordic region, with revenue flat YoY.  In Q4 Advania continued to win new customers and experienced an increased demand for MS, with the overall softness in Q4 revenue growth driven by slower VAR and PS sales.</t>
  </si>
  <si>
    <t>Clear Group’s mark remained flat at 1.2x QoQ between Q3’24 and Q4’24.</t>
  </si>
  <si>
    <t>Reasons for mark-up?</t>
  </si>
  <si>
    <t>LRQA’s mark increased from 1.5x to 1.6x between Q3’24 and Q4’24 based on sustained growth across business units and further supported by recent private platform transactions in the sector.
In the YTD period through Sep-24, LRQA generated sales growth of 10% and Adj. EBITDA growth of 40% vs. the prior year.
The step change in profitability is driven by topline growth as well as cost improvements through the company’s ongoing focus on operational efficiency optimization including utilization uplifts, tighter controls on subcontractor costs and reduced billable expense leakage.</t>
  </si>
  <si>
    <t>Reasons for mark-up given EBITDA decline?</t>
  </si>
  <si>
    <t>Aragen’s mark increased from 1.2x to 1.5x between Q3’24 and Q4’24 based on the implied valuation of a new funding round in January 2025.
The new funding round consisted of a $100mm capital raise ($75mm primary and $25mm secondary), of which GS will sell $6mm and retain a ~29% stake.
In Q3 2024,  Aragen’s revenue grew 8% and Adj. EBITDA fell 4% due to a macroeconomic slowdown in 2024. However, the company is showing strong recovery, starting with topline growth, in response to a number of key initiatives, including development of the large pharma business and optimization of the cost structure.</t>
  </si>
  <si>
    <t>Zaxby Operating Company L.P.</t>
  </si>
  <si>
    <t>Oikos Holding GmbH/Aragen Life Sciences/Advania AB</t>
  </si>
  <si>
    <t>Visual Comfort &amp; Co./4G Clinical, LLC</t>
  </si>
  <si>
    <t>Parexel International Corporation/MDVIP Inc.</t>
  </si>
  <si>
    <t>LRQA</t>
  </si>
  <si>
    <t>Nippo Corporation/New Frontier Health</t>
  </si>
  <si>
    <t>Constructel, Hydrostor, Fortress, Omega, LRQA</t>
  </si>
  <si>
    <t xml:space="preserve">Norgine Europe,Clear Group, Cprime,People Corporation </t>
  </si>
  <si>
    <t>CP VIII</t>
  </si>
  <si>
    <t>MadHive, Hydrostor</t>
  </si>
  <si>
    <t>Kahoot! ASA, World Insurance Associates LLC, 4G Clinical LLC</t>
  </si>
  <si>
    <t>DOXA Insurance, Hydrostor</t>
  </si>
  <si>
    <t>CarltonOne</t>
  </si>
  <si>
    <t>Adler &amp; Allan Group</t>
  </si>
  <si>
    <t>Groupe Crystal, Hydrostor Inc</t>
  </si>
  <si>
    <t xml:space="preserve">HongShan Capital Growth Partners Fund VI </t>
  </si>
  <si>
    <t xml:space="preserve">Hongshan Capital Venture Partners Fund VIII </t>
  </si>
  <si>
    <t>FMV-PE Funds</t>
  </si>
  <si>
    <t>FMV-PE projects</t>
  </si>
  <si>
    <t>2021A</t>
  </si>
  <si>
    <t>2022A</t>
  </si>
  <si>
    <t>2023A</t>
  </si>
  <si>
    <t>2024F</t>
  </si>
  <si>
    <t>2025F</t>
  </si>
  <si>
    <t>2026F</t>
  </si>
  <si>
    <t>2027F</t>
  </si>
  <si>
    <t>2028F</t>
  </si>
  <si>
    <t>2029F</t>
  </si>
  <si>
    <t>2030F</t>
  </si>
  <si>
    <t>TOTAL VALUE PROJECTION</t>
  </si>
  <si>
    <t>2020A</t>
  </si>
  <si>
    <t>2024A</t>
  </si>
  <si>
    <t>Accumulated Syndication</t>
  </si>
  <si>
    <t>Realized total</t>
  </si>
  <si>
    <t>Implied MTM Value</t>
  </si>
  <si>
    <t>Fair Market Value (FMV)</t>
  </si>
  <si>
    <t>Beginning Realized Value</t>
  </si>
  <si>
    <t>New Distribution</t>
  </si>
  <si>
    <t>New Realization</t>
  </si>
  <si>
    <t>New Syndication</t>
  </si>
  <si>
    <t>Ending Realized Value</t>
  </si>
  <si>
    <t>New Distribution / Syndication</t>
  </si>
  <si>
    <t>240930A</t>
  </si>
  <si>
    <t>PE Investments</t>
  </si>
  <si>
    <t xml:space="preserve">The cumulative net cashflow is forecasted to increase at a faster rate from 2026 onwards, as most funds are completing their investment period and entering into distribution period. </t>
  </si>
  <si>
    <t>The cumulative net cashflow is forecasted to increase at faster rate from 2025 to 2027 as we realize most of our capital upside through disposal or syndication during the period. 2027 onwards is expected to be more stable as we didn’t assume material investments exits and include future new investments.</t>
  </si>
  <si>
    <t>FAIR MARKET VALUE PROJECTION - Privatre Equity</t>
  </si>
  <si>
    <t>KIL PE Funds</t>
  </si>
  <si>
    <t>&gt; China fund 25%</t>
  </si>
  <si>
    <t>Discount rate</t>
  </si>
  <si>
    <t>Cash outflow</t>
  </si>
  <si>
    <t>Cash inflow</t>
  </si>
  <si>
    <t>NPV</t>
  </si>
  <si>
    <t>% of Capital call</t>
  </si>
  <si>
    <t>&gt; Global equity HF 22%</t>
  </si>
  <si>
    <t>&gt; VC fund 30%</t>
  </si>
  <si>
    <t>&gt; Global buyout fund 22%</t>
  </si>
  <si>
    <t>&gt; Global equity fund 22%</t>
  </si>
  <si>
    <t>&gt; China RE fund 25%</t>
  </si>
  <si>
    <t>&gt; Distressed RE fund 22%</t>
  </si>
  <si>
    <t>&lt; Portfolio summary table there is wrong linkage</t>
  </si>
  <si>
    <t>% of Total Invested Cost</t>
  </si>
  <si>
    <t>PE - VC / Growth</t>
  </si>
  <si>
    <t>PE - Special Situations</t>
  </si>
  <si>
    <t>2024:</t>
  </si>
  <si>
    <t>MTM Value Change YoY</t>
  </si>
  <si>
    <t>Capital Call in 2024</t>
  </si>
  <si>
    <t>Net Chg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</si>
</sst>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44" formatCode="_-&quot;$&quot;* #,##0.00_-;\-&quot;$&quot;* #,##0.00_-;_-&quot;$&quot;* &quot;-&quot;??_-;_-@_-"/>
    <numFmt numFmtId="43" formatCode="_-* #,##0.00_-;\-* #,##0.00_-;_-* &quot;-&quot;??_-;_-@_-"/>
    <numFmt numFmtId="164" formatCode="_(* #,##0.00_);_(* \(#,##0.00\);_(* &quot;-&quot;??_);_(@_)"/>
    <numFmt numFmtId="165" formatCode="[$-409]mmmm\ d\,\ yyyy;@"/>
    <numFmt numFmtId="166" formatCode="_ * #,##0_ ;_ * \-#,##0_ ;_ * &quot;-&quot;??_ ;_ @_ "/>
    <numFmt numFmtId="167" formatCode="_(* #,##0_);_(* \(#,##0\);_(* &quot;-&quot;??_);_(@_)"/>
    <numFmt numFmtId="168" formatCode="yyyy\-mm\-dd;@"/>
    <numFmt numFmtId="169" formatCode="_ * #,##0.00_ ;_ * \-#,##0.00_ ;_ * &quot;-&quot;??_ ;_ @_ "/>
    <numFmt numFmtId="170" formatCode="_(* #,##0.0_);_(* \(#,##0.0\);_(* &quot;-&quot;??_);_(@_)"/>
    <numFmt numFmtId="171" formatCode="mmm\-yyyy"/>
    <numFmt numFmtId="172" formatCode="_-* #,##0.0_-;\-* #,##0.0_-;_-* &quot;-&quot;?_-;_-@_-"/>
    <numFmt numFmtId="173" formatCode="0.0%"/>
    <numFmt numFmtId="174" formatCode="_-* #,##0.000_-;\-* #,##0.000_-;_-* &quot;-&quot;???_-;_-@_-"/>
    <numFmt numFmtId="175" formatCode="d\-mmm\-yyyy"/>
    <numFmt numFmtId="176" formatCode="0.0\x"/>
    <numFmt numFmtId="177" formatCode="_-* #,##0.0_-;\-* #,##0.0_-;_-* &quot;-&quot;??_-;_-@_-"/>
    <numFmt numFmtId="178" formatCode="0.0"/>
    <numFmt numFmtId="179" formatCode="_-* #,##0_-;\-* #,##0_-;_-* &quot;-&quot;??_-;_-@_-"/>
    <numFmt numFmtId="180" formatCode="0.00\x"/>
    <numFmt numFmtId="181" formatCode="0.000%"/>
    <numFmt numFmtId="182" formatCode="0.0000%"/>
    <numFmt numFmtId="183" formatCode="dd\-mmm\-yyyy"/>
    <numFmt numFmtId="184" formatCode="_ &quot;¥&quot;* #,##0.00_ ;_ &quot;¥&quot;* \-#,##0.00_ ;_ &quot;¥&quot;* &quot;-&quot;??_ ;_ @_ "/>
    <numFmt numFmtId="185" formatCode="_ &quot;￥&quot;* #,##0.00_ ;_ &quot;￥&quot;* \-#,##0.00_ ;_ &quot;￥&quot;* &quot;-&quot;??_ ;_ @_ "/>
    <numFmt numFmtId="186" formatCode="_ * #,##0_ ;_ * \-#,##0_ ;_ * &quot;-&quot;?_ ;_ @_ "/>
    <numFmt numFmtId="187" formatCode="_(* #,##0.0000_);_(* \(#,##0.0000\);_(* &quot;-&quot;??_);_(@_)"/>
    <numFmt numFmtId="189" formatCode="mm/dd/yy;@"/>
    <numFmt numFmtId="190" formatCode="yyyy"/>
    <numFmt numFmtId="196" formatCode="#,##0_);\(#,##0\);\-_);@_)"/>
    <numFmt numFmtId="197" formatCode="#,##0.00000000000000_);\(#,##0.00000000000000\)"/>
    <numFmt numFmtId="198" formatCode="#,##0.0_);\(#,##0.0\);\-_);@_)"/>
  </numFmts>
  <fonts count="85">
    <font>
      <sz val="11"/>
      <color theme="1"/>
      <name val="Calibri"/>
      <family val="2"/>
      <scheme val="minor"/>
    </font>
    <font>
      <sz val="11"/>
      <color theme="1"/>
      <name val="Calibri"/>
      <family val="2"/>
      <scheme val="minor"/>
    </font>
    <font>
      <sz val="12"/>
      <name val="新細明體"/>
      <family val="1"/>
      <charset val="136"/>
    </font>
    <font>
      <sz val="12"/>
      <color theme="1"/>
      <name val="Calibri"/>
      <family val="2"/>
      <charset val="136"/>
      <scheme val="minor"/>
    </font>
    <font>
      <sz val="11"/>
      <color theme="1"/>
      <name val="Calibri"/>
      <family val="2"/>
      <charset val="134"/>
      <scheme val="minor"/>
    </font>
    <font>
      <sz val="10"/>
      <color theme="1"/>
      <name val="Arial"/>
      <family val="2"/>
    </font>
    <font>
      <sz val="10"/>
      <name val="Arial"/>
      <family val="2"/>
    </font>
    <font>
      <sz val="9"/>
      <color indexed="81"/>
      <name val="Tahoma"/>
      <family val="2"/>
    </font>
    <font>
      <b/>
      <sz val="9"/>
      <color indexed="81"/>
      <name val="Tahoma"/>
      <family val="2"/>
    </font>
    <font>
      <sz val="9"/>
      <color theme="1"/>
      <name val="Calibri"/>
      <family val="2"/>
    </font>
    <font>
      <sz val="8"/>
      <name val="Calibri"/>
      <family val="2"/>
      <scheme val="minor"/>
    </font>
    <font>
      <sz val="9"/>
      <color theme="1"/>
      <name val="Arial"/>
      <family val="2"/>
    </font>
    <font>
      <sz val="8.5"/>
      <color theme="1"/>
      <name val="Arial"/>
      <family val="2"/>
    </font>
    <font>
      <b/>
      <sz val="8.5"/>
      <color theme="1"/>
      <name val="Arial"/>
      <family val="2"/>
    </font>
    <font>
      <b/>
      <sz val="8.5"/>
      <name val="Arial"/>
      <family val="2"/>
    </font>
    <font>
      <sz val="12"/>
      <name val="新細明體"/>
      <family val="1"/>
    </font>
    <font>
      <sz val="11"/>
      <color indexed="8"/>
      <name val="宋体"/>
      <family val="3"/>
      <charset val="134"/>
    </font>
    <font>
      <sz val="12"/>
      <name val="宋体"/>
      <family val="3"/>
      <charset val="134"/>
    </font>
    <font>
      <sz val="11"/>
      <color indexed="9"/>
      <name val="宋体"/>
      <family val="3"/>
      <charset val="134"/>
    </font>
    <font>
      <sz val="11"/>
      <color indexed="20"/>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7"/>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62"/>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b/>
      <sz val="18"/>
      <color indexed="56"/>
      <name val="宋体"/>
      <family val="3"/>
      <charset val="134"/>
    </font>
    <font>
      <b/>
      <sz val="11"/>
      <color indexed="8"/>
      <name val="宋体"/>
      <family val="3"/>
      <charset val="134"/>
    </font>
    <font>
      <sz val="11"/>
      <color indexed="10"/>
      <name val="宋体"/>
      <family val="3"/>
      <charset val="134"/>
    </font>
    <font>
      <sz val="11"/>
      <color rgb="FF9C0006"/>
      <name val="Calibri"/>
      <family val="3"/>
      <charset val="134"/>
      <scheme val="minor"/>
    </font>
    <font>
      <sz val="11"/>
      <color theme="1"/>
      <name val="Calibri"/>
      <family val="3"/>
      <charset val="134"/>
      <scheme val="minor"/>
    </font>
    <font>
      <u/>
      <sz val="12"/>
      <color indexed="12"/>
      <name val="新細明體"/>
      <family val="1"/>
    </font>
    <font>
      <sz val="11"/>
      <color rgb="FF006100"/>
      <name val="Calibri"/>
      <family val="3"/>
      <charset val="134"/>
      <scheme val="minor"/>
    </font>
    <font>
      <b/>
      <sz val="9"/>
      <name val="Arial"/>
      <family val="2"/>
    </font>
    <font>
      <b/>
      <sz val="9"/>
      <color theme="0"/>
      <name val="Arial"/>
      <family val="2"/>
    </font>
    <font>
      <sz val="9"/>
      <name val="Arial"/>
      <family val="2"/>
    </font>
    <font>
      <b/>
      <u/>
      <sz val="9"/>
      <color theme="0"/>
      <name val="Arial"/>
      <family val="2"/>
    </font>
    <font>
      <sz val="8.5"/>
      <name val="Arial"/>
      <family val="2"/>
    </font>
    <font>
      <b/>
      <u/>
      <sz val="8.5"/>
      <name val="Arial"/>
      <family val="2"/>
    </font>
    <font>
      <u/>
      <sz val="8.5"/>
      <color theme="1"/>
      <name val="Arial"/>
      <family val="2"/>
    </font>
    <font>
      <b/>
      <sz val="8.5"/>
      <color theme="0"/>
      <name val="Arial"/>
      <family val="2"/>
    </font>
    <font>
      <sz val="8.5"/>
      <color theme="9"/>
      <name val="Arial"/>
      <family val="2"/>
    </font>
    <font>
      <sz val="8.5"/>
      <color theme="4"/>
      <name val="Arial"/>
      <family val="2"/>
    </font>
    <font>
      <sz val="8.5"/>
      <color rgb="FFFF0000"/>
      <name val="Arial"/>
      <family val="2"/>
    </font>
    <font>
      <b/>
      <sz val="8.5"/>
      <color theme="4"/>
      <name val="Arial"/>
      <family val="2"/>
    </font>
    <font>
      <b/>
      <sz val="8.5"/>
      <color theme="6" tint="-0.249977111117893"/>
      <name val="Arial"/>
      <family val="2"/>
    </font>
    <font>
      <b/>
      <u/>
      <sz val="8.5"/>
      <color theme="0"/>
      <name val="Arial"/>
      <family val="2"/>
    </font>
    <font>
      <b/>
      <u/>
      <sz val="8.5"/>
      <color theme="1"/>
      <name val="Arial"/>
      <family val="2"/>
    </font>
    <font>
      <b/>
      <sz val="8.5"/>
      <color rgb="FF0070C0"/>
      <name val="Arial"/>
      <family val="2"/>
    </font>
    <font>
      <sz val="8.5"/>
      <color theme="1"/>
      <name val="Calibri"/>
      <family val="2"/>
      <scheme val="minor"/>
    </font>
    <font>
      <b/>
      <sz val="8.5"/>
      <color rgb="FFFF0000"/>
      <name val="Arial"/>
      <family val="2"/>
    </font>
    <font>
      <b/>
      <i/>
      <sz val="8.5"/>
      <color theme="1"/>
      <name val="Arial"/>
      <family val="2"/>
    </font>
    <font>
      <b/>
      <sz val="8.5"/>
      <color theme="2" tint="-0.749992370372631"/>
      <name val="Arial"/>
      <family val="2"/>
    </font>
    <font>
      <u val="singleAccounting"/>
      <sz val="8.5"/>
      <color theme="1"/>
      <name val="Arial"/>
      <family val="2"/>
    </font>
    <font>
      <i/>
      <sz val="8.5"/>
      <color theme="1"/>
      <name val="Arial"/>
      <family val="2"/>
    </font>
    <font>
      <sz val="8.5"/>
      <color theme="0"/>
      <name val="Arial"/>
      <family val="2"/>
    </font>
    <font>
      <b/>
      <u val="singleAccounting"/>
      <sz val="8.5"/>
      <color theme="1"/>
      <name val="Arial"/>
      <family val="2"/>
    </font>
    <font>
      <sz val="9"/>
      <name val="Calibri"/>
      <family val="3"/>
      <charset val="136"/>
      <scheme val="minor"/>
    </font>
    <font>
      <b/>
      <sz val="9"/>
      <color rgb="FF000000"/>
      <name val="Tahoma"/>
      <family val="2"/>
    </font>
    <font>
      <sz val="9"/>
      <color rgb="FF000000"/>
      <name val="Tahoma"/>
      <family val="2"/>
    </font>
    <font>
      <b/>
      <sz val="9"/>
      <color indexed="81"/>
      <name val="Arial"/>
      <family val="2"/>
    </font>
    <font>
      <sz val="9"/>
      <color indexed="81"/>
      <name val="Arial"/>
      <family val="2"/>
    </font>
    <font>
      <sz val="8.5"/>
      <color theme="9" tint="-0.249977111117893"/>
      <name val="Arial"/>
      <family val="2"/>
    </font>
    <font>
      <u/>
      <sz val="11"/>
      <color theme="10"/>
      <name val="Calibri"/>
      <family val="2"/>
      <scheme val="minor"/>
    </font>
    <font>
      <sz val="8"/>
      <name val="Arial"/>
      <family val="2"/>
    </font>
    <font>
      <sz val="11"/>
      <name val="Calibri"/>
      <family val="2"/>
    </font>
    <font>
      <sz val="9"/>
      <color theme="0" tint="-0.14999847407452621"/>
      <name val="Arial"/>
      <family val="2"/>
    </font>
    <font>
      <b/>
      <sz val="9"/>
      <color theme="0" tint="-0.14999847407452621"/>
      <name val="Arial"/>
      <family val="2"/>
    </font>
    <font>
      <sz val="8.5"/>
      <color theme="0" tint="-0.14999847407452621"/>
      <name val="Arial"/>
      <family val="2"/>
    </font>
    <font>
      <b/>
      <sz val="8.5"/>
      <color theme="0" tint="-0.14999847407452621"/>
      <name val="Arial"/>
      <family val="2"/>
    </font>
    <font>
      <b/>
      <sz val="11"/>
      <color theme="1"/>
      <name val="Calibri"/>
      <family val="2"/>
      <scheme val="minor"/>
    </font>
    <font>
      <sz val="8.5"/>
      <color rgb="FF0000FA"/>
      <name val="Arial"/>
      <family val="2"/>
    </font>
    <font>
      <sz val="11"/>
      <color rgb="FF0000FA"/>
      <name val="Calibri"/>
      <family val="2"/>
      <scheme val="minor"/>
    </font>
    <font>
      <sz val="10"/>
      <color theme="1"/>
      <name val="Optima LT Std"/>
      <family val="2"/>
      <charset val="134"/>
    </font>
    <font>
      <sz val="11"/>
      <color theme="1"/>
      <name val="Calibri"/>
      <family val="2"/>
      <charset val="136"/>
      <scheme val="minor"/>
    </font>
    <font>
      <u/>
      <sz val="11"/>
      <color theme="10"/>
      <name val="Calibri"/>
      <family val="2"/>
      <charset val="136"/>
      <scheme val="minor"/>
    </font>
    <font>
      <u/>
      <sz val="8.5"/>
      <color theme="0"/>
      <name val="Arial"/>
      <family val="2"/>
    </font>
    <font>
      <sz val="11"/>
      <color theme="4" tint="0.79998168889431442"/>
      <name val="Calibri"/>
      <family val="2"/>
      <scheme val="minor"/>
    </font>
    <font>
      <b/>
      <i/>
      <u/>
      <sz val="8.5"/>
      <name val="Arial"/>
      <family val="2"/>
    </font>
    <font>
      <b/>
      <sz val="8.5"/>
      <color rgb="FFFF0000"/>
      <name val="Arial"/>
      <family val="2"/>
    </font>
  </fonts>
  <fills count="44">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4" tint="-0.499984740745262"/>
        <bgColor indexed="64"/>
      </patternFill>
    </fill>
    <fill>
      <patternFill patternType="solid">
        <fgColor theme="4"/>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92D050"/>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00B050"/>
        <bgColor indexed="64"/>
      </patternFill>
    </fill>
    <fill>
      <patternFill patternType="solid">
        <fgColor rgb="FFFFFF00"/>
        <bgColor indexed="64"/>
      </patternFill>
    </fill>
    <fill>
      <patternFill patternType="solid">
        <fgColor theme="8" tint="0.79998168889431442"/>
        <bgColor indexed="64"/>
      </patternFill>
    </fill>
    <fill>
      <patternFill patternType="solid">
        <fgColor rgb="FFB3F7E7"/>
        <bgColor indexed="64"/>
      </patternFill>
    </fill>
    <fill>
      <patternFill patternType="solid">
        <fgColor rgb="FFC6EFCE"/>
      </patternFill>
    </fill>
    <fill>
      <patternFill patternType="solid">
        <fgColor rgb="FFFFC7CE"/>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CC"/>
        <bgColor indexed="64"/>
      </patternFill>
    </fill>
    <fill>
      <patternFill patternType="solid">
        <fgColor rgb="FF00FFFF"/>
        <bgColor indexed="64"/>
      </patternFill>
    </fill>
    <fill>
      <patternFill patternType="solid">
        <fgColor theme="9" tint="-0.249977111117893"/>
        <bgColor indexed="64"/>
      </patternFill>
    </fill>
    <fill>
      <patternFill patternType="solid">
        <fgColor theme="5" tint="-0.499984740745262"/>
        <bgColor indexed="64"/>
      </patternFill>
    </fill>
  </fills>
  <borders count="3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theme="0"/>
      </bottom>
      <diagonal/>
    </border>
    <border>
      <left/>
      <right/>
      <top style="thin">
        <color theme="0"/>
      </top>
      <bottom style="thin">
        <color theme="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30"/>
      </bottom>
      <diagonal/>
    </border>
    <border>
      <left/>
      <right/>
      <top style="thin">
        <color indexed="64"/>
      </top>
      <bottom style="double">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6571">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xf numFmtId="0" fontId="4" fillId="0" borderId="0">
      <alignment vertical="center"/>
    </xf>
    <xf numFmtId="169" fontId="4" fillId="0" borderId="0" applyFont="0" applyFill="0" applyBorder="0" applyAlignment="0" applyProtection="0">
      <alignment vertical="center"/>
    </xf>
    <xf numFmtId="9" fontId="4" fillId="0" borderId="0" applyFont="0" applyFill="0" applyBorder="0" applyAlignment="0" applyProtection="0">
      <alignment vertical="center"/>
    </xf>
    <xf numFmtId="164" fontId="4" fillId="0" borderId="0" applyFont="0" applyFill="0" applyBorder="0" applyAlignment="0" applyProtection="0">
      <alignment vertical="center"/>
    </xf>
    <xf numFmtId="0" fontId="3" fillId="0" borderId="0"/>
    <xf numFmtId="164" fontId="3"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alignment vertical="center"/>
    </xf>
    <xf numFmtId="43" fontId="3" fillId="0" borderId="0" applyFont="0" applyFill="0" applyBorder="0" applyAlignment="0" applyProtection="0"/>
    <xf numFmtId="0" fontId="9" fillId="0" borderId="0">
      <alignment vertical="center"/>
    </xf>
    <xf numFmtId="0" fontId="15" fillId="0" borderId="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0" borderId="0" applyNumberFormat="0" applyBorder="0" applyAlignment="0" applyProtection="0">
      <alignment vertical="center"/>
    </xf>
    <xf numFmtId="0" fontId="16" fillId="20" borderId="0" applyNumberFormat="0" applyBorder="0" applyAlignment="0" applyProtection="0">
      <alignment vertical="center"/>
    </xf>
    <xf numFmtId="0" fontId="16" fillId="20" borderId="0" applyNumberFormat="0" applyBorder="0" applyAlignment="0" applyProtection="0">
      <alignment vertical="center"/>
    </xf>
    <xf numFmtId="0" fontId="16" fillId="20" borderId="0" applyNumberFormat="0" applyBorder="0" applyAlignment="0" applyProtection="0">
      <alignment vertical="center"/>
    </xf>
    <xf numFmtId="0" fontId="16" fillId="20" borderId="0" applyNumberFormat="0" applyBorder="0" applyAlignment="0" applyProtection="0">
      <alignment vertical="center"/>
    </xf>
    <xf numFmtId="0" fontId="16" fillId="20" borderId="0" applyNumberFormat="0" applyBorder="0" applyAlignment="0" applyProtection="0">
      <alignment vertical="center"/>
    </xf>
    <xf numFmtId="0" fontId="16" fillId="20" borderId="0" applyNumberFormat="0" applyBorder="0" applyAlignment="0" applyProtection="0">
      <alignment vertical="center"/>
    </xf>
    <xf numFmtId="0" fontId="16" fillId="20" borderId="0" applyNumberFormat="0" applyBorder="0" applyAlignment="0" applyProtection="0">
      <alignment vertical="center"/>
    </xf>
    <xf numFmtId="0" fontId="16" fillId="20"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2" borderId="0" applyNumberFormat="0" applyBorder="0" applyAlignment="0" applyProtection="0">
      <alignment vertical="center"/>
    </xf>
    <xf numFmtId="0" fontId="16" fillId="22" borderId="0" applyNumberFormat="0" applyBorder="0" applyAlignment="0" applyProtection="0">
      <alignment vertical="center"/>
    </xf>
    <xf numFmtId="0" fontId="16" fillId="22" borderId="0" applyNumberFormat="0" applyBorder="0" applyAlignment="0" applyProtection="0">
      <alignment vertical="center"/>
    </xf>
    <xf numFmtId="0" fontId="16" fillId="22" borderId="0" applyNumberFormat="0" applyBorder="0" applyAlignment="0" applyProtection="0">
      <alignment vertical="center"/>
    </xf>
    <xf numFmtId="0" fontId="16" fillId="22" borderId="0" applyNumberFormat="0" applyBorder="0" applyAlignment="0" applyProtection="0">
      <alignment vertical="center"/>
    </xf>
    <xf numFmtId="0" fontId="16" fillId="22" borderId="0" applyNumberFormat="0" applyBorder="0" applyAlignment="0" applyProtection="0">
      <alignment vertical="center"/>
    </xf>
    <xf numFmtId="0" fontId="16" fillId="22" borderId="0" applyNumberFormat="0" applyBorder="0" applyAlignment="0" applyProtection="0">
      <alignment vertical="center"/>
    </xf>
    <xf numFmtId="0" fontId="16" fillId="22" borderId="0" applyNumberFormat="0" applyBorder="0" applyAlignment="0" applyProtection="0">
      <alignment vertical="center"/>
    </xf>
    <xf numFmtId="0" fontId="16" fillId="22" borderId="0" applyNumberFormat="0" applyBorder="0" applyAlignment="0" applyProtection="0">
      <alignment vertical="center"/>
    </xf>
    <xf numFmtId="0" fontId="16" fillId="22"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4" borderId="0" applyNumberFormat="0" applyBorder="0" applyAlignment="0" applyProtection="0">
      <alignment vertical="center"/>
    </xf>
    <xf numFmtId="0" fontId="16" fillId="24" borderId="0" applyNumberFormat="0" applyBorder="0" applyAlignment="0" applyProtection="0">
      <alignment vertical="center"/>
    </xf>
    <xf numFmtId="0" fontId="16" fillId="24" borderId="0" applyNumberFormat="0" applyBorder="0" applyAlignment="0" applyProtection="0">
      <alignment vertical="center"/>
    </xf>
    <xf numFmtId="0" fontId="16" fillId="24" borderId="0" applyNumberFormat="0" applyBorder="0" applyAlignment="0" applyProtection="0">
      <alignment vertical="center"/>
    </xf>
    <xf numFmtId="0" fontId="16" fillId="24" borderId="0" applyNumberFormat="0" applyBorder="0" applyAlignment="0" applyProtection="0">
      <alignment vertical="center"/>
    </xf>
    <xf numFmtId="0" fontId="16" fillId="24" borderId="0" applyNumberFormat="0" applyBorder="0" applyAlignment="0" applyProtection="0">
      <alignment vertical="center"/>
    </xf>
    <xf numFmtId="0" fontId="16" fillId="24" borderId="0" applyNumberFormat="0" applyBorder="0" applyAlignment="0" applyProtection="0">
      <alignment vertical="center"/>
    </xf>
    <xf numFmtId="0" fontId="16" fillId="24" borderId="0" applyNumberFormat="0" applyBorder="0" applyAlignment="0" applyProtection="0">
      <alignment vertical="center"/>
    </xf>
    <xf numFmtId="0" fontId="16" fillId="24" borderId="0" applyNumberFormat="0" applyBorder="0" applyAlignment="0" applyProtection="0">
      <alignment vertical="center"/>
    </xf>
    <xf numFmtId="0" fontId="16" fillId="25" borderId="0" applyNumberFormat="0" applyBorder="0" applyAlignment="0" applyProtection="0">
      <alignment vertical="center"/>
    </xf>
    <xf numFmtId="0" fontId="16" fillId="25" borderId="0" applyNumberFormat="0" applyBorder="0" applyAlignment="0" applyProtection="0">
      <alignment vertical="center"/>
    </xf>
    <xf numFmtId="0" fontId="16" fillId="25" borderId="0" applyNumberFormat="0" applyBorder="0" applyAlignment="0" applyProtection="0">
      <alignment vertical="center"/>
    </xf>
    <xf numFmtId="0" fontId="16" fillId="25" borderId="0" applyNumberFormat="0" applyBorder="0" applyAlignment="0" applyProtection="0">
      <alignment vertical="center"/>
    </xf>
    <xf numFmtId="0" fontId="16" fillId="25" borderId="0" applyNumberFormat="0" applyBorder="0" applyAlignment="0" applyProtection="0">
      <alignment vertical="center"/>
    </xf>
    <xf numFmtId="0" fontId="16" fillId="25" borderId="0" applyNumberFormat="0" applyBorder="0" applyAlignment="0" applyProtection="0">
      <alignment vertical="center"/>
    </xf>
    <xf numFmtId="0" fontId="16" fillId="25" borderId="0" applyNumberFormat="0" applyBorder="0" applyAlignment="0" applyProtection="0">
      <alignment vertical="center"/>
    </xf>
    <xf numFmtId="0" fontId="16" fillId="25" borderId="0" applyNumberFormat="0" applyBorder="0" applyAlignment="0" applyProtection="0">
      <alignment vertical="center"/>
    </xf>
    <xf numFmtId="0" fontId="16" fillId="25" borderId="0" applyNumberFormat="0" applyBorder="0" applyAlignment="0" applyProtection="0">
      <alignment vertical="center"/>
    </xf>
    <xf numFmtId="0" fontId="16" fillId="25" borderId="0" applyNumberFormat="0" applyBorder="0" applyAlignment="0" applyProtection="0">
      <alignment vertical="center"/>
    </xf>
    <xf numFmtId="0" fontId="16" fillId="26" borderId="0" applyNumberFormat="0" applyBorder="0" applyAlignment="0" applyProtection="0">
      <alignment vertical="center"/>
    </xf>
    <xf numFmtId="0" fontId="16" fillId="26" borderId="0" applyNumberFormat="0" applyBorder="0" applyAlignment="0" applyProtection="0">
      <alignment vertical="center"/>
    </xf>
    <xf numFmtId="0" fontId="16" fillId="26" borderId="0" applyNumberFormat="0" applyBorder="0" applyAlignment="0" applyProtection="0">
      <alignment vertical="center"/>
    </xf>
    <xf numFmtId="0" fontId="16" fillId="26" borderId="0" applyNumberFormat="0" applyBorder="0" applyAlignment="0" applyProtection="0">
      <alignment vertical="center"/>
    </xf>
    <xf numFmtId="0" fontId="16" fillId="26" borderId="0" applyNumberFormat="0" applyBorder="0" applyAlignment="0" applyProtection="0">
      <alignment vertical="center"/>
    </xf>
    <xf numFmtId="0" fontId="16" fillId="26" borderId="0" applyNumberFormat="0" applyBorder="0" applyAlignment="0" applyProtection="0">
      <alignment vertical="center"/>
    </xf>
    <xf numFmtId="0" fontId="16" fillId="26" borderId="0" applyNumberFormat="0" applyBorder="0" applyAlignment="0" applyProtection="0">
      <alignment vertical="center"/>
    </xf>
    <xf numFmtId="0" fontId="16" fillId="26" borderId="0" applyNumberFormat="0" applyBorder="0" applyAlignment="0" applyProtection="0">
      <alignment vertical="center"/>
    </xf>
    <xf numFmtId="0" fontId="16" fillId="26" borderId="0" applyNumberFormat="0" applyBorder="0" applyAlignment="0" applyProtection="0">
      <alignment vertical="center"/>
    </xf>
    <xf numFmtId="0" fontId="16" fillId="26"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4" borderId="0" applyNumberFormat="0" applyBorder="0" applyAlignment="0" applyProtection="0">
      <alignment vertical="center"/>
    </xf>
    <xf numFmtId="0" fontId="16" fillId="24" borderId="0" applyNumberFormat="0" applyBorder="0" applyAlignment="0" applyProtection="0">
      <alignment vertical="center"/>
    </xf>
    <xf numFmtId="0" fontId="16" fillId="24" borderId="0" applyNumberFormat="0" applyBorder="0" applyAlignment="0" applyProtection="0">
      <alignment vertical="center"/>
    </xf>
    <xf numFmtId="0" fontId="16" fillId="24" borderId="0" applyNumberFormat="0" applyBorder="0" applyAlignment="0" applyProtection="0">
      <alignment vertical="center"/>
    </xf>
    <xf numFmtId="0" fontId="16" fillId="24" borderId="0" applyNumberFormat="0" applyBorder="0" applyAlignment="0" applyProtection="0">
      <alignment vertical="center"/>
    </xf>
    <xf numFmtId="0" fontId="16" fillId="24" borderId="0" applyNumberFormat="0" applyBorder="0" applyAlignment="0" applyProtection="0">
      <alignment vertical="center"/>
    </xf>
    <xf numFmtId="0" fontId="16" fillId="24" borderId="0" applyNumberFormat="0" applyBorder="0" applyAlignment="0" applyProtection="0">
      <alignment vertical="center"/>
    </xf>
    <xf numFmtId="0" fontId="16" fillId="24" borderId="0" applyNumberFormat="0" applyBorder="0" applyAlignment="0" applyProtection="0">
      <alignment vertical="center"/>
    </xf>
    <xf numFmtId="0" fontId="16" fillId="24" borderId="0" applyNumberFormat="0" applyBorder="0" applyAlignment="0" applyProtection="0">
      <alignment vertical="center"/>
    </xf>
    <xf numFmtId="0" fontId="16" fillId="24" borderId="0" applyNumberFormat="0" applyBorder="0" applyAlignment="0" applyProtection="0">
      <alignment vertical="center"/>
    </xf>
    <xf numFmtId="0" fontId="16" fillId="27" borderId="0" applyNumberFormat="0" applyBorder="0" applyAlignment="0" applyProtection="0">
      <alignment vertical="center"/>
    </xf>
    <xf numFmtId="0" fontId="16" fillId="27" borderId="0" applyNumberFormat="0" applyBorder="0" applyAlignment="0" applyProtection="0">
      <alignment vertical="center"/>
    </xf>
    <xf numFmtId="0" fontId="16" fillId="27" borderId="0" applyNumberFormat="0" applyBorder="0" applyAlignment="0" applyProtection="0">
      <alignment vertical="center"/>
    </xf>
    <xf numFmtId="0" fontId="16" fillId="27" borderId="0" applyNumberFormat="0" applyBorder="0" applyAlignment="0" applyProtection="0">
      <alignment vertical="center"/>
    </xf>
    <xf numFmtId="0" fontId="16" fillId="27" borderId="0" applyNumberFormat="0" applyBorder="0" applyAlignment="0" applyProtection="0">
      <alignment vertical="center"/>
    </xf>
    <xf numFmtId="0" fontId="16" fillId="27" borderId="0" applyNumberFormat="0" applyBorder="0" applyAlignment="0" applyProtection="0">
      <alignment vertical="center"/>
    </xf>
    <xf numFmtId="0" fontId="16" fillId="27" borderId="0" applyNumberFormat="0" applyBorder="0" applyAlignment="0" applyProtection="0">
      <alignment vertical="center"/>
    </xf>
    <xf numFmtId="0" fontId="16" fillId="27" borderId="0" applyNumberFormat="0" applyBorder="0" applyAlignment="0" applyProtection="0">
      <alignment vertical="center"/>
    </xf>
    <xf numFmtId="0" fontId="16" fillId="27" borderId="0" applyNumberFormat="0" applyBorder="0" applyAlignment="0" applyProtection="0">
      <alignment vertical="center"/>
    </xf>
    <xf numFmtId="0" fontId="16" fillId="27"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9" borderId="0" applyNumberFormat="0" applyBorder="0" applyAlignment="0" applyProtection="0">
      <alignment vertical="center"/>
    </xf>
    <xf numFmtId="0" fontId="18" fillId="29" borderId="0" applyNumberFormat="0" applyBorder="0" applyAlignment="0" applyProtection="0">
      <alignment vertical="center"/>
    </xf>
    <xf numFmtId="0" fontId="18" fillId="29" borderId="0" applyNumberFormat="0" applyBorder="0" applyAlignment="0" applyProtection="0">
      <alignment vertical="center"/>
    </xf>
    <xf numFmtId="0" fontId="18" fillId="29"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8" fillId="30" borderId="0" applyNumberFormat="0" applyBorder="0" applyAlignment="0" applyProtection="0">
      <alignment vertical="center"/>
    </xf>
    <xf numFmtId="0" fontId="18" fillId="30" borderId="0" applyNumberFormat="0" applyBorder="0" applyAlignment="0" applyProtection="0">
      <alignment vertical="center"/>
    </xf>
    <xf numFmtId="0" fontId="18" fillId="30"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8" fillId="31" borderId="0" applyNumberFormat="0" applyBorder="0" applyAlignment="0" applyProtection="0">
      <alignment vertical="center"/>
    </xf>
    <xf numFmtId="0" fontId="18" fillId="31" borderId="0" applyNumberFormat="0" applyBorder="0" applyAlignment="0" applyProtection="0">
      <alignment vertical="center"/>
    </xf>
    <xf numFmtId="0" fontId="18" fillId="31"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8" fillId="32" borderId="0" applyNumberFormat="0" applyBorder="0" applyAlignment="0" applyProtection="0">
      <alignment vertical="center"/>
    </xf>
    <xf numFmtId="0" fontId="18" fillId="32" borderId="0" applyNumberFormat="0" applyBorder="0" applyAlignment="0" applyProtection="0">
      <alignment vertical="center"/>
    </xf>
    <xf numFmtId="0" fontId="18" fillId="32" borderId="0" applyNumberFormat="0" applyBorder="0" applyAlignment="0" applyProtection="0">
      <alignment vertical="center"/>
    </xf>
    <xf numFmtId="0" fontId="18" fillId="32" borderId="0" applyNumberFormat="0" applyBorder="0" applyAlignment="0" applyProtection="0">
      <alignment vertical="center"/>
    </xf>
    <xf numFmtId="0" fontId="18" fillId="33" borderId="0" applyNumberFormat="0" applyBorder="0" applyAlignment="0" applyProtection="0">
      <alignment vertical="center"/>
    </xf>
    <xf numFmtId="0" fontId="18" fillId="33" borderId="0" applyNumberFormat="0" applyBorder="0" applyAlignment="0" applyProtection="0">
      <alignment vertical="center"/>
    </xf>
    <xf numFmtId="0" fontId="18" fillId="33" borderId="0" applyNumberFormat="0" applyBorder="0" applyAlignment="0" applyProtection="0">
      <alignment vertical="center"/>
    </xf>
    <xf numFmtId="0" fontId="18" fillId="33" borderId="0" applyNumberFormat="0" applyBorder="0" applyAlignment="0" applyProtection="0">
      <alignment vertical="center"/>
    </xf>
    <xf numFmtId="0" fontId="18" fillId="33" borderId="0" applyNumberFormat="0" applyBorder="0" applyAlignment="0" applyProtection="0">
      <alignment vertical="center"/>
    </xf>
    <xf numFmtId="0" fontId="18" fillId="34" borderId="0" applyNumberFormat="0" applyBorder="0" applyAlignment="0" applyProtection="0">
      <alignment vertical="center"/>
    </xf>
    <xf numFmtId="0" fontId="18" fillId="34" borderId="0" applyNumberFormat="0" applyBorder="0" applyAlignment="0" applyProtection="0">
      <alignment vertical="center"/>
    </xf>
    <xf numFmtId="0" fontId="18" fillId="34" borderId="0" applyNumberFormat="0" applyBorder="0" applyAlignment="0" applyProtection="0">
      <alignment vertical="center"/>
    </xf>
    <xf numFmtId="0" fontId="18" fillId="34" borderId="0" applyNumberFormat="0" applyBorder="0" applyAlignment="0" applyProtection="0">
      <alignment vertical="center"/>
    </xf>
    <xf numFmtId="0" fontId="18" fillId="34" borderId="0" applyNumberFormat="0" applyBorder="0" applyAlignment="0" applyProtection="0">
      <alignment vertical="center"/>
    </xf>
    <xf numFmtId="0" fontId="18" fillId="29" borderId="0" applyNumberFormat="0" applyBorder="0" applyAlignment="0" applyProtection="0">
      <alignment vertical="center"/>
    </xf>
    <xf numFmtId="0" fontId="18" fillId="29" borderId="0" applyNumberFormat="0" applyBorder="0" applyAlignment="0" applyProtection="0">
      <alignment vertical="center"/>
    </xf>
    <xf numFmtId="0" fontId="18" fillId="29" borderId="0" applyNumberFormat="0" applyBorder="0" applyAlignment="0" applyProtection="0">
      <alignment vertical="center"/>
    </xf>
    <xf numFmtId="0" fontId="18" fillId="29"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8" fillId="30" borderId="0" applyNumberFormat="0" applyBorder="0" applyAlignment="0" applyProtection="0">
      <alignment vertical="center"/>
    </xf>
    <xf numFmtId="0" fontId="18" fillId="30" borderId="0" applyNumberFormat="0" applyBorder="0" applyAlignment="0" applyProtection="0">
      <alignment vertical="center"/>
    </xf>
    <xf numFmtId="0" fontId="18" fillId="30" borderId="0" applyNumberFormat="0" applyBorder="0" applyAlignment="0" applyProtection="0">
      <alignment vertical="center"/>
    </xf>
    <xf numFmtId="0" fontId="18" fillId="30" borderId="0" applyNumberFormat="0" applyBorder="0" applyAlignment="0" applyProtection="0">
      <alignment vertical="center"/>
    </xf>
    <xf numFmtId="0" fontId="18" fillId="35" borderId="0" applyNumberFormat="0" applyBorder="0" applyAlignment="0" applyProtection="0">
      <alignment vertical="center"/>
    </xf>
    <xf numFmtId="0" fontId="18" fillId="35" borderId="0" applyNumberFormat="0" applyBorder="0" applyAlignment="0" applyProtection="0">
      <alignment vertical="center"/>
    </xf>
    <xf numFmtId="0" fontId="18" fillId="35" borderId="0" applyNumberFormat="0" applyBorder="0" applyAlignment="0" applyProtection="0">
      <alignment vertical="center"/>
    </xf>
    <xf numFmtId="0" fontId="18" fillId="35" borderId="0" applyNumberFormat="0" applyBorder="0" applyAlignment="0" applyProtection="0">
      <alignment vertical="center"/>
    </xf>
    <xf numFmtId="0" fontId="18" fillId="35" borderId="0" applyNumberFormat="0" applyBorder="0" applyAlignment="0" applyProtection="0">
      <alignment vertical="center"/>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0" fillId="36" borderId="18" applyNumberFormat="0" applyAlignment="0" applyProtection="0">
      <alignment vertical="center"/>
    </xf>
    <xf numFmtId="0" fontId="21" fillId="37" borderId="19" applyNumberFormat="0" applyAlignment="0" applyProtection="0">
      <alignment vertical="center"/>
    </xf>
    <xf numFmtId="0" fontId="21" fillId="37" borderId="19" applyNumberFormat="0" applyAlignment="0" applyProtection="0">
      <alignment vertical="center"/>
    </xf>
    <xf numFmtId="0" fontId="21" fillId="37" borderId="19" applyNumberFormat="0" applyAlignment="0" applyProtection="0">
      <alignment vertical="center"/>
    </xf>
    <xf numFmtId="0" fontId="21" fillId="37" borderId="19" applyNumberFormat="0" applyAlignment="0" applyProtection="0">
      <alignment vertical="center"/>
    </xf>
    <xf numFmtId="0" fontId="21" fillId="37" borderId="19" applyNumberFormat="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4" fillId="0" borderId="20" applyNumberFormat="0" applyFill="0" applyAlignment="0" applyProtection="0">
      <alignment vertical="center"/>
    </xf>
    <xf numFmtId="0" fontId="24" fillId="0" borderId="20" applyNumberFormat="0" applyFill="0" applyAlignment="0" applyProtection="0">
      <alignment vertical="center"/>
    </xf>
    <xf numFmtId="0" fontId="24" fillId="0" borderId="20" applyNumberFormat="0" applyFill="0" applyAlignment="0" applyProtection="0">
      <alignment vertical="center"/>
    </xf>
    <xf numFmtId="0" fontId="24" fillId="0" borderId="20" applyNumberFormat="0" applyFill="0" applyAlignment="0" applyProtection="0">
      <alignment vertical="center"/>
    </xf>
    <xf numFmtId="0" fontId="24" fillId="0" borderId="20" applyNumberFormat="0" applyFill="0" applyAlignment="0" applyProtection="0">
      <alignment vertical="center"/>
    </xf>
    <xf numFmtId="0" fontId="25" fillId="0" borderId="21" applyNumberFormat="0" applyFill="0" applyAlignment="0" applyProtection="0">
      <alignment vertical="center"/>
    </xf>
    <xf numFmtId="0" fontId="25" fillId="0" borderId="21" applyNumberFormat="0" applyFill="0" applyAlignment="0" applyProtection="0">
      <alignment vertical="center"/>
    </xf>
    <xf numFmtId="0" fontId="25" fillId="0" borderId="21" applyNumberFormat="0" applyFill="0" applyAlignment="0" applyProtection="0">
      <alignment vertical="center"/>
    </xf>
    <xf numFmtId="0" fontId="25" fillId="0" borderId="21" applyNumberFormat="0" applyFill="0" applyAlignment="0" applyProtection="0">
      <alignment vertical="center"/>
    </xf>
    <xf numFmtId="0" fontId="25" fillId="0" borderId="21"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22"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7" fillId="23" borderId="18" applyNumberFormat="0" applyAlignment="0" applyProtection="0">
      <alignment vertical="center"/>
    </xf>
    <xf numFmtId="0" fontId="28" fillId="0" borderId="23" applyNumberFormat="0" applyFill="0" applyAlignment="0" applyProtection="0">
      <alignment vertical="center"/>
    </xf>
    <xf numFmtId="0" fontId="28" fillId="0" borderId="23" applyNumberFormat="0" applyFill="0" applyAlignment="0" applyProtection="0">
      <alignment vertical="center"/>
    </xf>
    <xf numFmtId="0" fontId="28" fillId="0" borderId="23" applyNumberFormat="0" applyFill="0" applyAlignment="0" applyProtection="0">
      <alignment vertical="center"/>
    </xf>
    <xf numFmtId="0" fontId="28" fillId="0" borderId="23" applyNumberFormat="0" applyFill="0" applyAlignment="0" applyProtection="0">
      <alignment vertical="center"/>
    </xf>
    <xf numFmtId="0" fontId="28" fillId="0" borderId="23" applyNumberFormat="0" applyFill="0" applyAlignment="0" applyProtection="0">
      <alignment vertical="center"/>
    </xf>
    <xf numFmtId="0" fontId="29" fillId="38" borderId="0" applyNumberFormat="0" applyBorder="0" applyAlignment="0" applyProtection="0">
      <alignment vertical="center"/>
    </xf>
    <xf numFmtId="0" fontId="29" fillId="38" borderId="0" applyNumberFormat="0" applyBorder="0" applyAlignment="0" applyProtection="0">
      <alignment vertical="center"/>
    </xf>
    <xf numFmtId="0" fontId="29" fillId="38" borderId="0" applyNumberFormat="0" applyBorder="0" applyAlignment="0" applyProtection="0">
      <alignment vertical="center"/>
    </xf>
    <xf numFmtId="0" fontId="29" fillId="38" borderId="0" applyNumberFormat="0" applyBorder="0" applyAlignment="0" applyProtection="0">
      <alignment vertical="center"/>
    </xf>
    <xf numFmtId="0" fontId="29" fillId="38" borderId="0" applyNumberFormat="0" applyBorder="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15" fillId="39" borderId="24" applyNumberFormat="0" applyFon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0" fillId="36" borderId="25" applyNumberFormat="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2" fillId="0" borderId="26"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34" fillId="17"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5" fillId="0" borderId="0"/>
    <xf numFmtId="0" fontId="15" fillId="0" borderId="0"/>
    <xf numFmtId="0" fontId="35" fillId="0" borderId="0">
      <alignment vertical="center"/>
    </xf>
    <xf numFmtId="0" fontId="35" fillId="0" borderId="0">
      <alignment vertical="center"/>
    </xf>
    <xf numFmtId="0" fontId="15" fillId="0" borderId="0"/>
    <xf numFmtId="0" fontId="35" fillId="0" borderId="0">
      <alignment vertical="center"/>
    </xf>
    <xf numFmtId="0" fontId="35" fillId="0" borderId="0">
      <alignment vertical="center"/>
    </xf>
    <xf numFmtId="0" fontId="35" fillId="0" borderId="0">
      <alignment vertical="center"/>
    </xf>
    <xf numFmtId="0" fontId="15" fillId="0" borderId="0"/>
    <xf numFmtId="0" fontId="3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5" fillId="0" borderId="0"/>
    <xf numFmtId="0" fontId="15" fillId="0" borderId="0"/>
    <xf numFmtId="0" fontId="35" fillId="0" borderId="0">
      <alignment vertical="center"/>
    </xf>
    <xf numFmtId="0" fontId="35" fillId="0" borderId="0">
      <alignment vertical="center"/>
    </xf>
    <xf numFmtId="0" fontId="15"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5"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5"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5"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5" fillId="0" borderId="0"/>
    <xf numFmtId="0" fontId="15" fillId="0" borderId="0"/>
    <xf numFmtId="0" fontId="15" fillId="0" borderId="0"/>
    <xf numFmtId="0" fontId="15"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5"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5"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 fillId="0" borderId="0"/>
    <xf numFmtId="0" fontId="15"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5" fillId="0" borderId="0"/>
    <xf numFmtId="0" fontId="4" fillId="0" borderId="0">
      <alignment vertical="center"/>
    </xf>
    <xf numFmtId="0" fontId="4" fillId="0" borderId="0">
      <alignment vertical="center"/>
    </xf>
    <xf numFmtId="0" fontId="15" fillId="0" borderId="0"/>
    <xf numFmtId="0" fontId="4" fillId="0" borderId="0">
      <alignment vertical="center"/>
    </xf>
    <xf numFmtId="0" fontId="15" fillId="0" borderId="0"/>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pplyNumberFormat="0" applyFill="0" applyBorder="0" applyAlignment="0" applyProtection="0">
      <alignment vertical="top"/>
      <protection locked="0"/>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37" fillId="16"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184" fontId="17" fillId="0" borderId="0" applyFont="0" applyFill="0" applyBorder="0" applyAlignment="0" applyProtection="0"/>
    <xf numFmtId="184" fontId="17" fillId="0" borderId="0" applyFont="0" applyFill="0" applyBorder="0" applyAlignment="0" applyProtection="0"/>
    <xf numFmtId="184" fontId="17" fillId="0" borderId="0" applyFont="0" applyFill="0" applyBorder="0" applyAlignment="0" applyProtection="0"/>
    <xf numFmtId="184" fontId="17" fillId="0" borderId="0" applyFont="0" applyFill="0" applyBorder="0" applyAlignment="0" applyProtection="0"/>
    <xf numFmtId="184" fontId="17" fillId="0" borderId="0" applyFont="0" applyFill="0" applyBorder="0" applyAlignment="0" applyProtection="0"/>
    <xf numFmtId="184" fontId="17" fillId="0" borderId="0" applyFont="0" applyFill="0" applyBorder="0" applyAlignment="0" applyProtection="0"/>
    <xf numFmtId="184" fontId="17" fillId="0" borderId="0" applyFont="0" applyFill="0" applyBorder="0" applyAlignment="0" applyProtection="0"/>
    <xf numFmtId="184" fontId="17" fillId="0" borderId="0" applyFont="0" applyFill="0" applyBorder="0" applyAlignment="0" applyProtection="0"/>
    <xf numFmtId="184" fontId="17" fillId="0" borderId="0" applyFont="0" applyFill="0" applyBorder="0" applyAlignment="0" applyProtection="0"/>
    <xf numFmtId="185" fontId="17" fillId="0" borderId="0" applyFont="0" applyFill="0" applyBorder="0" applyAlignment="0" applyProtection="0"/>
    <xf numFmtId="185" fontId="17" fillId="0" borderId="0" applyFont="0" applyFill="0" applyBorder="0" applyAlignment="0" applyProtection="0"/>
    <xf numFmtId="185" fontId="17" fillId="0" borderId="0" applyFont="0" applyFill="0" applyBorder="0" applyAlignment="0" applyProtection="0"/>
    <xf numFmtId="184" fontId="17" fillId="0" borderId="0" applyFont="0" applyFill="0" applyBorder="0" applyAlignment="0" applyProtection="0"/>
    <xf numFmtId="184" fontId="17" fillId="0" borderId="0" applyFont="0" applyFill="0" applyBorder="0" applyAlignment="0" applyProtection="0"/>
    <xf numFmtId="184" fontId="17" fillId="0" borderId="0" applyFont="0" applyFill="0" applyBorder="0" applyAlignment="0" applyProtection="0"/>
    <xf numFmtId="184" fontId="17" fillId="0" borderId="0" applyFont="0" applyFill="0" applyBorder="0" applyAlignment="0" applyProtection="0"/>
    <xf numFmtId="184" fontId="17" fillId="0" borderId="0" applyFont="0" applyFill="0" applyBorder="0" applyAlignment="0" applyProtection="0"/>
    <xf numFmtId="184" fontId="17" fillId="0" borderId="0" applyFont="0" applyFill="0" applyBorder="0" applyAlignment="0" applyProtection="0"/>
    <xf numFmtId="185" fontId="17" fillId="0" borderId="0" applyFont="0" applyFill="0" applyBorder="0" applyAlignment="0" applyProtection="0"/>
    <xf numFmtId="185" fontId="17" fillId="0" borderId="0" applyFont="0" applyFill="0" applyBorder="0" applyAlignment="0" applyProtection="0"/>
    <xf numFmtId="185" fontId="17" fillId="0" borderId="0" applyFont="0" applyFill="0" applyBorder="0" applyAlignment="0" applyProtection="0"/>
    <xf numFmtId="43" fontId="15" fillId="0" borderId="0" applyFont="0" applyFill="0" applyBorder="0" applyAlignment="0" applyProtection="0">
      <alignment vertical="center"/>
    </xf>
    <xf numFmtId="186" fontId="15" fillId="0" borderId="0" applyFont="0" applyFill="0" applyBorder="0" applyAlignment="0" applyProtection="0">
      <alignment vertical="center"/>
    </xf>
    <xf numFmtId="186" fontId="15" fillId="0" borderId="0" applyFont="0" applyFill="0" applyBorder="0" applyAlignment="0" applyProtection="0">
      <alignment vertical="center"/>
    </xf>
    <xf numFmtId="186" fontId="15" fillId="0" borderId="0" applyFont="0" applyFill="0" applyBorder="0" applyAlignment="0" applyProtection="0">
      <alignment vertical="center"/>
    </xf>
    <xf numFmtId="186"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2"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2"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0" fontId="26" fillId="0" borderId="27" applyNumberFormat="0" applyFill="0" applyAlignment="0" applyProtection="0">
      <alignment vertical="center"/>
    </xf>
    <xf numFmtId="44" fontId="1" fillId="0" borderId="0" applyFont="0" applyFill="0" applyBorder="0" applyAlignment="0" applyProtection="0"/>
    <xf numFmtId="0" fontId="6" fillId="0" borderId="0"/>
    <xf numFmtId="0" fontId="68" fillId="0" borderId="0" applyNumberFormat="0" applyFill="0" applyBorder="0" applyAlignment="0" applyProtection="0"/>
    <xf numFmtId="0" fontId="70" fillId="0" borderId="0"/>
    <xf numFmtId="43" fontId="5" fillId="0" borderId="0" applyFont="0" applyFill="0" applyBorder="0" applyAlignment="0" applyProtection="0"/>
    <xf numFmtId="0" fontId="78" fillId="0" borderId="0"/>
    <xf numFmtId="0" fontId="79" fillId="0" borderId="0">
      <alignment vertical="center"/>
    </xf>
    <xf numFmtId="0" fontId="80" fillId="0" borderId="0" applyNumberFormat="0" applyFill="0" applyBorder="0" applyAlignment="0" applyProtection="0">
      <alignment vertical="center"/>
    </xf>
    <xf numFmtId="164" fontId="79" fillId="0" borderId="0" applyFont="0" applyFill="0" applyBorder="0" applyAlignment="0" applyProtection="0">
      <alignment vertical="center"/>
    </xf>
    <xf numFmtId="0" fontId="5" fillId="0" borderId="0"/>
    <xf numFmtId="0" fontId="1" fillId="0" borderId="0"/>
    <xf numFmtId="0" fontId="69" fillId="0" borderId="0"/>
    <xf numFmtId="0" fontId="5" fillId="0" borderId="0"/>
    <xf numFmtId="43" fontId="69" fillId="0" borderId="0" applyFont="0" applyFill="0" applyBorder="0" applyAlignment="0" applyProtection="0"/>
    <xf numFmtId="0" fontId="70" fillId="0" borderId="0"/>
    <xf numFmtId="0" fontId="26" fillId="0" borderId="27" applyNumberFormat="0" applyFill="0" applyAlignment="0" applyProtection="0">
      <alignment vertical="center"/>
    </xf>
  </cellStyleXfs>
  <cellXfs count="646">
    <xf numFmtId="0" fontId="0" fillId="0" borderId="0" xfId="0"/>
    <xf numFmtId="0" fontId="11" fillId="0" borderId="0" xfId="0" applyFont="1"/>
    <xf numFmtId="0" fontId="12" fillId="0" borderId="0" xfId="0" applyFont="1"/>
    <xf numFmtId="9" fontId="0" fillId="0" borderId="0" xfId="2" applyFont="1"/>
    <xf numFmtId="0" fontId="39" fillId="4" borderId="16" xfId="3" applyFont="1" applyFill="1" applyBorder="1" applyAlignment="1">
      <alignment horizontal="center" wrapText="1"/>
    </xf>
    <xf numFmtId="0" fontId="38" fillId="3" borderId="0" xfId="3" applyFont="1" applyFill="1" applyAlignment="1">
      <alignment horizontal="left" vertical="center"/>
    </xf>
    <xf numFmtId="0" fontId="39" fillId="4" borderId="0" xfId="3" applyFont="1" applyFill="1" applyAlignment="1">
      <alignment horizontal="left" vertical="center"/>
    </xf>
    <xf numFmtId="0" fontId="39" fillId="4" borderId="0" xfId="3" applyFont="1" applyFill="1" applyAlignment="1">
      <alignment horizontal="center" vertical="center" wrapText="1"/>
    </xf>
    <xf numFmtId="0" fontId="11" fillId="3" borderId="0" xfId="0" applyFont="1" applyFill="1"/>
    <xf numFmtId="43" fontId="11" fillId="3" borderId="0" xfId="0" applyNumberFormat="1" applyFont="1" applyFill="1"/>
    <xf numFmtId="0" fontId="39" fillId="4" borderId="0" xfId="3" applyFont="1" applyFill="1" applyAlignment="1">
      <alignment horizontal="center"/>
    </xf>
    <xf numFmtId="0" fontId="39" fillId="4" borderId="0" xfId="3" applyFont="1" applyFill="1" applyAlignment="1">
      <alignment horizontal="center" wrapText="1"/>
    </xf>
    <xf numFmtId="15" fontId="39" fillId="4" borderId="0" xfId="3" applyNumberFormat="1" applyFont="1" applyFill="1" applyAlignment="1">
      <alignment horizontal="right" wrapText="1"/>
    </xf>
    <xf numFmtId="15" fontId="39" fillId="4" borderId="0" xfId="3" applyNumberFormat="1" applyFont="1" applyFill="1" applyAlignment="1">
      <alignment wrapText="1"/>
    </xf>
    <xf numFmtId="170" fontId="11" fillId="3" borderId="0" xfId="1" applyNumberFormat="1" applyFont="1" applyFill="1" applyBorder="1"/>
    <xf numFmtId="172" fontId="11" fillId="3" borderId="0" xfId="0" applyNumberFormat="1" applyFont="1" applyFill="1"/>
    <xf numFmtId="9" fontId="11" fillId="3" borderId="0" xfId="2" applyFont="1" applyFill="1" applyBorder="1"/>
    <xf numFmtId="166" fontId="11" fillId="3" borderId="0" xfId="0" applyNumberFormat="1" applyFont="1" applyFill="1"/>
    <xf numFmtId="164" fontId="11" fillId="3" borderId="0" xfId="1" applyFont="1" applyFill="1" applyBorder="1"/>
    <xf numFmtId="182" fontId="11" fillId="3" borderId="0" xfId="2" applyNumberFormat="1" applyFont="1" applyFill="1" applyBorder="1"/>
    <xf numFmtId="171" fontId="11" fillId="3" borderId="0" xfId="0" applyNumberFormat="1" applyFont="1" applyFill="1"/>
    <xf numFmtId="0" fontId="11" fillId="3" borderId="0" xfId="0" applyFont="1" applyFill="1" applyAlignment="1">
      <alignment horizontal="center" vertical="center"/>
    </xf>
    <xf numFmtId="0" fontId="11" fillId="3" borderId="0" xfId="0" applyFont="1" applyFill="1" applyAlignment="1">
      <alignment horizontal="center"/>
    </xf>
    <xf numFmtId="0" fontId="40" fillId="3" borderId="0" xfId="0" applyFont="1" applyFill="1"/>
    <xf numFmtId="176" fontId="11" fillId="3" borderId="0" xfId="0" applyNumberFormat="1" applyFont="1" applyFill="1"/>
    <xf numFmtId="0" fontId="39" fillId="4" borderId="0" xfId="3" applyFont="1" applyFill="1"/>
    <xf numFmtId="15" fontId="39" fillId="4" borderId="0" xfId="3" applyNumberFormat="1" applyFont="1" applyFill="1" applyAlignment="1">
      <alignment horizontal="center" vertical="center" wrapText="1"/>
    </xf>
    <xf numFmtId="15" fontId="39" fillId="4" borderId="0" xfId="3" applyNumberFormat="1" applyFont="1" applyFill="1" applyAlignment="1">
      <alignment horizontal="center" wrapText="1"/>
    </xf>
    <xf numFmtId="0" fontId="41" fillId="4" borderId="0" xfId="3" applyFont="1" applyFill="1" applyAlignment="1">
      <alignment horizontal="center" wrapText="1"/>
    </xf>
    <xf numFmtId="38" fontId="39" fillId="4" borderId="0" xfId="3" applyNumberFormat="1" applyFont="1" applyFill="1" applyAlignment="1">
      <alignment horizontal="center" wrapText="1"/>
    </xf>
    <xf numFmtId="176" fontId="39" fillId="4" borderId="0" xfId="3" applyNumberFormat="1" applyFont="1" applyFill="1" applyAlignment="1">
      <alignment horizontal="center" wrapText="1"/>
    </xf>
    <xf numFmtId="170" fontId="39" fillId="4" borderId="0" xfId="1" applyNumberFormat="1" applyFont="1" applyFill="1" applyBorder="1" applyAlignment="1">
      <alignment horizontal="center" wrapText="1"/>
    </xf>
    <xf numFmtId="0" fontId="42" fillId="3" borderId="0" xfId="3" applyFont="1" applyFill="1" applyAlignment="1">
      <alignment horizontal="left" vertical="center" wrapText="1"/>
    </xf>
    <xf numFmtId="171" fontId="42" fillId="3" borderId="0" xfId="3" quotePrefix="1" applyNumberFormat="1" applyFont="1" applyFill="1" applyAlignment="1">
      <alignment horizontal="right" vertical="center" wrapText="1"/>
    </xf>
    <xf numFmtId="166" fontId="42" fillId="3" borderId="0" xfId="1" applyNumberFormat="1" applyFont="1" applyFill="1" applyBorder="1" applyAlignment="1">
      <alignment horizontal="right" vertical="center" wrapText="1"/>
    </xf>
    <xf numFmtId="166" fontId="42" fillId="0" borderId="0" xfId="1" applyNumberFormat="1" applyFont="1" applyFill="1" applyBorder="1" applyAlignment="1">
      <alignment horizontal="right" vertical="center" wrapText="1"/>
    </xf>
    <xf numFmtId="176" fontId="42" fillId="3" borderId="0" xfId="1" applyNumberFormat="1" applyFont="1" applyFill="1" applyBorder="1" applyAlignment="1">
      <alignment horizontal="right" vertical="center" wrapText="1"/>
    </xf>
    <xf numFmtId="9" fontId="42" fillId="3" borderId="0" xfId="2" applyFont="1" applyFill="1" applyBorder="1" applyAlignment="1">
      <alignment horizontal="right" vertical="center" wrapText="1"/>
    </xf>
    <xf numFmtId="38" fontId="42" fillId="3" borderId="0" xfId="1" applyNumberFormat="1" applyFont="1" applyFill="1" applyBorder="1" applyAlignment="1">
      <alignment horizontal="right" vertical="center" wrapText="1"/>
    </xf>
    <xf numFmtId="15" fontId="42" fillId="3" borderId="0" xfId="3" applyNumberFormat="1" applyFont="1" applyFill="1" applyAlignment="1">
      <alignment horizontal="right" vertical="center" wrapText="1"/>
    </xf>
    <xf numFmtId="0" fontId="42" fillId="3" borderId="0" xfId="3" applyFont="1" applyFill="1" applyAlignment="1">
      <alignment horizontal="center" vertical="center"/>
    </xf>
    <xf numFmtId="0" fontId="42" fillId="3" borderId="0" xfId="0" applyFont="1" applyFill="1" applyAlignment="1">
      <alignment horizontal="center"/>
    </xf>
    <xf numFmtId="166" fontId="42" fillId="3" borderId="0" xfId="0" applyNumberFormat="1" applyFont="1" applyFill="1" applyAlignment="1">
      <alignment horizontal="center"/>
    </xf>
    <xf numFmtId="0" fontId="12" fillId="3" borderId="0" xfId="0" applyFont="1" applyFill="1"/>
    <xf numFmtId="0" fontId="42" fillId="3" borderId="0" xfId="3" applyFont="1" applyFill="1" applyAlignment="1">
      <alignment horizontal="right" vertical="center" wrapText="1"/>
    </xf>
    <xf numFmtId="166" fontId="42" fillId="3" borderId="0" xfId="9" applyNumberFormat="1" applyFont="1" applyFill="1" applyBorder="1" applyAlignment="1">
      <alignment horizontal="right" vertical="center" wrapText="1"/>
    </xf>
    <xf numFmtId="38" fontId="42" fillId="3" borderId="0" xfId="9" applyNumberFormat="1" applyFont="1" applyFill="1" applyBorder="1" applyAlignment="1">
      <alignment horizontal="right" vertical="center" wrapText="1"/>
    </xf>
    <xf numFmtId="176" fontId="42" fillId="3" borderId="0" xfId="9" applyNumberFormat="1" applyFont="1" applyFill="1" applyBorder="1" applyAlignment="1">
      <alignment horizontal="right" vertical="center" wrapText="1"/>
    </xf>
    <xf numFmtId="0" fontId="42" fillId="3" borderId="0" xfId="3" applyFont="1" applyFill="1" applyAlignment="1">
      <alignment vertical="center"/>
    </xf>
    <xf numFmtId="0" fontId="42" fillId="3" borderId="0" xfId="3" applyFont="1" applyFill="1" applyAlignment="1">
      <alignment horizontal="left" vertical="center"/>
    </xf>
    <xf numFmtId="0" fontId="14" fillId="3" borderId="0" xfId="3" applyFont="1" applyFill="1" applyAlignment="1">
      <alignment horizontal="left" vertical="center"/>
    </xf>
    <xf numFmtId="166" fontId="14" fillId="3" borderId="28" xfId="9" applyNumberFormat="1" applyFont="1" applyFill="1" applyBorder="1" applyAlignment="1">
      <alignment horizontal="right" vertical="center" wrapText="1"/>
    </xf>
    <xf numFmtId="164" fontId="12" fillId="3" borderId="0" xfId="1" applyFont="1" applyFill="1"/>
    <xf numFmtId="0" fontId="42" fillId="3" borderId="0" xfId="0" applyFont="1" applyFill="1"/>
    <xf numFmtId="0" fontId="42" fillId="0" borderId="0" xfId="0" applyFont="1"/>
    <xf numFmtId="176" fontId="12" fillId="3" borderId="0" xfId="0" applyNumberFormat="1" applyFont="1" applyFill="1"/>
    <xf numFmtId="170" fontId="12" fillId="3" borderId="0" xfId="1" applyNumberFormat="1" applyFont="1" applyFill="1" applyBorder="1"/>
    <xf numFmtId="0" fontId="12" fillId="3" borderId="0" xfId="0" applyFont="1" applyFill="1" applyAlignment="1">
      <alignment horizontal="center" vertical="center"/>
    </xf>
    <xf numFmtId="0" fontId="12" fillId="3" borderId="0" xfId="0" applyFont="1" applyFill="1" applyAlignment="1">
      <alignment horizontal="center"/>
    </xf>
    <xf numFmtId="170" fontId="12" fillId="3" borderId="0" xfId="1" applyNumberFormat="1" applyFont="1" applyFill="1"/>
    <xf numFmtId="170" fontId="12" fillId="3" borderId="0" xfId="1" applyNumberFormat="1" applyFont="1" applyFill="1" applyAlignment="1">
      <alignment horizontal="right"/>
    </xf>
    <xf numFmtId="167" fontId="12" fillId="3" borderId="0" xfId="0" applyNumberFormat="1" applyFont="1" applyFill="1"/>
    <xf numFmtId="43" fontId="12" fillId="3" borderId="0" xfId="0" applyNumberFormat="1" applyFont="1" applyFill="1"/>
    <xf numFmtId="174" fontId="12" fillId="3" borderId="0" xfId="0" applyNumberFormat="1" applyFont="1" applyFill="1"/>
    <xf numFmtId="165" fontId="42" fillId="3" borderId="0" xfId="3" applyNumberFormat="1" applyFont="1" applyFill="1" applyAlignment="1">
      <alignment horizontal="left" vertical="center"/>
    </xf>
    <xf numFmtId="170" fontId="42" fillId="3" borderId="0" xfId="1" applyNumberFormat="1" applyFont="1" applyFill="1" applyAlignment="1">
      <alignment horizontal="left" vertical="center"/>
    </xf>
    <xf numFmtId="170" fontId="42" fillId="3" borderId="0" xfId="1" applyNumberFormat="1" applyFont="1" applyFill="1" applyAlignment="1">
      <alignment horizontal="right" vertical="center"/>
    </xf>
    <xf numFmtId="0" fontId="45" fillId="4" borderId="0" xfId="3" applyFont="1" applyFill="1" applyAlignment="1">
      <alignment horizontal="left" vertical="center"/>
    </xf>
    <xf numFmtId="170" fontId="45" fillId="4" borderId="0" xfId="1" applyNumberFormat="1" applyFont="1" applyFill="1" applyAlignment="1">
      <alignment horizontal="left" vertical="center"/>
    </xf>
    <xf numFmtId="170" fontId="45" fillId="4" borderId="0" xfId="1" applyNumberFormat="1" applyFont="1" applyFill="1" applyAlignment="1">
      <alignment horizontal="right" vertical="center"/>
    </xf>
    <xf numFmtId="0" fontId="13" fillId="4" borderId="0" xfId="0" applyFont="1" applyFill="1"/>
    <xf numFmtId="0" fontId="45" fillId="4" borderId="0" xfId="0" applyFont="1" applyFill="1"/>
    <xf numFmtId="0" fontId="13" fillId="3" borderId="0" xfId="0" applyFont="1" applyFill="1"/>
    <xf numFmtId="167" fontId="13" fillId="0" borderId="0" xfId="0" applyNumberFormat="1" applyFont="1"/>
    <xf numFmtId="0" fontId="45" fillId="0" borderId="0" xfId="0" applyFont="1"/>
    <xf numFmtId="0" fontId="13" fillId="0" borderId="0" xfId="0" applyFont="1"/>
    <xf numFmtId="0" fontId="14" fillId="0" borderId="0" xfId="3" applyFont="1" applyAlignment="1">
      <alignment horizontal="left" vertical="center"/>
    </xf>
    <xf numFmtId="0" fontId="45" fillId="4" borderId="0" xfId="3" applyFont="1" applyFill="1" applyAlignment="1">
      <alignment horizontal="right"/>
    </xf>
    <xf numFmtId="0" fontId="45" fillId="4" borderId="0" xfId="3" applyFont="1" applyFill="1" applyAlignment="1">
      <alignment horizontal="center"/>
    </xf>
    <xf numFmtId="0" fontId="45" fillId="4" borderId="0" xfId="3" applyFont="1" applyFill="1" applyAlignment="1">
      <alignment horizontal="center" wrapText="1"/>
    </xf>
    <xf numFmtId="0" fontId="45" fillId="4" borderId="0" xfId="3" applyFont="1" applyFill="1" applyAlignment="1">
      <alignment horizontal="left" vertical="center" wrapText="1"/>
    </xf>
    <xf numFmtId="15" fontId="45" fillId="4" borderId="0" xfId="3" applyNumberFormat="1" applyFont="1" applyFill="1" applyAlignment="1">
      <alignment horizontal="right" wrapText="1"/>
    </xf>
    <xf numFmtId="0" fontId="45" fillId="4" borderId="0" xfId="3" applyFont="1" applyFill="1" applyAlignment="1">
      <alignment horizontal="right" wrapText="1"/>
    </xf>
    <xf numFmtId="38" fontId="45" fillId="4" borderId="0" xfId="3" applyNumberFormat="1" applyFont="1" applyFill="1" applyAlignment="1">
      <alignment horizontal="right" wrapText="1"/>
    </xf>
    <xf numFmtId="0" fontId="13" fillId="2" borderId="0" xfId="0" applyFont="1" applyFill="1"/>
    <xf numFmtId="0" fontId="12" fillId="2" borderId="0" xfId="0" applyFont="1" applyFill="1"/>
    <xf numFmtId="170" fontId="12" fillId="2" borderId="0" xfId="1" applyNumberFormat="1" applyFont="1" applyFill="1" applyAlignment="1">
      <alignment horizontal="right"/>
    </xf>
    <xf numFmtId="170" fontId="12" fillId="2" borderId="0" xfId="1" applyNumberFormat="1" applyFont="1" applyFill="1"/>
    <xf numFmtId="167" fontId="12" fillId="2" borderId="0" xfId="1" applyNumberFormat="1" applyFont="1" applyFill="1"/>
    <xf numFmtId="167" fontId="42" fillId="3" borderId="0" xfId="1" applyNumberFormat="1" applyFont="1" applyFill="1" applyAlignment="1">
      <alignment horizontal="left" vertical="center"/>
    </xf>
    <xf numFmtId="167" fontId="42" fillId="0" borderId="0" xfId="1" applyNumberFormat="1" applyFont="1" applyFill="1"/>
    <xf numFmtId="167" fontId="12" fillId="0" borderId="0" xfId="1" applyNumberFormat="1" applyFont="1" applyFill="1"/>
    <xf numFmtId="170" fontId="42" fillId="3" borderId="5" xfId="1" applyNumberFormat="1" applyFont="1" applyFill="1" applyBorder="1" applyAlignment="1">
      <alignment horizontal="right" vertical="center"/>
    </xf>
    <xf numFmtId="170" fontId="42" fillId="3" borderId="5" xfId="1" applyNumberFormat="1" applyFont="1" applyFill="1" applyBorder="1" applyAlignment="1">
      <alignment horizontal="left" vertical="center"/>
    </xf>
    <xf numFmtId="15" fontId="42" fillId="3" borderId="5" xfId="2" applyNumberFormat="1" applyFont="1" applyFill="1" applyBorder="1" applyAlignment="1">
      <alignment horizontal="right" vertical="center"/>
    </xf>
    <xf numFmtId="15" fontId="42" fillId="3" borderId="0" xfId="2" applyNumberFormat="1" applyFont="1" applyFill="1" applyAlignment="1">
      <alignment horizontal="left" vertical="center"/>
    </xf>
    <xf numFmtId="165" fontId="14" fillId="3" borderId="0" xfId="3" applyNumberFormat="1" applyFont="1" applyFill="1" applyAlignment="1">
      <alignment horizontal="left" vertical="center"/>
    </xf>
    <xf numFmtId="9" fontId="14" fillId="3" borderId="0" xfId="2" applyFont="1" applyFill="1" applyAlignment="1">
      <alignment horizontal="right" vertical="center"/>
    </xf>
    <xf numFmtId="170" fontId="14" fillId="3" borderId="0" xfId="1" applyNumberFormat="1" applyFont="1" applyFill="1" applyAlignment="1">
      <alignment horizontal="left" vertical="center"/>
    </xf>
    <xf numFmtId="15" fontId="14" fillId="3" borderId="0" xfId="2" applyNumberFormat="1" applyFont="1" applyFill="1" applyAlignment="1">
      <alignment horizontal="right" vertical="center"/>
    </xf>
    <xf numFmtId="167" fontId="14" fillId="3" borderId="28" xfId="2" applyNumberFormat="1" applyFont="1" applyFill="1" applyBorder="1" applyAlignment="1">
      <alignment horizontal="left" vertical="center"/>
    </xf>
    <xf numFmtId="167" fontId="13" fillId="3" borderId="0" xfId="0" applyNumberFormat="1" applyFont="1" applyFill="1"/>
    <xf numFmtId="9" fontId="42" fillId="3" borderId="0" xfId="2" applyFont="1" applyFill="1" applyAlignment="1">
      <alignment horizontal="right" vertical="center"/>
    </xf>
    <xf numFmtId="167" fontId="42" fillId="3" borderId="0" xfId="1" applyNumberFormat="1" applyFont="1" applyFill="1"/>
    <xf numFmtId="167" fontId="12" fillId="3" borderId="0" xfId="1" applyNumberFormat="1" applyFont="1" applyFill="1"/>
    <xf numFmtId="0" fontId="45" fillId="4" borderId="16" xfId="3" applyFont="1" applyFill="1" applyBorder="1" applyAlignment="1">
      <alignment horizontal="center" wrapText="1"/>
    </xf>
    <xf numFmtId="15" fontId="45" fillId="4" borderId="0" xfId="3" applyNumberFormat="1" applyFont="1" applyFill="1" applyAlignment="1">
      <alignment wrapText="1"/>
    </xf>
    <xf numFmtId="167" fontId="13" fillId="0" borderId="0" xfId="1" applyNumberFormat="1" applyFont="1" applyFill="1"/>
    <xf numFmtId="179" fontId="12" fillId="0" borderId="0" xfId="10" applyNumberFormat="1" applyFont="1" applyFill="1"/>
    <xf numFmtId="167" fontId="13" fillId="2" borderId="0" xfId="0" applyNumberFormat="1" applyFont="1" applyFill="1"/>
    <xf numFmtId="167" fontId="47" fillId="3" borderId="0" xfId="1" applyNumberFormat="1" applyFont="1" applyFill="1"/>
    <xf numFmtId="167" fontId="46" fillId="3" borderId="0" xfId="1" applyNumberFormat="1" applyFont="1" applyFill="1"/>
    <xf numFmtId="0" fontId="13" fillId="4" borderId="0" xfId="0" applyFont="1" applyFill="1" applyAlignment="1">
      <alignment wrapText="1"/>
    </xf>
    <xf numFmtId="0" fontId="45" fillId="4" borderId="0" xfId="3" applyFont="1" applyFill="1" applyAlignment="1">
      <alignment horizontal="left" wrapText="1"/>
    </xf>
    <xf numFmtId="0" fontId="45" fillId="4" borderId="0" xfId="3" applyFont="1" applyFill="1" applyAlignment="1">
      <alignment horizontal="left"/>
    </xf>
    <xf numFmtId="170" fontId="45" fillId="4" borderId="0" xfId="1" applyNumberFormat="1" applyFont="1" applyFill="1" applyAlignment="1">
      <alignment horizontal="right"/>
    </xf>
    <xf numFmtId="0" fontId="12" fillId="0" borderId="0" xfId="0" applyFont="1" applyAlignment="1">
      <alignment vertical="center"/>
    </xf>
    <xf numFmtId="0" fontId="45" fillId="5" borderId="0" xfId="0" applyFont="1" applyFill="1"/>
    <xf numFmtId="0" fontId="45" fillId="6" borderId="0" xfId="0" applyFont="1" applyFill="1"/>
    <xf numFmtId="0" fontId="12" fillId="5" borderId="0" xfId="0" applyFont="1" applyFill="1"/>
    <xf numFmtId="0" fontId="12" fillId="0" borderId="0" xfId="0" applyFont="1" applyAlignment="1">
      <alignment horizontal="left"/>
    </xf>
    <xf numFmtId="177" fontId="42" fillId="0" borderId="0" xfId="10" applyNumberFormat="1" applyFont="1" applyFill="1" applyAlignment="1">
      <alignment horizontal="right"/>
    </xf>
    <xf numFmtId="175" fontId="12" fillId="0" borderId="0" xfId="0" applyNumberFormat="1" applyFont="1" applyAlignment="1">
      <alignment horizontal="left"/>
    </xf>
    <xf numFmtId="176" fontId="42" fillId="0" borderId="0" xfId="10" applyNumberFormat="1" applyFont="1" applyFill="1" applyAlignment="1">
      <alignment horizontal="right"/>
    </xf>
    <xf numFmtId="9" fontId="12" fillId="0" borderId="0" xfId="2" applyFont="1" applyAlignment="1">
      <alignment horizontal="left"/>
    </xf>
    <xf numFmtId="176" fontId="42" fillId="0" borderId="0" xfId="0" applyNumberFormat="1" applyFont="1" applyAlignment="1">
      <alignment horizontal="right"/>
    </xf>
    <xf numFmtId="9" fontId="12" fillId="0" borderId="0" xfId="0" applyNumberFormat="1" applyFont="1" applyAlignment="1">
      <alignment horizontal="left"/>
    </xf>
    <xf numFmtId="9" fontId="42" fillId="0" borderId="0" xfId="2" applyFont="1" applyFill="1" applyAlignment="1">
      <alignment horizontal="right"/>
    </xf>
    <xf numFmtId="0" fontId="51" fillId="5" borderId="0" xfId="0" applyFont="1" applyFill="1"/>
    <xf numFmtId="177" fontId="12" fillId="0" borderId="0" xfId="10" applyNumberFormat="1" applyFont="1" applyAlignment="1">
      <alignment horizontal="right"/>
    </xf>
    <xf numFmtId="173" fontId="42" fillId="0" borderId="0" xfId="2" applyNumberFormat="1" applyFont="1" applyAlignment="1">
      <alignment horizontal="right"/>
    </xf>
    <xf numFmtId="43" fontId="12" fillId="0" borderId="0" xfId="0" applyNumberFormat="1" applyFont="1"/>
    <xf numFmtId="43" fontId="12" fillId="0" borderId="0" xfId="10" applyFont="1"/>
    <xf numFmtId="177" fontId="47" fillId="0" borderId="0" xfId="10" applyNumberFormat="1" applyFont="1" applyFill="1" applyAlignment="1">
      <alignment horizontal="right"/>
    </xf>
    <xf numFmtId="16" fontId="12" fillId="0" borderId="0" xfId="0" applyNumberFormat="1" applyFont="1" applyAlignment="1">
      <alignment horizontal="left"/>
    </xf>
    <xf numFmtId="173" fontId="12" fillId="0" borderId="0" xfId="2" applyNumberFormat="1" applyFont="1" applyAlignment="1">
      <alignment horizontal="right"/>
    </xf>
    <xf numFmtId="9" fontId="49" fillId="0" borderId="0" xfId="2" applyFont="1" applyAlignment="1">
      <alignment horizontal="right"/>
    </xf>
    <xf numFmtId="176" fontId="49" fillId="0" borderId="0" xfId="0" applyNumberFormat="1" applyFont="1" applyAlignment="1">
      <alignment horizontal="right"/>
    </xf>
    <xf numFmtId="0" fontId="52" fillId="7" borderId="2" xfId="13" applyFont="1" applyFill="1" applyBorder="1" applyAlignment="1">
      <alignment horizontal="left" vertical="center" wrapText="1"/>
    </xf>
    <xf numFmtId="0" fontId="52" fillId="7" borderId="2" xfId="0" applyFont="1" applyFill="1" applyBorder="1" applyAlignment="1">
      <alignment horizontal="center" vertical="center" wrapText="1"/>
    </xf>
    <xf numFmtId="0" fontId="52" fillId="7" borderId="2" xfId="13" applyFont="1" applyFill="1" applyBorder="1" applyAlignment="1">
      <alignment horizontal="center" vertical="center" wrapText="1"/>
    </xf>
    <xf numFmtId="0" fontId="44" fillId="0" borderId="0" xfId="0" applyFont="1" applyAlignment="1">
      <alignment wrapText="1"/>
    </xf>
    <xf numFmtId="0" fontId="12" fillId="0" borderId="0" xfId="0" applyFont="1" applyAlignment="1">
      <alignment horizontal="left" vertical="center" wrapText="1"/>
    </xf>
    <xf numFmtId="171" fontId="12" fillId="0" borderId="0" xfId="0" applyNumberFormat="1" applyFont="1" applyAlignment="1">
      <alignment horizontal="center" vertical="center"/>
    </xf>
    <xf numFmtId="173" fontId="12" fillId="0" borderId="0" xfId="0" applyNumberFormat="1" applyFont="1" applyAlignment="1">
      <alignment horizontal="center" vertical="center"/>
    </xf>
    <xf numFmtId="176" fontId="12" fillId="0" borderId="5" xfId="10" applyNumberFormat="1" applyFont="1" applyBorder="1" applyAlignment="1">
      <alignment horizontal="center" vertical="center"/>
    </xf>
    <xf numFmtId="0" fontId="13" fillId="0" borderId="0" xfId="0" applyFont="1" applyAlignment="1">
      <alignment vertical="center"/>
    </xf>
    <xf numFmtId="171" fontId="13" fillId="0" borderId="0" xfId="0" applyNumberFormat="1" applyFont="1" applyAlignment="1">
      <alignment vertical="center"/>
    </xf>
    <xf numFmtId="171" fontId="13" fillId="0" borderId="0" xfId="0" applyNumberFormat="1" applyFont="1" applyAlignment="1">
      <alignment horizontal="center" vertical="center"/>
    </xf>
    <xf numFmtId="173" fontId="13" fillId="0" borderId="0" xfId="0" applyNumberFormat="1" applyFont="1" applyAlignment="1">
      <alignment horizontal="center" vertical="center"/>
    </xf>
    <xf numFmtId="176" fontId="12" fillId="0" borderId="0" xfId="10" applyNumberFormat="1" applyFont="1" applyAlignment="1">
      <alignment horizontal="center" vertical="center"/>
    </xf>
    <xf numFmtId="0" fontId="52" fillId="8" borderId="2" xfId="13" applyFont="1" applyFill="1" applyBorder="1" applyAlignment="1">
      <alignment vertical="center" wrapText="1"/>
    </xf>
    <xf numFmtId="0" fontId="52" fillId="8" borderId="2" xfId="0" applyFont="1" applyFill="1" applyBorder="1" applyAlignment="1">
      <alignment horizontal="center" vertical="center"/>
    </xf>
    <xf numFmtId="171" fontId="52" fillId="8" borderId="2" xfId="0" applyNumberFormat="1" applyFont="1" applyFill="1" applyBorder="1" applyAlignment="1">
      <alignment horizontal="center" vertical="center" wrapText="1"/>
    </xf>
    <xf numFmtId="177" fontId="52" fillId="8" borderId="2" xfId="10" applyNumberFormat="1" applyFont="1" applyFill="1" applyBorder="1" applyAlignment="1">
      <alignment horizontal="center" vertical="center" wrapText="1"/>
    </xf>
    <xf numFmtId="173" fontId="52" fillId="8" borderId="2" xfId="0" applyNumberFormat="1" applyFont="1" applyFill="1" applyBorder="1" applyAlignment="1">
      <alignment horizontal="center" vertical="center" wrapText="1"/>
    </xf>
    <xf numFmtId="176" fontId="52" fillId="8" borderId="2" xfId="10" applyNumberFormat="1" applyFont="1" applyFill="1" applyBorder="1" applyAlignment="1">
      <alignment horizontal="center" vertical="center" wrapText="1"/>
    </xf>
    <xf numFmtId="0" fontId="52" fillId="8" borderId="2" xfId="0" applyFont="1" applyFill="1" applyBorder="1" applyAlignment="1">
      <alignment horizontal="center" vertical="center" wrapText="1"/>
    </xf>
    <xf numFmtId="0" fontId="12" fillId="0" borderId="0" xfId="0" applyFont="1" applyAlignment="1">
      <alignment vertical="center" wrapText="1"/>
    </xf>
    <xf numFmtId="43" fontId="12" fillId="0" borderId="0" xfId="10" applyFont="1" applyAlignment="1">
      <alignment horizontal="center" vertical="center"/>
    </xf>
    <xf numFmtId="0" fontId="12" fillId="0" borderId="0" xfId="0" applyFont="1" applyAlignment="1">
      <alignment horizontal="center" vertical="center"/>
    </xf>
    <xf numFmtId="43" fontId="12" fillId="0" borderId="0" xfId="10" applyFont="1" applyBorder="1" applyAlignment="1">
      <alignment horizontal="center" vertical="center"/>
    </xf>
    <xf numFmtId="173" fontId="12" fillId="0" borderId="5" xfId="0" applyNumberFormat="1" applyFont="1" applyBorder="1" applyAlignment="1">
      <alignment horizontal="center" vertical="center"/>
    </xf>
    <xf numFmtId="0" fontId="13" fillId="0" borderId="0" xfId="0" applyFont="1" applyAlignment="1">
      <alignment wrapText="1"/>
    </xf>
    <xf numFmtId="171" fontId="12" fillId="0" borderId="0" xfId="0" applyNumberFormat="1" applyFont="1"/>
    <xf numFmtId="0" fontId="52" fillId="0" borderId="0" xfId="0" applyFont="1"/>
    <xf numFmtId="176" fontId="12" fillId="0" borderId="0" xfId="10" applyNumberFormat="1" applyFont="1"/>
    <xf numFmtId="178" fontId="12" fillId="0" borderId="0" xfId="0" applyNumberFormat="1" applyFont="1"/>
    <xf numFmtId="173" fontId="12" fillId="0" borderId="0" xfId="0" applyNumberFormat="1" applyFont="1"/>
    <xf numFmtId="0" fontId="52" fillId="0" borderId="0" xfId="0" applyFont="1" applyAlignment="1">
      <alignment wrapText="1"/>
    </xf>
    <xf numFmtId="179" fontId="12" fillId="0" borderId="0" xfId="10" applyNumberFormat="1" applyFont="1"/>
    <xf numFmtId="179" fontId="12" fillId="0" borderId="0" xfId="0" applyNumberFormat="1" applyFont="1"/>
    <xf numFmtId="0" fontId="12" fillId="0" borderId="2" xfId="0" applyFont="1" applyBorder="1" applyAlignment="1">
      <alignment horizontal="left"/>
    </xf>
    <xf numFmtId="167" fontId="12" fillId="0" borderId="2" xfId="1" applyNumberFormat="1" applyFont="1" applyFill="1" applyBorder="1"/>
    <xf numFmtId="0" fontId="52" fillId="0" borderId="3" xfId="0" applyFont="1" applyBorder="1"/>
    <xf numFmtId="0" fontId="13" fillId="0" borderId="2" xfId="0" applyFont="1" applyBorder="1" applyAlignment="1">
      <alignment horizontal="left"/>
    </xf>
    <xf numFmtId="167" fontId="53" fillId="0" borderId="2" xfId="0" applyNumberFormat="1" applyFont="1" applyBorder="1"/>
    <xf numFmtId="0" fontId="13" fillId="0" borderId="0" xfId="0" applyFont="1" applyAlignment="1">
      <alignment horizontal="left"/>
    </xf>
    <xf numFmtId="179" fontId="13" fillId="0" borderId="0" xfId="10" applyNumberFormat="1" applyFont="1"/>
    <xf numFmtId="179" fontId="13" fillId="0" borderId="0" xfId="0" applyNumberFormat="1" applyFont="1"/>
    <xf numFmtId="10" fontId="13" fillId="9" borderId="2" xfId="2" applyNumberFormat="1" applyFont="1" applyFill="1" applyBorder="1" applyAlignment="1">
      <alignment vertical="center"/>
    </xf>
    <xf numFmtId="179" fontId="13" fillId="0" borderId="0" xfId="10" applyNumberFormat="1" applyFont="1" applyFill="1" applyAlignment="1">
      <alignment horizontal="left"/>
    </xf>
    <xf numFmtId="14" fontId="13" fillId="0" borderId="0" xfId="0" applyNumberFormat="1" applyFont="1"/>
    <xf numFmtId="0" fontId="13" fillId="0" borderId="0" xfId="0" applyFont="1" applyAlignment="1">
      <alignment horizontal="center" wrapText="1"/>
    </xf>
    <xf numFmtId="179" fontId="13" fillId="0" borderId="0" xfId="10" applyNumberFormat="1" applyFont="1" applyAlignment="1">
      <alignment horizontal="center" wrapText="1"/>
    </xf>
    <xf numFmtId="179" fontId="13" fillId="0" borderId="0" xfId="0" applyNumberFormat="1" applyFont="1" applyAlignment="1">
      <alignment horizontal="center" wrapText="1"/>
    </xf>
    <xf numFmtId="0" fontId="12" fillId="0" borderId="0" xfId="0" applyFont="1" applyAlignment="1">
      <alignment horizontal="center" wrapText="1"/>
    </xf>
    <xf numFmtId="14" fontId="12" fillId="0" borderId="0" xfId="0" applyNumberFormat="1" applyFont="1"/>
    <xf numFmtId="0" fontId="12" fillId="0" borderId="0" xfId="1" applyNumberFormat="1" applyFont="1"/>
    <xf numFmtId="167" fontId="12" fillId="0" borderId="0" xfId="0" applyNumberFormat="1" applyFont="1"/>
    <xf numFmtId="179" fontId="12" fillId="0" borderId="0" xfId="10" applyNumberFormat="1" applyFont="1" applyBorder="1"/>
    <xf numFmtId="0" fontId="13" fillId="6" borderId="0" xfId="0" applyFont="1" applyFill="1"/>
    <xf numFmtId="14" fontId="13" fillId="6" borderId="0" xfId="0" applyNumberFormat="1" applyFont="1" applyFill="1"/>
    <xf numFmtId="179" fontId="13" fillId="6" borderId="0" xfId="10" applyNumberFormat="1" applyFont="1" applyFill="1"/>
    <xf numFmtId="43" fontId="13" fillId="6" borderId="0" xfId="10" applyFont="1" applyFill="1"/>
    <xf numFmtId="167" fontId="13" fillId="6" borderId="0" xfId="0" applyNumberFormat="1" applyFont="1" applyFill="1"/>
    <xf numFmtId="179" fontId="13" fillId="6" borderId="0" xfId="0" applyNumberFormat="1" applyFont="1" applyFill="1"/>
    <xf numFmtId="179" fontId="12" fillId="0" borderId="5" xfId="10" applyNumberFormat="1" applyFont="1" applyBorder="1"/>
    <xf numFmtId="167" fontId="12" fillId="0" borderId="0" xfId="1" applyNumberFormat="1" applyFont="1" applyAlignment="1">
      <alignment horizontal="center"/>
    </xf>
    <xf numFmtId="167" fontId="12" fillId="0" borderId="0" xfId="0" applyNumberFormat="1" applyFont="1" applyAlignment="1">
      <alignment horizontal="center"/>
    </xf>
    <xf numFmtId="164" fontId="12" fillId="0" borderId="0" xfId="1" applyFont="1"/>
    <xf numFmtId="167" fontId="12" fillId="0" borderId="12" xfId="1" applyNumberFormat="1" applyFont="1" applyFill="1" applyBorder="1"/>
    <xf numFmtId="0" fontId="52" fillId="0" borderId="7" xfId="0" applyFont="1" applyBorder="1"/>
    <xf numFmtId="175" fontId="55" fillId="0" borderId="8" xfId="0" applyNumberFormat="1" applyFont="1" applyBorder="1"/>
    <xf numFmtId="3" fontId="54" fillId="0" borderId="0" xfId="0" applyNumberFormat="1" applyFont="1"/>
    <xf numFmtId="167" fontId="12" fillId="13" borderId="0" xfId="0" applyNumberFormat="1" applyFont="1" applyFill="1"/>
    <xf numFmtId="164" fontId="13" fillId="0" borderId="0" xfId="1" applyFont="1"/>
    <xf numFmtId="179" fontId="13" fillId="0" borderId="0" xfId="10" applyNumberFormat="1" applyFont="1" applyFill="1"/>
    <xf numFmtId="43" fontId="13" fillId="0" borderId="0" xfId="10" applyFont="1" applyAlignment="1">
      <alignment horizontal="center" wrapText="1"/>
    </xf>
    <xf numFmtId="164" fontId="56" fillId="0" borderId="0" xfId="1" applyFont="1" applyAlignment="1">
      <alignment horizontal="center" wrapText="1"/>
    </xf>
    <xf numFmtId="0" fontId="12" fillId="0" borderId="0" xfId="1" applyNumberFormat="1" applyFont="1" applyFill="1"/>
    <xf numFmtId="43" fontId="12" fillId="0" borderId="0" xfId="10" applyFont="1" applyFill="1"/>
    <xf numFmtId="164" fontId="12" fillId="0" borderId="0" xfId="1" applyFont="1" applyFill="1"/>
    <xf numFmtId="14" fontId="12" fillId="0" borderId="0" xfId="10" applyNumberFormat="1" applyFont="1" applyFill="1"/>
    <xf numFmtId="164" fontId="54" fillId="0" borderId="0" xfId="1" applyFont="1"/>
    <xf numFmtId="164" fontId="42" fillId="0" borderId="0" xfId="1" applyFont="1"/>
    <xf numFmtId="0" fontId="13" fillId="6" borderId="0" xfId="1" applyNumberFormat="1" applyFont="1" applyFill="1"/>
    <xf numFmtId="43" fontId="13" fillId="6" borderId="0" xfId="0" applyNumberFormat="1" applyFont="1" applyFill="1"/>
    <xf numFmtId="164" fontId="13" fillId="6" borderId="0" xfId="1" applyFont="1" applyFill="1"/>
    <xf numFmtId="175" fontId="50" fillId="6" borderId="0" xfId="0" applyNumberFormat="1" applyFont="1" applyFill="1" applyAlignment="1">
      <alignment horizontal="right"/>
    </xf>
    <xf numFmtId="178" fontId="42" fillId="0" borderId="0" xfId="0" applyNumberFormat="1" applyFont="1" applyAlignment="1">
      <alignment horizontal="right"/>
    </xf>
    <xf numFmtId="173" fontId="42" fillId="0" borderId="0" xfId="0" applyNumberFormat="1" applyFont="1" applyAlignment="1">
      <alignment horizontal="right"/>
    </xf>
    <xf numFmtId="175" fontId="57" fillId="6" borderId="0" xfId="0" applyNumberFormat="1" applyFont="1" applyFill="1" applyAlignment="1">
      <alignment horizontal="left"/>
    </xf>
    <xf numFmtId="10" fontId="12" fillId="0" borderId="0" xfId="2" applyNumberFormat="1" applyFont="1" applyAlignment="1">
      <alignment horizontal="right"/>
    </xf>
    <xf numFmtId="177" fontId="42" fillId="0" borderId="0" xfId="10" applyNumberFormat="1" applyFont="1" applyAlignment="1">
      <alignment horizontal="right"/>
    </xf>
    <xf numFmtId="9" fontId="42" fillId="0" borderId="0" xfId="2" applyFont="1" applyAlignment="1">
      <alignment horizontal="right"/>
    </xf>
    <xf numFmtId="173" fontId="53" fillId="0" borderId="0" xfId="2" applyNumberFormat="1" applyFont="1" applyFill="1" applyAlignment="1">
      <alignment horizontal="right"/>
    </xf>
    <xf numFmtId="43" fontId="12" fillId="0" borderId="5" xfId="10" applyFont="1" applyBorder="1" applyAlignment="1">
      <alignment horizontal="center" vertical="center"/>
    </xf>
    <xf numFmtId="0" fontId="13" fillId="0" borderId="0" xfId="0" applyFont="1" applyAlignment="1">
      <alignment horizontal="center" vertical="center"/>
    </xf>
    <xf numFmtId="43" fontId="13" fillId="0" borderId="0" xfId="10" applyFont="1" applyAlignment="1">
      <alignment horizontal="center" vertical="center"/>
    </xf>
    <xf numFmtId="176" fontId="13" fillId="0" borderId="0" xfId="10" applyNumberFormat="1" applyFont="1" applyAlignment="1">
      <alignment horizontal="center" vertical="center"/>
    </xf>
    <xf numFmtId="176" fontId="12" fillId="0" borderId="0" xfId="10" applyNumberFormat="1" applyFont="1" applyBorder="1" applyAlignment="1">
      <alignment horizontal="center" vertical="center"/>
    </xf>
    <xf numFmtId="176" fontId="13" fillId="0" borderId="6" xfId="10" applyNumberFormat="1" applyFont="1" applyBorder="1" applyAlignment="1">
      <alignment horizontal="center" vertical="center"/>
    </xf>
    <xf numFmtId="0" fontId="12" fillId="0" borderId="0" xfId="0" applyFont="1" applyAlignment="1">
      <alignment wrapText="1"/>
    </xf>
    <xf numFmtId="0" fontId="13" fillId="0" borderId="0" xfId="0" applyFont="1" applyAlignment="1">
      <alignment horizontal="center"/>
    </xf>
    <xf numFmtId="0" fontId="12" fillId="0" borderId="0" xfId="0" applyFont="1" applyAlignment="1">
      <alignment horizontal="center"/>
    </xf>
    <xf numFmtId="43" fontId="12" fillId="0" borderId="0" xfId="10" applyFont="1" applyAlignment="1">
      <alignment horizontal="center"/>
    </xf>
    <xf numFmtId="164" fontId="12" fillId="0" borderId="0" xfId="1" applyFont="1" applyAlignment="1">
      <alignment horizontal="center"/>
    </xf>
    <xf numFmtId="43" fontId="13" fillId="0" borderId="0" xfId="10" applyFont="1" applyAlignment="1">
      <alignment horizontal="center"/>
    </xf>
    <xf numFmtId="15" fontId="12" fillId="0" borderId="0" xfId="0" applyNumberFormat="1" applyFont="1" applyAlignment="1">
      <alignment horizontal="right"/>
    </xf>
    <xf numFmtId="15" fontId="12" fillId="0" borderId="0" xfId="0" applyNumberFormat="1" applyFont="1"/>
    <xf numFmtId="4" fontId="12" fillId="0" borderId="0" xfId="0" applyNumberFormat="1" applyFont="1"/>
    <xf numFmtId="164" fontId="12" fillId="0" borderId="0" xfId="0" applyNumberFormat="1" applyFont="1"/>
    <xf numFmtId="43" fontId="12" fillId="0" borderId="0" xfId="0" applyNumberFormat="1" applyFont="1" applyAlignment="1">
      <alignment horizontal="left"/>
    </xf>
    <xf numFmtId="0" fontId="13" fillId="0" borderId="10" xfId="0" applyFont="1" applyBorder="1"/>
    <xf numFmtId="43" fontId="12" fillId="0" borderId="9" xfId="10" applyFont="1" applyBorder="1"/>
    <xf numFmtId="43" fontId="12" fillId="0" borderId="11" xfId="10" applyFont="1" applyBorder="1"/>
    <xf numFmtId="0" fontId="13" fillId="0" borderId="12" xfId="0" applyFont="1" applyBorder="1"/>
    <xf numFmtId="43" fontId="12" fillId="0" borderId="0" xfId="10" applyFont="1" applyBorder="1"/>
    <xf numFmtId="164" fontId="12" fillId="0" borderId="13" xfId="1" applyFont="1" applyBorder="1"/>
    <xf numFmtId="43" fontId="13" fillId="0" borderId="0" xfId="10" applyFont="1" applyBorder="1"/>
    <xf numFmtId="176" fontId="13" fillId="0" borderId="13" xfId="1" applyNumberFormat="1" applyFont="1" applyBorder="1"/>
    <xf numFmtId="0" fontId="13" fillId="0" borderId="14" xfId="0" applyFont="1" applyBorder="1"/>
    <xf numFmtId="43" fontId="13" fillId="0" borderId="5" xfId="10" applyFont="1" applyBorder="1"/>
    <xf numFmtId="164" fontId="12" fillId="0" borderId="0" xfId="1" applyFont="1" applyBorder="1"/>
    <xf numFmtId="167" fontId="12" fillId="0" borderId="0" xfId="1" applyNumberFormat="1" applyFont="1"/>
    <xf numFmtId="14" fontId="55" fillId="0" borderId="8" xfId="0" applyNumberFormat="1" applyFont="1" applyBorder="1"/>
    <xf numFmtId="167" fontId="13" fillId="0" borderId="0" xfId="1" applyNumberFormat="1" applyFont="1"/>
    <xf numFmtId="167" fontId="13" fillId="0" borderId="0" xfId="1" applyNumberFormat="1" applyFont="1" applyAlignment="1">
      <alignment horizontal="center" wrapText="1"/>
    </xf>
    <xf numFmtId="0" fontId="12" fillId="6" borderId="0" xfId="0" applyFont="1" applyFill="1"/>
    <xf numFmtId="167" fontId="12" fillId="6" borderId="0" xfId="1" applyNumberFormat="1" applyFont="1" applyFill="1"/>
    <xf numFmtId="43" fontId="12" fillId="6" borderId="0" xfId="10" applyFont="1" applyFill="1"/>
    <xf numFmtId="179" fontId="12" fillId="6" borderId="0" xfId="10" applyNumberFormat="1" applyFont="1" applyFill="1"/>
    <xf numFmtId="167" fontId="13" fillId="6" borderId="0" xfId="1" applyNumberFormat="1" applyFont="1" applyFill="1"/>
    <xf numFmtId="43" fontId="42" fillId="0" borderId="0" xfId="10" applyFont="1" applyAlignment="1">
      <alignment horizontal="right"/>
    </xf>
    <xf numFmtId="43" fontId="49" fillId="0" borderId="0" xfId="10" applyFont="1" applyAlignment="1">
      <alignment horizontal="right"/>
    </xf>
    <xf numFmtId="173" fontId="49" fillId="0" borderId="0" xfId="2" applyNumberFormat="1" applyFont="1" applyAlignment="1">
      <alignment horizontal="right"/>
    </xf>
    <xf numFmtId="0" fontId="12" fillId="0" borderId="0" xfId="0" applyFont="1" applyAlignment="1">
      <alignment horizontal="center" vertical="center" wrapText="1"/>
    </xf>
    <xf numFmtId="176" fontId="12" fillId="0" borderId="0" xfId="10" applyNumberFormat="1" applyFont="1" applyFill="1" applyAlignment="1">
      <alignment horizontal="center" vertical="center"/>
    </xf>
    <xf numFmtId="176" fontId="12" fillId="0" borderId="0" xfId="10" applyNumberFormat="1" applyFont="1" applyFill="1" applyBorder="1" applyAlignment="1">
      <alignment horizontal="center" vertical="center"/>
    </xf>
    <xf numFmtId="167" fontId="12" fillId="0" borderId="0" xfId="1" applyNumberFormat="1" applyFont="1" applyFill="1" applyAlignment="1">
      <alignment horizontal="center" vertical="center"/>
    </xf>
    <xf numFmtId="167" fontId="12" fillId="0" borderId="0" xfId="1" applyNumberFormat="1" applyFont="1" applyAlignment="1">
      <alignment horizontal="center" vertical="center"/>
    </xf>
    <xf numFmtId="17" fontId="55" fillId="0" borderId="8" xfId="0" applyNumberFormat="1" applyFont="1" applyBorder="1"/>
    <xf numFmtId="9" fontId="12" fillId="0" borderId="0" xfId="0" applyNumberFormat="1" applyFont="1"/>
    <xf numFmtId="181" fontId="12" fillId="0" borderId="0" xfId="2" applyNumberFormat="1" applyFont="1" applyFill="1"/>
    <xf numFmtId="9" fontId="12" fillId="0" borderId="0" xfId="2" applyFont="1"/>
    <xf numFmtId="173" fontId="12" fillId="0" borderId="0" xfId="2" applyNumberFormat="1" applyFont="1"/>
    <xf numFmtId="9" fontId="12" fillId="0" borderId="0" xfId="2" applyFont="1" applyFill="1"/>
    <xf numFmtId="182" fontId="12" fillId="0" borderId="0" xfId="2" applyNumberFormat="1" applyFont="1" applyFill="1"/>
    <xf numFmtId="0" fontId="59" fillId="0" borderId="0" xfId="0" applyFont="1"/>
    <xf numFmtId="0" fontId="13" fillId="0" borderId="0" xfId="0" applyFont="1" applyAlignment="1">
      <alignment horizontal="left" wrapText="1"/>
    </xf>
    <xf numFmtId="15" fontId="12" fillId="0" borderId="0" xfId="10" applyNumberFormat="1" applyFont="1"/>
    <xf numFmtId="3" fontId="13" fillId="6" borderId="0" xfId="0" applyNumberFormat="1" applyFont="1" applyFill="1"/>
    <xf numFmtId="167" fontId="42" fillId="0" borderId="0" xfId="1" applyNumberFormat="1" applyFont="1" applyAlignment="1">
      <alignment horizontal="right"/>
    </xf>
    <xf numFmtId="173" fontId="42" fillId="0" borderId="0" xfId="2" applyNumberFormat="1" applyFont="1" applyFill="1" applyAlignment="1">
      <alignment horizontal="right"/>
    </xf>
    <xf numFmtId="176" fontId="12" fillId="0" borderId="0" xfId="0" applyNumberFormat="1" applyFont="1" applyAlignment="1">
      <alignment horizontal="left"/>
    </xf>
    <xf numFmtId="173" fontId="12" fillId="0" borderId="0" xfId="0" applyNumberFormat="1" applyFont="1" applyAlignment="1">
      <alignment horizontal="left"/>
    </xf>
    <xf numFmtId="177" fontId="49" fillId="0" borderId="0" xfId="10" applyNumberFormat="1" applyFont="1" applyAlignment="1">
      <alignment horizontal="right"/>
    </xf>
    <xf numFmtId="9" fontId="49" fillId="0" borderId="0" xfId="2" applyFont="1" applyFill="1" applyAlignment="1">
      <alignment horizontal="right"/>
    </xf>
    <xf numFmtId="179" fontId="13" fillId="0" borderId="0" xfId="10" applyNumberFormat="1" applyFont="1" applyFill="1" applyAlignment="1"/>
    <xf numFmtId="180" fontId="42" fillId="0" borderId="0" xfId="0" applyNumberFormat="1" applyFont="1" applyAlignment="1">
      <alignment horizontal="right"/>
    </xf>
    <xf numFmtId="175" fontId="14" fillId="6" borderId="0" xfId="0" applyNumberFormat="1" applyFont="1" applyFill="1" applyAlignment="1">
      <alignment horizontal="right"/>
    </xf>
    <xf numFmtId="43" fontId="42" fillId="0" borderId="0" xfId="10" applyFont="1" applyFill="1" applyAlignment="1">
      <alignment horizontal="right"/>
    </xf>
    <xf numFmtId="177" fontId="49" fillId="0" borderId="0" xfId="10" applyNumberFormat="1" applyFont="1" applyFill="1" applyAlignment="1">
      <alignment horizontal="right"/>
    </xf>
    <xf numFmtId="173" fontId="49" fillId="0" borderId="0" xfId="2" applyNumberFormat="1" applyFont="1" applyFill="1" applyAlignment="1">
      <alignment horizontal="right"/>
    </xf>
    <xf numFmtId="176" fontId="13" fillId="0" borderId="0" xfId="10" applyNumberFormat="1" applyFont="1" applyBorder="1" applyAlignment="1">
      <alignment horizontal="center" vertical="center"/>
    </xf>
    <xf numFmtId="0" fontId="12" fillId="0" borderId="0" xfId="0" applyFont="1" applyAlignment="1">
      <alignment horizontal="right"/>
    </xf>
    <xf numFmtId="175" fontId="12" fillId="0" borderId="0" xfId="0" quotePrefix="1" applyNumberFormat="1" applyFont="1" applyAlignment="1">
      <alignment horizontal="left"/>
    </xf>
    <xf numFmtId="177" fontId="12" fillId="0" borderId="0" xfId="10" applyNumberFormat="1" applyFont="1" applyFill="1" applyAlignment="1">
      <alignment horizontal="right"/>
    </xf>
    <xf numFmtId="173" fontId="12" fillId="0" borderId="0" xfId="2" applyNumberFormat="1" applyFont="1" applyFill="1" applyAlignment="1">
      <alignment horizontal="right"/>
    </xf>
    <xf numFmtId="9" fontId="12" fillId="0" borderId="0" xfId="2" applyFont="1" applyFill="1" applyAlignment="1">
      <alignment horizontal="right"/>
    </xf>
    <xf numFmtId="43" fontId="12" fillId="0" borderId="0" xfId="10" applyFont="1" applyFill="1" applyAlignment="1">
      <alignment horizontal="right"/>
    </xf>
    <xf numFmtId="176" fontId="12" fillId="0" borderId="0" xfId="0" applyNumberFormat="1" applyFont="1" applyAlignment="1">
      <alignment horizontal="right"/>
    </xf>
    <xf numFmtId="43" fontId="55" fillId="6" borderId="0" xfId="10" applyFont="1" applyFill="1"/>
    <xf numFmtId="43" fontId="14" fillId="6" borderId="0" xfId="10" applyFont="1" applyFill="1"/>
    <xf numFmtId="177" fontId="42" fillId="0" borderId="0" xfId="10" applyNumberFormat="1" applyFont="1" applyAlignment="1">
      <alignment horizontal="left"/>
    </xf>
    <xf numFmtId="175" fontId="42" fillId="0" borderId="0" xfId="0" applyNumberFormat="1" applyFont="1" applyAlignment="1">
      <alignment horizontal="left"/>
    </xf>
    <xf numFmtId="0" fontId="42" fillId="0" borderId="0" xfId="0" applyFont="1" applyAlignment="1">
      <alignment horizontal="left"/>
    </xf>
    <xf numFmtId="43" fontId="12" fillId="0" borderId="0" xfId="10" applyFont="1" applyAlignment="1">
      <alignment horizontal="left"/>
    </xf>
    <xf numFmtId="173" fontId="12" fillId="0" borderId="0" xfId="0" applyNumberFormat="1" applyFont="1" applyAlignment="1">
      <alignment horizontal="right"/>
    </xf>
    <xf numFmtId="43" fontId="42" fillId="0" borderId="0" xfId="10" applyFont="1" applyAlignment="1">
      <alignment horizontal="left"/>
    </xf>
    <xf numFmtId="43" fontId="12" fillId="0" borderId="0" xfId="10" applyFont="1" applyFill="1" applyAlignment="1">
      <alignment horizontal="left"/>
    </xf>
    <xf numFmtId="43" fontId="47" fillId="0" borderId="0" xfId="10" applyFont="1" applyFill="1" applyAlignment="1">
      <alignment horizontal="left"/>
    </xf>
    <xf numFmtId="176" fontId="49" fillId="0" borderId="0" xfId="10" applyNumberFormat="1" applyFont="1" applyFill="1" applyAlignment="1">
      <alignment horizontal="right"/>
    </xf>
    <xf numFmtId="3" fontId="12" fillId="0" borderId="0" xfId="0" applyNumberFormat="1" applyFont="1"/>
    <xf numFmtId="179" fontId="14" fillId="6" borderId="0" xfId="10" applyNumberFormat="1" applyFont="1" applyFill="1"/>
    <xf numFmtId="43" fontId="12" fillId="0" borderId="0" xfId="10" applyFont="1" applyAlignment="1">
      <alignment horizontal="right"/>
    </xf>
    <xf numFmtId="9" fontId="12" fillId="0" borderId="0" xfId="2" applyFont="1" applyAlignment="1">
      <alignment horizontal="right"/>
    </xf>
    <xf numFmtId="173" fontId="49" fillId="0" borderId="0" xfId="10" applyNumberFormat="1" applyFont="1" applyFill="1" applyAlignment="1">
      <alignment horizontal="right"/>
    </xf>
    <xf numFmtId="176" fontId="47" fillId="0" borderId="0" xfId="10" applyNumberFormat="1" applyFont="1" applyFill="1" applyAlignment="1">
      <alignment horizontal="right"/>
    </xf>
    <xf numFmtId="9" fontId="12" fillId="0" borderId="0" xfId="2" applyFont="1" applyFill="1" applyAlignment="1">
      <alignment horizontal="left"/>
    </xf>
    <xf numFmtId="9" fontId="47" fillId="0" borderId="0" xfId="2" applyFont="1" applyFill="1" applyAlignment="1">
      <alignment horizontal="right"/>
    </xf>
    <xf numFmtId="177" fontId="47" fillId="0" borderId="0" xfId="10" applyNumberFormat="1" applyFont="1" applyFill="1" applyAlignment="1">
      <alignment horizontal="right" vertical="center"/>
    </xf>
    <xf numFmtId="14" fontId="12" fillId="0" borderId="0" xfId="0" quotePrefix="1" applyNumberFormat="1" applyFont="1"/>
    <xf numFmtId="0" fontId="48" fillId="0" borderId="0" xfId="0" applyFont="1"/>
    <xf numFmtId="167" fontId="12" fillId="0" borderId="0" xfId="1" applyNumberFormat="1" applyFont="1" applyFill="1" applyAlignment="1">
      <alignment horizontal="right"/>
    </xf>
    <xf numFmtId="167" fontId="42" fillId="0" borderId="0" xfId="1" applyNumberFormat="1" applyFont="1" applyFill="1" applyAlignment="1">
      <alignment horizontal="right"/>
    </xf>
    <xf numFmtId="177" fontId="47" fillId="0" borderId="0" xfId="10" applyNumberFormat="1" applyFont="1" applyAlignment="1">
      <alignment horizontal="right"/>
    </xf>
    <xf numFmtId="17" fontId="55" fillId="0" borderId="0" xfId="0" applyNumberFormat="1" applyFont="1"/>
    <xf numFmtId="17" fontId="12" fillId="0" borderId="0" xfId="0" applyNumberFormat="1" applyFont="1" applyAlignment="1">
      <alignment horizontal="left"/>
    </xf>
    <xf numFmtId="175" fontId="14" fillId="6" borderId="0" xfId="0" applyNumberFormat="1" applyFont="1" applyFill="1" applyAlignment="1">
      <alignment horizontal="left"/>
    </xf>
    <xf numFmtId="179" fontId="13" fillId="0" borderId="0" xfId="10" applyNumberFormat="1" applyFont="1" applyAlignment="1">
      <alignment horizontal="center" vertical="center"/>
    </xf>
    <xf numFmtId="0" fontId="12" fillId="0" borderId="5" xfId="0" applyFont="1" applyBorder="1" applyAlignment="1">
      <alignment horizontal="center"/>
    </xf>
    <xf numFmtId="167" fontId="13" fillId="0" borderId="0" xfId="1" applyNumberFormat="1" applyFont="1" applyAlignment="1">
      <alignment horizontal="center"/>
    </xf>
    <xf numFmtId="183" fontId="55" fillId="0" borderId="8" xfId="0" applyNumberFormat="1" applyFont="1" applyBorder="1"/>
    <xf numFmtId="167" fontId="12" fillId="0" borderId="5" xfId="1" applyNumberFormat="1" applyFont="1" applyBorder="1" applyAlignment="1">
      <alignment horizontal="center" vertical="center"/>
    </xf>
    <xf numFmtId="167" fontId="12" fillId="0" borderId="5" xfId="1" applyNumberFormat="1" applyFont="1" applyFill="1" applyBorder="1" applyAlignment="1">
      <alignment horizontal="center" vertical="center"/>
    </xf>
    <xf numFmtId="179" fontId="13" fillId="0" borderId="0" xfId="0" applyNumberFormat="1" applyFont="1" applyAlignment="1">
      <alignment horizontal="center" vertical="center"/>
    </xf>
    <xf numFmtId="43" fontId="12" fillId="0" borderId="0" xfId="0" applyNumberFormat="1" applyFont="1" applyAlignment="1">
      <alignment horizontal="center" vertical="center"/>
    </xf>
    <xf numFmtId="43" fontId="52" fillId="8" borderId="2" xfId="10" applyFont="1" applyFill="1" applyBorder="1" applyAlignment="1">
      <alignment horizontal="center" vertical="center" wrapText="1"/>
    </xf>
    <xf numFmtId="43" fontId="52" fillId="8" borderId="2" xfId="0" applyNumberFormat="1" applyFont="1" applyFill="1" applyBorder="1" applyAlignment="1">
      <alignment horizontal="center" vertical="center" wrapText="1"/>
    </xf>
    <xf numFmtId="179" fontId="12" fillId="0" borderId="0" xfId="10" applyNumberFormat="1" applyFont="1" applyAlignment="1">
      <alignment horizontal="center" vertical="center"/>
    </xf>
    <xf numFmtId="173" fontId="12" fillId="0" borderId="0" xfId="2" applyNumberFormat="1" applyFont="1" applyAlignment="1">
      <alignment horizontal="center" vertical="center"/>
    </xf>
    <xf numFmtId="179" fontId="12" fillId="0" borderId="0" xfId="10" applyNumberFormat="1" applyFont="1" applyBorder="1" applyAlignment="1">
      <alignment horizontal="center" vertical="center"/>
    </xf>
    <xf numFmtId="173" fontId="12" fillId="0" borderId="0" xfId="2" applyNumberFormat="1" applyFont="1" applyBorder="1" applyAlignment="1">
      <alignment horizontal="center" vertical="center"/>
    </xf>
    <xf numFmtId="179" fontId="12" fillId="0" borderId="0" xfId="1" applyNumberFormat="1" applyFont="1" applyAlignment="1">
      <alignment horizontal="center" vertical="center"/>
    </xf>
    <xf numFmtId="43" fontId="12" fillId="0" borderId="0" xfId="1" applyNumberFormat="1" applyFont="1" applyAlignment="1">
      <alignment horizontal="center" vertical="center"/>
    </xf>
    <xf numFmtId="179" fontId="12" fillId="0" borderId="0" xfId="1" applyNumberFormat="1" applyFont="1" applyBorder="1" applyAlignment="1">
      <alignment horizontal="center" vertical="center"/>
    </xf>
    <xf numFmtId="43" fontId="13" fillId="0" borderId="0" xfId="0" applyNumberFormat="1" applyFont="1" applyAlignment="1">
      <alignment horizontal="center" vertical="center"/>
    </xf>
    <xf numFmtId="167" fontId="13" fillId="0" borderId="0" xfId="1" applyNumberFormat="1" applyFont="1" applyAlignment="1">
      <alignment horizontal="center" vertical="center"/>
    </xf>
    <xf numFmtId="167" fontId="12" fillId="0" borderId="0" xfId="1" applyNumberFormat="1" applyFont="1" applyFill="1" applyAlignment="1">
      <alignment horizontal="center"/>
    </xf>
    <xf numFmtId="0" fontId="52" fillId="0" borderId="12" xfId="0" applyFont="1" applyBorder="1" applyAlignment="1">
      <alignment horizontal="center"/>
    </xf>
    <xf numFmtId="171" fontId="55" fillId="0" borderId="8" xfId="0" applyNumberFormat="1" applyFont="1" applyBorder="1"/>
    <xf numFmtId="164" fontId="47" fillId="0" borderId="0" xfId="1" applyFont="1" applyAlignment="1">
      <alignment horizontal="right"/>
    </xf>
    <xf numFmtId="179" fontId="12" fillId="0" borderId="5" xfId="10" applyNumberFormat="1" applyFont="1" applyBorder="1" applyAlignment="1">
      <alignment horizontal="center" vertical="center"/>
    </xf>
    <xf numFmtId="173" fontId="47" fillId="0" borderId="0" xfId="2" applyNumberFormat="1" applyFont="1" applyFill="1" applyAlignment="1">
      <alignment horizontal="right"/>
    </xf>
    <xf numFmtId="173" fontId="13" fillId="0" borderId="0" xfId="2" applyNumberFormat="1" applyFont="1"/>
    <xf numFmtId="0" fontId="12" fillId="0" borderId="5" xfId="0" applyFont="1" applyBorder="1"/>
    <xf numFmtId="0" fontId="13" fillId="6" borderId="0" xfId="0" applyFont="1" applyFill="1" applyAlignment="1">
      <alignment horizontal="center"/>
    </xf>
    <xf numFmtId="0" fontId="60" fillId="3" borderId="0" xfId="0" applyFont="1" applyFill="1"/>
    <xf numFmtId="167" fontId="60" fillId="2" borderId="0" xfId="1" applyNumberFormat="1" applyFont="1" applyFill="1"/>
    <xf numFmtId="167" fontId="45" fillId="3" borderId="0" xfId="0" applyNumberFormat="1" applyFont="1" applyFill="1"/>
    <xf numFmtId="43" fontId="49" fillId="0" borderId="0" xfId="10" applyFont="1" applyFill="1" applyAlignment="1">
      <alignment horizontal="right"/>
    </xf>
    <xf numFmtId="10" fontId="42" fillId="0" borderId="0" xfId="2" applyNumberFormat="1" applyFont="1" applyAlignment="1">
      <alignment horizontal="right"/>
    </xf>
    <xf numFmtId="10" fontId="42" fillId="0" borderId="0" xfId="2" applyNumberFormat="1" applyFont="1" applyFill="1" applyAlignment="1">
      <alignment horizontal="right"/>
    </xf>
    <xf numFmtId="164" fontId="42" fillId="0" borderId="0" xfId="1" applyFont="1" applyFill="1"/>
    <xf numFmtId="164" fontId="49" fillId="0" borderId="0" xfId="1" applyFont="1" applyFill="1"/>
    <xf numFmtId="0" fontId="12" fillId="0" borderId="12" xfId="0" applyFont="1" applyBorder="1"/>
    <xf numFmtId="0" fontId="12" fillId="0" borderId="13" xfId="0" applyFont="1" applyBorder="1"/>
    <xf numFmtId="0" fontId="12" fillId="0" borderId="14" xfId="0" applyFont="1" applyBorder="1"/>
    <xf numFmtId="0" fontId="12" fillId="0" borderId="15" xfId="0" applyFont="1" applyBorder="1"/>
    <xf numFmtId="167" fontId="12" fillId="0" borderId="0" xfId="1" applyNumberFormat="1" applyFont="1" applyBorder="1"/>
    <xf numFmtId="179" fontId="13" fillId="0" borderId="0" xfId="10" applyNumberFormat="1" applyFont="1" applyBorder="1"/>
    <xf numFmtId="187" fontId="12" fillId="0" borderId="0" xfId="1" applyNumberFormat="1" applyFont="1"/>
    <xf numFmtId="17" fontId="12" fillId="0" borderId="0" xfId="0" applyNumberFormat="1" applyFont="1" applyAlignment="1">
      <alignment horizontal="center" vertical="center"/>
    </xf>
    <xf numFmtId="164" fontId="12" fillId="0" borderId="0" xfId="1" applyFont="1" applyFill="1" applyAlignment="1">
      <alignment horizontal="center"/>
    </xf>
    <xf numFmtId="179" fontId="13" fillId="0" borderId="6" xfId="10" applyNumberFormat="1" applyFont="1" applyFill="1" applyBorder="1" applyAlignment="1">
      <alignment horizontal="center" vertical="center"/>
    </xf>
    <xf numFmtId="167" fontId="13" fillId="0" borderId="6" xfId="1" applyNumberFormat="1" applyFont="1" applyFill="1" applyBorder="1" applyAlignment="1">
      <alignment horizontal="center" vertical="center"/>
    </xf>
    <xf numFmtId="10" fontId="42" fillId="0" borderId="0" xfId="2" applyNumberFormat="1" applyFont="1" applyFill="1"/>
    <xf numFmtId="179" fontId="13" fillId="0" borderId="0" xfId="10" applyNumberFormat="1" applyFont="1" applyFill="1" applyAlignment="1">
      <alignment horizontal="center" wrapText="1"/>
    </xf>
    <xf numFmtId="177" fontId="42" fillId="0" borderId="0" xfId="10" applyNumberFormat="1" applyFont="1" applyFill="1" applyAlignment="1">
      <alignment horizontal="left"/>
    </xf>
    <xf numFmtId="43" fontId="42" fillId="0" borderId="0" xfId="10" applyFont="1" applyFill="1" applyAlignment="1">
      <alignment horizontal="left"/>
    </xf>
    <xf numFmtId="167" fontId="42" fillId="3" borderId="0" xfId="1" applyNumberFormat="1" applyFont="1" applyFill="1" applyBorder="1" applyAlignment="1">
      <alignment horizontal="right" vertical="center" wrapText="1"/>
    </xf>
    <xf numFmtId="38" fontId="42" fillId="3" borderId="0" xfId="1" applyNumberFormat="1" applyFont="1" applyFill="1" applyAlignment="1">
      <alignment horizontal="right" vertical="center"/>
    </xf>
    <xf numFmtId="167" fontId="14" fillId="3" borderId="0" xfId="0" applyNumberFormat="1" applyFont="1" applyFill="1"/>
    <xf numFmtId="167" fontId="42" fillId="3" borderId="0" xfId="10" applyNumberFormat="1" applyFont="1" applyFill="1"/>
    <xf numFmtId="176" fontId="14" fillId="3" borderId="28" xfId="1" applyNumberFormat="1" applyFont="1" applyFill="1" applyBorder="1" applyAlignment="1">
      <alignment horizontal="right" vertical="center" wrapText="1"/>
    </xf>
    <xf numFmtId="9" fontId="14" fillId="3" borderId="28" xfId="2" applyFont="1" applyFill="1" applyBorder="1" applyAlignment="1">
      <alignment horizontal="right" vertical="center" wrapText="1"/>
    </xf>
    <xf numFmtId="0" fontId="13" fillId="14" borderId="0" xfId="0" applyFont="1" applyFill="1"/>
    <xf numFmtId="0" fontId="12" fillId="14" borderId="0" xfId="0" applyFont="1" applyFill="1"/>
    <xf numFmtId="171" fontId="42" fillId="0" borderId="0" xfId="3" quotePrefix="1" applyNumberFormat="1" applyFont="1" applyAlignment="1">
      <alignment horizontal="right" vertical="center" wrapText="1"/>
    </xf>
    <xf numFmtId="168" fontId="42" fillId="3" borderId="0" xfId="2" applyNumberFormat="1" applyFont="1" applyFill="1" applyAlignment="1">
      <alignment horizontal="center" vertical="center"/>
    </xf>
    <xf numFmtId="167" fontId="12" fillId="0" borderId="0" xfId="1" applyNumberFormat="1" applyFont="1" applyBorder="1" applyAlignment="1">
      <alignment horizontal="center"/>
    </xf>
    <xf numFmtId="14" fontId="12" fillId="40" borderId="0" xfId="0" applyNumberFormat="1" applyFont="1" applyFill="1"/>
    <xf numFmtId="14" fontId="12" fillId="15" borderId="0" xfId="0" applyNumberFormat="1" applyFont="1" applyFill="1"/>
    <xf numFmtId="14" fontId="12" fillId="8" borderId="0" xfId="0" applyNumberFormat="1" applyFont="1" applyFill="1"/>
    <xf numFmtId="14" fontId="12" fillId="10" borderId="0" xfId="0" applyNumberFormat="1" applyFont="1" applyFill="1"/>
    <xf numFmtId="0" fontId="12" fillId="0" borderId="0" xfId="0" applyFont="1" applyAlignment="1">
      <alignment horizontal="left" wrapText="1"/>
    </xf>
    <xf numFmtId="179" fontId="54" fillId="0" borderId="0" xfId="10" applyNumberFormat="1" applyFont="1" applyFill="1"/>
    <xf numFmtId="179" fontId="54" fillId="0" borderId="0" xfId="0" applyNumberFormat="1" applyFont="1"/>
    <xf numFmtId="15" fontId="12" fillId="0" borderId="0" xfId="10" applyNumberFormat="1" applyFont="1" applyFill="1"/>
    <xf numFmtId="43" fontId="12" fillId="13" borderId="0" xfId="10" applyFont="1" applyFill="1"/>
    <xf numFmtId="179" fontId="68" fillId="0" borderId="0" xfId="6557" applyNumberFormat="1"/>
    <xf numFmtId="43" fontId="68" fillId="0" borderId="0" xfId="6557" applyNumberFormat="1" applyFill="1"/>
    <xf numFmtId="164" fontId="68" fillId="0" borderId="0" xfId="6557" applyNumberFormat="1"/>
    <xf numFmtId="15" fontId="42" fillId="0" borderId="0" xfId="2" applyNumberFormat="1" applyFont="1" applyFill="1" applyAlignment="1">
      <alignment horizontal="left" vertical="center"/>
    </xf>
    <xf numFmtId="164" fontId="12" fillId="12" borderId="0" xfId="1" applyFont="1" applyFill="1"/>
    <xf numFmtId="166" fontId="42" fillId="0" borderId="0" xfId="9" applyNumberFormat="1" applyFont="1" applyFill="1" applyAlignment="1">
      <alignment horizontal="right" vertical="center" wrapText="1"/>
    </xf>
    <xf numFmtId="167" fontId="42" fillId="0" borderId="0" xfId="1" applyNumberFormat="1" applyFont="1" applyFill="1" applyBorder="1" applyAlignment="1">
      <alignment horizontal="right" vertical="center" wrapText="1"/>
    </xf>
    <xf numFmtId="166" fontId="42" fillId="0" borderId="0" xfId="9" applyNumberFormat="1" applyFont="1" applyFill="1" applyBorder="1" applyAlignment="1">
      <alignment horizontal="right" vertical="center" wrapText="1"/>
    </xf>
    <xf numFmtId="180" fontId="42" fillId="0" borderId="0" xfId="1" applyNumberFormat="1" applyFont="1" applyFill="1" applyBorder="1" applyAlignment="1">
      <alignment horizontal="right" vertical="center" wrapText="1"/>
    </xf>
    <xf numFmtId="10" fontId="42" fillId="0" borderId="0" xfId="2" applyNumberFormat="1" applyFont="1" applyFill="1" applyBorder="1" applyAlignment="1">
      <alignment horizontal="right" vertical="center" wrapText="1"/>
    </xf>
    <xf numFmtId="180" fontId="42" fillId="0" borderId="0" xfId="9" applyNumberFormat="1" applyFont="1" applyFill="1" applyBorder="1" applyAlignment="1">
      <alignment horizontal="right" vertical="center" wrapText="1"/>
    </xf>
    <xf numFmtId="0" fontId="68" fillId="0" borderId="0" xfId="6557"/>
    <xf numFmtId="176" fontId="42" fillId="0" borderId="0" xfId="9" applyNumberFormat="1" applyFont="1" applyFill="1" applyBorder="1" applyAlignment="1">
      <alignment horizontal="right" vertical="center" wrapText="1"/>
    </xf>
    <xf numFmtId="9" fontId="42" fillId="0" borderId="0" xfId="2" applyFont="1" applyFill="1" applyBorder="1" applyAlignment="1">
      <alignment horizontal="right" vertical="center" wrapText="1"/>
    </xf>
    <xf numFmtId="180" fontId="49" fillId="0" borderId="0" xfId="0" applyNumberFormat="1" applyFont="1" applyAlignment="1">
      <alignment horizontal="right"/>
    </xf>
    <xf numFmtId="1" fontId="12" fillId="0" borderId="0" xfId="0" applyNumberFormat="1" applyFont="1"/>
    <xf numFmtId="43" fontId="12" fillId="41" borderId="0" xfId="10" applyFont="1" applyFill="1"/>
    <xf numFmtId="164" fontId="42" fillId="3" borderId="0" xfId="1" applyFont="1" applyFill="1" applyAlignment="1">
      <alignment horizontal="left" vertical="center"/>
    </xf>
    <xf numFmtId="14" fontId="12" fillId="0" borderId="0" xfId="0" applyNumberFormat="1" applyFont="1" applyAlignment="1">
      <alignment horizontal="right"/>
    </xf>
    <xf numFmtId="167" fontId="68" fillId="0" borderId="0" xfId="6557" applyNumberFormat="1"/>
    <xf numFmtId="10" fontId="42" fillId="3" borderId="0" xfId="2" applyNumberFormat="1" applyFont="1" applyFill="1" applyBorder="1" applyAlignment="1">
      <alignment horizontal="right" vertical="center" wrapText="1"/>
    </xf>
    <xf numFmtId="180" fontId="42" fillId="3" borderId="0" xfId="1" applyNumberFormat="1" applyFont="1" applyFill="1" applyBorder="1" applyAlignment="1">
      <alignment horizontal="right" vertical="center" wrapText="1"/>
    </xf>
    <xf numFmtId="180" fontId="42" fillId="3" borderId="0" xfId="9" applyNumberFormat="1" applyFont="1" applyFill="1" applyBorder="1" applyAlignment="1">
      <alignment horizontal="right" vertical="center" wrapText="1"/>
    </xf>
    <xf numFmtId="179" fontId="68" fillId="0" borderId="0" xfId="6557" applyNumberFormat="1" applyFill="1"/>
    <xf numFmtId="167" fontId="13" fillId="0" borderId="0" xfId="0" applyNumberFormat="1" applyFont="1" applyAlignment="1">
      <alignment horizontal="center"/>
    </xf>
    <xf numFmtId="179" fontId="12" fillId="14" borderId="0" xfId="10" applyNumberFormat="1" applyFont="1" applyFill="1"/>
    <xf numFmtId="175" fontId="12" fillId="13" borderId="0" xfId="0" applyNumberFormat="1" applyFont="1" applyFill="1" applyAlignment="1">
      <alignment horizontal="left"/>
    </xf>
    <xf numFmtId="0" fontId="11" fillId="3" borderId="0" xfId="0" applyFont="1" applyFill="1" applyAlignment="1">
      <alignment horizontal="center" wrapText="1"/>
    </xf>
    <xf numFmtId="165" fontId="40" fillId="3" borderId="0" xfId="3" applyNumberFormat="1" applyFont="1" applyFill="1" applyAlignment="1">
      <alignment horizontal="left" vertical="center"/>
    </xf>
    <xf numFmtId="0" fontId="71" fillId="3" borderId="0" xfId="0" applyFont="1" applyFill="1" applyAlignment="1">
      <alignment horizontal="right" vertical="top"/>
    </xf>
    <xf numFmtId="15" fontId="72" fillId="4" borderId="0" xfId="3" applyNumberFormat="1" applyFont="1" applyFill="1" applyAlignment="1">
      <alignment horizontal="right" vertical="top" wrapText="1"/>
    </xf>
    <xf numFmtId="15" fontId="72" fillId="4" borderId="0" xfId="3" applyNumberFormat="1" applyFont="1" applyFill="1" applyAlignment="1">
      <alignment horizontal="center" vertical="center" wrapText="1"/>
    </xf>
    <xf numFmtId="15" fontId="73" fillId="0" borderId="0" xfId="3" applyNumberFormat="1" applyFont="1" applyAlignment="1">
      <alignment horizontal="right" vertical="top" wrapText="1"/>
    </xf>
    <xf numFmtId="15" fontId="73" fillId="3" borderId="0" xfId="3" applyNumberFormat="1" applyFont="1" applyFill="1" applyAlignment="1">
      <alignment horizontal="right" vertical="top" wrapText="1"/>
    </xf>
    <xf numFmtId="0" fontId="73" fillId="3" borderId="0" xfId="0" applyFont="1" applyFill="1" applyAlignment="1">
      <alignment horizontal="right" vertical="top"/>
    </xf>
    <xf numFmtId="170" fontId="73" fillId="3" borderId="0" xfId="1" applyNumberFormat="1" applyFont="1" applyFill="1" applyAlignment="1">
      <alignment horizontal="right"/>
    </xf>
    <xf numFmtId="15" fontId="74" fillId="4" borderId="0" xfId="3" applyNumberFormat="1" applyFont="1" applyFill="1" applyAlignment="1">
      <alignment horizontal="right" vertical="top" wrapText="1"/>
    </xf>
    <xf numFmtId="15" fontId="74" fillId="4" borderId="0" xfId="3" applyNumberFormat="1" applyFont="1" applyFill="1" applyAlignment="1">
      <alignment horizontal="right" wrapText="1"/>
    </xf>
    <xf numFmtId="170" fontId="73" fillId="2" borderId="0" xfId="1" applyNumberFormat="1" applyFont="1" applyFill="1" applyAlignment="1">
      <alignment horizontal="right"/>
    </xf>
    <xf numFmtId="15" fontId="73" fillId="3" borderId="0" xfId="2" applyNumberFormat="1" applyFont="1" applyFill="1" applyAlignment="1">
      <alignment horizontal="right" vertical="center"/>
    </xf>
    <xf numFmtId="15" fontId="73" fillId="3" borderId="5" xfId="2" applyNumberFormat="1" applyFont="1" applyFill="1" applyBorder="1" applyAlignment="1">
      <alignment horizontal="right" vertical="center"/>
    </xf>
    <xf numFmtId="15" fontId="74" fillId="3" borderId="0" xfId="2" applyNumberFormat="1" applyFont="1" applyFill="1" applyAlignment="1">
      <alignment horizontal="right" vertical="center"/>
    </xf>
    <xf numFmtId="170" fontId="73" fillId="3" borderId="0" xfId="1" applyNumberFormat="1" applyFont="1" applyFill="1" applyAlignment="1">
      <alignment horizontal="right" vertical="center"/>
    </xf>
    <xf numFmtId="15" fontId="74" fillId="4" borderId="0" xfId="3" applyNumberFormat="1" applyFont="1" applyFill="1" applyAlignment="1">
      <alignment horizontal="right" vertical="center" wrapText="1"/>
    </xf>
    <xf numFmtId="0" fontId="58" fillId="0" borderId="0" xfId="0" quotePrefix="1" applyFont="1" applyAlignment="1">
      <alignment horizontal="centerContinuous"/>
    </xf>
    <xf numFmtId="0" fontId="61" fillId="0" borderId="0" xfId="0" applyFont="1" applyAlignment="1">
      <alignment horizontal="centerContinuous" wrapText="1"/>
    </xf>
    <xf numFmtId="167" fontId="67" fillId="0" borderId="0" xfId="1" applyNumberFormat="1" applyFont="1"/>
    <xf numFmtId="0" fontId="42" fillId="0" borderId="0" xfId="3" applyFont="1" applyAlignment="1">
      <alignment horizontal="left" vertical="center" indent="1"/>
    </xf>
    <xf numFmtId="167" fontId="76" fillId="0" borderId="0" xfId="1" applyNumberFormat="1" applyFont="1"/>
    <xf numFmtId="167" fontId="67" fillId="0" borderId="0" xfId="1" applyNumberFormat="1" applyFont="1" applyFill="1"/>
    <xf numFmtId="14" fontId="0" fillId="0" borderId="0" xfId="0" applyNumberFormat="1"/>
    <xf numFmtId="189" fontId="77" fillId="0" borderId="0" xfId="0" applyNumberFormat="1" applyFont="1"/>
    <xf numFmtId="189" fontId="0" fillId="0" borderId="0" xfId="0" applyNumberFormat="1"/>
    <xf numFmtId="167" fontId="0" fillId="0" borderId="0" xfId="1" applyNumberFormat="1" applyFont="1"/>
    <xf numFmtId="9" fontId="0" fillId="0" borderId="2" xfId="0" applyNumberFormat="1" applyBorder="1"/>
    <xf numFmtId="0" fontId="0" fillId="0" borderId="0" xfId="0" applyAlignment="1">
      <alignment horizontal="left" indent="1"/>
    </xf>
    <xf numFmtId="0" fontId="75" fillId="0" borderId="9" xfId="0" applyFont="1" applyBorder="1"/>
    <xf numFmtId="167" fontId="75" fillId="0" borderId="9" xfId="1" applyNumberFormat="1" applyFont="1" applyBorder="1"/>
    <xf numFmtId="0" fontId="75" fillId="0" borderId="0" xfId="0" applyFont="1"/>
    <xf numFmtId="167" fontId="75" fillId="0" borderId="0" xfId="1" applyNumberFormat="1" applyFont="1" applyBorder="1"/>
    <xf numFmtId="167" fontId="42" fillId="0" borderId="0" xfId="1" applyNumberFormat="1" applyFont="1"/>
    <xf numFmtId="0" fontId="75" fillId="6" borderId="0" xfId="0" applyFont="1" applyFill="1"/>
    <xf numFmtId="0" fontId="0" fillId="6" borderId="0" xfId="0" applyFill="1"/>
    <xf numFmtId="189" fontId="77" fillId="6" borderId="0" xfId="0" applyNumberFormat="1" applyFont="1" applyFill="1"/>
    <xf numFmtId="189" fontId="0" fillId="6" borderId="0" xfId="0" applyNumberFormat="1" applyFill="1"/>
    <xf numFmtId="167" fontId="75" fillId="0" borderId="0" xfId="1" applyNumberFormat="1" applyFont="1"/>
    <xf numFmtId="190" fontId="58" fillId="0" borderId="0" xfId="0" quotePrefix="1" applyNumberFormat="1" applyFont="1" applyAlignment="1">
      <alignment horizontal="centerContinuous"/>
    </xf>
    <xf numFmtId="167" fontId="76" fillId="0" borderId="0" xfId="1" applyNumberFormat="1" applyFont="1" applyFill="1"/>
    <xf numFmtId="0" fontId="12" fillId="0" borderId="0" xfId="0" applyFont="1" applyAlignment="1">
      <alignment horizontal="left" indent="1"/>
    </xf>
    <xf numFmtId="170" fontId="42" fillId="3" borderId="0" xfId="1" applyNumberFormat="1" applyFont="1" applyFill="1"/>
    <xf numFmtId="167" fontId="14" fillId="3" borderId="28" xfId="0" applyNumberFormat="1" applyFont="1" applyFill="1" applyBorder="1"/>
    <xf numFmtId="170" fontId="42" fillId="3" borderId="0" xfId="1" applyNumberFormat="1" applyFont="1" applyFill="1" applyAlignment="1">
      <alignment horizontal="right"/>
    </xf>
    <xf numFmtId="0" fontId="14" fillId="2" borderId="0" xfId="0" applyFont="1" applyFill="1"/>
    <xf numFmtId="0" fontId="42" fillId="2" borderId="0" xfId="0" applyFont="1" applyFill="1"/>
    <xf numFmtId="170" fontId="14" fillId="2" borderId="0" xfId="1" applyNumberFormat="1" applyFont="1" applyFill="1" applyAlignment="1">
      <alignment horizontal="right"/>
    </xf>
    <xf numFmtId="167" fontId="42" fillId="2" borderId="0" xfId="1" applyNumberFormat="1" applyFont="1" applyFill="1"/>
    <xf numFmtId="167" fontId="14" fillId="3" borderId="0" xfId="1" applyNumberFormat="1" applyFont="1" applyFill="1"/>
    <xf numFmtId="179" fontId="42" fillId="3" borderId="0" xfId="10" applyNumberFormat="1" applyFont="1" applyFill="1"/>
    <xf numFmtId="0" fontId="42" fillId="2" borderId="0" xfId="0" applyFont="1" applyFill="1" applyAlignment="1">
      <alignment horizontal="right" indent="1"/>
    </xf>
    <xf numFmtId="167" fontId="14" fillId="2" borderId="0" xfId="0" applyNumberFormat="1" applyFont="1" applyFill="1"/>
    <xf numFmtId="0" fontId="14" fillId="3" borderId="0" xfId="0" applyFont="1" applyFill="1" applyAlignment="1">
      <alignment horizontal="left" indent="1"/>
    </xf>
    <xf numFmtId="173" fontId="14" fillId="3" borderId="0" xfId="2" applyNumberFormat="1" applyFont="1" applyFill="1" applyAlignment="1">
      <alignment horizontal="right" vertical="center"/>
    </xf>
    <xf numFmtId="0" fontId="14" fillId="2" borderId="0" xfId="0" applyFont="1" applyFill="1" applyAlignment="1">
      <alignment horizontal="right"/>
    </xf>
    <xf numFmtId="170" fontId="60" fillId="3" borderId="0" xfId="1" applyNumberFormat="1" applyFont="1" applyFill="1"/>
    <xf numFmtId="0" fontId="0" fillId="3" borderId="0" xfId="0" applyFill="1"/>
    <xf numFmtId="190" fontId="60" fillId="4" borderId="0" xfId="0" quotePrefix="1" applyNumberFormat="1" applyFont="1" applyFill="1" applyAlignment="1">
      <alignment horizontal="right"/>
    </xf>
    <xf numFmtId="0" fontId="60" fillId="4" borderId="0" xfId="0" quotePrefix="1" applyFont="1" applyFill="1" applyAlignment="1">
      <alignment horizontal="right"/>
    </xf>
    <xf numFmtId="0" fontId="60" fillId="4" borderId="0" xfId="0" applyFont="1" applyFill="1"/>
    <xf numFmtId="167" fontId="12" fillId="0" borderId="0" xfId="1" applyNumberFormat="1" applyFont="1" applyAlignment="1">
      <alignment horizontal="left" indent="2"/>
    </xf>
    <xf numFmtId="0" fontId="45" fillId="3" borderId="0" xfId="0" applyFont="1" applyFill="1"/>
    <xf numFmtId="0" fontId="58" fillId="0" borderId="0" xfId="0" applyFont="1" applyAlignment="1">
      <alignment horizontal="centerContinuous" wrapText="1"/>
    </xf>
    <xf numFmtId="0" fontId="13" fillId="0" borderId="0" xfId="0" applyFont="1" applyAlignment="1">
      <alignment horizontal="centerContinuous" wrapText="1"/>
    </xf>
    <xf numFmtId="190" fontId="81" fillId="0" borderId="0" xfId="0" quotePrefix="1" applyNumberFormat="1" applyFont="1" applyAlignment="1">
      <alignment horizontal="right"/>
    </xf>
    <xf numFmtId="0" fontId="52" fillId="0" borderId="0" xfId="0" applyFont="1" applyAlignment="1">
      <alignment horizontal="centerContinuous" wrapText="1"/>
    </xf>
    <xf numFmtId="167" fontId="52" fillId="0" borderId="0" xfId="1" applyNumberFormat="1" applyFont="1" applyFill="1"/>
    <xf numFmtId="167" fontId="52" fillId="0" borderId="0" xfId="0" applyNumberFormat="1" applyFont="1"/>
    <xf numFmtId="167" fontId="76" fillId="3" borderId="0" xfId="1" applyNumberFormat="1" applyFont="1" applyFill="1"/>
    <xf numFmtId="9" fontId="82" fillId="6" borderId="0" xfId="2" applyFont="1" applyFill="1"/>
    <xf numFmtId="0" fontId="0" fillId="13" borderId="0" xfId="0" applyFill="1"/>
    <xf numFmtId="0" fontId="52" fillId="7" borderId="3" xfId="0" applyFont="1" applyFill="1" applyBorder="1" applyAlignment="1">
      <alignment horizontal="center" vertical="center" wrapText="1"/>
    </xf>
    <xf numFmtId="3" fontId="12" fillId="0" borderId="12" xfId="0" applyNumberFormat="1" applyFont="1" applyBorder="1"/>
    <xf numFmtId="0" fontId="45" fillId="42" borderId="3" xfId="0" applyFont="1" applyFill="1" applyBorder="1" applyAlignment="1">
      <alignment horizontal="centerContinuous"/>
    </xf>
    <xf numFmtId="0" fontId="45" fillId="42" borderId="1" xfId="0" applyFont="1" applyFill="1" applyBorder="1" applyAlignment="1">
      <alignment horizontal="centerContinuous"/>
    </xf>
    <xf numFmtId="0" fontId="45" fillId="42" borderId="4" xfId="0" applyFont="1" applyFill="1" applyBorder="1" applyAlignment="1">
      <alignment horizontal="centerContinuous"/>
    </xf>
    <xf numFmtId="0" fontId="43" fillId="10" borderId="2" xfId="13" applyFont="1" applyFill="1" applyBorder="1" applyAlignment="1">
      <alignment horizontal="center" vertical="center" wrapText="1"/>
    </xf>
    <xf numFmtId="0" fontId="43" fillId="10" borderId="2" xfId="0" applyFont="1" applyFill="1" applyBorder="1" applyAlignment="1">
      <alignment horizontal="center" vertical="center" wrapText="1"/>
    </xf>
    <xf numFmtId="0" fontId="83" fillId="10" borderId="2" xfId="0" applyFont="1" applyFill="1" applyBorder="1" applyAlignment="1">
      <alignment horizontal="center" vertical="center" wrapText="1"/>
    </xf>
    <xf numFmtId="0" fontId="83" fillId="10" borderId="3" xfId="0" applyFont="1" applyFill="1" applyBorder="1" applyAlignment="1">
      <alignment horizontal="center" vertical="center" wrapText="1"/>
    </xf>
    <xf numFmtId="0" fontId="44" fillId="0" borderId="12" xfId="0" applyFont="1" applyBorder="1" applyAlignment="1">
      <alignment wrapText="1"/>
    </xf>
    <xf numFmtId="17" fontId="12" fillId="13" borderId="0" xfId="0" applyNumberFormat="1" applyFont="1" applyFill="1" applyAlignment="1">
      <alignment horizontal="center" vertical="center"/>
    </xf>
    <xf numFmtId="0" fontId="12" fillId="0" borderId="11" xfId="0" applyFont="1" applyBorder="1" applyAlignment="1">
      <alignment horizontal="center"/>
    </xf>
    <xf numFmtId="196" fontId="12" fillId="0" borderId="0" xfId="10" applyNumberFormat="1" applyFont="1" applyFill="1" applyAlignment="1">
      <alignment horizontal="center"/>
    </xf>
    <xf numFmtId="9" fontId="12" fillId="0" borderId="0" xfId="2" applyFont="1" applyAlignment="1">
      <alignment horizontal="center"/>
    </xf>
    <xf numFmtId="9" fontId="12" fillId="0" borderId="0" xfId="2" applyFont="1" applyFill="1" applyAlignment="1">
      <alignment horizontal="center"/>
    </xf>
    <xf numFmtId="196" fontId="12" fillId="0" borderId="10" xfId="10" applyNumberFormat="1" applyFont="1" applyFill="1" applyBorder="1" applyAlignment="1">
      <alignment horizontal="center"/>
    </xf>
    <xf numFmtId="167" fontId="12" fillId="0" borderId="12" xfId="1" applyNumberFormat="1" applyFont="1" applyBorder="1" applyAlignment="1">
      <alignment horizontal="center"/>
    </xf>
    <xf numFmtId="0" fontId="12" fillId="0" borderId="13" xfId="0" applyFont="1" applyBorder="1" applyAlignment="1">
      <alignment horizontal="center"/>
    </xf>
    <xf numFmtId="196" fontId="12" fillId="0" borderId="12" xfId="10" applyNumberFormat="1" applyFont="1" applyFill="1" applyBorder="1" applyAlignment="1">
      <alignment horizontal="center"/>
    </xf>
    <xf numFmtId="0" fontId="13" fillId="14" borderId="6" xfId="0" applyFont="1" applyFill="1" applyBorder="1"/>
    <xf numFmtId="196" fontId="13" fillId="14" borderId="29" xfId="0" applyNumberFormat="1" applyFont="1" applyFill="1" applyBorder="1" applyAlignment="1">
      <alignment horizontal="center"/>
    </xf>
    <xf numFmtId="196" fontId="13" fillId="14" borderId="6" xfId="0" applyNumberFormat="1" applyFont="1" applyFill="1" applyBorder="1" applyAlignment="1">
      <alignment horizontal="center"/>
    </xf>
    <xf numFmtId="176" fontId="13" fillId="14" borderId="6" xfId="10" applyNumberFormat="1" applyFont="1" applyFill="1" applyBorder="1" applyAlignment="1">
      <alignment horizontal="center" vertical="center"/>
    </xf>
    <xf numFmtId="0" fontId="12" fillId="14" borderId="6" xfId="0" applyFont="1" applyFill="1" applyBorder="1" applyAlignment="1">
      <alignment horizontal="center"/>
    </xf>
    <xf numFmtId="196" fontId="13" fillId="14" borderId="6" xfId="10" applyNumberFormat="1" applyFont="1" applyFill="1" applyBorder="1" applyAlignment="1">
      <alignment horizontal="center"/>
    </xf>
    <xf numFmtId="9" fontId="13" fillId="14" borderId="30" xfId="2" applyFont="1" applyFill="1" applyBorder="1" applyAlignment="1">
      <alignment horizontal="center"/>
    </xf>
    <xf numFmtId="0" fontId="13" fillId="14" borderId="29" xfId="0" applyFont="1" applyFill="1" applyBorder="1"/>
    <xf numFmtId="196" fontId="13" fillId="14" borderId="12" xfId="0" applyNumberFormat="1" applyFont="1" applyFill="1" applyBorder="1" applyAlignment="1">
      <alignment horizontal="center"/>
    </xf>
    <xf numFmtId="196" fontId="13" fillId="14" borderId="0" xfId="0" applyNumberFormat="1" applyFont="1" applyFill="1" applyAlignment="1">
      <alignment horizontal="center"/>
    </xf>
    <xf numFmtId="176" fontId="13" fillId="14" borderId="0" xfId="10" applyNumberFormat="1" applyFont="1" applyFill="1" applyBorder="1" applyAlignment="1">
      <alignment horizontal="center" vertical="center"/>
    </xf>
    <xf numFmtId="0" fontId="12" fillId="14" borderId="0" xfId="0" applyFont="1" applyFill="1" applyAlignment="1">
      <alignment horizontal="center"/>
    </xf>
    <xf numFmtId="0" fontId="12" fillId="14" borderId="13" xfId="0" applyFont="1" applyFill="1" applyBorder="1" applyAlignment="1">
      <alignment horizontal="center"/>
    </xf>
    <xf numFmtId="196" fontId="12" fillId="14" borderId="0" xfId="10" applyNumberFormat="1" applyFont="1" applyFill="1" applyBorder="1" applyAlignment="1">
      <alignment horizontal="center"/>
    </xf>
    <xf numFmtId="9" fontId="12" fillId="14" borderId="13" xfId="2" applyFont="1" applyFill="1" applyBorder="1" applyAlignment="1">
      <alignment horizontal="center"/>
    </xf>
    <xf numFmtId="0" fontId="12" fillId="14" borderId="12" xfId="0" applyFont="1" applyFill="1" applyBorder="1"/>
    <xf numFmtId="0" fontId="45" fillId="43" borderId="0" xfId="0" applyFont="1" applyFill="1"/>
    <xf numFmtId="0" fontId="45" fillId="43" borderId="12" xfId="0" applyFont="1" applyFill="1" applyBorder="1"/>
    <xf numFmtId="0" fontId="45" fillId="42" borderId="10" xfId="0" applyFont="1" applyFill="1" applyBorder="1" applyAlignment="1">
      <alignment horizontal="centerContinuous"/>
    </xf>
    <xf numFmtId="0" fontId="45" fillId="42" borderId="9" xfId="0" applyFont="1" applyFill="1" applyBorder="1" applyAlignment="1">
      <alignment horizontal="centerContinuous"/>
    </xf>
    <xf numFmtId="0" fontId="45" fillId="42" borderId="11" xfId="0" applyFont="1" applyFill="1" applyBorder="1" applyAlignment="1">
      <alignment horizontal="centerContinuous"/>
    </xf>
    <xf numFmtId="0" fontId="43" fillId="10" borderId="3" xfId="13" applyFont="1" applyFill="1" applyBorder="1" applyAlignment="1">
      <alignment horizontal="centerContinuous" vertical="center" wrapText="1"/>
    </xf>
    <xf numFmtId="0" fontId="43" fillId="10" borderId="1" xfId="13" applyFont="1" applyFill="1" applyBorder="1" applyAlignment="1">
      <alignment horizontal="centerContinuous" vertical="center" wrapText="1"/>
    </xf>
    <xf numFmtId="0" fontId="43" fillId="10" borderId="1" xfId="0" applyFont="1" applyFill="1" applyBorder="1" applyAlignment="1">
      <alignment horizontal="centerContinuous" vertical="center" wrapText="1"/>
    </xf>
    <xf numFmtId="0" fontId="83" fillId="10" borderId="4" xfId="0" applyFont="1" applyFill="1" applyBorder="1" applyAlignment="1">
      <alignment horizontal="centerContinuous" vertical="center" wrapText="1"/>
    </xf>
    <xf numFmtId="0" fontId="83" fillId="10" borderId="1" xfId="0" applyFont="1" applyFill="1" applyBorder="1" applyAlignment="1">
      <alignment horizontal="centerContinuous" vertical="center" wrapText="1"/>
    </xf>
    <xf numFmtId="9" fontId="42" fillId="0" borderId="0" xfId="2" applyFont="1" applyFill="1"/>
    <xf numFmtId="9" fontId="13" fillId="14" borderId="6" xfId="2" applyFont="1" applyFill="1" applyBorder="1" applyAlignment="1">
      <alignment horizontal="center"/>
    </xf>
    <xf numFmtId="9" fontId="12" fillId="14" borderId="0" xfId="2" applyFont="1" applyFill="1" applyBorder="1" applyAlignment="1">
      <alignment horizontal="center"/>
    </xf>
    <xf numFmtId="167" fontId="12" fillId="14" borderId="0" xfId="1" applyNumberFormat="1" applyFont="1" applyFill="1"/>
    <xf numFmtId="179" fontId="12" fillId="14" borderId="0" xfId="0" applyNumberFormat="1" applyFont="1" applyFill="1"/>
    <xf numFmtId="0" fontId="12" fillId="13" borderId="0" xfId="0" applyFont="1" applyFill="1" applyAlignment="1">
      <alignment horizontal="center"/>
    </xf>
    <xf numFmtId="9" fontId="12" fillId="0" borderId="13" xfId="2" applyFont="1" applyFill="1" applyBorder="1" applyAlignment="1">
      <alignment horizontal="center"/>
    </xf>
    <xf numFmtId="0" fontId="12" fillId="0" borderId="11" xfId="0" applyFont="1" applyBorder="1"/>
    <xf numFmtId="196" fontId="12" fillId="13" borderId="0" xfId="10" applyNumberFormat="1" applyFont="1" applyFill="1" applyAlignment="1">
      <alignment horizontal="center"/>
    </xf>
    <xf numFmtId="9" fontId="12" fillId="13" borderId="0" xfId="2" applyFont="1" applyFill="1" applyAlignment="1">
      <alignment horizontal="center"/>
    </xf>
    <xf numFmtId="176" fontId="12" fillId="13" borderId="0" xfId="10" applyNumberFormat="1" applyFont="1" applyFill="1" applyBorder="1" applyAlignment="1">
      <alignment horizontal="center" vertical="center"/>
    </xf>
    <xf numFmtId="196" fontId="12" fillId="13" borderId="12" xfId="10" applyNumberFormat="1" applyFont="1" applyFill="1" applyBorder="1" applyAlignment="1">
      <alignment horizontal="center"/>
    </xf>
    <xf numFmtId="176" fontId="12" fillId="13" borderId="0" xfId="10" applyNumberFormat="1" applyFont="1" applyFill="1" applyAlignment="1">
      <alignment horizontal="center" vertical="center"/>
    </xf>
    <xf numFmtId="196" fontId="12" fillId="0" borderId="0" xfId="10" applyNumberFormat="1" applyFont="1" applyFill="1" applyBorder="1" applyAlignment="1">
      <alignment horizontal="center"/>
    </xf>
    <xf numFmtId="17" fontId="13" fillId="0" borderId="0" xfId="0" applyNumberFormat="1" applyFont="1" applyAlignment="1">
      <alignment horizontal="center" vertical="center"/>
    </xf>
    <xf numFmtId="0" fontId="13" fillId="0" borderId="13" xfId="0" applyFont="1" applyBorder="1" applyAlignment="1">
      <alignment horizontal="center"/>
    </xf>
    <xf numFmtId="17" fontId="12" fillId="0" borderId="5" xfId="0" applyNumberFormat="1" applyFont="1" applyBorder="1" applyAlignment="1">
      <alignment horizontal="center" vertical="center"/>
    </xf>
    <xf numFmtId="0" fontId="12" fillId="0" borderId="15" xfId="0" applyFont="1" applyBorder="1" applyAlignment="1">
      <alignment horizontal="center"/>
    </xf>
    <xf numFmtId="167" fontId="42" fillId="8" borderId="0" xfId="1" applyNumberFormat="1" applyFont="1" applyFill="1"/>
    <xf numFmtId="167" fontId="14" fillId="0" borderId="28" xfId="0" applyNumberFormat="1" applyFont="1" applyBorder="1"/>
    <xf numFmtId="190" fontId="45" fillId="4" borderId="0" xfId="0" applyNumberFormat="1" applyFont="1" applyFill="1"/>
    <xf numFmtId="196" fontId="13" fillId="13" borderId="29" xfId="0" applyNumberFormat="1" applyFont="1" applyFill="1" applyBorder="1" applyAlignment="1">
      <alignment horizontal="center"/>
    </xf>
    <xf numFmtId="196" fontId="13" fillId="13" borderId="6" xfId="0" applyNumberFormat="1" applyFont="1" applyFill="1" applyBorder="1" applyAlignment="1">
      <alignment horizontal="center"/>
    </xf>
    <xf numFmtId="197" fontId="12" fillId="0" borderId="12" xfId="0" applyNumberFormat="1" applyFont="1" applyBorder="1"/>
    <xf numFmtId="0" fontId="43" fillId="10" borderId="4" xfId="13" applyFont="1" applyFill="1" applyBorder="1" applyAlignment="1">
      <alignment horizontal="centerContinuous" vertical="center" wrapText="1"/>
    </xf>
    <xf numFmtId="198" fontId="13" fillId="14" borderId="29" xfId="0" applyNumberFormat="1" applyFont="1" applyFill="1" applyBorder="1" applyAlignment="1">
      <alignment horizontal="center"/>
    </xf>
    <xf numFmtId="2" fontId="12" fillId="0" borderId="0" xfId="0" applyNumberFormat="1" applyFont="1"/>
    <xf numFmtId="198" fontId="13" fillId="14" borderId="6" xfId="0" applyNumberFormat="1" applyFont="1" applyFill="1" applyBorder="1" applyAlignment="1">
      <alignment horizontal="center"/>
    </xf>
    <xf numFmtId="198" fontId="13" fillId="13" borderId="29" xfId="0" applyNumberFormat="1" applyFont="1" applyFill="1" applyBorder="1" applyAlignment="1">
      <alignment horizontal="center"/>
    </xf>
    <xf numFmtId="173" fontId="49" fillId="0" borderId="0" xfId="0" applyNumberFormat="1" applyFont="1" applyAlignment="1">
      <alignment horizontal="right"/>
    </xf>
    <xf numFmtId="170" fontId="42" fillId="0" borderId="0" xfId="1" applyNumberFormat="1" applyFont="1" applyAlignment="1">
      <alignment horizontal="right"/>
    </xf>
    <xf numFmtId="170" fontId="42" fillId="0" borderId="0" xfId="1" applyNumberFormat="1" applyFont="1" applyFill="1" applyAlignment="1">
      <alignment horizontal="right"/>
    </xf>
    <xf numFmtId="170" fontId="12" fillId="0" borderId="0" xfId="1" applyNumberFormat="1" applyFont="1" applyBorder="1"/>
    <xf numFmtId="173" fontId="13" fillId="0" borderId="15" xfId="2" applyNumberFormat="1" applyFont="1" applyBorder="1"/>
    <xf numFmtId="178" fontId="12" fillId="0" borderId="12" xfId="0" applyNumberFormat="1" applyFont="1" applyBorder="1"/>
    <xf numFmtId="173" fontId="12" fillId="0" borderId="0" xfId="2" applyNumberFormat="1" applyFont="1" applyFill="1" applyAlignment="1">
      <alignment horizontal="center"/>
    </xf>
    <xf numFmtId="198" fontId="12" fillId="0" borderId="0" xfId="10" applyNumberFormat="1" applyFont="1" applyFill="1" applyAlignment="1">
      <alignment horizontal="center"/>
    </xf>
    <xf numFmtId="177" fontId="42" fillId="13" borderId="0" xfId="10" applyNumberFormat="1" applyFont="1" applyFill="1" applyAlignment="1">
      <alignment horizontal="right"/>
    </xf>
    <xf numFmtId="176" fontId="42" fillId="13" borderId="0" xfId="0" applyNumberFormat="1" applyFont="1" applyFill="1" applyAlignment="1">
      <alignment horizontal="right"/>
    </xf>
    <xf numFmtId="180" fontId="42" fillId="13" borderId="0" xfId="0" applyNumberFormat="1" applyFont="1" applyFill="1" applyAlignment="1">
      <alignment horizontal="right"/>
    </xf>
    <xf numFmtId="10" fontId="42" fillId="13" borderId="0" xfId="2" applyNumberFormat="1" applyFont="1" applyFill="1" applyAlignment="1">
      <alignment horizontal="right"/>
    </xf>
    <xf numFmtId="180" fontId="12" fillId="0" borderId="0" xfId="10" applyNumberFormat="1" applyFont="1" applyFill="1" applyAlignment="1">
      <alignment horizontal="right" vertical="center"/>
    </xf>
    <xf numFmtId="1" fontId="12" fillId="0" borderId="0" xfId="1" applyNumberFormat="1" applyFont="1"/>
    <xf numFmtId="164" fontId="12" fillId="0" borderId="0" xfId="0" applyNumberFormat="1" applyFont="1" applyAlignment="1">
      <alignment wrapText="1"/>
    </xf>
    <xf numFmtId="0" fontId="75" fillId="13" borderId="9" xfId="0" applyFont="1" applyFill="1" applyBorder="1"/>
    <xf numFmtId="167" fontId="75" fillId="13" borderId="9" xfId="1" applyNumberFormat="1" applyFont="1" applyFill="1" applyBorder="1"/>
    <xf numFmtId="170" fontId="60" fillId="3" borderId="0" xfId="1" applyNumberFormat="1" applyFont="1" applyFill="1" applyAlignment="1">
      <alignment horizontal="center"/>
    </xf>
    <xf numFmtId="170" fontId="60" fillId="3" borderId="0" xfId="1" applyNumberFormat="1" applyFont="1" applyFill="1" applyBorder="1"/>
    <xf numFmtId="170" fontId="60" fillId="3" borderId="0" xfId="1" applyNumberFormat="1" applyFont="1" applyFill="1" applyAlignment="1">
      <alignment horizontal="left"/>
    </xf>
    <xf numFmtId="0" fontId="47" fillId="0" borderId="0" xfId="0" applyFont="1"/>
    <xf numFmtId="0" fontId="47" fillId="0" borderId="0" xfId="0" applyFont="1" applyAlignment="1">
      <alignment horizontal="center"/>
    </xf>
    <xf numFmtId="17" fontId="47" fillId="0" borderId="0" xfId="0" applyNumberFormat="1" applyFont="1" applyAlignment="1">
      <alignment horizontal="center" vertical="center"/>
    </xf>
    <xf numFmtId="0" fontId="47" fillId="0" borderId="13" xfId="0" applyFont="1" applyBorder="1" applyAlignment="1">
      <alignment horizontal="center"/>
    </xf>
    <xf numFmtId="196" fontId="47" fillId="0" borderId="0" xfId="10" applyNumberFormat="1" applyFont="1" applyFill="1" applyAlignment="1">
      <alignment horizontal="center"/>
    </xf>
    <xf numFmtId="9" fontId="47" fillId="0" borderId="0" xfId="2" applyFont="1" applyAlignment="1">
      <alignment horizontal="center"/>
    </xf>
    <xf numFmtId="176" fontId="47" fillId="0" borderId="0" xfId="10" applyNumberFormat="1" applyFont="1" applyFill="1" applyBorder="1" applyAlignment="1">
      <alignment horizontal="center" vertical="center"/>
    </xf>
    <xf numFmtId="9" fontId="47" fillId="0" borderId="0" xfId="2" applyFont="1" applyFill="1" applyAlignment="1">
      <alignment horizontal="center"/>
    </xf>
    <xf numFmtId="196" fontId="47" fillId="0" borderId="12" xfId="10" applyNumberFormat="1" applyFont="1" applyFill="1" applyBorder="1" applyAlignment="1">
      <alignment horizontal="center"/>
    </xf>
    <xf numFmtId="176" fontId="47" fillId="0" borderId="0" xfId="10" applyNumberFormat="1" applyFont="1" applyFill="1" applyAlignment="1">
      <alignment horizontal="center" vertical="center"/>
    </xf>
    <xf numFmtId="167" fontId="47" fillId="0" borderId="12" xfId="1" applyNumberFormat="1" applyFont="1" applyBorder="1" applyAlignment="1">
      <alignment horizontal="center"/>
    </xf>
    <xf numFmtId="0" fontId="47" fillId="0" borderId="12" xfId="0" applyFont="1" applyBorder="1"/>
    <xf numFmtId="9" fontId="47" fillId="0" borderId="13" xfId="2" applyFont="1" applyFill="1" applyBorder="1" applyAlignment="1">
      <alignment horizontal="center"/>
    </xf>
    <xf numFmtId="46" fontId="13" fillId="0" borderId="0" xfId="0" quotePrefix="1" applyNumberFormat="1" applyFont="1" applyAlignment="1">
      <alignment horizontal="left"/>
    </xf>
    <xf numFmtId="0" fontId="55" fillId="0" borderId="0" xfId="0" applyFont="1" applyAlignment="1">
      <alignment horizontal="center"/>
    </xf>
    <xf numFmtId="167" fontId="48" fillId="0" borderId="0" xfId="0" applyNumberFormat="1" applyFont="1" applyAlignment="1">
      <alignment horizontal="center"/>
    </xf>
    <xf numFmtId="9" fontId="42" fillId="3" borderId="0" xfId="2" applyFont="1" applyFill="1"/>
    <xf numFmtId="9" fontId="42" fillId="3" borderId="0" xfId="2" applyFont="1" applyFill="1" applyAlignment="1">
      <alignment horizontal="left" vertical="center"/>
    </xf>
    <xf numFmtId="38" fontId="12" fillId="0" borderId="0" xfId="1" applyNumberFormat="1" applyFont="1" applyFill="1" applyBorder="1" applyAlignment="1">
      <alignment horizontal="right" vertical="center" wrapText="1"/>
    </xf>
    <xf numFmtId="164" fontId="12" fillId="0" borderId="0" xfId="1" applyFont="1" applyFill="1" applyBorder="1" applyAlignment="1">
      <alignment horizontal="right" vertical="center" wrapText="1"/>
    </xf>
    <xf numFmtId="38" fontId="12" fillId="0" borderId="0" xfId="1" applyNumberFormat="1" applyFont="1" applyFill="1" applyAlignment="1">
      <alignment horizontal="right" vertical="center" wrapText="1"/>
    </xf>
    <xf numFmtId="38" fontId="12" fillId="3" borderId="0" xfId="1" applyNumberFormat="1" applyFont="1" applyFill="1" applyBorder="1" applyAlignment="1">
      <alignment horizontal="right" vertical="center" wrapText="1"/>
    </xf>
    <xf numFmtId="38" fontId="13" fillId="3" borderId="28" xfId="1" applyNumberFormat="1" applyFont="1" applyFill="1" applyBorder="1" applyAlignment="1">
      <alignment horizontal="right" vertical="center" wrapText="1"/>
    </xf>
    <xf numFmtId="166" fontId="84" fillId="3" borderId="0" xfId="9" applyNumberFormat="1" applyFont="1" applyFill="1" applyAlignment="1">
      <alignment horizontal="left" vertical="center" wrapText="1"/>
    </xf>
    <xf numFmtId="0" fontId="39" fillId="4" borderId="16" xfId="3" applyFont="1" applyFill="1" applyBorder="1" applyAlignment="1">
      <alignment horizontal="center"/>
    </xf>
    <xf numFmtId="165" fontId="40" fillId="3" borderId="0" xfId="3" applyNumberFormat="1" applyFont="1" applyFill="1" applyAlignment="1">
      <alignment horizontal="left" vertical="center"/>
    </xf>
    <xf numFmtId="0" fontId="39" fillId="4" borderId="0" xfId="3" applyFont="1" applyFill="1" applyAlignment="1">
      <alignment horizontal="center"/>
    </xf>
    <xf numFmtId="0" fontId="39" fillId="4" borderId="16" xfId="3" applyFont="1" applyFill="1" applyBorder="1" applyAlignment="1">
      <alignment horizontal="center" wrapText="1"/>
    </xf>
    <xf numFmtId="0" fontId="39" fillId="4" borderId="17" xfId="3" applyFont="1" applyFill="1" applyBorder="1" applyAlignment="1">
      <alignment horizontal="center"/>
    </xf>
    <xf numFmtId="170" fontId="45" fillId="4" borderId="16" xfId="1" applyNumberFormat="1" applyFont="1" applyFill="1" applyBorder="1" applyAlignment="1">
      <alignment horizontal="center" vertical="center"/>
    </xf>
    <xf numFmtId="0" fontId="45" fillId="4" borderId="16" xfId="3" applyFont="1" applyFill="1" applyBorder="1" applyAlignment="1">
      <alignment horizontal="center"/>
    </xf>
    <xf numFmtId="183" fontId="14" fillId="0" borderId="2" xfId="0" applyNumberFormat="1" applyFont="1" applyBorder="1" applyAlignment="1">
      <alignment horizontal="center" vertical="center"/>
    </xf>
    <xf numFmtId="183" fontId="14" fillId="0" borderId="1" xfId="0" applyNumberFormat="1" applyFont="1" applyBorder="1" applyAlignment="1">
      <alignment horizontal="left"/>
    </xf>
    <xf numFmtId="183" fontId="14" fillId="0" borderId="4" xfId="0" applyNumberFormat="1" applyFont="1" applyBorder="1" applyAlignment="1">
      <alignment horizontal="left"/>
    </xf>
    <xf numFmtId="0" fontId="13" fillId="0" borderId="0" xfId="0" applyFont="1" applyAlignment="1">
      <alignment horizontal="left"/>
    </xf>
    <xf numFmtId="183" fontId="14" fillId="11" borderId="2" xfId="0" applyNumberFormat="1" applyFont="1" applyFill="1" applyBorder="1" applyAlignment="1">
      <alignment horizontal="center" vertical="center"/>
    </xf>
    <xf numFmtId="0" fontId="12" fillId="0" borderId="0" xfId="0" applyFont="1" applyAlignment="1">
      <alignment horizontal="center"/>
    </xf>
    <xf numFmtId="0" fontId="13" fillId="0" borderId="0" xfId="0" applyFont="1" applyAlignment="1">
      <alignment horizontal="center" wrapText="1"/>
    </xf>
    <xf numFmtId="0" fontId="13" fillId="0" borderId="0" xfId="0" applyFont="1" applyAlignment="1">
      <alignment horizontal="center" vertical="center" wrapText="1"/>
    </xf>
    <xf numFmtId="0" fontId="13" fillId="0" borderId="0" xfId="0" applyFont="1" applyAlignment="1">
      <alignment horizontal="center"/>
    </xf>
    <xf numFmtId="183" fontId="14" fillId="0" borderId="3" xfId="0" applyNumberFormat="1" applyFont="1" applyBorder="1" applyAlignment="1">
      <alignment horizontal="center" vertical="center"/>
    </xf>
    <xf numFmtId="183" fontId="14" fillId="0" borderId="4" xfId="0" applyNumberFormat="1" applyFont="1" applyBorder="1" applyAlignment="1">
      <alignment horizontal="center" vertical="center"/>
    </xf>
    <xf numFmtId="0" fontId="12" fillId="0" borderId="0" xfId="0" applyFont="1" applyAlignment="1">
      <alignment horizontal="left" vertical="center" wrapText="1"/>
    </xf>
    <xf numFmtId="0" fontId="52" fillId="7" borderId="10" xfId="0" applyFont="1" applyFill="1" applyBorder="1" applyAlignment="1">
      <alignment horizontal="center" vertical="center" wrapText="1"/>
    </xf>
    <xf numFmtId="0" fontId="52" fillId="7" borderId="9" xfId="0" applyFont="1" applyFill="1" applyBorder="1" applyAlignment="1">
      <alignment horizontal="center" vertical="center" wrapText="1"/>
    </xf>
    <xf numFmtId="0" fontId="52" fillId="7" borderId="11" xfId="0" applyFont="1" applyFill="1" applyBorder="1" applyAlignment="1">
      <alignment horizontal="center" vertical="center" wrapText="1"/>
    </xf>
    <xf numFmtId="0" fontId="52" fillId="8" borderId="2" xfId="13" applyFont="1" applyFill="1" applyBorder="1" applyAlignment="1">
      <alignment horizontal="center" vertical="center" wrapText="1"/>
    </xf>
    <xf numFmtId="0" fontId="52" fillId="7" borderId="3" xfId="0" applyFont="1" applyFill="1" applyBorder="1" applyAlignment="1">
      <alignment horizontal="center" vertical="center" wrapText="1"/>
    </xf>
    <xf numFmtId="0" fontId="52" fillId="7" borderId="1" xfId="0" applyFont="1" applyFill="1" applyBorder="1" applyAlignment="1">
      <alignment horizontal="center" vertical="center" wrapText="1"/>
    </xf>
    <xf numFmtId="0" fontId="52" fillId="7" borderId="4" xfId="0" applyFont="1" applyFill="1" applyBorder="1" applyAlignment="1">
      <alignment horizontal="center" vertical="center" wrapText="1"/>
    </xf>
    <xf numFmtId="0" fontId="13" fillId="0" borderId="9" xfId="0" applyFont="1" applyBorder="1" applyAlignment="1">
      <alignment horizontal="center" vertical="center"/>
    </xf>
  </cellXfs>
  <cellStyles count="6571">
    <cellStyle name="20% - Accent1 2" xfId="16" xr:uid="{52225A2B-341A-4C8C-9BBE-EB6C1664200D}"/>
    <cellStyle name="20% - Accent1 2 2" xfId="17" xr:uid="{95275103-E31D-4B25-B638-0E9822F6E64C}"/>
    <cellStyle name="20% - Accent1 3" xfId="18" xr:uid="{F61E1E32-B088-4236-AB3B-C63277CA25DE}"/>
    <cellStyle name="20% - Accent1 3 2" xfId="19" xr:uid="{C90E962D-CB63-482D-9168-83992DD22529}"/>
    <cellStyle name="20% - Accent1 3 2 2" xfId="20" xr:uid="{8E26AFC9-71D4-4C5A-B3C4-B1B55CA0BFEA}"/>
    <cellStyle name="20% - Accent1 3 3" xfId="21" xr:uid="{79E5D90B-1DCB-45F1-B725-BEBBF2ABD062}"/>
    <cellStyle name="20% - Accent1 4" xfId="22" xr:uid="{203BC1B1-B199-4D2F-B64A-A4E4DCFBAB79}"/>
    <cellStyle name="20% - Accent1 5" xfId="23" xr:uid="{AD06CA70-7D18-43CC-BBCC-988C9FCB1486}"/>
    <cellStyle name="20% - Accent1 5 2" xfId="24" xr:uid="{AC0A715B-6FD8-4722-9C35-972D7D0865BA}"/>
    <cellStyle name="20% - Accent1 6" xfId="15" xr:uid="{9E93FC98-1803-4931-A03D-00B425E36A3C}"/>
    <cellStyle name="20% - Accent2 2" xfId="26" xr:uid="{EA929B34-1A6E-4CA6-A216-1207F5F05871}"/>
    <cellStyle name="20% - Accent2 2 2" xfId="27" xr:uid="{7156DD36-0098-4F1E-9EF4-7B12D46B6CE6}"/>
    <cellStyle name="20% - Accent2 3" xfId="28" xr:uid="{A551296E-DBB1-4446-9EA4-12967680599A}"/>
    <cellStyle name="20% - Accent2 3 2" xfId="29" xr:uid="{468B4BAE-901A-4F3B-B810-4BEE94B617AE}"/>
    <cellStyle name="20% - Accent2 3 2 2" xfId="30" xr:uid="{88136D52-9DB7-4B37-B408-FE98F389D93B}"/>
    <cellStyle name="20% - Accent2 3 3" xfId="31" xr:uid="{1AC474F9-92B3-4030-AE9D-15D7FB6DF84F}"/>
    <cellStyle name="20% - Accent2 4" xfId="32" xr:uid="{09971F9E-513E-4F45-A8E0-46CBA0E7DB6B}"/>
    <cellStyle name="20% - Accent2 5" xfId="33" xr:uid="{B77B6BDC-DCE8-4A4C-AF60-DD4A758C6C6F}"/>
    <cellStyle name="20% - Accent2 5 2" xfId="34" xr:uid="{AC267958-B234-4A25-AC28-F0259F6D1E6B}"/>
    <cellStyle name="20% - Accent2 6" xfId="25" xr:uid="{8781AB31-80AB-467B-83D8-9D2562B9FF15}"/>
    <cellStyle name="20% - Accent3 2" xfId="36" xr:uid="{69AA3624-2A81-403C-A201-B9186424ADA2}"/>
    <cellStyle name="20% - Accent3 2 2" xfId="37" xr:uid="{EFBAC2A0-A85F-4540-B8DE-B05B3C563EA6}"/>
    <cellStyle name="20% - Accent3 3" xfId="38" xr:uid="{F9E4655C-B405-4FC0-9238-8808F6055B09}"/>
    <cellStyle name="20% - Accent3 3 2" xfId="39" xr:uid="{91238E6F-F3D9-4945-A03F-6DC969D6048B}"/>
    <cellStyle name="20% - Accent3 3 2 2" xfId="40" xr:uid="{D2877CC4-388D-4CE0-92D5-7150A1F8BC2E}"/>
    <cellStyle name="20% - Accent3 3 3" xfId="41" xr:uid="{7872F7E1-7162-4CB1-A30B-8F738E6C7469}"/>
    <cellStyle name="20% - Accent3 4" xfId="42" xr:uid="{C56D0349-150A-4300-B672-558E11C7764F}"/>
    <cellStyle name="20% - Accent3 5" xfId="43" xr:uid="{468C9C67-E8EC-4281-B8D9-02CABDEC49E9}"/>
    <cellStyle name="20% - Accent3 5 2" xfId="44" xr:uid="{A18525FF-4C42-4A8C-94B6-7D7A8114F69B}"/>
    <cellStyle name="20% - Accent3 6" xfId="35" xr:uid="{859513DB-3FA7-4DE6-9A50-7D7967772CAD}"/>
    <cellStyle name="20% - Accent4 2" xfId="46" xr:uid="{7E275B60-D5B8-4FB0-8754-EBD66B0C4853}"/>
    <cellStyle name="20% - Accent4 2 2" xfId="47" xr:uid="{0C8AC41D-97B9-4BA3-9A19-BD5D33616435}"/>
    <cellStyle name="20% - Accent4 3" xfId="48" xr:uid="{7E65ECF8-3DD1-4617-96EA-F28DDFA665C0}"/>
    <cellStyle name="20% - Accent4 3 2" xfId="49" xr:uid="{82E78549-36A2-48B3-8F5F-52B5D1858FE3}"/>
    <cellStyle name="20% - Accent4 3 2 2" xfId="50" xr:uid="{4C779598-CAF5-478F-A3DF-6ED3D5E09D7E}"/>
    <cellStyle name="20% - Accent4 3 3" xfId="51" xr:uid="{95DD5E9C-6899-41A9-9ADF-F559E2F03693}"/>
    <cellStyle name="20% - Accent4 4" xfId="52" xr:uid="{D90E16C9-DF9A-4BB6-B2D6-158AE9F6EB39}"/>
    <cellStyle name="20% - Accent4 5" xfId="53" xr:uid="{BFA4B87D-A50C-468F-A0C7-37D713C18F13}"/>
    <cellStyle name="20% - Accent4 5 2" xfId="54" xr:uid="{EED6DA26-BAAF-4B53-BBD9-1AF77EF23E47}"/>
    <cellStyle name="20% - Accent4 6" xfId="45" xr:uid="{F4147D0A-4223-4F7B-9F21-7F3806BDF008}"/>
    <cellStyle name="20% - Accent5 2" xfId="56" xr:uid="{2969FB8E-C96F-4E68-B477-97B1903C2805}"/>
    <cellStyle name="20% - Accent5 2 2" xfId="57" xr:uid="{248D7833-529B-473B-A962-714B078CCAE5}"/>
    <cellStyle name="20% - Accent5 3" xfId="58" xr:uid="{4366CAED-4004-49EB-B643-C27EB7118345}"/>
    <cellStyle name="20% - Accent5 3 2" xfId="59" xr:uid="{785AF826-A84D-4572-BF3F-2625CC4F0CE9}"/>
    <cellStyle name="20% - Accent5 3 2 2" xfId="60" xr:uid="{857C6DBA-9251-41DD-94DF-88FB220356B7}"/>
    <cellStyle name="20% - Accent5 3 3" xfId="61" xr:uid="{A8AC1B1E-967F-488D-A5A5-60022E152BA8}"/>
    <cellStyle name="20% - Accent5 4" xfId="62" xr:uid="{2EE0F3CF-4A09-481F-979A-CB11D5F19332}"/>
    <cellStyle name="20% - Accent5 5" xfId="63" xr:uid="{7A4FAA7D-736F-4067-94CD-0839A3A2E1ED}"/>
    <cellStyle name="20% - Accent5 5 2" xfId="64" xr:uid="{1681B6A5-C95B-49D8-B4AE-1157EC79244D}"/>
    <cellStyle name="20% - Accent5 6" xfId="55" xr:uid="{94C97CD9-0C4D-4988-8DA2-1059C4F03D0D}"/>
    <cellStyle name="20% - Accent6 2" xfId="66" xr:uid="{66359216-DE49-45F3-BEB3-CFA2EE33D1D4}"/>
    <cellStyle name="20% - Accent6 2 2" xfId="67" xr:uid="{4B0B75F0-12D5-49AC-B9C1-E97883BECE7A}"/>
    <cellStyle name="20% - Accent6 3" xfId="68" xr:uid="{A396E4F6-F3FA-46F6-A336-6F7DD732D00D}"/>
    <cellStyle name="20% - Accent6 3 2" xfId="69" xr:uid="{EFA0D400-7B5D-4906-8E8E-0ACEC325B31E}"/>
    <cellStyle name="20% - Accent6 3 2 2" xfId="70" xr:uid="{29BCC92B-FABF-4325-819F-A747D39DC467}"/>
    <cellStyle name="20% - Accent6 3 3" xfId="71" xr:uid="{F7934312-6669-4F6B-BFE5-78E5E26FAA38}"/>
    <cellStyle name="20% - Accent6 4" xfId="72" xr:uid="{61632B15-E0F6-4601-91E0-511A8EBE86AA}"/>
    <cellStyle name="20% - Accent6 5" xfId="73" xr:uid="{9B786AFB-D3D4-4F7E-A5AB-4B747FCF3BFF}"/>
    <cellStyle name="20% - Accent6 5 2" xfId="74" xr:uid="{246DDD63-6131-47CA-A8EE-AF6469C45569}"/>
    <cellStyle name="20% - Accent6 6" xfId="65" xr:uid="{812238B5-C630-4B00-A3D8-5075ED68ED8C}"/>
    <cellStyle name="40% - Accent1 2" xfId="76" xr:uid="{E8EB5D96-8E7F-45F6-B5C0-E8E6FC104684}"/>
    <cellStyle name="40% - Accent1 2 2" xfId="77" xr:uid="{0A833B30-F5FA-4B39-8395-BED2C7388B5E}"/>
    <cellStyle name="40% - Accent1 3" xfId="78" xr:uid="{63EF9925-ED55-405F-8BA6-0A9DFDD1E974}"/>
    <cellStyle name="40% - Accent1 3 2" xfId="79" xr:uid="{1A46AF11-0E2B-4999-AE69-9EC215716F02}"/>
    <cellStyle name="40% - Accent1 3 2 2" xfId="80" xr:uid="{89AC0342-BA0F-4C74-A24F-117E7A3D6250}"/>
    <cellStyle name="40% - Accent1 3 3" xfId="81" xr:uid="{B05566E7-F2C0-471F-8B38-9E544D52B386}"/>
    <cellStyle name="40% - Accent1 4" xfId="82" xr:uid="{F28837B5-4572-4304-83DF-B9BDAF30088A}"/>
    <cellStyle name="40% - Accent1 5" xfId="83" xr:uid="{FF6C7393-8A18-4DA1-B394-9F304DAD1C12}"/>
    <cellStyle name="40% - Accent1 5 2" xfId="84" xr:uid="{59DA9F19-B8AE-4D02-A318-410BE6D33E22}"/>
    <cellStyle name="40% - Accent1 6" xfId="75" xr:uid="{9E2B746A-8F75-4936-BC19-A6435DF81060}"/>
    <cellStyle name="40% - Accent2 2" xfId="86" xr:uid="{7CFD5BE0-72CB-4740-B01F-FEA15DC82803}"/>
    <cellStyle name="40% - Accent2 2 2" xfId="87" xr:uid="{1DFB0181-CEAB-4C37-A05B-01683926F2FC}"/>
    <cellStyle name="40% - Accent2 3" xfId="88" xr:uid="{DBFF7C26-BCB0-4C0F-A26D-AC944C21F125}"/>
    <cellStyle name="40% - Accent2 3 2" xfId="89" xr:uid="{6493C5F4-33DE-4140-9DFD-679DA6012A25}"/>
    <cellStyle name="40% - Accent2 3 2 2" xfId="90" xr:uid="{691EF55B-6E5B-4C2F-80D1-40354BB1079C}"/>
    <cellStyle name="40% - Accent2 3 3" xfId="91" xr:uid="{BD43E2C0-D29D-46C2-A6A7-71952A507D75}"/>
    <cellStyle name="40% - Accent2 4" xfId="92" xr:uid="{6AE1A072-1CE2-42EC-BA21-9A73C6FB901F}"/>
    <cellStyle name="40% - Accent2 5" xfId="93" xr:uid="{FEE13796-141D-481A-A968-A9937C14B707}"/>
    <cellStyle name="40% - Accent2 5 2" xfId="94" xr:uid="{42D6792D-4917-4E45-9411-C953CEC89AE4}"/>
    <cellStyle name="40% - Accent2 6" xfId="85" xr:uid="{71F0B2B8-8959-4702-BBBF-BEC86B9159A1}"/>
    <cellStyle name="40% - Accent3 2" xfId="96" xr:uid="{E48C3C16-1933-408C-BCB4-8B71642DFE75}"/>
    <cellStyle name="40% - Accent3 2 2" xfId="97" xr:uid="{DE2C93BB-2E1D-4AAF-B4ED-8E428E5D1E24}"/>
    <cellStyle name="40% - Accent3 3" xfId="98" xr:uid="{E49A0581-06DC-4785-9462-360D3A14F4F0}"/>
    <cellStyle name="40% - Accent3 3 2" xfId="99" xr:uid="{D0094A26-F813-4E74-9AF6-3F00FC0149E4}"/>
    <cellStyle name="40% - Accent3 3 2 2" xfId="100" xr:uid="{CDFFE3F0-86B6-45F0-B518-CB6FDB83E8A9}"/>
    <cellStyle name="40% - Accent3 3 3" xfId="101" xr:uid="{F1A1DBD2-3F80-4E18-8B2E-FED0FDB4BFB4}"/>
    <cellStyle name="40% - Accent3 4" xfId="102" xr:uid="{31896D3B-AA4D-4EF3-9008-1147C8EE7B7F}"/>
    <cellStyle name="40% - Accent3 5" xfId="103" xr:uid="{194355AB-F4E7-4BED-8FDF-60E737477ECF}"/>
    <cellStyle name="40% - Accent3 5 2" xfId="104" xr:uid="{238B87D5-F20A-4A63-8A9C-8F072BD45BAA}"/>
    <cellStyle name="40% - Accent3 6" xfId="95" xr:uid="{5D03E3CF-3B03-42C8-AA94-46BC9F906892}"/>
    <cellStyle name="40% - Accent4 2" xfId="106" xr:uid="{A8466A73-6199-40E1-A26F-5D5FBB0A9135}"/>
    <cellStyle name="40% - Accent4 2 2" xfId="107" xr:uid="{9478DC65-8B19-4863-ADD9-9DA93436C44D}"/>
    <cellStyle name="40% - Accent4 3" xfId="108" xr:uid="{EC227E21-4A85-46DF-A959-27A02ADC48CC}"/>
    <cellStyle name="40% - Accent4 3 2" xfId="109" xr:uid="{8305B26E-4FBA-420F-B7C8-35C3032C6889}"/>
    <cellStyle name="40% - Accent4 3 2 2" xfId="110" xr:uid="{106CA5E7-A28C-413B-AD4C-41389FBD3BED}"/>
    <cellStyle name="40% - Accent4 3 3" xfId="111" xr:uid="{256EA8ED-00F3-4546-94F2-D6B2816AC40E}"/>
    <cellStyle name="40% - Accent4 4" xfId="112" xr:uid="{E670C75E-BFA7-4916-9883-ECE532419FBA}"/>
    <cellStyle name="40% - Accent4 5" xfId="113" xr:uid="{A902EA7F-D154-4728-B64A-636819665760}"/>
    <cellStyle name="40% - Accent4 5 2" xfId="114" xr:uid="{EA422587-6249-4A9F-AFBE-51CF9A51154A}"/>
    <cellStyle name="40% - Accent4 6" xfId="105" xr:uid="{ADFD7C29-2B5F-4EA2-8D89-7B0DCFD09DD4}"/>
    <cellStyle name="40% - Accent5 2" xfId="116" xr:uid="{336C87E8-B0C5-4994-AA35-3971A08FC0FE}"/>
    <cellStyle name="40% - Accent5 2 2" xfId="117" xr:uid="{C12F50CB-9A86-44B0-89B1-AC3F9E0AE7E0}"/>
    <cellStyle name="40% - Accent5 3" xfId="118" xr:uid="{B550CFDA-11AA-48DB-9391-BB877616E56C}"/>
    <cellStyle name="40% - Accent5 3 2" xfId="119" xr:uid="{6F4B37B7-2F42-4ED3-BC50-7A2272E94746}"/>
    <cellStyle name="40% - Accent5 3 2 2" xfId="120" xr:uid="{A23D5D74-D7D0-4548-A807-D9FC4DBB3E1F}"/>
    <cellStyle name="40% - Accent5 3 3" xfId="121" xr:uid="{BD47EDC2-3137-4A48-A8A6-2F9973B11E80}"/>
    <cellStyle name="40% - Accent5 4" xfId="122" xr:uid="{DCBA1B2E-4915-4A83-A461-1F5BEB264F43}"/>
    <cellStyle name="40% - Accent5 5" xfId="123" xr:uid="{C0EC046E-48B1-47F1-8E69-7934E1C8B830}"/>
    <cellStyle name="40% - Accent5 5 2" xfId="124" xr:uid="{22824362-3A29-41F1-BDE2-5A95923651DE}"/>
    <cellStyle name="40% - Accent5 6" xfId="115" xr:uid="{4E380C73-3F47-47EE-940C-A8F09CC25EB4}"/>
    <cellStyle name="40% - Accent6 2" xfId="126" xr:uid="{3E712EBB-FC6C-466C-91B2-193B34703520}"/>
    <cellStyle name="40% - Accent6 2 2" xfId="127" xr:uid="{7483100F-F978-4BF1-A3DB-80DE41E85825}"/>
    <cellStyle name="40% - Accent6 3" xfId="128" xr:uid="{A1584374-A9C1-410B-B84A-EA96F26C7B45}"/>
    <cellStyle name="40% - Accent6 3 2" xfId="129" xr:uid="{0576DED0-4DE9-4CA6-A6AD-7E621F6BC428}"/>
    <cellStyle name="40% - Accent6 3 2 2" xfId="130" xr:uid="{B6D8785F-ABA3-4994-ACA4-88FC12A502D7}"/>
    <cellStyle name="40% - Accent6 3 3" xfId="131" xr:uid="{261609BC-F93C-4E57-95AC-7B7093B8AF78}"/>
    <cellStyle name="40% - Accent6 4" xfId="132" xr:uid="{C8FC2833-DF30-4946-B80B-F5C94740CBA0}"/>
    <cellStyle name="40% - Accent6 5" xfId="133" xr:uid="{C701FA7B-B716-4C58-8121-21E249C1D21B}"/>
    <cellStyle name="40% - Accent6 5 2" xfId="134" xr:uid="{07F78EE0-4F72-4DE1-B17D-468447124A29}"/>
    <cellStyle name="40% - Accent6 6" xfId="125" xr:uid="{FD9FF3B2-38AF-4F5A-B60E-93E33B419E66}"/>
    <cellStyle name="60% - Accent1 2" xfId="136" xr:uid="{DEB97957-050A-4A25-9F20-A6AF52320442}"/>
    <cellStyle name="60% - Accent1 2 2" xfId="137" xr:uid="{11090F79-AC0F-44FD-8B8F-D08AE6F24345}"/>
    <cellStyle name="60% - Accent1 3" xfId="138" xr:uid="{968D9C0E-97A4-4B81-B676-3F048AEA4FA6}"/>
    <cellStyle name="60% - Accent1 3 2" xfId="139" xr:uid="{043F928D-3872-48D2-8C29-A54526FC6FB0}"/>
    <cellStyle name="60% - Accent1 4" xfId="135" xr:uid="{E47FFDC3-CAAB-48A2-96C3-333BAD9EDA43}"/>
    <cellStyle name="60% - Accent2 2" xfId="141" xr:uid="{C2973A9B-8146-46A2-8998-8227E517C931}"/>
    <cellStyle name="60% - Accent2 2 2" xfId="142" xr:uid="{4A1014CD-AB72-4D13-BA04-91A9312210FC}"/>
    <cellStyle name="60% - Accent2 3" xfId="143" xr:uid="{905CD4BA-C60C-498D-8310-7518BFF3D10B}"/>
    <cellStyle name="60% - Accent2 3 2" xfId="144" xr:uid="{019726D0-5769-400E-942A-CB6A00CD88C0}"/>
    <cellStyle name="60% - Accent2 4" xfId="140" xr:uid="{ADD1555F-A9A7-4AE4-967E-18980D413FD7}"/>
    <cellStyle name="60% - Accent3 2" xfId="146" xr:uid="{FF682754-97AE-416E-AAF7-691E908AF360}"/>
    <cellStyle name="60% - Accent3 2 2" xfId="147" xr:uid="{74E2D032-27FB-44EA-A422-103A79D4C18F}"/>
    <cellStyle name="60% - Accent3 3" xfId="148" xr:uid="{DCB9E8F2-CC58-4BE5-BF0A-1EE65ABC2496}"/>
    <cellStyle name="60% - Accent3 3 2" xfId="149" xr:uid="{9EBA5CCE-3B51-4C0C-B026-7F0335AF4B6F}"/>
    <cellStyle name="60% - Accent3 4" xfId="145" xr:uid="{41538AEB-A4CA-4804-92AC-0CB6E6DBBD7F}"/>
    <cellStyle name="60% - Accent4 2" xfId="151" xr:uid="{3CA610B8-12BA-4AFB-858D-5567E68ADF0D}"/>
    <cellStyle name="60% - Accent4 2 2" xfId="152" xr:uid="{79C650BD-4949-4B82-AE7B-D9B5AA26725A}"/>
    <cellStyle name="60% - Accent4 3" xfId="153" xr:uid="{A661B20F-8D96-4F8D-82A1-D53BD1A9EA3B}"/>
    <cellStyle name="60% - Accent4 3 2" xfId="154" xr:uid="{4639A948-2DAA-4595-829C-60BD082538AA}"/>
    <cellStyle name="60% - Accent4 4" xfId="150" xr:uid="{BC722689-5DF1-4E6A-840D-EAF5F71139C0}"/>
    <cellStyle name="60% - Accent5 2" xfId="156" xr:uid="{B4CC5226-0A8C-482A-8AFD-0BC090E86EF7}"/>
    <cellStyle name="60% - Accent5 2 2" xfId="157" xr:uid="{D3D326E5-F09D-4A13-A81C-E6F8FAD5953D}"/>
    <cellStyle name="60% - Accent5 3" xfId="158" xr:uid="{7E594D3D-A054-4946-940D-EE916D9E5F7E}"/>
    <cellStyle name="60% - Accent5 3 2" xfId="159" xr:uid="{DF0CDD9A-2CC4-4FE6-9B1F-42F6994BD553}"/>
    <cellStyle name="60% - Accent5 4" xfId="155" xr:uid="{CA5EA646-71BD-4AFD-801D-C0028B5FB99B}"/>
    <cellStyle name="60% - Accent6 2" xfId="161" xr:uid="{24B31578-5A5C-4A3C-ACB1-A77AC81F59D7}"/>
    <cellStyle name="60% - Accent6 2 2" xfId="162" xr:uid="{F868143B-8E72-43E9-9C0C-8DB91EB2D43E}"/>
    <cellStyle name="60% - Accent6 3" xfId="163" xr:uid="{4E0661DC-6F2E-4140-9D2C-41FC817BE0FC}"/>
    <cellStyle name="60% - Accent6 3 2" xfId="164" xr:uid="{4C70AD56-BBDE-4878-B5AB-5EC804D37B55}"/>
    <cellStyle name="60% - Accent6 4" xfId="160" xr:uid="{86007402-C1EA-4BE5-B487-51F60FA2683F}"/>
    <cellStyle name="Accent1 2" xfId="166" xr:uid="{FCAFC1AE-EDF6-4F60-80F4-1735D4FBC12F}"/>
    <cellStyle name="Accent1 2 2" xfId="167" xr:uid="{8C3C40D9-BB54-4D63-AB34-E6B03A6E3623}"/>
    <cellStyle name="Accent1 3" xfId="168" xr:uid="{0756B307-A50B-4336-AD7E-168CD35A5E82}"/>
    <cellStyle name="Accent1 3 2" xfId="169" xr:uid="{159298B4-D3B9-4DC2-9289-98C4F8B3D0DC}"/>
    <cellStyle name="Accent1 4" xfId="165" xr:uid="{081ECB90-1FF4-45FA-A600-43FB48A32FBA}"/>
    <cellStyle name="Accent2 2" xfId="171" xr:uid="{4BE660FC-C59F-4987-BE21-5E9A295C43DA}"/>
    <cellStyle name="Accent2 2 2" xfId="172" xr:uid="{830C9A0C-A406-4F76-B08F-E19E709D5F1C}"/>
    <cellStyle name="Accent2 3" xfId="173" xr:uid="{B804059C-4AC0-485C-8A11-A18B728E207F}"/>
    <cellStyle name="Accent2 3 2" xfId="174" xr:uid="{2A1999B6-AF36-401A-9DA5-797F65DBCD80}"/>
    <cellStyle name="Accent2 4" xfId="170" xr:uid="{35D03AC9-2D03-46F3-BCA0-7C9D0C547A11}"/>
    <cellStyle name="Accent3 2" xfId="176" xr:uid="{6B7BDB8E-CBF5-4EBC-9769-F162EEC92A0D}"/>
    <cellStyle name="Accent3 2 2" xfId="177" xr:uid="{88F912B4-775E-47D2-8128-0255A5CBC5BE}"/>
    <cellStyle name="Accent3 3" xfId="178" xr:uid="{51D9035E-AE78-4927-8D79-145BF5AB0A83}"/>
    <cellStyle name="Accent3 3 2" xfId="179" xr:uid="{BA677D79-CE1A-4B83-8985-005CE9369CA4}"/>
    <cellStyle name="Accent3 4" xfId="175" xr:uid="{2609758E-6A6A-4F4E-A565-D606C4A54DD2}"/>
    <cellStyle name="Accent4 2" xfId="181" xr:uid="{11DFEE94-37FF-44C1-BC40-2CF55898B6BE}"/>
    <cellStyle name="Accent4 2 2" xfId="182" xr:uid="{02DC62FD-ADC4-4111-A5D7-B8CCE9A54F09}"/>
    <cellStyle name="Accent4 3" xfId="183" xr:uid="{671EFF90-3BCA-4F22-8F94-C8404B820FCB}"/>
    <cellStyle name="Accent4 3 2" xfId="184" xr:uid="{4294EEC2-92DC-4787-A7BC-5A71A88E4591}"/>
    <cellStyle name="Accent4 4" xfId="180" xr:uid="{F8AFBAA9-4B34-49F9-9AA0-D2FACDE7FB5F}"/>
    <cellStyle name="Accent5 2" xfId="186" xr:uid="{14FE0BCB-219C-4689-824B-E0A4746E7CCB}"/>
    <cellStyle name="Accent5 2 2" xfId="187" xr:uid="{BA745B63-F330-4022-86F4-AEB6DB9CDA7F}"/>
    <cellStyle name="Accent5 3" xfId="188" xr:uid="{55D49431-3522-4309-9960-5A4848D64510}"/>
    <cellStyle name="Accent5 3 2" xfId="189" xr:uid="{CD0715B3-B257-48A2-AC32-80C6F17E92B4}"/>
    <cellStyle name="Accent5 4" xfId="185" xr:uid="{1C7774E5-D225-43BF-9005-941EBC71E3ED}"/>
    <cellStyle name="Accent6 2" xfId="191" xr:uid="{EB1A62BB-2E9E-4287-8AA3-0C787BCED176}"/>
    <cellStyle name="Accent6 2 2" xfId="192" xr:uid="{03E274DE-0367-4F2D-BFE5-DCC46B6637AE}"/>
    <cellStyle name="Accent6 3" xfId="193" xr:uid="{B43337D8-D0F7-428F-844A-A5ADF98A331D}"/>
    <cellStyle name="Accent6 3 2" xfId="194" xr:uid="{6F29150C-9C0A-4FE5-AC1F-A39AC226E015}"/>
    <cellStyle name="Accent6 4" xfId="190" xr:uid="{16ECA57C-4148-42F4-A1A4-8E119BDA3672}"/>
    <cellStyle name="AFE" xfId="195" xr:uid="{4C63D18F-7318-4282-835A-5EA4BFA4E45C}"/>
    <cellStyle name="AFE 2" xfId="196" xr:uid="{0139D8F2-6C32-42E3-9927-38CAA236C48B}"/>
    <cellStyle name="AFE 3" xfId="197" xr:uid="{07723B74-AFC7-4446-9B66-A788827FCE7F}"/>
    <cellStyle name="AFE 4" xfId="198" xr:uid="{DD287820-0344-495E-924F-A346BD57325F}"/>
    <cellStyle name="AFE 4 2" xfId="199" xr:uid="{59CFF0AA-2B3F-4835-9D11-4F6DCD10ECB8}"/>
    <cellStyle name="AFE 4_Xl0000072" xfId="200" xr:uid="{7A7DE648-6478-4566-AC32-4D4F04A78CE9}"/>
    <cellStyle name="AFE 5" xfId="201" xr:uid="{0C1A9CBF-9E5A-4D61-A299-1865EBF4EC6A}"/>
    <cellStyle name="AFE_A090821New" xfId="202" xr:uid="{32FF251E-1950-419D-8B64-2C28195C0B84}"/>
    <cellStyle name="Bad 2" xfId="204" xr:uid="{430F3738-6125-4BF5-A828-FBB337591D36}"/>
    <cellStyle name="Bad 2 2" xfId="205" xr:uid="{F2750A5B-3235-435E-A757-6FE25D8B154E}"/>
    <cellStyle name="Bad 3" xfId="206" xr:uid="{D77BA9F5-022A-46F6-B7A5-7F2FCD66A314}"/>
    <cellStyle name="Bad 3 2" xfId="207" xr:uid="{22566749-F489-4F66-A0E7-3FF8C5AD64F0}"/>
    <cellStyle name="Bad 4" xfId="203" xr:uid="{78876E8F-95DC-4588-B2AC-54E0187F5139}"/>
    <cellStyle name="Calculation 10" xfId="209" xr:uid="{DF98F561-2E7A-4C71-91D2-CE7099BD5069}"/>
    <cellStyle name="Calculation 11" xfId="210" xr:uid="{A8FC04CA-612C-46A1-BB2F-25E37ECD669A}"/>
    <cellStyle name="Calculation 12" xfId="208" xr:uid="{E75DC076-9E54-45D3-9729-D82E7EA1D61D}"/>
    <cellStyle name="Calculation 2" xfId="211" xr:uid="{6875DEBC-E0C5-4888-997F-B54E901F1A3F}"/>
    <cellStyle name="Calculation 2 2" xfId="212" xr:uid="{FD6E1622-A0FB-46BA-BE42-A5132385DD85}"/>
    <cellStyle name="Calculation 2 2 2" xfId="213" xr:uid="{EBB5FCD5-2ECC-4364-BCF2-70533389799F}"/>
    <cellStyle name="Calculation 2 2 2 2" xfId="214" xr:uid="{698E54EB-9FB9-4767-9CB6-D26C8A452603}"/>
    <cellStyle name="Calculation 2 2 2 2 2" xfId="215" xr:uid="{360346E5-C81F-4F76-9B89-59D136CCDA7E}"/>
    <cellStyle name="Calculation 2 2 2 2 2 2" xfId="216" xr:uid="{A7F4C521-AA42-4915-BCF3-52C86F946501}"/>
    <cellStyle name="Calculation 2 2 2 2 2 2 2" xfId="217" xr:uid="{E7726D46-4EE3-4A0F-A40C-1828AD1FE814}"/>
    <cellStyle name="Calculation 2 2 2 2 2 2 2 2" xfId="218" xr:uid="{9CE8A47B-EBAD-4152-AA73-3C2DC27B11E0}"/>
    <cellStyle name="Calculation 2 2 2 2 2 2 2 3" xfId="219" xr:uid="{5BB87903-1B8F-4F70-9462-77ACBB7A4BE2}"/>
    <cellStyle name="Calculation 2 2 2 2 2 2 3" xfId="220" xr:uid="{9386438E-DA17-4544-8423-35BBB2A0D1ED}"/>
    <cellStyle name="Calculation 2 2 2 2 2 2 4" xfId="221" xr:uid="{C57153F2-A569-4E63-A3B5-2132FD3154D0}"/>
    <cellStyle name="Calculation 2 2 2 2 2 3" xfId="222" xr:uid="{EB71C1ED-44EC-492E-B083-EF4FE5F98E7B}"/>
    <cellStyle name="Calculation 2 2 2 2 2 4" xfId="223" xr:uid="{95058ED8-595C-4443-B71F-B241658AA732}"/>
    <cellStyle name="Calculation 2 2 2 2 3" xfId="224" xr:uid="{9F0C043D-57C9-418A-85D2-04BE63DB40D1}"/>
    <cellStyle name="Calculation 2 2 2 2 4" xfId="225" xr:uid="{5B263104-AED7-4895-9722-FDC3CBDBE35F}"/>
    <cellStyle name="Calculation 2 2 2 3" xfId="226" xr:uid="{40AEDA7E-3839-4B99-90FB-734ED5234198}"/>
    <cellStyle name="Calculation 2 2 2 3 2" xfId="227" xr:uid="{E9E319ED-F369-485C-B428-C45562E95686}"/>
    <cellStyle name="Calculation 2 2 2 3 2 2" xfId="228" xr:uid="{0C206C32-7194-4CE7-883A-2CAD594139C1}"/>
    <cellStyle name="Calculation 2 2 2 3 2 2 2" xfId="229" xr:uid="{9F73BDEF-4340-4856-93A5-1A779052E26D}"/>
    <cellStyle name="Calculation 2 2 2 3 2 2 3" xfId="230" xr:uid="{2D97CC41-C294-4E32-9C73-0E5F83E856F7}"/>
    <cellStyle name="Calculation 2 2 2 3 2 3" xfId="231" xr:uid="{B0512491-49B3-446E-9F76-C88687458F4A}"/>
    <cellStyle name="Calculation 2 2 2 3 2 4" xfId="232" xr:uid="{1F8A3488-2C72-4130-B005-CFB9708AE5C9}"/>
    <cellStyle name="Calculation 2 2 2 3 3" xfId="233" xr:uid="{341BB3EE-F8D6-4C63-B0E0-4BDA8D4C63B4}"/>
    <cellStyle name="Calculation 2 2 2 3 4" xfId="234" xr:uid="{1B22CD72-D4BA-4C9C-A246-164BDE2B4AA9}"/>
    <cellStyle name="Calculation 2 2 2 4" xfId="235" xr:uid="{2E3B4A0A-BB8E-4093-AC64-0F38F0C11EEB}"/>
    <cellStyle name="Calculation 2 2 2 5" xfId="236" xr:uid="{B1D07950-121C-4563-8C10-E5887C59ABF8}"/>
    <cellStyle name="Calculation 2 2 3" xfId="237" xr:uid="{FD8A26D2-334B-4590-82D8-DBF04AC245B8}"/>
    <cellStyle name="Calculation 2 2 3 2" xfId="238" xr:uid="{A030DA6E-9773-4003-BEB9-AD4EF9CE4508}"/>
    <cellStyle name="Calculation 2 2 3 2 2" xfId="239" xr:uid="{AD97BB5F-AD31-4C2F-9267-3B9790F03980}"/>
    <cellStyle name="Calculation 2 2 3 2 2 2" xfId="240" xr:uid="{057D169F-A871-4DD2-8E65-33D55B9902CD}"/>
    <cellStyle name="Calculation 2 2 3 2 2 2 2" xfId="241" xr:uid="{C8D6BD86-DA00-4880-A3BA-EED66B0765D8}"/>
    <cellStyle name="Calculation 2 2 3 2 2 2 3" xfId="242" xr:uid="{247452AF-D5C4-4764-94CA-6418582A2CED}"/>
    <cellStyle name="Calculation 2 2 3 2 2 3" xfId="243" xr:uid="{4940085C-CE5C-4B26-BDE6-CE6E7A826204}"/>
    <cellStyle name="Calculation 2 2 3 2 2 4" xfId="244" xr:uid="{E8CDC4AF-1705-47C7-9382-7E40EA2231C2}"/>
    <cellStyle name="Calculation 2 2 3 2 3" xfId="245" xr:uid="{804F7520-15F7-4253-A79E-756521F314C6}"/>
    <cellStyle name="Calculation 2 2 3 2 4" xfId="246" xr:uid="{B614675B-75B0-4450-8DE7-FE65F9992019}"/>
    <cellStyle name="Calculation 2 2 3 3" xfId="247" xr:uid="{6338A939-45FD-4EA7-B914-CE3E417F867C}"/>
    <cellStyle name="Calculation 2 2 3 4" xfId="248" xr:uid="{7F12142F-1009-4FC4-A222-AF757F315D74}"/>
    <cellStyle name="Calculation 2 2 4" xfId="249" xr:uid="{704AEDC7-93AA-4C71-AE14-23CDB11F2FB1}"/>
    <cellStyle name="Calculation 2 2 4 2" xfId="250" xr:uid="{E51862C6-8B64-4FA5-899C-83B9B368DBBC}"/>
    <cellStyle name="Calculation 2 2 4 2 2" xfId="251" xr:uid="{6871A169-D7B4-44D4-9FF5-54271F0DEE30}"/>
    <cellStyle name="Calculation 2 2 4 2 2 2" xfId="252" xr:uid="{9EE33BE8-C0EB-44DB-8B0C-7DC7D231E16A}"/>
    <cellStyle name="Calculation 2 2 4 2 2 3" xfId="253" xr:uid="{4F2CC6B0-B107-4D41-AA0E-4A6CF5EFC75E}"/>
    <cellStyle name="Calculation 2 2 4 2 3" xfId="254" xr:uid="{1380553A-9F29-4663-B00D-006A57AA03E0}"/>
    <cellStyle name="Calculation 2 2 4 2 4" xfId="255" xr:uid="{F1EF0981-A669-4823-95FD-56FCD4588ECF}"/>
    <cellStyle name="Calculation 2 2 4 3" xfId="256" xr:uid="{563769BC-44AE-4838-9B9E-170B644C7E2D}"/>
    <cellStyle name="Calculation 2 2 4 4" xfId="257" xr:uid="{037AF4D2-7083-4B4E-ADB4-E54241E4EE7E}"/>
    <cellStyle name="Calculation 2 2 5" xfId="258" xr:uid="{D44D00C5-9911-4473-AE5C-CEC1EBB7D86E}"/>
    <cellStyle name="Calculation 2 2 6" xfId="259" xr:uid="{939DB725-9C15-49B3-AFCF-83A6224ECB1C}"/>
    <cellStyle name="Calculation 2 3" xfId="260" xr:uid="{C8DD3F60-4812-4E43-B3FE-E1CBAD009C84}"/>
    <cellStyle name="Calculation 2 3 2" xfId="261" xr:uid="{F4BC2C98-E9FC-4537-A2B0-2C25EC72F213}"/>
    <cellStyle name="Calculation 2 3 2 2" xfId="262" xr:uid="{9D2CF258-8ADE-4CEC-AE7B-6E7FF7CA2919}"/>
    <cellStyle name="Calculation 2 3 2 2 2" xfId="263" xr:uid="{28810228-25C1-4E0D-9177-C346BB6BB25E}"/>
    <cellStyle name="Calculation 2 3 2 2 2 2" xfId="264" xr:uid="{021577AF-FB79-4469-BA8B-68BB9C259337}"/>
    <cellStyle name="Calculation 2 3 2 2 2 3" xfId="265" xr:uid="{67BB4CF0-F278-4937-80B2-2CD216C6CCB8}"/>
    <cellStyle name="Calculation 2 3 2 2 3" xfId="266" xr:uid="{F64D0285-9A01-45F6-9E10-DF7B726FE78C}"/>
    <cellStyle name="Calculation 2 3 2 2 4" xfId="267" xr:uid="{6628D950-70F3-4B3E-A95E-B374044693D4}"/>
    <cellStyle name="Calculation 2 3 2 3" xfId="268" xr:uid="{8745AE8B-F860-43B4-8FCA-97FAD2BF0C7F}"/>
    <cellStyle name="Calculation 2 3 2 4" xfId="269" xr:uid="{7056DC3C-F97F-43C5-93C8-717F2A09A711}"/>
    <cellStyle name="Calculation 2 3 3" xfId="270" xr:uid="{F9D58D2A-C8B2-447A-B85E-5D4294AD2066}"/>
    <cellStyle name="Calculation 2 3 4" xfId="271" xr:uid="{1BC84AB7-28A5-4A70-8C60-39E7E876EA87}"/>
    <cellStyle name="Calculation 2 4" xfId="272" xr:uid="{281970DD-B51F-4887-9B28-ABF1796752CD}"/>
    <cellStyle name="Calculation 2 4 2" xfId="273" xr:uid="{143F4811-98FA-4E28-934C-70865B9767A0}"/>
    <cellStyle name="Calculation 2 4 2 2" xfId="274" xr:uid="{E372EFFD-0318-45F3-9DBA-86A2E5CD1D7D}"/>
    <cellStyle name="Calculation 2 4 2 2 2" xfId="275" xr:uid="{0902F658-EC6D-49C3-B157-7A4F84DA0BA7}"/>
    <cellStyle name="Calculation 2 4 2 2 2 2" xfId="276" xr:uid="{EB418BDA-22C3-461C-933A-E9076490B009}"/>
    <cellStyle name="Calculation 2 4 2 2 2 3" xfId="277" xr:uid="{1BE5E779-7284-4A5F-93F4-6BDDFBCD2D60}"/>
    <cellStyle name="Calculation 2 4 2 2 3" xfId="278" xr:uid="{D0B0225E-22DE-4C3B-9619-D3EA960F5851}"/>
    <cellStyle name="Calculation 2 4 2 2 4" xfId="279" xr:uid="{1D2A6A6A-ED98-41CB-B8DA-69678E9BA980}"/>
    <cellStyle name="Calculation 2 4 2 3" xfId="280" xr:uid="{38496AB2-7E14-46F6-AEAE-3C078A03C56D}"/>
    <cellStyle name="Calculation 2 4 2 4" xfId="281" xr:uid="{654654D0-4B91-499C-976B-7726F3A46CCD}"/>
    <cellStyle name="Calculation 2 4 3" xfId="282" xr:uid="{1EA692CA-AD50-45A8-B86D-FCF04A203B4E}"/>
    <cellStyle name="Calculation 2 4 3 2" xfId="283" xr:uid="{203FA703-B82A-44F4-9832-0FA4E4D65B68}"/>
    <cellStyle name="Calculation 2 4 3 2 2" xfId="284" xr:uid="{C188DFE2-BAC1-46C9-8B49-6B5BB716C3B3}"/>
    <cellStyle name="Calculation 2 4 3 2 3" xfId="285" xr:uid="{ECD4A5C8-368F-4EAE-A206-436392905CB8}"/>
    <cellStyle name="Calculation 2 4 3 3" xfId="286" xr:uid="{1175ADA9-E55B-4B44-9A5B-F971912123F3}"/>
    <cellStyle name="Calculation 2 4 3 4" xfId="287" xr:uid="{C0EE5DBC-5ED3-4C75-8710-11B32B1295E0}"/>
    <cellStyle name="Calculation 2 4 4" xfId="288" xr:uid="{28A85663-0040-4B0C-BE9A-50145112C1F7}"/>
    <cellStyle name="Calculation 2 4 5" xfId="289" xr:uid="{F47B1F3E-B41B-4436-BEA1-FEAD96600A8B}"/>
    <cellStyle name="Calculation 2 5" xfId="290" xr:uid="{A3B8D252-659A-4875-8B97-8CD40E1FA7C3}"/>
    <cellStyle name="Calculation 2 5 2" xfId="291" xr:uid="{69552A09-B6BB-47FC-8A69-21DEB391FD52}"/>
    <cellStyle name="Calculation 2 5 2 2" xfId="292" xr:uid="{24FFED37-685B-41D5-85F8-2F18E26AA6F6}"/>
    <cellStyle name="Calculation 2 5 2 2 2" xfId="293" xr:uid="{53B90685-112A-4291-B385-A76B5209734B}"/>
    <cellStyle name="Calculation 2 5 2 2 3" xfId="294" xr:uid="{E9A21691-3113-4218-A5C3-99F94768CD3F}"/>
    <cellStyle name="Calculation 2 5 2 3" xfId="295" xr:uid="{5931E47D-4543-4FA9-8FAE-F8C92BF91D55}"/>
    <cellStyle name="Calculation 2 5 2 4" xfId="296" xr:uid="{C1ECEAE6-8BC1-4B11-AE14-064B86797535}"/>
    <cellStyle name="Calculation 2 5 3" xfId="297" xr:uid="{A71ADD37-CC7F-4AB0-AECE-D1F7B7CB9758}"/>
    <cellStyle name="Calculation 2 5 4" xfId="298" xr:uid="{E8A33D38-5A7C-4AD6-8A37-386EA568BA8E}"/>
    <cellStyle name="Calculation 2 6" xfId="299" xr:uid="{CFBC9A9D-CF65-4120-A8BD-38C8033507D4}"/>
    <cellStyle name="Calculation 2 7" xfId="300" xr:uid="{9FD3A8D7-8287-4F4D-B57F-4F43FAB90128}"/>
    <cellStyle name="Calculation 3" xfId="301" xr:uid="{800A22F2-4535-437A-B6A9-3F5B3EFA59D6}"/>
    <cellStyle name="Calculation 3 2" xfId="302" xr:uid="{7DAAAF3F-0770-4C51-998C-5C6C53A4CD29}"/>
    <cellStyle name="Calculation 3 2 2" xfId="303" xr:uid="{39AFB740-4AF5-436A-9891-8ABCC347B39F}"/>
    <cellStyle name="Calculation 3 2 2 2" xfId="304" xr:uid="{399F696D-3DAD-4970-A426-0AFC5F37CFE4}"/>
    <cellStyle name="Calculation 3 2 2 2 2" xfId="305" xr:uid="{35BCF7F3-26D8-4F6A-8C82-B23CD4708A57}"/>
    <cellStyle name="Calculation 3 2 2 2 2 2" xfId="306" xr:uid="{BA21AEE4-E0AF-422F-9430-6A5A448D5604}"/>
    <cellStyle name="Calculation 3 2 2 2 2 2 2" xfId="307" xr:uid="{07A7302C-89C2-4112-B77C-EBC4CACB579C}"/>
    <cellStyle name="Calculation 3 2 2 2 2 2 3" xfId="308" xr:uid="{5C4891B6-2084-4E6A-A28A-3A05ECAF69B0}"/>
    <cellStyle name="Calculation 3 2 2 2 2 3" xfId="309" xr:uid="{AB4C9775-FE7D-48E1-842E-5582746ABC6B}"/>
    <cellStyle name="Calculation 3 2 2 2 2 4" xfId="310" xr:uid="{FC4FFF29-14AC-4886-B8FE-E869FE7D9679}"/>
    <cellStyle name="Calculation 3 2 2 2 3" xfId="311" xr:uid="{17AE6158-7993-4DD7-AD4F-E131634F54A2}"/>
    <cellStyle name="Calculation 3 2 2 2 4" xfId="312" xr:uid="{EDC3125E-0ED7-4180-89FA-5ED0AD04F270}"/>
    <cellStyle name="Calculation 3 2 2 3" xfId="313" xr:uid="{1404A3F6-25C3-4B9B-8465-864360915D4B}"/>
    <cellStyle name="Calculation 3 2 2 4" xfId="314" xr:uid="{037E78AD-B029-49A0-A155-1ABE35B8F2AB}"/>
    <cellStyle name="Calculation 3 2 3" xfId="315" xr:uid="{3CDF44B3-667F-486B-B1BA-1C7ED9B12F0E}"/>
    <cellStyle name="Calculation 3 2 3 2" xfId="316" xr:uid="{9BF9D0B0-719E-433C-A4A2-7126AA983581}"/>
    <cellStyle name="Calculation 3 2 3 2 2" xfId="317" xr:uid="{1D4EE65F-6873-48CC-8F7E-09A4B8437FE2}"/>
    <cellStyle name="Calculation 3 2 3 2 2 2" xfId="318" xr:uid="{6BAF7745-3F62-4E08-A088-5511C3E9CE85}"/>
    <cellStyle name="Calculation 3 2 3 2 2 3" xfId="319" xr:uid="{CA7337DC-0586-4562-9995-317699C9775A}"/>
    <cellStyle name="Calculation 3 2 3 2 3" xfId="320" xr:uid="{ECACF528-902C-4744-ACFE-7438D4BA09A6}"/>
    <cellStyle name="Calculation 3 2 3 2 4" xfId="321" xr:uid="{ED6CD674-76F6-473C-955D-2EC689076C5A}"/>
    <cellStyle name="Calculation 3 2 3 3" xfId="322" xr:uid="{1AAB6B8D-B38E-49F7-8911-ACEE1ED98D23}"/>
    <cellStyle name="Calculation 3 2 3 4" xfId="323" xr:uid="{EF082A20-0334-400D-93E1-86BCC29C6BD9}"/>
    <cellStyle name="Calculation 3 2 4" xfId="324" xr:uid="{D9EE593D-53D7-4E00-95E2-9364718F0D32}"/>
    <cellStyle name="Calculation 3 2 5" xfId="325" xr:uid="{53A800F7-BC37-4740-89D3-013EA3891440}"/>
    <cellStyle name="Calculation 3 3" xfId="326" xr:uid="{943D26E9-2854-4BAA-A80F-8F94FB6D6A8D}"/>
    <cellStyle name="Calculation 3 3 2" xfId="327" xr:uid="{0F4925E9-CD2C-41CE-B3C4-37A0461A0ED0}"/>
    <cellStyle name="Calculation 3 3 2 2" xfId="328" xr:uid="{3992D6EC-133C-4F2E-9DA3-E674B7056D80}"/>
    <cellStyle name="Calculation 3 3 2 2 2" xfId="329" xr:uid="{31F9B9E2-6902-4FF0-9D23-6FE3F9AF63C7}"/>
    <cellStyle name="Calculation 3 3 2 2 2 2" xfId="330" xr:uid="{45227A92-AECD-48AD-B3B3-C9ED9B25ABEC}"/>
    <cellStyle name="Calculation 3 3 2 2 2 3" xfId="331" xr:uid="{B70B0AB7-8412-4EBD-9A3C-CEEBCEC81153}"/>
    <cellStyle name="Calculation 3 3 2 2 3" xfId="332" xr:uid="{695F8B0B-B13D-4507-B84A-35B3D735D342}"/>
    <cellStyle name="Calculation 3 3 2 2 4" xfId="333" xr:uid="{9468D5F7-0075-4050-BEE1-5B4DDEBE3DDF}"/>
    <cellStyle name="Calculation 3 3 2 3" xfId="334" xr:uid="{760214DB-BA29-405E-B870-87D9634028AC}"/>
    <cellStyle name="Calculation 3 3 2 4" xfId="335" xr:uid="{678ED299-63B8-48CB-B744-8CD2C39FB032}"/>
    <cellStyle name="Calculation 3 3 3" xfId="336" xr:uid="{884C92DB-8328-46A6-9D6E-B88A464393DE}"/>
    <cellStyle name="Calculation 3 3 4" xfId="337" xr:uid="{7358344D-4D4C-492D-85B0-A702BE0FD3FE}"/>
    <cellStyle name="Calculation 3 4" xfId="338" xr:uid="{11077C4F-B621-4D3E-9884-763E030043EF}"/>
    <cellStyle name="Calculation 3 4 2" xfId="339" xr:uid="{43CCF53E-F90D-48C4-8164-F028C09A8C8F}"/>
    <cellStyle name="Calculation 3 4 2 2" xfId="340" xr:uid="{793CF211-9B14-414C-BE24-F16A94B9190A}"/>
    <cellStyle name="Calculation 3 4 2 2 2" xfId="341" xr:uid="{B7461790-B236-43B9-BB03-032D3B139C18}"/>
    <cellStyle name="Calculation 3 4 2 2 3" xfId="342" xr:uid="{11F66D0A-34A3-4860-B08C-B16CBA412F4A}"/>
    <cellStyle name="Calculation 3 4 2 3" xfId="343" xr:uid="{3F4D1000-9AA2-4769-BACE-AB9585A7F4E9}"/>
    <cellStyle name="Calculation 3 4 2 4" xfId="344" xr:uid="{09D31FEE-A42B-484A-9782-DC54ED8BF5E7}"/>
    <cellStyle name="Calculation 3 4 3" xfId="345" xr:uid="{2D0D5A0D-1DEB-42C6-B1AE-D8367C451901}"/>
    <cellStyle name="Calculation 3 4 4" xfId="346" xr:uid="{CC371DBA-5C43-42CD-BC20-D049E1957330}"/>
    <cellStyle name="Calculation 3 5" xfId="347" xr:uid="{185334E1-25AC-4133-820D-65C43F856942}"/>
    <cellStyle name="Calculation 3 6" xfId="348" xr:uid="{49784E25-C88C-4582-9CB0-98B74E7223B5}"/>
    <cellStyle name="Calculation 4" xfId="349" xr:uid="{6A1BD780-978D-4163-A5C5-64E786F1930D}"/>
    <cellStyle name="Calculation 4 2" xfId="350" xr:uid="{469E562F-1257-473B-A445-2473706E891E}"/>
    <cellStyle name="Calculation 4 2 2" xfId="351" xr:uid="{7A3DFDB7-CB4C-40A5-951C-601C2705F3D7}"/>
    <cellStyle name="Calculation 4 2 2 2" xfId="352" xr:uid="{3477926B-1C79-474C-AAFD-5A7D3FDC8CA9}"/>
    <cellStyle name="Calculation 4 2 2 2 2" xfId="353" xr:uid="{224E2663-DF89-422E-9C87-80D475EEC16C}"/>
    <cellStyle name="Calculation 4 2 2 2 3" xfId="354" xr:uid="{36D025EC-98B9-4169-BE76-6F88232B40A9}"/>
    <cellStyle name="Calculation 4 2 2 3" xfId="355" xr:uid="{E3DCBC75-3A7A-4ADD-ACA6-875D6C8E3C45}"/>
    <cellStyle name="Calculation 4 2 2 4" xfId="356" xr:uid="{708CA391-6255-4D01-B23B-07DB07CA7C3F}"/>
    <cellStyle name="Calculation 4 2 3" xfId="357" xr:uid="{AA0FFC3C-B661-41B6-B481-E9A8F6B7259F}"/>
    <cellStyle name="Calculation 4 2 4" xfId="358" xr:uid="{1EBC58E7-9809-4296-95B4-9231DD0DC934}"/>
    <cellStyle name="Calculation 4 3" xfId="359" xr:uid="{AEFE865C-5D9D-400A-A4A3-AAD728641D22}"/>
    <cellStyle name="Calculation 4 4" xfId="360" xr:uid="{22DDF097-AF08-4AD3-842A-B060121EB33F}"/>
    <cellStyle name="Calculation 5" xfId="361" xr:uid="{0CB613C5-F061-40DB-BF6D-D638B17D0C9E}"/>
    <cellStyle name="Calculation 5 2" xfId="362" xr:uid="{04D36F32-12CD-4FCD-B93B-3B71B1A1D311}"/>
    <cellStyle name="Calculation 5 2 2" xfId="363" xr:uid="{8790A141-0D97-4E13-B6DF-C8F9C8DA9C3E}"/>
    <cellStyle name="Calculation 5 2 2 2" xfId="364" xr:uid="{0DFEAF78-9D98-4860-B28E-D1430D255F51}"/>
    <cellStyle name="Calculation 5 2 2 2 2" xfId="365" xr:uid="{3E650B13-EE6F-424F-98F5-CD472AE73FE5}"/>
    <cellStyle name="Calculation 5 2 2 2 3" xfId="366" xr:uid="{2A85A68B-AF53-4D23-9912-95950332E1EC}"/>
    <cellStyle name="Calculation 5 2 2 3" xfId="367" xr:uid="{636C5FDA-6666-4DC2-894F-4E53C00F27FE}"/>
    <cellStyle name="Calculation 5 2 2 4" xfId="368" xr:uid="{AE55FF94-F6F9-482A-8E91-C1901589A851}"/>
    <cellStyle name="Calculation 5 2 3" xfId="369" xr:uid="{988123BA-C571-4BA9-B9A9-AA6579619E26}"/>
    <cellStyle name="Calculation 5 2 4" xfId="370" xr:uid="{13D7C42A-550A-4016-8DEB-AC7147E5AE35}"/>
    <cellStyle name="Calculation 5 3" xfId="371" xr:uid="{A9809C95-A1D9-4543-93F8-F97AF0BF2456}"/>
    <cellStyle name="Calculation 5 3 2" xfId="372" xr:uid="{B55AAE4D-22DC-4F0D-8A0B-29AD643E3F6D}"/>
    <cellStyle name="Calculation 5 3 2 2" xfId="373" xr:uid="{FADA409C-F903-4BD3-8C50-4D6F5EBC0C18}"/>
    <cellStyle name="Calculation 5 3 2 3" xfId="374" xr:uid="{577D053D-0717-4F90-8497-817A92B7FCFB}"/>
    <cellStyle name="Calculation 5 3 3" xfId="375" xr:uid="{991E1696-1197-4C4C-883A-2E215FC13642}"/>
    <cellStyle name="Calculation 5 3 4" xfId="376" xr:uid="{288F24D7-EFD5-4331-BB4A-D3C6CE809ABF}"/>
    <cellStyle name="Calculation 5 4" xfId="377" xr:uid="{8E0E613A-C561-4CBA-9D55-5B990AB55954}"/>
    <cellStyle name="Calculation 5 5" xfId="378" xr:uid="{DD18DB5C-D824-49C5-BC97-FBFED0A606EA}"/>
    <cellStyle name="Calculation 6" xfId="379" xr:uid="{F65F4B3E-CFA7-42BD-97F8-15DB08EF82B4}"/>
    <cellStyle name="Calculation 6 2" xfId="380" xr:uid="{4CD2A9B5-02CF-436E-A0B7-07584CE84A73}"/>
    <cellStyle name="Calculation 6 2 2" xfId="381" xr:uid="{602E1758-7132-4FEF-B1EE-AE2E2D9D88E8}"/>
    <cellStyle name="Calculation 6 2 2 2" xfId="382" xr:uid="{72FD42D3-5816-487F-BABC-CFEDE1F24A39}"/>
    <cellStyle name="Calculation 6 2 2 3" xfId="383" xr:uid="{A7FE712E-4604-404C-A7D2-2686C7B9223B}"/>
    <cellStyle name="Calculation 6 2 3" xfId="384" xr:uid="{F7AE0616-CB65-4992-8B40-384945744CBB}"/>
    <cellStyle name="Calculation 6 2 4" xfId="385" xr:uid="{AA030674-47DA-4B19-802D-9F1239916A45}"/>
    <cellStyle name="Calculation 6 3" xfId="386" xr:uid="{568AAC7F-9AE1-4873-868E-E7EFE75BDAE6}"/>
    <cellStyle name="Calculation 6 4" xfId="387" xr:uid="{41C604B6-F99A-4383-9392-13254230C313}"/>
    <cellStyle name="Calculation 7" xfId="388" xr:uid="{9E2C9C4B-D4B0-43F4-9BD3-0C789275A1E7}"/>
    <cellStyle name="Calculation 7 2" xfId="389" xr:uid="{95555F15-43AB-484F-9C2B-847DF3B7DB3A}"/>
    <cellStyle name="Calculation 7 2 2" xfId="390" xr:uid="{8E9E20A9-19FA-4FD8-A619-5E861E52E617}"/>
    <cellStyle name="Calculation 7 2 3" xfId="391" xr:uid="{399C9FD5-A386-45AA-912F-70C1AC95E60F}"/>
    <cellStyle name="Calculation 7 3" xfId="392" xr:uid="{448927B0-9AAB-4740-9C19-431948BC074F}"/>
    <cellStyle name="Calculation 7 4" xfId="393" xr:uid="{F9C2C814-1E51-4809-91E5-5A962098D144}"/>
    <cellStyle name="Calculation 8" xfId="394" xr:uid="{B28030FF-2696-453D-B441-92CDBD2E4661}"/>
    <cellStyle name="Calculation 8 2" xfId="395" xr:uid="{C16696FF-4080-4B51-8A12-4F556EB28633}"/>
    <cellStyle name="Calculation 8 3" xfId="396" xr:uid="{BB93EE18-0769-4D0B-BF1B-B7AF288F15E7}"/>
    <cellStyle name="Calculation 9" xfId="397" xr:uid="{29CF78D0-AF3F-4EEA-8B62-0298CF7D6CF1}"/>
    <cellStyle name="Calculation 9 2" xfId="398" xr:uid="{EF32598C-9EF2-418D-B670-73C13005BB9F}"/>
    <cellStyle name="Check Cell 2" xfId="400" xr:uid="{3703C0C6-B5AB-4E18-B3D3-34E4B3FE6D0F}"/>
    <cellStyle name="Check Cell 2 2" xfId="401" xr:uid="{C82EDB86-043E-4686-A22F-31DBD0B714BE}"/>
    <cellStyle name="Check Cell 3" xfId="402" xr:uid="{9220FB55-B3F0-4C0D-AE6E-6B8CFC0776E8}"/>
    <cellStyle name="Check Cell 3 2" xfId="403" xr:uid="{32147B55-87AD-4E5B-AE49-34F8E1F9CF99}"/>
    <cellStyle name="Check Cell 4" xfId="399" xr:uid="{8294E93F-77B4-4355-B6BF-16DE0367359F}"/>
    <cellStyle name="Comma" xfId="1" builtinId="3"/>
    <cellStyle name="Comma 2" xfId="5" xr:uid="{CF4E410B-6C7A-4389-A524-EC133AC39ADB}"/>
    <cellStyle name="Comma 2 2" xfId="6563" xr:uid="{8942D821-4A1B-4CB1-BA39-3C18994B8718}"/>
    <cellStyle name="Comma 2 2 2" xfId="6568" xr:uid="{3DB5A27A-7D5C-44C0-9E9A-37D6CEC120BF}"/>
    <cellStyle name="Comma 2 2 2 5 2 2 2 2 2" xfId="6559" xr:uid="{28AA8455-4FAC-4218-8C46-F2FA847A340D}"/>
    <cellStyle name="Comma 3" xfId="9" xr:uid="{7C83C42F-BB29-42F0-B81D-78F6C0D76C13}"/>
    <cellStyle name="Comma 3 2" xfId="12" xr:uid="{46755052-92B1-4D5A-A9DF-7283FC49FB8B}"/>
    <cellStyle name="Comma 4" xfId="10" xr:uid="{C9124152-2EEB-49FF-95E4-93E8E7737231}"/>
    <cellStyle name="Currency 2" xfId="6555" xr:uid="{6C22F8B7-B025-4153-8F79-80791BAACFD3}"/>
    <cellStyle name="Explanatory Text 2" xfId="405" xr:uid="{7ABB3631-8F2E-47CE-93C0-F92451FD552E}"/>
    <cellStyle name="Explanatory Text 2 2" xfId="406" xr:uid="{65C9E1C2-07D2-488A-B2AB-435B51DADE7C}"/>
    <cellStyle name="Explanatory Text 3" xfId="407" xr:uid="{53B14032-C894-4C3A-890D-C20CBE18BBAD}"/>
    <cellStyle name="Explanatory Text 3 2" xfId="408" xr:uid="{6973ECB5-384C-49A3-9215-4DC3FB0E0DC3}"/>
    <cellStyle name="Explanatory Text 4" xfId="404" xr:uid="{E864802B-D6E6-4023-B280-EDB55B6E9A14}"/>
    <cellStyle name="Good 2" xfId="410" xr:uid="{54A5B7E5-3221-49F2-8C6D-8F61A9D37B67}"/>
    <cellStyle name="Good 2 2" xfId="411" xr:uid="{1E72E8F5-F3A5-4C10-A198-AFF9353DD346}"/>
    <cellStyle name="Good 3" xfId="412" xr:uid="{96F287F9-A2AB-484A-A04B-B44EC1940FF6}"/>
    <cellStyle name="Good 3 2" xfId="413" xr:uid="{EC2E94AD-F845-4E3C-8AE3-685FD03ACEC9}"/>
    <cellStyle name="Good 4" xfId="409" xr:uid="{C32F1F39-F7B1-43D4-AD98-D7314101A31E}"/>
    <cellStyle name="Heading 1 2" xfId="415" xr:uid="{6419B732-6B46-4004-A7DD-F777452EB9F2}"/>
    <cellStyle name="Heading 1 2 2" xfId="416" xr:uid="{DB27E34A-BE01-4FF3-B3F7-106909227FA7}"/>
    <cellStyle name="Heading 1 3" xfId="417" xr:uid="{92E9F0AE-ADB3-42DC-9E5A-D99B1FFCCD82}"/>
    <cellStyle name="Heading 1 3 2" xfId="418" xr:uid="{BD936A6A-6944-4C1A-BAE8-26C1447F56AF}"/>
    <cellStyle name="Heading 1 4" xfId="414" xr:uid="{1FF20027-A7A9-4CF5-A742-65A253709DC8}"/>
    <cellStyle name="Heading 2 2" xfId="420" xr:uid="{DA96A9FD-99DF-4249-B16E-8E504CFFFE37}"/>
    <cellStyle name="Heading 2 2 2" xfId="421" xr:uid="{16660F8F-B582-4FED-A96C-C2F7AD08B7A3}"/>
    <cellStyle name="Heading 2 3" xfId="422" xr:uid="{DFFF1ABF-64FB-47B6-BD19-DDBF45EB03B6}"/>
    <cellStyle name="Heading 2 3 2" xfId="423" xr:uid="{1CD47835-7DCF-41D2-9785-455C72113E61}"/>
    <cellStyle name="Heading 2 4" xfId="419" xr:uid="{727066DE-3F8B-4EA2-923B-03F5A64C7732}"/>
    <cellStyle name="Heading 3 10" xfId="425" xr:uid="{4CA07F6B-BFD2-425F-BAC6-1830C6526445}"/>
    <cellStyle name="Heading 3 10 2" xfId="426" xr:uid="{EA08BFDB-FF5B-48D9-8087-653F7AF734E4}"/>
    <cellStyle name="Heading 3 10 2 2" xfId="427" xr:uid="{6B323E4C-A24F-4308-8C7E-481A9BB51FB5}"/>
    <cellStyle name="Heading 3 10 2 2 2" xfId="428" xr:uid="{EC8AA845-CF06-4206-ADFB-E9F30A9D3BAC}"/>
    <cellStyle name="Heading 3 10 2 2 2 2" xfId="5378" xr:uid="{07EB0EB3-660D-4ED0-A5DA-2B0E2A319F26}"/>
    <cellStyle name="Heading 3 10 2 2 3" xfId="429" xr:uid="{AADC9D34-758A-482C-A677-BF8B6F2DA5A9}"/>
    <cellStyle name="Heading 3 10 2 2 3 2" xfId="5379" xr:uid="{88BB6DC1-76C2-47E9-9097-AEFC0F7888CC}"/>
    <cellStyle name="Heading 3 10 2 2 4" xfId="5377" xr:uid="{4B13DD82-A794-4936-8287-2E6C96E96A2C}"/>
    <cellStyle name="Heading 3 10 2 3" xfId="430" xr:uid="{9E64A84C-150B-4F12-A724-2789B1F9B0C7}"/>
    <cellStyle name="Heading 3 10 2 3 2" xfId="5380" xr:uid="{182898FB-D3EF-43F3-A7DE-63B92B47FD6D}"/>
    <cellStyle name="Heading 3 10 2 4" xfId="431" xr:uid="{210C83B0-7BB4-401A-BE78-C76845688D57}"/>
    <cellStyle name="Heading 3 10 2 4 2" xfId="5381" xr:uid="{08C01D64-2A98-43B4-9BBD-4B1361A00BA7}"/>
    <cellStyle name="Heading 3 10 2 5" xfId="5376" xr:uid="{1D0117E0-C9FC-4990-BA48-B5C6D8054EEF}"/>
    <cellStyle name="Heading 3 10 3" xfId="432" xr:uid="{4C31FE60-F095-4DA9-86BF-0D285C0AECBB}"/>
    <cellStyle name="Heading 3 10 3 2" xfId="433" xr:uid="{D2EEBD39-4BF3-4C81-ADF9-C7C824819A6E}"/>
    <cellStyle name="Heading 3 10 3 2 2" xfId="5383" xr:uid="{E62335E2-49A9-4622-A9E3-6D6B27FBD184}"/>
    <cellStyle name="Heading 3 10 3 3" xfId="434" xr:uid="{7F2F0028-8A2C-47A1-AE76-61F4664A244D}"/>
    <cellStyle name="Heading 3 10 3 3 2" xfId="5384" xr:uid="{6280CDDF-A29F-4199-A5C7-A5A492578BC9}"/>
    <cellStyle name="Heading 3 10 3 4" xfId="5382" xr:uid="{FFFFB1A2-3C44-4AA7-9E95-D13DACD8027E}"/>
    <cellStyle name="Heading 3 10 4" xfId="435" xr:uid="{7F6CF821-0AA6-4813-8BAA-59EBE35C5E1C}"/>
    <cellStyle name="Heading 3 10 4 2" xfId="5385" xr:uid="{CD4FD3F2-330E-4886-97E7-301B26B469EE}"/>
    <cellStyle name="Heading 3 10 5" xfId="436" xr:uid="{97E9DE08-2CE0-4070-9E96-7BDF8B1E2AB4}"/>
    <cellStyle name="Heading 3 10 5 2" xfId="5386" xr:uid="{13B53350-DAA5-48EA-926E-81DED3A9AB58}"/>
    <cellStyle name="Heading 3 10 6" xfId="5375" xr:uid="{33F16B4A-4D2B-4FEB-934B-69D40E0AAD55}"/>
    <cellStyle name="Heading 3 11" xfId="437" xr:uid="{7545ADD5-8567-4794-819C-4C73F0C2E246}"/>
    <cellStyle name="Heading 3 11 2" xfId="438" xr:uid="{0D7246EB-1C8D-4674-A006-B13785981B9E}"/>
    <cellStyle name="Heading 3 11 2 2" xfId="439" xr:uid="{CB249A8F-81B2-4997-ADF7-D8FF29D4E288}"/>
    <cellStyle name="Heading 3 11 2 2 2" xfId="5389" xr:uid="{CD5B239D-FA23-4A86-AA5C-0A3C5B193C6C}"/>
    <cellStyle name="Heading 3 11 2 3" xfId="440" xr:uid="{82A28C8B-6412-4AB5-924D-B6C5D697057F}"/>
    <cellStyle name="Heading 3 11 2 3 2" xfId="5390" xr:uid="{21E50710-F420-4AC1-868A-84B26C125F2E}"/>
    <cellStyle name="Heading 3 11 2 4" xfId="5388" xr:uid="{29C2F393-4011-497F-9D19-F8397DD6722A}"/>
    <cellStyle name="Heading 3 11 3" xfId="441" xr:uid="{51EA5C71-EE3E-4D7D-8252-1A91391051CE}"/>
    <cellStyle name="Heading 3 11 3 2" xfId="5391" xr:uid="{E57BDA7C-AC94-40AE-9207-99E09F2C1A0A}"/>
    <cellStyle name="Heading 3 11 4" xfId="442" xr:uid="{38C9DF68-EF8A-46DC-BCA8-F578A757E2B2}"/>
    <cellStyle name="Heading 3 11 4 2" xfId="5392" xr:uid="{7CC80CAE-2540-49EE-A571-AFA82716405F}"/>
    <cellStyle name="Heading 3 11 5" xfId="5387" xr:uid="{926A61A0-E688-4AD2-AECB-B70DD2F381CA}"/>
    <cellStyle name="Heading 3 12" xfId="443" xr:uid="{DC592B76-01AD-4B29-968C-A4DF33B3E336}"/>
    <cellStyle name="Heading 3 12 2" xfId="444" xr:uid="{E8126BAD-1F09-463F-95F6-5EC2FAEBF163}"/>
    <cellStyle name="Heading 3 12 2 2" xfId="5394" xr:uid="{D1CBAA19-471E-4280-B946-5B65216A9FD3}"/>
    <cellStyle name="Heading 3 12 3" xfId="445" xr:uid="{3467B7C1-C642-449B-AE06-E40BD27B2E94}"/>
    <cellStyle name="Heading 3 12 3 2" xfId="5395" xr:uid="{9DA9DA55-C9DC-4D3E-9570-8A1D4834D395}"/>
    <cellStyle name="Heading 3 12 4" xfId="5393" xr:uid="{15BA254D-3492-4D5D-A2B8-D446B3023CCD}"/>
    <cellStyle name="Heading 3 13" xfId="446" xr:uid="{4EB1833B-2836-4ACE-A024-D4F409EA7C15}"/>
    <cellStyle name="Heading 3 13 2" xfId="447" xr:uid="{69940F50-4665-4941-B5F3-EFDDF356976E}"/>
    <cellStyle name="Heading 3 13 2 2" xfId="5397" xr:uid="{01ADFEB3-1C14-4F43-9C93-6437F0BE2AFA}"/>
    <cellStyle name="Heading 3 13 3" xfId="448" xr:uid="{C2A1A8ED-AC3F-4619-BE7B-B3EC84627145}"/>
    <cellStyle name="Heading 3 13 3 2" xfId="5398" xr:uid="{14A1255A-0CDB-489C-9F14-7EB86B2C6501}"/>
    <cellStyle name="Heading 3 13 4" xfId="5396" xr:uid="{1CEF1854-DD0F-4FEE-9EDE-608FCA90731F}"/>
    <cellStyle name="Heading 3 14" xfId="449" xr:uid="{41FA5225-8ECD-489A-9AA4-C3679EA2C32D}"/>
    <cellStyle name="Heading 3 14 2" xfId="450" xr:uid="{711F603F-D97F-4BBC-9B7C-9E6B97D3818C}"/>
    <cellStyle name="Heading 3 14 2 2" xfId="5400" xr:uid="{4DB176E2-7FFD-4E55-A734-901DA248F328}"/>
    <cellStyle name="Heading 3 14 3" xfId="5399" xr:uid="{4B6C3E2B-2FB3-40FC-8916-C89ED426EB47}"/>
    <cellStyle name="Heading 3 15" xfId="424" xr:uid="{1726C050-0F16-440C-BA2C-1BD5A5992FDB}"/>
    <cellStyle name="Heading 3 15 2" xfId="6570" xr:uid="{1D766D71-E114-4861-A5BF-6CFB10370097}"/>
    <cellStyle name="Heading 3 16" xfId="5374" xr:uid="{492AAF8A-3C24-4013-9EC5-9128B39E6716}"/>
    <cellStyle name="Heading 3 2" xfId="451" xr:uid="{8A42FC22-4801-4112-8367-2BB337788531}"/>
    <cellStyle name="Heading 3 2 10" xfId="452" xr:uid="{CD641697-F546-47F5-A106-943BAB3C97FB}"/>
    <cellStyle name="Heading 3 2 10 2" xfId="5402" xr:uid="{A32AA13B-B5BE-45E0-9813-DACA929EB5F6}"/>
    <cellStyle name="Heading 3 2 11" xfId="5401" xr:uid="{1B6E94C8-7C4D-41D4-BAA4-420CF75EC28A}"/>
    <cellStyle name="Heading 3 2 2" xfId="453" xr:uid="{954615F2-4309-46DE-9F5D-A93BAD5A66AB}"/>
    <cellStyle name="Heading 3 2 2 2" xfId="454" xr:uid="{8752F490-C408-4A35-AA72-237707A6E878}"/>
    <cellStyle name="Heading 3 2 2 2 2" xfId="455" xr:uid="{F143A0D1-543F-4F9B-B7BB-27C160865571}"/>
    <cellStyle name="Heading 3 2 2 2 2 2" xfId="456" xr:uid="{2B3B86A9-E452-4E4F-AB0B-0D7CD4112543}"/>
    <cellStyle name="Heading 3 2 2 2 2 2 2" xfId="457" xr:uid="{35AA1D4C-465D-4ABC-8340-B134EE687A6B}"/>
    <cellStyle name="Heading 3 2 2 2 2 2 2 2" xfId="458" xr:uid="{444B0C04-8A4E-4809-9E78-3D2211376BA8}"/>
    <cellStyle name="Heading 3 2 2 2 2 2 2 2 2" xfId="459" xr:uid="{29902132-64D3-449B-B3CB-6CAB48057A39}"/>
    <cellStyle name="Heading 3 2 2 2 2 2 2 2 2 2" xfId="460" xr:uid="{00DAA87C-6BE1-4FDC-B380-A30AD5F289D2}"/>
    <cellStyle name="Heading 3 2 2 2 2 2 2 2 2 2 2" xfId="5410" xr:uid="{A7D4B43C-3FBA-4AA9-8EAF-715658DBE6B9}"/>
    <cellStyle name="Heading 3 2 2 2 2 2 2 2 2 3" xfId="461" xr:uid="{C6EA3C3F-B40D-44EE-A551-329F20B1B8DB}"/>
    <cellStyle name="Heading 3 2 2 2 2 2 2 2 2 3 2" xfId="5411" xr:uid="{610A3683-9C26-4E0C-9AAD-C7356A781D61}"/>
    <cellStyle name="Heading 3 2 2 2 2 2 2 2 2 4" xfId="5409" xr:uid="{FA91CBDD-6E88-4791-BAB6-8A82862C6A94}"/>
    <cellStyle name="Heading 3 2 2 2 2 2 2 2 3" xfId="462" xr:uid="{230C741E-0B1E-4123-A37D-A317169DF386}"/>
    <cellStyle name="Heading 3 2 2 2 2 2 2 2 3 2" xfId="5412" xr:uid="{2838D4EE-3D3B-4C4C-BC36-75BB20A121F6}"/>
    <cellStyle name="Heading 3 2 2 2 2 2 2 2 4" xfId="463" xr:uid="{2F9E1B9B-FE37-46CF-8275-86BEDA15AD4D}"/>
    <cellStyle name="Heading 3 2 2 2 2 2 2 2 4 2" xfId="5413" xr:uid="{F0702349-C2B8-47FB-99E1-D3CD157AA978}"/>
    <cellStyle name="Heading 3 2 2 2 2 2 2 2 5" xfId="5408" xr:uid="{9EC16316-CA4A-47D1-944E-5039D8450226}"/>
    <cellStyle name="Heading 3 2 2 2 2 2 2 3" xfId="464" xr:uid="{23D46750-6D0D-4958-AC0F-5FCFB15F2637}"/>
    <cellStyle name="Heading 3 2 2 2 2 2 2 3 2" xfId="465" xr:uid="{49343317-A71D-41CE-A0DC-0EBC0C4359EF}"/>
    <cellStyle name="Heading 3 2 2 2 2 2 2 3 2 2" xfId="5415" xr:uid="{348AB26F-0AD3-4D0E-9D1B-AE4F20625CE6}"/>
    <cellStyle name="Heading 3 2 2 2 2 2 2 3 3" xfId="466" xr:uid="{B58A3201-5B72-404A-A5E6-03965D927B21}"/>
    <cellStyle name="Heading 3 2 2 2 2 2 2 3 3 2" xfId="5416" xr:uid="{DD4553F5-A378-4F26-8E39-661D443F65C1}"/>
    <cellStyle name="Heading 3 2 2 2 2 2 2 3 4" xfId="5414" xr:uid="{94C39B5D-47DB-4F0F-8C30-D83BB0D4D357}"/>
    <cellStyle name="Heading 3 2 2 2 2 2 2 4" xfId="467" xr:uid="{D12A35E6-9028-4F1C-B317-DDFB9977C332}"/>
    <cellStyle name="Heading 3 2 2 2 2 2 2 4 2" xfId="5417" xr:uid="{8895A740-A5C5-41DE-81BD-99D90A7319A0}"/>
    <cellStyle name="Heading 3 2 2 2 2 2 2 5" xfId="468" xr:uid="{60A6BBAF-F028-414C-A415-4C3D5B518AAE}"/>
    <cellStyle name="Heading 3 2 2 2 2 2 2 5 2" xfId="5418" xr:uid="{F9C274BB-FC7A-4246-AF2A-95D105DF8354}"/>
    <cellStyle name="Heading 3 2 2 2 2 2 2 6" xfId="5407" xr:uid="{D7AA82C9-238A-4825-9F9E-171778FD7F4A}"/>
    <cellStyle name="Heading 3 2 2 2 2 2 3" xfId="469" xr:uid="{1D87BBCE-1B2E-4142-BB5B-A428ECE55189}"/>
    <cellStyle name="Heading 3 2 2 2 2 2 3 2" xfId="470" xr:uid="{D83792E7-5960-4241-8011-89D23378F3A2}"/>
    <cellStyle name="Heading 3 2 2 2 2 2 3 2 2" xfId="471" xr:uid="{CEA6060C-8DE3-4E49-8CCC-03145D0DE891}"/>
    <cellStyle name="Heading 3 2 2 2 2 2 3 2 2 2" xfId="5421" xr:uid="{078A8C4A-00CD-48A9-8B99-7AED69AF02DE}"/>
    <cellStyle name="Heading 3 2 2 2 2 2 3 2 3" xfId="472" xr:uid="{E7F1381F-336D-4184-AFF7-B837C1DB74F5}"/>
    <cellStyle name="Heading 3 2 2 2 2 2 3 2 3 2" xfId="5422" xr:uid="{3C8C8F38-C378-4772-9FB6-E82F3BE599A8}"/>
    <cellStyle name="Heading 3 2 2 2 2 2 3 2 4" xfId="5420" xr:uid="{17828020-5C35-48AB-BF4C-CA440425F4D4}"/>
    <cellStyle name="Heading 3 2 2 2 2 2 3 3" xfId="473" xr:uid="{01FC070E-FC2F-4CB5-90CC-66FE0B57D53C}"/>
    <cellStyle name="Heading 3 2 2 2 2 2 3 3 2" xfId="5423" xr:uid="{36FEC001-8B3F-4DC1-9454-2178BE22303B}"/>
    <cellStyle name="Heading 3 2 2 2 2 2 3 4" xfId="474" xr:uid="{B2E2C70E-DD31-4040-AC54-C9B35FD1E824}"/>
    <cellStyle name="Heading 3 2 2 2 2 2 3 4 2" xfId="5424" xr:uid="{533C78BA-7532-4AC1-80E8-778AC15023B3}"/>
    <cellStyle name="Heading 3 2 2 2 2 2 3 5" xfId="5419" xr:uid="{CB5F9597-825B-4BBF-B205-713DE36524AD}"/>
    <cellStyle name="Heading 3 2 2 2 2 2 4" xfId="475" xr:uid="{4ACBE304-EBFD-4C71-9865-AF55A6F4C052}"/>
    <cellStyle name="Heading 3 2 2 2 2 2 4 2" xfId="476" xr:uid="{71DEA0A0-D185-49AA-AD12-2729817C50D9}"/>
    <cellStyle name="Heading 3 2 2 2 2 2 4 2 2" xfId="5426" xr:uid="{69A09001-0818-4BF6-A2C5-5A4C07310E63}"/>
    <cellStyle name="Heading 3 2 2 2 2 2 4 3" xfId="477" xr:uid="{2EDB9D46-7FBD-4AE3-858A-D4B08C7C0281}"/>
    <cellStyle name="Heading 3 2 2 2 2 2 4 3 2" xfId="5427" xr:uid="{66E6324B-3744-4A52-96B2-07F9608BA282}"/>
    <cellStyle name="Heading 3 2 2 2 2 2 4 4" xfId="5425" xr:uid="{FA4DF240-313A-4D9F-9BC6-0191A35996E5}"/>
    <cellStyle name="Heading 3 2 2 2 2 2 5" xfId="478" xr:uid="{9FB84EA0-5541-407B-B2C8-5EA85301C158}"/>
    <cellStyle name="Heading 3 2 2 2 2 2 5 2" xfId="5428" xr:uid="{C467E87B-7FBD-41A8-AE60-127AB44D8A6A}"/>
    <cellStyle name="Heading 3 2 2 2 2 2 6" xfId="479" xr:uid="{6DDA0EA8-A832-4EE5-A5DD-B4501E822250}"/>
    <cellStyle name="Heading 3 2 2 2 2 2 6 2" xfId="5429" xr:uid="{626B37D8-4411-4A86-B79A-522B3F44A7DF}"/>
    <cellStyle name="Heading 3 2 2 2 2 2 7" xfId="480" xr:uid="{9DA40AA0-8C31-4CFD-97D9-485B78749004}"/>
    <cellStyle name="Heading 3 2 2 2 2 2 7 2" xfId="5430" xr:uid="{B57B6DE6-AE98-416E-A5F2-990825687DDA}"/>
    <cellStyle name="Heading 3 2 2 2 2 2 8" xfId="5406" xr:uid="{39ECD077-5E36-4FEA-9F90-799A8A04A0AD}"/>
    <cellStyle name="Heading 3 2 2 2 2 3" xfId="481" xr:uid="{539F4BCD-6675-4E65-97E5-D8FC2247F28E}"/>
    <cellStyle name="Heading 3 2 2 2 2 3 2" xfId="482" xr:uid="{702672A2-158F-4719-967F-DA4B295666E0}"/>
    <cellStyle name="Heading 3 2 2 2 2 3 2 2" xfId="483" xr:uid="{3D27F7DC-1C27-4EBD-9876-7A751A96548D}"/>
    <cellStyle name="Heading 3 2 2 2 2 3 2 2 2" xfId="484" xr:uid="{9AC10634-0ED6-4592-BF51-55774C8F6D83}"/>
    <cellStyle name="Heading 3 2 2 2 2 3 2 2 2 2" xfId="5434" xr:uid="{83E3A7CB-30EA-47DF-B7A8-5D68ADDFC35B}"/>
    <cellStyle name="Heading 3 2 2 2 2 3 2 2 3" xfId="485" xr:uid="{34C2DBE8-427F-44A3-B39F-4916C512C15B}"/>
    <cellStyle name="Heading 3 2 2 2 2 3 2 2 3 2" xfId="5435" xr:uid="{0EECAB28-4928-4AA8-8635-88D4A4BD31C8}"/>
    <cellStyle name="Heading 3 2 2 2 2 3 2 2 4" xfId="5433" xr:uid="{5F0A1B5E-9E88-47CC-83F4-F7557C03695C}"/>
    <cellStyle name="Heading 3 2 2 2 2 3 2 3" xfId="486" xr:uid="{922B0C73-3E51-46D9-94C3-2B4061A85C3D}"/>
    <cellStyle name="Heading 3 2 2 2 2 3 2 3 2" xfId="5436" xr:uid="{E2F531FF-EEF1-40B7-A9F2-21AEF5513623}"/>
    <cellStyle name="Heading 3 2 2 2 2 3 2 4" xfId="487" xr:uid="{8784D86E-9E2B-4F56-914D-F8D424FBE27F}"/>
    <cellStyle name="Heading 3 2 2 2 2 3 2 4 2" xfId="5437" xr:uid="{E7FC2E9F-273C-433F-9B80-E37741FBBE86}"/>
    <cellStyle name="Heading 3 2 2 2 2 3 2 5" xfId="5432" xr:uid="{215450F8-103B-40B8-8B0E-FB42B33C8597}"/>
    <cellStyle name="Heading 3 2 2 2 2 3 3" xfId="488" xr:uid="{559B81C5-932B-4EC9-A352-1C9EE5F1AAD8}"/>
    <cellStyle name="Heading 3 2 2 2 2 3 3 2" xfId="489" xr:uid="{A3A6BADC-9486-4EBA-9CE5-55BD60162169}"/>
    <cellStyle name="Heading 3 2 2 2 2 3 3 2 2" xfId="5439" xr:uid="{B05ADE0A-A5D0-46A2-BCAA-C9B77343267F}"/>
    <cellStyle name="Heading 3 2 2 2 2 3 3 3" xfId="490" xr:uid="{162216A1-F552-4420-9EA9-8313635D8856}"/>
    <cellStyle name="Heading 3 2 2 2 2 3 3 3 2" xfId="5440" xr:uid="{AC0B0E71-8CC6-4E32-B381-0C5617C72B22}"/>
    <cellStyle name="Heading 3 2 2 2 2 3 3 4" xfId="5438" xr:uid="{B954BDCA-85CA-4483-BABC-84194A983D53}"/>
    <cellStyle name="Heading 3 2 2 2 2 3 4" xfId="491" xr:uid="{A1C14084-CA0D-4393-AE3D-1C91AEC8A094}"/>
    <cellStyle name="Heading 3 2 2 2 2 3 4 2" xfId="5441" xr:uid="{7850D910-39AE-4D57-9CE1-D6446D315123}"/>
    <cellStyle name="Heading 3 2 2 2 2 3 5" xfId="492" xr:uid="{FD2F7D05-888E-4D01-A658-6BF75963EF74}"/>
    <cellStyle name="Heading 3 2 2 2 2 3 5 2" xfId="5442" xr:uid="{525AD869-4354-4B9F-A96D-C658553A1192}"/>
    <cellStyle name="Heading 3 2 2 2 2 3 6" xfId="5431" xr:uid="{8FD3EC99-C47C-41C8-9A65-D7025D573E1D}"/>
    <cellStyle name="Heading 3 2 2 2 2 4" xfId="493" xr:uid="{B19995E6-66C5-4F38-A478-DD1D3F2F9871}"/>
    <cellStyle name="Heading 3 2 2 2 2 4 2" xfId="494" xr:uid="{134C803F-145D-406A-BFB6-879E54EC3785}"/>
    <cellStyle name="Heading 3 2 2 2 2 4 2 2" xfId="495" xr:uid="{A3AC7DFD-D47B-49E2-A30C-B7BA824CC898}"/>
    <cellStyle name="Heading 3 2 2 2 2 4 2 2 2" xfId="5445" xr:uid="{C1192931-39F5-4CE3-88EB-1B30A49B4856}"/>
    <cellStyle name="Heading 3 2 2 2 2 4 2 3" xfId="496" xr:uid="{601F5469-8019-4E29-A96B-4B850A61831A}"/>
    <cellStyle name="Heading 3 2 2 2 2 4 2 3 2" xfId="5446" xr:uid="{B2B1378F-32A7-4480-8BAD-BA0714AF82FB}"/>
    <cellStyle name="Heading 3 2 2 2 2 4 2 4" xfId="5444" xr:uid="{56812B91-0835-471F-8585-A4FBB85F168E}"/>
    <cellStyle name="Heading 3 2 2 2 2 4 3" xfId="497" xr:uid="{EE2DB613-07A0-4CCA-BF06-29230D0C09F7}"/>
    <cellStyle name="Heading 3 2 2 2 2 4 3 2" xfId="5447" xr:uid="{114FD267-46D0-478E-ABA8-BAB0C70607D9}"/>
    <cellStyle name="Heading 3 2 2 2 2 4 4" xfId="498" xr:uid="{4E452CF0-BFB8-4B5D-965A-B3DC79CD62F6}"/>
    <cellStyle name="Heading 3 2 2 2 2 4 4 2" xfId="5448" xr:uid="{DDBA1DF5-9A42-46EB-9DB6-B4BD57EF118D}"/>
    <cellStyle name="Heading 3 2 2 2 2 4 5" xfId="5443" xr:uid="{460FF9CE-A361-41EC-A7EA-08713B52CA13}"/>
    <cellStyle name="Heading 3 2 2 2 2 5" xfId="499" xr:uid="{119FE870-DD41-4FFE-99A5-4EAD6B08A908}"/>
    <cellStyle name="Heading 3 2 2 2 2 5 2" xfId="500" xr:uid="{448BF2B7-BD00-4033-B358-47247B9AFB36}"/>
    <cellStyle name="Heading 3 2 2 2 2 5 2 2" xfId="5450" xr:uid="{229EF0AB-652C-4365-A3C8-C2BFBB5B0C62}"/>
    <cellStyle name="Heading 3 2 2 2 2 5 3" xfId="501" xr:uid="{31C0F76D-0C13-4A95-97FB-AAB3F307954A}"/>
    <cellStyle name="Heading 3 2 2 2 2 5 3 2" xfId="5451" xr:uid="{106C6717-AC1F-4FBA-A6AC-8D2B41CC915C}"/>
    <cellStyle name="Heading 3 2 2 2 2 5 4" xfId="5449" xr:uid="{BC48F833-2B0B-4B63-99D5-75200606F7E6}"/>
    <cellStyle name="Heading 3 2 2 2 2 6" xfId="502" xr:uid="{38175674-8B18-4B29-80CF-F6B4C3D17328}"/>
    <cellStyle name="Heading 3 2 2 2 2 6 2" xfId="5452" xr:uid="{73FC96E8-38B9-4E35-9C1B-6EA279E700AB}"/>
    <cellStyle name="Heading 3 2 2 2 2 7" xfId="5405" xr:uid="{BCD40FD5-AA9D-43D4-8C4B-85BB5F3A0D70}"/>
    <cellStyle name="Heading 3 2 2 2 3" xfId="503" xr:uid="{FCF3AA45-02FF-4F2B-837A-E88DB16C0A3C}"/>
    <cellStyle name="Heading 3 2 2 2 3 2" xfId="504" xr:uid="{F978520C-D64D-44D5-B16E-5CC73D5E78C5}"/>
    <cellStyle name="Heading 3 2 2 2 3 2 2" xfId="505" xr:uid="{95122022-37F9-4246-8193-978DA7D00D6E}"/>
    <cellStyle name="Heading 3 2 2 2 3 2 2 2" xfId="506" xr:uid="{CC4976DA-22A2-42DD-9E62-AC94CE96811E}"/>
    <cellStyle name="Heading 3 2 2 2 3 2 2 2 2" xfId="507" xr:uid="{71141D17-7145-487D-8595-DE791623CAAF}"/>
    <cellStyle name="Heading 3 2 2 2 3 2 2 2 2 2" xfId="5457" xr:uid="{075E3739-336C-42E6-A482-BB67A2F83D12}"/>
    <cellStyle name="Heading 3 2 2 2 3 2 2 2 3" xfId="508" xr:uid="{5E38AFF8-9387-409E-BA1E-6106A92DCD26}"/>
    <cellStyle name="Heading 3 2 2 2 3 2 2 2 3 2" xfId="5458" xr:uid="{FCA7129F-D072-4212-872A-B73FA040AD6C}"/>
    <cellStyle name="Heading 3 2 2 2 3 2 2 2 4" xfId="5456" xr:uid="{FED46036-C47A-4CF2-A731-B05660DA618B}"/>
    <cellStyle name="Heading 3 2 2 2 3 2 2 3" xfId="509" xr:uid="{DBC074A8-AD6B-404D-8770-859BEEA0624D}"/>
    <cellStyle name="Heading 3 2 2 2 3 2 2 3 2" xfId="5459" xr:uid="{229D5322-572B-43FB-8321-99C01983918D}"/>
    <cellStyle name="Heading 3 2 2 2 3 2 2 4" xfId="510" xr:uid="{A6905C72-574D-4868-91C2-B2B5B57B1A91}"/>
    <cellStyle name="Heading 3 2 2 2 3 2 2 4 2" xfId="5460" xr:uid="{68B16389-352C-4CDA-8F90-671E07B846BA}"/>
    <cellStyle name="Heading 3 2 2 2 3 2 2 5" xfId="5455" xr:uid="{97F5FA1B-2D30-4AAD-A57F-9FF75F58FC8C}"/>
    <cellStyle name="Heading 3 2 2 2 3 2 3" xfId="511" xr:uid="{25AD172F-3C99-4B43-A496-DA279F8A4CB7}"/>
    <cellStyle name="Heading 3 2 2 2 3 2 3 2" xfId="512" xr:uid="{613F3764-80EB-4BB9-8A15-8710C0DB850E}"/>
    <cellStyle name="Heading 3 2 2 2 3 2 3 2 2" xfId="5462" xr:uid="{23A0A931-066B-4354-9984-1EE4AFCE635C}"/>
    <cellStyle name="Heading 3 2 2 2 3 2 3 3" xfId="513" xr:uid="{AE234D23-DF97-48DF-A6EA-C1E3D7319020}"/>
    <cellStyle name="Heading 3 2 2 2 3 2 3 3 2" xfId="5463" xr:uid="{CA6E7370-4350-4EE1-AD41-DEB3D94282D9}"/>
    <cellStyle name="Heading 3 2 2 2 3 2 3 4" xfId="5461" xr:uid="{8B12EE06-8A07-4D53-80F9-49E6E6BCC7BF}"/>
    <cellStyle name="Heading 3 2 2 2 3 2 4" xfId="514" xr:uid="{7B03D9B7-AE83-4AC1-980B-56201192FF90}"/>
    <cellStyle name="Heading 3 2 2 2 3 2 4 2" xfId="5464" xr:uid="{0D7547CC-CFF1-4FF9-8817-D959DBBA87B7}"/>
    <cellStyle name="Heading 3 2 2 2 3 2 5" xfId="515" xr:uid="{6C8C5583-5203-4B43-9F56-64455508C4B2}"/>
    <cellStyle name="Heading 3 2 2 2 3 2 5 2" xfId="5465" xr:uid="{CE057145-793C-431B-84BC-E5EF34A15210}"/>
    <cellStyle name="Heading 3 2 2 2 3 2 6" xfId="5454" xr:uid="{B5057EDC-F3F0-484F-ACDC-670A41EE00AC}"/>
    <cellStyle name="Heading 3 2 2 2 3 3" xfId="516" xr:uid="{57968AE5-F383-401A-BC9D-4E0AA1CCF7ED}"/>
    <cellStyle name="Heading 3 2 2 2 3 3 2" xfId="517" xr:uid="{EAC5C59B-9025-46DD-B352-CB7A1F05BCE0}"/>
    <cellStyle name="Heading 3 2 2 2 3 3 2 2" xfId="518" xr:uid="{5EE8F518-01B8-479E-8599-ADB25CA76634}"/>
    <cellStyle name="Heading 3 2 2 2 3 3 2 2 2" xfId="5468" xr:uid="{8C129F13-890B-40D8-87F5-DDCFBFFE24F2}"/>
    <cellStyle name="Heading 3 2 2 2 3 3 2 3" xfId="519" xr:uid="{A80184A4-2B57-4F47-A895-9257202435CF}"/>
    <cellStyle name="Heading 3 2 2 2 3 3 2 3 2" xfId="5469" xr:uid="{1074AF7F-15BF-4E5E-945F-5E23E12C38C9}"/>
    <cellStyle name="Heading 3 2 2 2 3 3 2 4" xfId="5467" xr:uid="{95B22C96-D322-42E8-83FE-C41165F1E9A9}"/>
    <cellStyle name="Heading 3 2 2 2 3 3 3" xfId="520" xr:uid="{F5ED8EC4-8BBB-4604-8A26-7F8FA7D800D5}"/>
    <cellStyle name="Heading 3 2 2 2 3 3 3 2" xfId="5470" xr:uid="{6EAA4B44-B6DA-4479-B0CE-FEF3FDA8DE62}"/>
    <cellStyle name="Heading 3 2 2 2 3 3 4" xfId="521" xr:uid="{B1936FE4-C7F8-409C-A8CE-B644B0C46659}"/>
    <cellStyle name="Heading 3 2 2 2 3 3 4 2" xfId="5471" xr:uid="{BB83BB0A-2A20-40C2-81BE-5329720B8845}"/>
    <cellStyle name="Heading 3 2 2 2 3 3 5" xfId="5466" xr:uid="{259447D1-790D-4BB7-BB25-C4C7CF4E3F2E}"/>
    <cellStyle name="Heading 3 2 2 2 3 4" xfId="522" xr:uid="{345C1248-9596-4859-A82B-E0BF2E725C6D}"/>
    <cellStyle name="Heading 3 2 2 2 3 4 2" xfId="523" xr:uid="{5887DBEC-3FEF-44B7-AE4F-B18685DD66BF}"/>
    <cellStyle name="Heading 3 2 2 2 3 4 2 2" xfId="5473" xr:uid="{F6485324-56E0-471E-B11E-5FAE663CDEA7}"/>
    <cellStyle name="Heading 3 2 2 2 3 4 3" xfId="524" xr:uid="{58897BCA-F4EC-4D7C-B093-FB64E33D9066}"/>
    <cellStyle name="Heading 3 2 2 2 3 4 3 2" xfId="5474" xr:uid="{F529A027-A9DE-44C6-9A5C-8A1BDD7920EA}"/>
    <cellStyle name="Heading 3 2 2 2 3 4 4" xfId="5472" xr:uid="{E5B7EC5D-A837-4BEA-8BF0-431B82DF064E}"/>
    <cellStyle name="Heading 3 2 2 2 3 5" xfId="525" xr:uid="{D576A843-0FE1-448F-8409-FBE3BFBFBEFF}"/>
    <cellStyle name="Heading 3 2 2 2 3 5 2" xfId="5475" xr:uid="{5D7EEA78-52B0-4696-A36E-066B2F79589F}"/>
    <cellStyle name="Heading 3 2 2 2 3 6" xfId="526" xr:uid="{B32900BA-607C-4D8F-910D-2B587C942D21}"/>
    <cellStyle name="Heading 3 2 2 2 3 6 2" xfId="5476" xr:uid="{7E0ADAC8-1E5F-479A-A581-00D0AFC072D6}"/>
    <cellStyle name="Heading 3 2 2 2 3 7" xfId="527" xr:uid="{CF6275E1-5AC5-4140-BE0A-8B776834AC0F}"/>
    <cellStyle name="Heading 3 2 2 2 3 7 2" xfId="5477" xr:uid="{54908198-09BA-4A29-8609-27BCA3866AB0}"/>
    <cellStyle name="Heading 3 2 2 2 3 8" xfId="5453" xr:uid="{BFB740EF-9203-4920-91D7-9177627BC322}"/>
    <cellStyle name="Heading 3 2 2 2 4" xfId="528" xr:uid="{64D81EAB-BECC-46DF-BF35-9AFAC18CFF3F}"/>
    <cellStyle name="Heading 3 2 2 2 4 2" xfId="529" xr:uid="{9483516C-B23E-4703-881B-61681377CF72}"/>
    <cellStyle name="Heading 3 2 2 2 4 2 2" xfId="530" xr:uid="{E61F01D7-5BF0-4504-A0B6-F1475816EC26}"/>
    <cellStyle name="Heading 3 2 2 2 4 2 2 2" xfId="531" xr:uid="{64BC5FC5-0FAA-4DFD-BDE3-7EE77697746E}"/>
    <cellStyle name="Heading 3 2 2 2 4 2 2 2 2" xfId="5481" xr:uid="{89A54823-B476-419F-9CA3-007C223DC78A}"/>
    <cellStyle name="Heading 3 2 2 2 4 2 2 3" xfId="532" xr:uid="{B00E78F2-1EED-4290-8534-975C8F1D3907}"/>
    <cellStyle name="Heading 3 2 2 2 4 2 2 3 2" xfId="5482" xr:uid="{5EB8D6C4-421F-496C-BF12-CF478300D372}"/>
    <cellStyle name="Heading 3 2 2 2 4 2 2 4" xfId="5480" xr:uid="{B36940C9-B5EF-4187-87F9-191E13ECDBF8}"/>
    <cellStyle name="Heading 3 2 2 2 4 2 3" xfId="533" xr:uid="{D4184756-F560-4BE5-810F-D1AFFADF5B37}"/>
    <cellStyle name="Heading 3 2 2 2 4 2 3 2" xfId="5483" xr:uid="{79617E0E-CBBF-40B6-9D6A-DE283A41E8B0}"/>
    <cellStyle name="Heading 3 2 2 2 4 2 4" xfId="534" xr:uid="{6A0B526D-CD4A-4E49-B167-4322C186F3DB}"/>
    <cellStyle name="Heading 3 2 2 2 4 2 4 2" xfId="5484" xr:uid="{5DBA8474-8C84-4E29-8B5C-39728A43003B}"/>
    <cellStyle name="Heading 3 2 2 2 4 2 5" xfId="5479" xr:uid="{E4346532-4CFD-4E7B-B6DC-37CC3154087D}"/>
    <cellStyle name="Heading 3 2 2 2 4 3" xfId="535" xr:uid="{B624039C-F559-4DF4-A4CA-3E4EF766E31A}"/>
    <cellStyle name="Heading 3 2 2 2 4 3 2" xfId="536" xr:uid="{12F2B509-FCB7-4A76-837D-8170EBDA6716}"/>
    <cellStyle name="Heading 3 2 2 2 4 3 2 2" xfId="5486" xr:uid="{0BD9C020-9F1A-4630-80E4-EE6005E303A7}"/>
    <cellStyle name="Heading 3 2 2 2 4 3 3" xfId="537" xr:uid="{D7DBB1F6-9D4B-460E-A27D-034F2AB57B7B}"/>
    <cellStyle name="Heading 3 2 2 2 4 3 3 2" xfId="5487" xr:uid="{B3C54B3F-5D71-4893-B5AD-134737D31F55}"/>
    <cellStyle name="Heading 3 2 2 2 4 3 4" xfId="5485" xr:uid="{43ECA8AB-1E94-4AFC-B585-E301560221FD}"/>
    <cellStyle name="Heading 3 2 2 2 4 4" xfId="538" xr:uid="{67DA0C0E-96D8-4DE0-A87A-08E7C7E40C72}"/>
    <cellStyle name="Heading 3 2 2 2 4 4 2" xfId="5488" xr:uid="{0498ABB8-D2FF-4CDD-95EC-E34A3101DF48}"/>
    <cellStyle name="Heading 3 2 2 2 4 5" xfId="539" xr:uid="{7588B874-3D7C-42ED-82BC-8F782DDB5496}"/>
    <cellStyle name="Heading 3 2 2 2 4 5 2" xfId="5489" xr:uid="{7CE5E0F2-789C-4217-A3F5-68C9271D505A}"/>
    <cellStyle name="Heading 3 2 2 2 4 6" xfId="5478" xr:uid="{A7318306-DCB6-4725-971E-3DD5B56ED505}"/>
    <cellStyle name="Heading 3 2 2 2 5" xfId="540" xr:uid="{6469AD3C-1CC6-4312-8E5D-54F82D9BE02F}"/>
    <cellStyle name="Heading 3 2 2 2 5 2" xfId="541" xr:uid="{5E98E570-6844-407E-8B4B-5568B2E84368}"/>
    <cellStyle name="Heading 3 2 2 2 5 2 2" xfId="542" xr:uid="{025966E3-D48D-4395-B4C2-FC7F829309D9}"/>
    <cellStyle name="Heading 3 2 2 2 5 2 2 2" xfId="5492" xr:uid="{67DB4FD9-8F2C-446E-914C-73A04F738179}"/>
    <cellStyle name="Heading 3 2 2 2 5 2 3" xfId="543" xr:uid="{D2E38CB2-42FC-4863-B283-C6F9A45A281F}"/>
    <cellStyle name="Heading 3 2 2 2 5 2 3 2" xfId="5493" xr:uid="{929944C7-28E3-42A5-933E-26EE3CF32A11}"/>
    <cellStyle name="Heading 3 2 2 2 5 2 4" xfId="5491" xr:uid="{8E8C1275-E988-47E2-8C17-8077E938BC16}"/>
    <cellStyle name="Heading 3 2 2 2 5 3" xfId="544" xr:uid="{79A2B12D-5D30-456C-89AE-23531A8B5B38}"/>
    <cellStyle name="Heading 3 2 2 2 5 3 2" xfId="5494" xr:uid="{A494854A-06C0-4A8A-AB8A-23392788C8B4}"/>
    <cellStyle name="Heading 3 2 2 2 5 4" xfId="545" xr:uid="{50272D2C-1C91-42A5-8361-03E741C7FE7C}"/>
    <cellStyle name="Heading 3 2 2 2 5 4 2" xfId="5495" xr:uid="{55A69607-C65C-4EB1-97DA-942B1C44E2B4}"/>
    <cellStyle name="Heading 3 2 2 2 5 5" xfId="5490" xr:uid="{7B1AA1B0-2594-4BC3-918C-F06E715A85D5}"/>
    <cellStyle name="Heading 3 2 2 2 6" xfId="546" xr:uid="{F0025998-FF3C-490A-AE5C-D4636109575D}"/>
    <cellStyle name="Heading 3 2 2 2 6 2" xfId="547" xr:uid="{99E8429D-6331-42E0-883F-B11A3AF7B13C}"/>
    <cellStyle name="Heading 3 2 2 2 6 2 2" xfId="5497" xr:uid="{D24CEFC2-3374-40CF-A7FC-B97B9DEDD2B3}"/>
    <cellStyle name="Heading 3 2 2 2 6 3" xfId="548" xr:uid="{82C900D6-F3FA-44CB-ABC2-286E895ECC6E}"/>
    <cellStyle name="Heading 3 2 2 2 6 3 2" xfId="5498" xr:uid="{6A8BC919-A8C5-4F2D-845D-D13CD2AE030E}"/>
    <cellStyle name="Heading 3 2 2 2 6 4" xfId="5496" xr:uid="{AA500BCF-0D59-4D3C-B889-CA9129234E1B}"/>
    <cellStyle name="Heading 3 2 2 2 7" xfId="549" xr:uid="{A0585C91-D5E3-4409-8C0E-557F3555277D}"/>
    <cellStyle name="Heading 3 2 2 2 7 2" xfId="5499" xr:uid="{D335A608-3634-4062-8275-FAA837087BCA}"/>
    <cellStyle name="Heading 3 2 2 2 8" xfId="5404" xr:uid="{0CC40678-574F-4658-9973-7B65D7035BE2}"/>
    <cellStyle name="Heading 3 2 2 3" xfId="550" xr:uid="{6AB50EB4-5486-4384-925D-89E09A8505FE}"/>
    <cellStyle name="Heading 3 2 2 3 2" xfId="551" xr:uid="{A0BA37CC-7D7A-4B49-BE23-E276ECD21D0D}"/>
    <cellStyle name="Heading 3 2 2 3 2 2" xfId="552" xr:uid="{9B204EF2-AB65-4736-8570-56CF195CB434}"/>
    <cellStyle name="Heading 3 2 2 3 2 2 2" xfId="553" xr:uid="{6C711264-3C17-4629-989C-15C87D386E69}"/>
    <cellStyle name="Heading 3 2 2 3 2 2 2 2" xfId="554" xr:uid="{7474F440-9C97-4FA9-BD92-C994D965EADA}"/>
    <cellStyle name="Heading 3 2 2 3 2 2 2 2 2" xfId="555" xr:uid="{30B45ACD-8022-4E9F-AC86-CD4A3BE1951F}"/>
    <cellStyle name="Heading 3 2 2 3 2 2 2 2 2 2" xfId="5505" xr:uid="{F331DC51-5368-4F9E-A958-C69754E9BCCE}"/>
    <cellStyle name="Heading 3 2 2 3 2 2 2 2 3" xfId="556" xr:uid="{A11BE6E6-616E-4621-B1C3-14E970D3A8DC}"/>
    <cellStyle name="Heading 3 2 2 3 2 2 2 2 3 2" xfId="5506" xr:uid="{61771D76-AF61-4324-907C-B11DDD61502E}"/>
    <cellStyle name="Heading 3 2 2 3 2 2 2 2 4" xfId="5504" xr:uid="{6E080ECC-F7F6-4C29-B4BF-121370838F12}"/>
    <cellStyle name="Heading 3 2 2 3 2 2 2 3" xfId="557" xr:uid="{84E268B3-2A9C-43F4-8EA9-BFFDE4E4EE7A}"/>
    <cellStyle name="Heading 3 2 2 3 2 2 2 3 2" xfId="5507" xr:uid="{ACB0704E-52F8-4F77-8673-57EC413CC78B}"/>
    <cellStyle name="Heading 3 2 2 3 2 2 2 4" xfId="558" xr:uid="{489B5DC2-B200-4FDB-A468-09095523D06D}"/>
    <cellStyle name="Heading 3 2 2 3 2 2 2 4 2" xfId="5508" xr:uid="{E6802307-3AB5-4D7B-9398-F8F9443CC6ED}"/>
    <cellStyle name="Heading 3 2 2 3 2 2 2 5" xfId="5503" xr:uid="{E77DA1CE-6E45-4389-B66F-08A9170EEE6E}"/>
    <cellStyle name="Heading 3 2 2 3 2 2 3" xfId="559" xr:uid="{4A9788A3-FA63-42A6-BC6E-5FACF72BAAED}"/>
    <cellStyle name="Heading 3 2 2 3 2 2 3 2" xfId="560" xr:uid="{1521F44F-C7E1-4A91-B331-22CE3B116C18}"/>
    <cellStyle name="Heading 3 2 2 3 2 2 3 2 2" xfId="5510" xr:uid="{BE48CBFA-DF64-4CBA-8788-438CF52207A0}"/>
    <cellStyle name="Heading 3 2 2 3 2 2 3 3" xfId="561" xr:uid="{A68D422D-D9CA-4EEA-A34C-31BA1321C4AB}"/>
    <cellStyle name="Heading 3 2 2 3 2 2 3 3 2" xfId="5511" xr:uid="{2919188B-CE19-4ACE-A030-98C73808CC8A}"/>
    <cellStyle name="Heading 3 2 2 3 2 2 3 4" xfId="5509" xr:uid="{1E5C5456-007E-4EBD-8512-0F6B6643271D}"/>
    <cellStyle name="Heading 3 2 2 3 2 2 4" xfId="562" xr:uid="{930B8AD7-1EBE-43F7-BADE-9845615B694D}"/>
    <cellStyle name="Heading 3 2 2 3 2 2 4 2" xfId="5512" xr:uid="{C622D563-12DC-4D35-A228-35780A13DE74}"/>
    <cellStyle name="Heading 3 2 2 3 2 2 5" xfId="563" xr:uid="{9EA89040-C0B8-45D6-9BB8-B370702CC5EF}"/>
    <cellStyle name="Heading 3 2 2 3 2 2 5 2" xfId="5513" xr:uid="{397D7855-99ED-457F-AD9D-22199F580A07}"/>
    <cellStyle name="Heading 3 2 2 3 2 2 6" xfId="5502" xr:uid="{9B6DA7D6-EB7B-408A-83EE-1259944C83E9}"/>
    <cellStyle name="Heading 3 2 2 3 2 3" xfId="564" xr:uid="{26F2A725-049B-48DC-97B2-D5170EF699CC}"/>
    <cellStyle name="Heading 3 2 2 3 2 3 2" xfId="565" xr:uid="{CEB70BBD-4530-410E-8121-E8ADB3680939}"/>
    <cellStyle name="Heading 3 2 2 3 2 3 2 2" xfId="566" xr:uid="{939662FC-A1A0-4A8B-B988-C1FF601359E4}"/>
    <cellStyle name="Heading 3 2 2 3 2 3 2 2 2" xfId="5516" xr:uid="{88FEF899-E90C-4318-B0D7-6BE3E079C666}"/>
    <cellStyle name="Heading 3 2 2 3 2 3 2 3" xfId="567" xr:uid="{9DC6744E-2294-49B7-9F43-4A9969C4D828}"/>
    <cellStyle name="Heading 3 2 2 3 2 3 2 3 2" xfId="5517" xr:uid="{EB00A4EB-DEC5-4609-B065-9379CC7904DE}"/>
    <cellStyle name="Heading 3 2 2 3 2 3 2 4" xfId="5515" xr:uid="{508B066C-2BD4-4D60-8700-C3CFCFE3B733}"/>
    <cellStyle name="Heading 3 2 2 3 2 3 3" xfId="568" xr:uid="{113C68AF-4021-4705-BD2E-BF440DEFA760}"/>
    <cellStyle name="Heading 3 2 2 3 2 3 3 2" xfId="5518" xr:uid="{E63E5DEC-3E1F-48E3-9C8E-54F122D2B014}"/>
    <cellStyle name="Heading 3 2 2 3 2 3 4" xfId="569" xr:uid="{DE18C2FD-A1FA-46B7-82FC-8F2EF5B74A68}"/>
    <cellStyle name="Heading 3 2 2 3 2 3 4 2" xfId="5519" xr:uid="{7E1C3632-BD95-46E8-BE7F-AC1DC5D2C9F1}"/>
    <cellStyle name="Heading 3 2 2 3 2 3 5" xfId="5514" xr:uid="{BC0DC5AF-2AAD-42BE-8532-D55C97E56247}"/>
    <cellStyle name="Heading 3 2 2 3 2 4" xfId="570" xr:uid="{4C1164ED-196C-47B7-80A6-D0E7CD8DB130}"/>
    <cellStyle name="Heading 3 2 2 3 2 4 2" xfId="571" xr:uid="{DD5DE37D-6EBE-4A27-BD85-719E6327A630}"/>
    <cellStyle name="Heading 3 2 2 3 2 4 2 2" xfId="5521" xr:uid="{946D7C00-D058-473B-8421-AAAA18435D63}"/>
    <cellStyle name="Heading 3 2 2 3 2 4 3" xfId="572" xr:uid="{BA659962-0F98-4436-9A42-78FB49A8214A}"/>
    <cellStyle name="Heading 3 2 2 3 2 4 3 2" xfId="5522" xr:uid="{54B96D72-8696-4A8E-88E0-C9288B90E365}"/>
    <cellStyle name="Heading 3 2 2 3 2 4 4" xfId="5520" xr:uid="{BAD9209B-9273-4190-A7B4-89D0D9FDD487}"/>
    <cellStyle name="Heading 3 2 2 3 2 5" xfId="573" xr:uid="{317D17CB-230B-4EE3-9303-4C5BBA9F2CF0}"/>
    <cellStyle name="Heading 3 2 2 3 2 5 2" xfId="5523" xr:uid="{FE4B106F-222D-4389-A30E-851C13403810}"/>
    <cellStyle name="Heading 3 2 2 3 2 6" xfId="574" xr:uid="{AF6CDEFA-C932-4D60-83DE-07E6274D7D6F}"/>
    <cellStyle name="Heading 3 2 2 3 2 6 2" xfId="5524" xr:uid="{AEA5D5E6-A515-4BED-9E26-65501A2DDB17}"/>
    <cellStyle name="Heading 3 2 2 3 2 7" xfId="575" xr:uid="{CE61EB04-DB4F-4F8C-A96B-40B7D3CD9225}"/>
    <cellStyle name="Heading 3 2 2 3 2 7 2" xfId="5525" xr:uid="{1ECFF777-B86A-44AB-8360-64CDBED0F12D}"/>
    <cellStyle name="Heading 3 2 2 3 2 8" xfId="5501" xr:uid="{EB06BC96-AC9B-44FF-ADFD-7116A51070F1}"/>
    <cellStyle name="Heading 3 2 2 3 3" xfId="576" xr:uid="{0AD3E8E3-9A72-4C4F-A7D2-8CA984F5A55A}"/>
    <cellStyle name="Heading 3 2 2 3 3 2" xfId="577" xr:uid="{6A651812-40F2-43E5-AAED-EDDC310B2BD0}"/>
    <cellStyle name="Heading 3 2 2 3 3 2 2" xfId="578" xr:uid="{9F818BB4-B944-42F8-9745-525A21FF7377}"/>
    <cellStyle name="Heading 3 2 2 3 3 2 2 2" xfId="579" xr:uid="{5357D4C1-77E3-4584-8DD3-F82E7A58D256}"/>
    <cellStyle name="Heading 3 2 2 3 3 2 2 2 2" xfId="5529" xr:uid="{8065A3F7-2F85-43A7-B5B0-E54AFC0FB95F}"/>
    <cellStyle name="Heading 3 2 2 3 3 2 2 3" xfId="580" xr:uid="{63452F78-7C79-4705-8DD7-B81D99F479CB}"/>
    <cellStyle name="Heading 3 2 2 3 3 2 2 3 2" xfId="5530" xr:uid="{6A6451F7-A5A1-4CD6-925E-D876A60231AC}"/>
    <cellStyle name="Heading 3 2 2 3 3 2 2 4" xfId="5528" xr:uid="{548A0ADC-F4DE-4166-B485-34CF867E4534}"/>
    <cellStyle name="Heading 3 2 2 3 3 2 3" xfId="581" xr:uid="{F5A1A156-CADC-4340-B076-906B13232288}"/>
    <cellStyle name="Heading 3 2 2 3 3 2 3 2" xfId="5531" xr:uid="{73BF95A5-6684-4829-90D8-176EA22BF46F}"/>
    <cellStyle name="Heading 3 2 2 3 3 2 4" xfId="582" xr:uid="{068EB0E6-1D1C-4AF0-8C41-B595B594C379}"/>
    <cellStyle name="Heading 3 2 2 3 3 2 4 2" xfId="5532" xr:uid="{6D6D848C-7EBE-4DDC-8DB6-406570A23681}"/>
    <cellStyle name="Heading 3 2 2 3 3 2 5" xfId="5527" xr:uid="{7DDF2044-8D28-48A7-A2F4-43B8824B6BC3}"/>
    <cellStyle name="Heading 3 2 2 3 3 3" xfId="583" xr:uid="{AD48141F-FF39-47CD-A1DC-45B1BB507BC5}"/>
    <cellStyle name="Heading 3 2 2 3 3 3 2" xfId="584" xr:uid="{64CE2878-18D6-457E-B1A4-284B3E90DCEA}"/>
    <cellStyle name="Heading 3 2 2 3 3 3 2 2" xfId="5534" xr:uid="{0AD1D85B-F961-49C0-AE86-8D2BEB309045}"/>
    <cellStyle name="Heading 3 2 2 3 3 3 3" xfId="585" xr:uid="{9569F371-58C9-4C79-B274-EF460F30B38F}"/>
    <cellStyle name="Heading 3 2 2 3 3 3 3 2" xfId="5535" xr:uid="{346B8260-A3D0-4D3B-8CF3-58EF1F88E4EF}"/>
    <cellStyle name="Heading 3 2 2 3 3 3 4" xfId="5533" xr:uid="{EA885E82-88CE-41A4-9F3F-99B8DFB89838}"/>
    <cellStyle name="Heading 3 2 2 3 3 4" xfId="586" xr:uid="{5F1C84FE-67E8-4CC4-BBB6-BF6548B7D286}"/>
    <cellStyle name="Heading 3 2 2 3 3 4 2" xfId="5536" xr:uid="{EA2A7570-266D-4A1B-8119-73FBE40F1FE6}"/>
    <cellStyle name="Heading 3 2 2 3 3 5" xfId="587" xr:uid="{E7BE087A-7919-400A-B4B9-D2C5B0D77309}"/>
    <cellStyle name="Heading 3 2 2 3 3 5 2" xfId="5537" xr:uid="{5F96D1AD-CC6E-418A-856E-CC47FE63D4D0}"/>
    <cellStyle name="Heading 3 2 2 3 3 6" xfId="5526" xr:uid="{0A507507-AA67-4CC6-9A68-0D5E18F166A0}"/>
    <cellStyle name="Heading 3 2 2 3 4" xfId="588" xr:uid="{C016A5CD-9795-484C-A71D-94E58E9C8F81}"/>
    <cellStyle name="Heading 3 2 2 3 4 2" xfId="589" xr:uid="{9EFCBC61-BC61-4C77-A3DA-794C5101ED59}"/>
    <cellStyle name="Heading 3 2 2 3 4 2 2" xfId="590" xr:uid="{0333F77E-7B48-45D7-BBA9-A22E36D70EAE}"/>
    <cellStyle name="Heading 3 2 2 3 4 2 2 2" xfId="5540" xr:uid="{AF147F9E-4064-4E84-B1EF-D94F3E0C5147}"/>
    <cellStyle name="Heading 3 2 2 3 4 2 3" xfId="591" xr:uid="{C0111B61-4D09-4FE7-B51A-5B58700C06EF}"/>
    <cellStyle name="Heading 3 2 2 3 4 2 3 2" xfId="5541" xr:uid="{61F59157-FE5C-436D-BCE3-1F2601ADDC58}"/>
    <cellStyle name="Heading 3 2 2 3 4 2 4" xfId="5539" xr:uid="{62CF461F-A311-43D9-ABC3-F1F4C95305BB}"/>
    <cellStyle name="Heading 3 2 2 3 4 3" xfId="592" xr:uid="{FC6D3DCE-24AD-4DD9-BB64-C099AB944491}"/>
    <cellStyle name="Heading 3 2 2 3 4 3 2" xfId="5542" xr:uid="{503FF3BC-ABD6-4BE7-BC84-6832EF53464B}"/>
    <cellStyle name="Heading 3 2 2 3 4 4" xfId="593" xr:uid="{C221902F-862F-4178-BC6D-1333F374F629}"/>
    <cellStyle name="Heading 3 2 2 3 4 4 2" xfId="5543" xr:uid="{69820976-894F-4645-8EA1-4F31B633D854}"/>
    <cellStyle name="Heading 3 2 2 3 4 5" xfId="5538" xr:uid="{E68AC4CB-8DE2-4420-B590-253BC7FF0EB3}"/>
    <cellStyle name="Heading 3 2 2 3 5" xfId="594" xr:uid="{4A2E04D2-4992-4D19-8365-791052153976}"/>
    <cellStyle name="Heading 3 2 2 3 5 2" xfId="595" xr:uid="{29BDFC79-4831-43A0-9218-28EA4D6BF83B}"/>
    <cellStyle name="Heading 3 2 2 3 5 2 2" xfId="5545" xr:uid="{DD73D942-2DBC-4EA7-B903-DA323135C4D9}"/>
    <cellStyle name="Heading 3 2 2 3 5 3" xfId="596" xr:uid="{B351AB07-DE36-48DB-8FE0-172561323A15}"/>
    <cellStyle name="Heading 3 2 2 3 5 3 2" xfId="5546" xr:uid="{01DDC60D-F7D1-4741-A65E-8844B0D0E297}"/>
    <cellStyle name="Heading 3 2 2 3 5 4" xfId="5544" xr:uid="{5C3070E3-3546-4FFD-ABBA-D62B888D9272}"/>
    <cellStyle name="Heading 3 2 2 3 6" xfId="597" xr:uid="{7ADAF5A2-F435-4087-8E90-7C1B71C2DF79}"/>
    <cellStyle name="Heading 3 2 2 3 6 2" xfId="5547" xr:uid="{A0ECFDE7-0522-4EF5-908C-B45490798580}"/>
    <cellStyle name="Heading 3 2 2 3 7" xfId="5500" xr:uid="{54C2D1E4-FBBD-4F76-A658-AB3B3038FCAF}"/>
    <cellStyle name="Heading 3 2 2 4" xfId="598" xr:uid="{49F8DD7F-8228-4293-AA0A-0E3F3EA56132}"/>
    <cellStyle name="Heading 3 2 2 4 2" xfId="599" xr:uid="{0CDA9796-25E4-4BA2-856F-BB86A6C27B68}"/>
    <cellStyle name="Heading 3 2 2 4 2 2" xfId="600" xr:uid="{FBAE85F7-74EC-465E-94C2-E9E28EE63F91}"/>
    <cellStyle name="Heading 3 2 2 4 2 2 2" xfId="601" xr:uid="{AB390CD7-054D-4047-A33B-2B5E0DD86F04}"/>
    <cellStyle name="Heading 3 2 2 4 2 2 2 2" xfId="602" xr:uid="{E21CF0FB-6C95-442D-884A-66B1FBA536E4}"/>
    <cellStyle name="Heading 3 2 2 4 2 2 2 2 2" xfId="5552" xr:uid="{374644A4-D1DC-440E-A6E1-C76F6A5776F1}"/>
    <cellStyle name="Heading 3 2 2 4 2 2 2 3" xfId="603" xr:uid="{55A4D890-E4E7-456C-81F7-455F19952EE5}"/>
    <cellStyle name="Heading 3 2 2 4 2 2 2 3 2" xfId="5553" xr:uid="{0F539D57-D72B-4B5A-A80D-4C00472AC5FB}"/>
    <cellStyle name="Heading 3 2 2 4 2 2 2 4" xfId="5551" xr:uid="{A3F39945-E13C-4E3B-9788-7C4E5FEBC29D}"/>
    <cellStyle name="Heading 3 2 2 4 2 2 3" xfId="604" xr:uid="{814E7592-DE88-4DDD-875F-9E9091380586}"/>
    <cellStyle name="Heading 3 2 2 4 2 2 3 2" xfId="5554" xr:uid="{3D49921D-CE4C-42F2-89DA-BCBEA9273BD8}"/>
    <cellStyle name="Heading 3 2 2 4 2 2 4" xfId="605" xr:uid="{E6704327-FA7C-4B8C-9C7A-CE14131155D8}"/>
    <cellStyle name="Heading 3 2 2 4 2 2 4 2" xfId="5555" xr:uid="{48AAE6DD-3F59-4384-A04A-82A9610705B2}"/>
    <cellStyle name="Heading 3 2 2 4 2 2 5" xfId="5550" xr:uid="{CFC1FCE8-2B09-4C3B-A49A-DC0404630384}"/>
    <cellStyle name="Heading 3 2 2 4 2 3" xfId="606" xr:uid="{0094E1FC-FB02-4E82-A704-B8BC476A5592}"/>
    <cellStyle name="Heading 3 2 2 4 2 3 2" xfId="607" xr:uid="{76D866C0-70B1-4952-A7DE-861D3A444FCD}"/>
    <cellStyle name="Heading 3 2 2 4 2 3 2 2" xfId="5557" xr:uid="{0673A81A-F798-4694-B43D-891AF8EE26E8}"/>
    <cellStyle name="Heading 3 2 2 4 2 3 3" xfId="608" xr:uid="{87166D2E-CCD7-4643-9492-0F31A07FB32C}"/>
    <cellStyle name="Heading 3 2 2 4 2 3 3 2" xfId="5558" xr:uid="{BD6978FB-7437-422A-A42A-E32D7A4DF927}"/>
    <cellStyle name="Heading 3 2 2 4 2 3 4" xfId="5556" xr:uid="{7E4DB5A7-C3E0-437E-B02D-E358B257B211}"/>
    <cellStyle name="Heading 3 2 2 4 2 4" xfId="609" xr:uid="{693F845F-912B-4D61-8E19-74AD17658AB0}"/>
    <cellStyle name="Heading 3 2 2 4 2 4 2" xfId="5559" xr:uid="{9365DAB8-3B01-4359-992A-B03D363ADA8B}"/>
    <cellStyle name="Heading 3 2 2 4 2 5" xfId="610" xr:uid="{6C78EC1F-81EA-4D70-BDAB-2C1F90F665A8}"/>
    <cellStyle name="Heading 3 2 2 4 2 5 2" xfId="5560" xr:uid="{12336532-8033-437B-8E00-4C06D6233DCA}"/>
    <cellStyle name="Heading 3 2 2 4 2 6" xfId="5549" xr:uid="{9B9D9FC1-310A-46BB-B3A8-A6DDC2D594CD}"/>
    <cellStyle name="Heading 3 2 2 4 3" xfId="611" xr:uid="{C273949C-F1B8-4172-BCEB-53C28F0D364A}"/>
    <cellStyle name="Heading 3 2 2 4 3 2" xfId="612" xr:uid="{8EDCD3F6-0A36-409E-803D-34FC746DC568}"/>
    <cellStyle name="Heading 3 2 2 4 3 2 2" xfId="613" xr:uid="{505178EA-06A8-465E-80C8-B5B637B1547C}"/>
    <cellStyle name="Heading 3 2 2 4 3 2 2 2" xfId="5563" xr:uid="{775EE323-FB68-4BED-BFFD-D68955A0EBD6}"/>
    <cellStyle name="Heading 3 2 2 4 3 2 3" xfId="614" xr:uid="{4282B32B-ECA7-4E84-AB4E-952B728AA5A1}"/>
    <cellStyle name="Heading 3 2 2 4 3 2 3 2" xfId="5564" xr:uid="{C6B7C94A-A778-4A93-8E52-377FB6CEC054}"/>
    <cellStyle name="Heading 3 2 2 4 3 2 4" xfId="5562" xr:uid="{CD65AF04-C0ED-4AC4-9B4F-2C8D4A230E3D}"/>
    <cellStyle name="Heading 3 2 2 4 3 3" xfId="615" xr:uid="{6D710508-D27C-4192-B416-352C8105B2FD}"/>
    <cellStyle name="Heading 3 2 2 4 3 3 2" xfId="5565" xr:uid="{61942A73-6B35-4E82-9B34-E422813CDB97}"/>
    <cellStyle name="Heading 3 2 2 4 3 4" xfId="616" xr:uid="{DA766694-7615-4A21-939E-E944B92CA090}"/>
    <cellStyle name="Heading 3 2 2 4 3 4 2" xfId="5566" xr:uid="{CDF77B90-EDD8-4169-BC29-A3F88271ECC2}"/>
    <cellStyle name="Heading 3 2 2 4 3 5" xfId="5561" xr:uid="{94B1C0AC-5850-435E-97F4-9D17019D516E}"/>
    <cellStyle name="Heading 3 2 2 4 4" xfId="617" xr:uid="{6500CA28-4844-48A6-8F90-0C02B7914C47}"/>
    <cellStyle name="Heading 3 2 2 4 4 2" xfId="618" xr:uid="{44FF1AEF-194C-479E-A19F-0F4A9991D714}"/>
    <cellStyle name="Heading 3 2 2 4 4 2 2" xfId="5568" xr:uid="{33A4EB2F-9114-460A-800D-E2753D9E1494}"/>
    <cellStyle name="Heading 3 2 2 4 4 3" xfId="619" xr:uid="{E008F392-4060-49D4-B1C8-DE60A01468F5}"/>
    <cellStyle name="Heading 3 2 2 4 4 3 2" xfId="5569" xr:uid="{C06C2976-ECE6-4F96-AA95-094FE44CEEEC}"/>
    <cellStyle name="Heading 3 2 2 4 4 4" xfId="5567" xr:uid="{BBD2D4C7-9B85-40BB-BF46-E641A5DB8491}"/>
    <cellStyle name="Heading 3 2 2 4 5" xfId="620" xr:uid="{F083A5DF-6A71-4917-AA2C-93896C879DF0}"/>
    <cellStyle name="Heading 3 2 2 4 5 2" xfId="5570" xr:uid="{595BF4FD-4B3E-4526-BE4D-36B098E1A4A2}"/>
    <cellStyle name="Heading 3 2 2 4 6" xfId="621" xr:uid="{69AC76D7-D671-4B52-AB53-828B1579645A}"/>
    <cellStyle name="Heading 3 2 2 4 6 2" xfId="5571" xr:uid="{04437122-1B74-48F1-97D5-647DAC5E0B2E}"/>
    <cellStyle name="Heading 3 2 2 4 7" xfId="622" xr:uid="{A4F08B4E-053A-4317-B7BD-230497921FD2}"/>
    <cellStyle name="Heading 3 2 2 4 7 2" xfId="5572" xr:uid="{32139F49-B433-41D1-A5E8-7AE9E4428729}"/>
    <cellStyle name="Heading 3 2 2 4 8" xfId="5548" xr:uid="{58AC96A6-6997-4AA3-A35D-6FD95CB28E31}"/>
    <cellStyle name="Heading 3 2 2 5" xfId="623" xr:uid="{8B46040C-F9D1-4DFA-A038-2F348DB11623}"/>
    <cellStyle name="Heading 3 2 2 5 2" xfId="624" xr:uid="{B2AB1E69-B3C0-45D3-A9DB-02A88E7030EE}"/>
    <cellStyle name="Heading 3 2 2 5 2 2" xfId="625" xr:uid="{170E0822-8CC7-42B3-8CD9-3F200E39901B}"/>
    <cellStyle name="Heading 3 2 2 5 2 2 2" xfId="626" xr:uid="{4372CECE-00D9-4A31-9AA9-8D2FAE81E4B5}"/>
    <cellStyle name="Heading 3 2 2 5 2 2 2 2" xfId="5576" xr:uid="{DF3A3CDD-1BD2-41BF-B563-55298036A4D7}"/>
    <cellStyle name="Heading 3 2 2 5 2 2 3" xfId="627" xr:uid="{1871A2BE-BFE1-4F35-A997-FB3CEB63C757}"/>
    <cellStyle name="Heading 3 2 2 5 2 2 3 2" xfId="5577" xr:uid="{ED511144-7662-4BCE-A141-B70123CC3897}"/>
    <cellStyle name="Heading 3 2 2 5 2 2 4" xfId="5575" xr:uid="{FE230C0C-1731-4A12-86E8-433FF3867126}"/>
    <cellStyle name="Heading 3 2 2 5 2 3" xfId="628" xr:uid="{2BC8D74A-7DDE-41B9-A5D4-2CF34DAF96C0}"/>
    <cellStyle name="Heading 3 2 2 5 2 3 2" xfId="5578" xr:uid="{78BAAAFD-515E-49F5-9213-89AB222DED6E}"/>
    <cellStyle name="Heading 3 2 2 5 2 4" xfId="629" xr:uid="{10FFE9BE-32BA-449E-9D7B-02DFA5D69563}"/>
    <cellStyle name="Heading 3 2 2 5 2 4 2" xfId="5579" xr:uid="{1E8A8F83-2BA9-40E0-A54D-C6F793BE4331}"/>
    <cellStyle name="Heading 3 2 2 5 2 5" xfId="5574" xr:uid="{24B7CA63-959B-41A2-8029-50941D71C41D}"/>
    <cellStyle name="Heading 3 2 2 5 3" xfId="630" xr:uid="{CBC78D90-ABC8-4976-810B-C0EC6FB506CA}"/>
    <cellStyle name="Heading 3 2 2 5 3 2" xfId="631" xr:uid="{8578D4C8-4713-4B5F-8AC1-D0AB7DBE3DB8}"/>
    <cellStyle name="Heading 3 2 2 5 3 2 2" xfId="5581" xr:uid="{DF9B99D4-A7EB-4306-BCD3-D538FB181F4A}"/>
    <cellStyle name="Heading 3 2 2 5 3 3" xfId="632" xr:uid="{62B0B1CC-90CD-4187-8C8A-A237C9190DA6}"/>
    <cellStyle name="Heading 3 2 2 5 3 3 2" xfId="5582" xr:uid="{B99EFBA5-18A1-4893-A3AE-0CB6A7461E39}"/>
    <cellStyle name="Heading 3 2 2 5 3 4" xfId="5580" xr:uid="{3B80ECEB-530D-4B10-A0FA-D6E04D8A9D64}"/>
    <cellStyle name="Heading 3 2 2 5 4" xfId="633" xr:uid="{4F9CDD4C-1844-4B7E-BFC0-461266D418C0}"/>
    <cellStyle name="Heading 3 2 2 5 4 2" xfId="5583" xr:uid="{FA513105-F5CD-4666-AA26-2B8D1948AFC6}"/>
    <cellStyle name="Heading 3 2 2 5 5" xfId="634" xr:uid="{81395E13-702A-4265-A064-92C26EDB992F}"/>
    <cellStyle name="Heading 3 2 2 5 5 2" xfId="5584" xr:uid="{2C97457E-59EF-49E7-A156-73EDF597D9F1}"/>
    <cellStyle name="Heading 3 2 2 5 6" xfId="5573" xr:uid="{D1335407-E9FB-449F-875B-728C7948D0CC}"/>
    <cellStyle name="Heading 3 2 2 6" xfId="635" xr:uid="{8AA01AF9-24E6-4C20-B37D-5629D3887AE1}"/>
    <cellStyle name="Heading 3 2 2 6 2" xfId="636" xr:uid="{F51DCF80-AD23-4A3A-9326-FD0BED2D34D8}"/>
    <cellStyle name="Heading 3 2 2 6 2 2" xfId="637" xr:uid="{603EAEF0-94E3-46B1-B7B7-20E8BE56F987}"/>
    <cellStyle name="Heading 3 2 2 6 2 2 2" xfId="5587" xr:uid="{B20C6618-AF14-42E0-A49E-7F3BBE7433EB}"/>
    <cellStyle name="Heading 3 2 2 6 2 3" xfId="638" xr:uid="{4EDAC764-31FF-468E-8AF6-FBB4B2483E1A}"/>
    <cellStyle name="Heading 3 2 2 6 2 3 2" xfId="5588" xr:uid="{D622DA6A-1EF9-46FF-A88C-AB4D94A0BA9C}"/>
    <cellStyle name="Heading 3 2 2 6 2 4" xfId="5586" xr:uid="{B2C207ED-FD55-4D24-9DBD-C01C3649C93E}"/>
    <cellStyle name="Heading 3 2 2 6 3" xfId="639" xr:uid="{D00EBE7E-18C4-4F3F-A367-3AA611399DAC}"/>
    <cellStyle name="Heading 3 2 2 6 3 2" xfId="5589" xr:uid="{39EADB77-3971-4792-B2FD-4CB07BF56587}"/>
    <cellStyle name="Heading 3 2 2 6 4" xfId="640" xr:uid="{B067324F-9DA6-471E-98FA-C27B939E8893}"/>
    <cellStyle name="Heading 3 2 2 6 4 2" xfId="5590" xr:uid="{7D803959-4D5E-4706-8755-F7DF206AE8A9}"/>
    <cellStyle name="Heading 3 2 2 6 5" xfId="5585" xr:uid="{750798B5-AB5D-444F-B3E4-372CC5B39878}"/>
    <cellStyle name="Heading 3 2 2 7" xfId="641" xr:uid="{E09ADA7D-F92B-4CEF-9548-E36AEF534822}"/>
    <cellStyle name="Heading 3 2 2 7 2" xfId="642" xr:uid="{5AD92ACA-0917-4173-AD11-723545FAF67D}"/>
    <cellStyle name="Heading 3 2 2 7 2 2" xfId="5592" xr:uid="{B88F9AD2-8D65-4C88-B866-F5910860CFD3}"/>
    <cellStyle name="Heading 3 2 2 7 3" xfId="643" xr:uid="{5BB596A7-8A99-4ACE-90D6-354BF69D0003}"/>
    <cellStyle name="Heading 3 2 2 7 3 2" xfId="5593" xr:uid="{D33002B3-0B11-4CF5-A720-EC6FE85FF71A}"/>
    <cellStyle name="Heading 3 2 2 7 4" xfId="5591" xr:uid="{57C4F0C3-B0DD-4706-9DEC-BAF25B403F59}"/>
    <cellStyle name="Heading 3 2 2 8" xfId="644" xr:uid="{A1271D86-77AC-4F47-BABA-F0B6C278D193}"/>
    <cellStyle name="Heading 3 2 2 8 2" xfId="5594" xr:uid="{80602F4E-6745-4F28-B9ED-1847A6CC0E0B}"/>
    <cellStyle name="Heading 3 2 2 9" xfId="5403" xr:uid="{AC152B1B-84DF-4143-BAD8-ECF8A6972E23}"/>
    <cellStyle name="Heading 3 2 3" xfId="645" xr:uid="{D8121F0C-C3A9-4D80-8A67-FA8E6F0391A7}"/>
    <cellStyle name="Heading 3 2 3 2" xfId="646" xr:uid="{64C0DDBF-21F4-4513-92BF-FC0A107F5AF1}"/>
    <cellStyle name="Heading 3 2 3 2 2" xfId="647" xr:uid="{6686D5CD-BA2D-4962-A073-A240EA60FBCE}"/>
    <cellStyle name="Heading 3 2 3 2 2 2" xfId="648" xr:uid="{925FE180-2F9D-475A-8BDD-905859B9C654}"/>
    <cellStyle name="Heading 3 2 3 2 2 2 2" xfId="649" xr:uid="{E36C65F5-4FA6-4CB4-8351-1C66386E26BF}"/>
    <cellStyle name="Heading 3 2 3 2 2 2 2 2" xfId="650" xr:uid="{63ED294C-438C-4E27-A1E8-6F8991ECF677}"/>
    <cellStyle name="Heading 3 2 3 2 2 2 2 2 2" xfId="5600" xr:uid="{2F1AC8DE-37D3-4D70-99E9-DA9A2DAB498C}"/>
    <cellStyle name="Heading 3 2 3 2 2 2 2 3" xfId="651" xr:uid="{0019AEDA-3689-4495-BBFA-771D8AFD80E2}"/>
    <cellStyle name="Heading 3 2 3 2 2 2 2 3 2" xfId="5601" xr:uid="{CDBB7210-5072-4015-B045-90D92F199478}"/>
    <cellStyle name="Heading 3 2 3 2 2 2 2 4" xfId="5599" xr:uid="{97CA09FF-416D-4261-A5FB-ADC7F8E8E938}"/>
    <cellStyle name="Heading 3 2 3 2 2 2 3" xfId="652" xr:uid="{869D940B-2858-4ADC-A453-2FEE078638B2}"/>
    <cellStyle name="Heading 3 2 3 2 2 2 3 2" xfId="5602" xr:uid="{314A72DB-14F2-4A00-AEE0-8F23AA6386DF}"/>
    <cellStyle name="Heading 3 2 3 2 2 2 4" xfId="653" xr:uid="{39BBEF0E-7EE2-4AFD-B698-D7032AC0305D}"/>
    <cellStyle name="Heading 3 2 3 2 2 2 4 2" xfId="5603" xr:uid="{292E533C-999C-4B72-890C-7D74E11815A0}"/>
    <cellStyle name="Heading 3 2 3 2 2 2 5" xfId="5598" xr:uid="{48CDEDA6-7941-4104-8F2A-25D67A4AC3DD}"/>
    <cellStyle name="Heading 3 2 3 2 2 3" xfId="654" xr:uid="{7A73B381-2410-4033-89ED-E9572B46C9F5}"/>
    <cellStyle name="Heading 3 2 3 2 2 3 2" xfId="655" xr:uid="{0F86DEB8-3B12-4C7A-AC65-5A5B613E9DC3}"/>
    <cellStyle name="Heading 3 2 3 2 2 3 2 2" xfId="5605" xr:uid="{78D4AC82-52D1-4145-8DF2-03E36AF69639}"/>
    <cellStyle name="Heading 3 2 3 2 2 3 3" xfId="656" xr:uid="{DC661AE2-27A1-4D86-B475-52B54A7505A4}"/>
    <cellStyle name="Heading 3 2 3 2 2 3 3 2" xfId="5606" xr:uid="{545EC539-0DEB-4BF5-92BA-261AAE85F2F4}"/>
    <cellStyle name="Heading 3 2 3 2 2 3 4" xfId="5604" xr:uid="{E9F7836C-07E2-4EF8-B7BB-2577CA4A32E4}"/>
    <cellStyle name="Heading 3 2 3 2 2 4" xfId="657" xr:uid="{E90E1B81-E88C-4395-BB99-E6EAAEC6E9CD}"/>
    <cellStyle name="Heading 3 2 3 2 2 4 2" xfId="5607" xr:uid="{3F28B1D0-C409-4165-83C4-36D019FC392E}"/>
    <cellStyle name="Heading 3 2 3 2 2 5" xfId="658" xr:uid="{40559FE3-BBAD-4AC4-9D44-45B49F48DFDA}"/>
    <cellStyle name="Heading 3 2 3 2 2 5 2" xfId="5608" xr:uid="{A23F6C50-70D2-42D2-91D3-F7B477BF8FF6}"/>
    <cellStyle name="Heading 3 2 3 2 2 6" xfId="5597" xr:uid="{BE050EEF-49EF-4DB8-A205-836CC0C49481}"/>
    <cellStyle name="Heading 3 2 3 2 3" xfId="659" xr:uid="{A49C4865-856C-42A0-8895-10CE52ACD44A}"/>
    <cellStyle name="Heading 3 2 3 2 3 2" xfId="660" xr:uid="{A1C41620-1568-4A1B-A03F-4F5539AEC739}"/>
    <cellStyle name="Heading 3 2 3 2 3 2 2" xfId="661" xr:uid="{9726ADE2-F490-44AD-9357-D43E03862904}"/>
    <cellStyle name="Heading 3 2 3 2 3 2 2 2" xfId="5611" xr:uid="{99F2BBBC-0A2E-4B2D-8B03-868130D79F63}"/>
    <cellStyle name="Heading 3 2 3 2 3 2 3" xfId="662" xr:uid="{B36D4101-476D-4A56-AF1E-4B8F2E7C7160}"/>
    <cellStyle name="Heading 3 2 3 2 3 2 3 2" xfId="5612" xr:uid="{D1443A55-2495-4BB1-913E-1AEB73A438BD}"/>
    <cellStyle name="Heading 3 2 3 2 3 2 4" xfId="5610" xr:uid="{AAE5E004-4808-47CE-AFD6-AF0F82BF4EEA}"/>
    <cellStyle name="Heading 3 2 3 2 3 3" xfId="663" xr:uid="{A71D24F6-2EA7-4645-A572-162555B941DB}"/>
    <cellStyle name="Heading 3 2 3 2 3 3 2" xfId="5613" xr:uid="{504FB736-8C90-4017-919E-8822155EE0D6}"/>
    <cellStyle name="Heading 3 2 3 2 3 4" xfId="664" xr:uid="{E9C41C00-2C20-417E-8D6B-8B35C0F8A235}"/>
    <cellStyle name="Heading 3 2 3 2 3 4 2" xfId="5614" xr:uid="{D8B9B902-3FAD-43A2-AE66-848376D9A07A}"/>
    <cellStyle name="Heading 3 2 3 2 3 5" xfId="5609" xr:uid="{013692A2-C82E-4F82-B60E-A16BD1FC6C93}"/>
    <cellStyle name="Heading 3 2 3 2 4" xfId="665" xr:uid="{08ACF1AB-6224-4E4B-80BB-84035DB50D56}"/>
    <cellStyle name="Heading 3 2 3 2 4 2" xfId="666" xr:uid="{3F6B498B-FA31-4994-B2A5-378285EB2F49}"/>
    <cellStyle name="Heading 3 2 3 2 4 2 2" xfId="5616" xr:uid="{DBE0A36E-4CA4-451E-AA7E-4895010C655A}"/>
    <cellStyle name="Heading 3 2 3 2 4 3" xfId="667" xr:uid="{8D423E36-8835-4A9B-8A66-545C159C336A}"/>
    <cellStyle name="Heading 3 2 3 2 4 3 2" xfId="5617" xr:uid="{BE7C46EE-18D4-4F87-A7AA-E9787B77A8A9}"/>
    <cellStyle name="Heading 3 2 3 2 4 4" xfId="5615" xr:uid="{1E1CA4B7-4D8F-4EE5-8E04-7408D277B341}"/>
    <cellStyle name="Heading 3 2 3 2 5" xfId="668" xr:uid="{8E63062D-FD71-4CFB-8B91-23E8687DF8CA}"/>
    <cellStyle name="Heading 3 2 3 2 5 2" xfId="5618" xr:uid="{37D5D7FD-CE5A-4A45-8AE4-BD55875347A4}"/>
    <cellStyle name="Heading 3 2 3 2 6" xfId="669" xr:uid="{C8F3DB7A-6B5E-41BC-B1D4-84C8861C1006}"/>
    <cellStyle name="Heading 3 2 3 2 6 2" xfId="5619" xr:uid="{7F36CAB8-214A-4864-8DB6-965F557430BA}"/>
    <cellStyle name="Heading 3 2 3 2 7" xfId="670" xr:uid="{116FACDF-674A-4196-8545-1CFF51E7E074}"/>
    <cellStyle name="Heading 3 2 3 2 7 2" xfId="5620" xr:uid="{935CBC6D-9ED6-4494-A50D-76409D4E74A2}"/>
    <cellStyle name="Heading 3 2 3 2 8" xfId="5596" xr:uid="{245567C3-B98C-4422-84E8-D69257AE73FC}"/>
    <cellStyle name="Heading 3 2 3 3" xfId="671" xr:uid="{381110DC-EE7B-4A1B-B039-787EBC471E5C}"/>
    <cellStyle name="Heading 3 2 3 3 2" xfId="672" xr:uid="{362C25E2-0903-4690-BA05-31D0195C2350}"/>
    <cellStyle name="Heading 3 2 3 3 2 2" xfId="673" xr:uid="{DC8ACBCD-3DD3-4E4B-BA62-40AB57AD4E40}"/>
    <cellStyle name="Heading 3 2 3 3 2 2 2" xfId="674" xr:uid="{1E5FA85B-5C79-4CEF-9D77-D12F963A7959}"/>
    <cellStyle name="Heading 3 2 3 3 2 2 2 2" xfId="5624" xr:uid="{8F6DC776-5D81-4490-9151-74DADBB983CA}"/>
    <cellStyle name="Heading 3 2 3 3 2 2 3" xfId="675" xr:uid="{736F59DB-561F-4FA9-A11E-12B82F9A40EF}"/>
    <cellStyle name="Heading 3 2 3 3 2 2 3 2" xfId="5625" xr:uid="{C2467F66-FD3C-422C-B8F1-FAFA95EC863B}"/>
    <cellStyle name="Heading 3 2 3 3 2 2 4" xfId="5623" xr:uid="{83513CAD-4899-458C-8E89-DF5A6AB25A18}"/>
    <cellStyle name="Heading 3 2 3 3 2 3" xfId="676" xr:uid="{B078354A-F9B5-4F36-91EB-BD88F0DA2F0F}"/>
    <cellStyle name="Heading 3 2 3 3 2 3 2" xfId="5626" xr:uid="{8C4DEDB1-36A1-4BE0-BF42-63EDB32BBC78}"/>
    <cellStyle name="Heading 3 2 3 3 2 4" xfId="677" xr:uid="{B6E3BF63-1EC2-4836-91B6-95511112C517}"/>
    <cellStyle name="Heading 3 2 3 3 2 4 2" xfId="5627" xr:uid="{13FBBF61-4785-44FF-AFF7-BF0A76085C10}"/>
    <cellStyle name="Heading 3 2 3 3 2 5" xfId="5622" xr:uid="{97BA42B5-AA3D-47BF-BFA0-6312026668FF}"/>
    <cellStyle name="Heading 3 2 3 3 3" xfId="678" xr:uid="{B26900FE-9336-4572-9FBF-BCEB9A6CC1AA}"/>
    <cellStyle name="Heading 3 2 3 3 3 2" xfId="679" xr:uid="{C9655843-567A-489C-96DA-E5E672545DD5}"/>
    <cellStyle name="Heading 3 2 3 3 3 2 2" xfId="5629" xr:uid="{9DCAE6DA-3856-420C-A2B7-3308AA74A2AD}"/>
    <cellStyle name="Heading 3 2 3 3 3 3" xfId="680" xr:uid="{CE495386-16B4-42CC-87AF-5F095DC08BC9}"/>
    <cellStyle name="Heading 3 2 3 3 3 3 2" xfId="5630" xr:uid="{327C9141-87A6-4888-946E-5ECB80448DAC}"/>
    <cellStyle name="Heading 3 2 3 3 3 4" xfId="5628" xr:uid="{04B0A644-375E-4A61-85A5-1D7C62CA3F11}"/>
    <cellStyle name="Heading 3 2 3 3 4" xfId="681" xr:uid="{0EEEA98E-6615-4FBE-A387-42FBAE20D84F}"/>
    <cellStyle name="Heading 3 2 3 3 4 2" xfId="5631" xr:uid="{43298E46-04C5-4B0D-B5BE-1B7561A42BC1}"/>
    <cellStyle name="Heading 3 2 3 3 5" xfId="682" xr:uid="{73460697-469D-4D0A-A79B-40B71CB5EA9A}"/>
    <cellStyle name="Heading 3 2 3 3 5 2" xfId="5632" xr:uid="{5E7DE37A-6D29-4AC0-85CE-698DA8A110D6}"/>
    <cellStyle name="Heading 3 2 3 3 6" xfId="5621" xr:uid="{14EA7B1D-7C37-4D47-A98D-32034CF78769}"/>
    <cellStyle name="Heading 3 2 3 4" xfId="683" xr:uid="{2714222E-EAF1-4415-BA36-F743F2BD159B}"/>
    <cellStyle name="Heading 3 2 3 4 2" xfId="684" xr:uid="{8721B5AB-C94B-482D-A520-9A703A249E32}"/>
    <cellStyle name="Heading 3 2 3 4 2 2" xfId="685" xr:uid="{9D9585A6-484C-4F38-8037-E1A083418B1A}"/>
    <cellStyle name="Heading 3 2 3 4 2 2 2" xfId="5635" xr:uid="{78A4FA71-FFA5-46CC-9E0A-7D6443E8A2AE}"/>
    <cellStyle name="Heading 3 2 3 4 2 3" xfId="686" xr:uid="{5A229362-4AFF-4554-9418-C496019429FC}"/>
    <cellStyle name="Heading 3 2 3 4 2 3 2" xfId="5636" xr:uid="{642221ED-EE89-4864-8027-385989ADCCF9}"/>
    <cellStyle name="Heading 3 2 3 4 2 4" xfId="5634" xr:uid="{BC9C16E6-48A7-4DBA-AB13-C00E67C92853}"/>
    <cellStyle name="Heading 3 2 3 4 3" xfId="687" xr:uid="{E6C74BD1-F667-4FD8-8661-B679DD4B7446}"/>
    <cellStyle name="Heading 3 2 3 4 3 2" xfId="5637" xr:uid="{F54C6616-F089-40BE-B291-61B833482931}"/>
    <cellStyle name="Heading 3 2 3 4 4" xfId="688" xr:uid="{FF64829F-2BCA-4CEA-AC4D-334017B58480}"/>
    <cellStyle name="Heading 3 2 3 4 4 2" xfId="5638" xr:uid="{C4701A13-8346-4997-AF6E-230664DAF7AA}"/>
    <cellStyle name="Heading 3 2 3 4 5" xfId="5633" xr:uid="{DF6A231A-088C-416F-8891-2B50E0E1729B}"/>
    <cellStyle name="Heading 3 2 3 5" xfId="689" xr:uid="{0646AF2F-98A5-4A99-8560-5C58CB929AFB}"/>
    <cellStyle name="Heading 3 2 3 5 2" xfId="690" xr:uid="{258D139A-076D-435D-BF5B-3F4590F8306A}"/>
    <cellStyle name="Heading 3 2 3 5 2 2" xfId="5640" xr:uid="{8C5FA8DE-6B2B-4AF0-A221-347B98132FE9}"/>
    <cellStyle name="Heading 3 2 3 5 3" xfId="691" xr:uid="{EFBE1373-C278-458F-8D6A-BC57D75D62E9}"/>
    <cellStyle name="Heading 3 2 3 5 3 2" xfId="5641" xr:uid="{91F6607E-2673-4791-81BF-E0496D3EBE47}"/>
    <cellStyle name="Heading 3 2 3 5 4" xfId="5639" xr:uid="{8B3504D8-4A4A-4EF9-B085-7622A767267F}"/>
    <cellStyle name="Heading 3 2 3 6" xfId="692" xr:uid="{0E47DA21-E0A6-40BE-B3F5-37A82697931B}"/>
    <cellStyle name="Heading 3 2 3 6 2" xfId="5642" xr:uid="{606307A0-2B42-4484-B392-0E03F11227B1}"/>
    <cellStyle name="Heading 3 2 3 7" xfId="5595" xr:uid="{FD6CFD8C-5002-47AD-A3B1-C990DD302345}"/>
    <cellStyle name="Heading 3 2 4" xfId="693" xr:uid="{B858F02D-54ED-46DB-9DBF-8C1E123264B8}"/>
    <cellStyle name="Heading 3 2 4 2" xfId="694" xr:uid="{21940436-0E3E-4CFD-9603-23B097A03DCF}"/>
    <cellStyle name="Heading 3 2 4 2 2" xfId="695" xr:uid="{A38723F6-44ED-4401-9E82-4303F5C80AF8}"/>
    <cellStyle name="Heading 3 2 4 2 2 2" xfId="696" xr:uid="{B184B6DD-35B3-4A44-A0D1-CB40F5803A00}"/>
    <cellStyle name="Heading 3 2 4 2 2 2 2" xfId="697" xr:uid="{0634D1ED-B101-4A90-9DFC-E8AC0826B44B}"/>
    <cellStyle name="Heading 3 2 4 2 2 2 2 2" xfId="698" xr:uid="{1D8D5E22-2962-45D3-85A8-4698A49C3FCD}"/>
    <cellStyle name="Heading 3 2 4 2 2 2 2 2 2" xfId="5648" xr:uid="{87AF768E-71A9-498F-8F7A-A41E32BF8B5C}"/>
    <cellStyle name="Heading 3 2 4 2 2 2 2 3" xfId="699" xr:uid="{31A53D8D-90A1-4F81-BA77-1FE8D5FF45E4}"/>
    <cellStyle name="Heading 3 2 4 2 2 2 2 3 2" xfId="5649" xr:uid="{95B17EE9-C79A-4F15-9074-11A0820ECAF0}"/>
    <cellStyle name="Heading 3 2 4 2 2 2 2 4" xfId="5647" xr:uid="{F9636F35-5587-4504-8E70-A4E11ECFDCF8}"/>
    <cellStyle name="Heading 3 2 4 2 2 2 3" xfId="700" xr:uid="{4F220BBA-70A1-4F79-A4DE-2B7112F61A87}"/>
    <cellStyle name="Heading 3 2 4 2 2 2 3 2" xfId="5650" xr:uid="{0BBCE417-213F-4E5B-A4D1-2760AB52DE56}"/>
    <cellStyle name="Heading 3 2 4 2 2 2 4" xfId="701" xr:uid="{C84802D1-458A-490D-BDA2-D967105A761B}"/>
    <cellStyle name="Heading 3 2 4 2 2 2 4 2" xfId="5651" xr:uid="{62373B2D-D1AC-48B5-9097-7F75C42AA3B4}"/>
    <cellStyle name="Heading 3 2 4 2 2 2 5" xfId="5646" xr:uid="{C08FF2F7-B187-4270-A2C5-FE585E6E59BB}"/>
    <cellStyle name="Heading 3 2 4 2 2 3" xfId="702" xr:uid="{C2EF66A6-BFC1-4158-BAF4-2CF063A3099A}"/>
    <cellStyle name="Heading 3 2 4 2 2 3 2" xfId="703" xr:uid="{1BDEFF86-5DD1-4370-9A3D-87E2DA86551E}"/>
    <cellStyle name="Heading 3 2 4 2 2 3 2 2" xfId="5653" xr:uid="{C20FE41A-21C2-48B3-A456-D2F1CA542A48}"/>
    <cellStyle name="Heading 3 2 4 2 2 3 3" xfId="704" xr:uid="{A2B00AA0-51D9-4F8A-9E93-7CF80F8B220C}"/>
    <cellStyle name="Heading 3 2 4 2 2 3 3 2" xfId="5654" xr:uid="{138ACEDF-7489-4194-BCC4-145B04882CE8}"/>
    <cellStyle name="Heading 3 2 4 2 2 3 4" xfId="5652" xr:uid="{CBB4A6FB-BEE2-487A-8B6A-03A0F58C9B26}"/>
    <cellStyle name="Heading 3 2 4 2 2 4" xfId="705" xr:uid="{E7DEFBD5-FDE4-49A4-A93B-BA6B6A46273E}"/>
    <cellStyle name="Heading 3 2 4 2 2 4 2" xfId="5655" xr:uid="{F5B2DF76-C5AA-4D41-96F9-CB99C63213F2}"/>
    <cellStyle name="Heading 3 2 4 2 2 5" xfId="706" xr:uid="{85578653-BFE0-4FA4-8FEA-E64254C160F2}"/>
    <cellStyle name="Heading 3 2 4 2 2 5 2" xfId="5656" xr:uid="{04F55D7E-BB42-428B-B566-6AA95EE8F89B}"/>
    <cellStyle name="Heading 3 2 4 2 2 6" xfId="5645" xr:uid="{24A706A7-FC38-4281-9CAE-B63AC93EE8E9}"/>
    <cellStyle name="Heading 3 2 4 2 3" xfId="707" xr:uid="{137161F1-365B-4F72-8C97-15B1314233AD}"/>
    <cellStyle name="Heading 3 2 4 2 3 2" xfId="708" xr:uid="{23CA6A1F-64D5-44B8-B8B3-FC619F2BD730}"/>
    <cellStyle name="Heading 3 2 4 2 3 2 2" xfId="709" xr:uid="{42302140-534E-4640-86D5-AD16D5105CA0}"/>
    <cellStyle name="Heading 3 2 4 2 3 2 2 2" xfId="5659" xr:uid="{6B04C63E-B662-4B38-8521-87D7485B93FD}"/>
    <cellStyle name="Heading 3 2 4 2 3 2 3" xfId="710" xr:uid="{68E6A1C6-F070-441F-B2D0-945AA4C5413F}"/>
    <cellStyle name="Heading 3 2 4 2 3 2 3 2" xfId="5660" xr:uid="{AF49A7A0-93E5-40E0-92D9-CA448ADCDE03}"/>
    <cellStyle name="Heading 3 2 4 2 3 2 4" xfId="5658" xr:uid="{A47CC7E3-4854-47ED-BDE4-5EE4BBA7B14E}"/>
    <cellStyle name="Heading 3 2 4 2 3 3" xfId="711" xr:uid="{96AD8702-13AB-479D-93DD-CAB0F5CD8D35}"/>
    <cellStyle name="Heading 3 2 4 2 3 3 2" xfId="5661" xr:uid="{EE3B4A21-2EE4-4E8C-8F62-34B9F5A49B53}"/>
    <cellStyle name="Heading 3 2 4 2 3 4" xfId="712" xr:uid="{E1D297A3-7EE5-4E08-9726-9957F67750B9}"/>
    <cellStyle name="Heading 3 2 4 2 3 4 2" xfId="5662" xr:uid="{420649A0-987D-411F-9D31-C6E32AC6C9E6}"/>
    <cellStyle name="Heading 3 2 4 2 3 5" xfId="5657" xr:uid="{6EF72511-5AB3-42ED-8ABD-9242A756DFFF}"/>
    <cellStyle name="Heading 3 2 4 2 4" xfId="713" xr:uid="{3C0032BE-B78D-46B9-A1B6-387F768D8BF1}"/>
    <cellStyle name="Heading 3 2 4 2 4 2" xfId="714" xr:uid="{B223B756-365E-4295-BC63-D705A0A457A3}"/>
    <cellStyle name="Heading 3 2 4 2 4 2 2" xfId="5664" xr:uid="{B0156110-F264-4635-9AFA-D97C34B0E5A5}"/>
    <cellStyle name="Heading 3 2 4 2 4 3" xfId="715" xr:uid="{E3CA09BB-4D00-4A67-B172-F2E1241F52BB}"/>
    <cellStyle name="Heading 3 2 4 2 4 3 2" xfId="5665" xr:uid="{158B4210-4A0F-4861-A0DD-5E8BC3CA0D32}"/>
    <cellStyle name="Heading 3 2 4 2 4 4" xfId="5663" xr:uid="{29516F3B-DF11-48A1-ABB4-3CDF4D9C9C9B}"/>
    <cellStyle name="Heading 3 2 4 2 5" xfId="716" xr:uid="{8259800B-B72B-45EE-829D-46AE34FBBF30}"/>
    <cellStyle name="Heading 3 2 4 2 5 2" xfId="5666" xr:uid="{C6E14138-1060-46A3-9F93-A9D9C03837D4}"/>
    <cellStyle name="Heading 3 2 4 2 6" xfId="717" xr:uid="{2F9C212F-CB51-4228-9832-A302B50F1682}"/>
    <cellStyle name="Heading 3 2 4 2 6 2" xfId="5667" xr:uid="{4ABB62DB-5751-4011-9B07-64122E8278DA}"/>
    <cellStyle name="Heading 3 2 4 2 7" xfId="718" xr:uid="{2DCF589C-AA0D-4FA0-BAF2-A2F14BA3D78D}"/>
    <cellStyle name="Heading 3 2 4 2 7 2" xfId="5668" xr:uid="{49C6D8E1-A40F-46B3-B273-D9BE6A0C304B}"/>
    <cellStyle name="Heading 3 2 4 2 8" xfId="5644" xr:uid="{B7B91012-701F-464F-8527-0AAA1BA64F41}"/>
    <cellStyle name="Heading 3 2 4 3" xfId="719" xr:uid="{9A53CE6F-7D03-414C-90A2-1BC4E63921CB}"/>
    <cellStyle name="Heading 3 2 4 3 2" xfId="720" xr:uid="{F3E51C10-A11D-4F20-8514-3CE144F1FCCF}"/>
    <cellStyle name="Heading 3 2 4 3 2 2" xfId="721" xr:uid="{831B495D-0190-478E-B516-CA2F4EFE3868}"/>
    <cellStyle name="Heading 3 2 4 3 2 2 2" xfId="722" xr:uid="{BF967FC3-85C3-4281-A3E4-A92BD67DCD16}"/>
    <cellStyle name="Heading 3 2 4 3 2 2 2 2" xfId="5672" xr:uid="{C2D3C138-FD51-4EB9-9B27-52B56CB57468}"/>
    <cellStyle name="Heading 3 2 4 3 2 2 3" xfId="723" xr:uid="{55128797-2E08-4CCB-AD7F-2007D586FF2F}"/>
    <cellStyle name="Heading 3 2 4 3 2 2 3 2" xfId="5673" xr:uid="{1106AAB0-18E1-48FA-B2CC-FD869D5AFF15}"/>
    <cellStyle name="Heading 3 2 4 3 2 2 4" xfId="5671" xr:uid="{F02B0D05-8CE0-4D7B-9CF7-F7C0296A3536}"/>
    <cellStyle name="Heading 3 2 4 3 2 3" xfId="724" xr:uid="{A7358116-DDBE-481E-A8F1-BCE7CC3419B4}"/>
    <cellStyle name="Heading 3 2 4 3 2 3 2" xfId="5674" xr:uid="{74072DCA-F8D6-435D-BE0D-80ACE03C5F12}"/>
    <cellStyle name="Heading 3 2 4 3 2 4" xfId="725" xr:uid="{8F14C877-933A-4E08-AF09-800FF5E07963}"/>
    <cellStyle name="Heading 3 2 4 3 2 4 2" xfId="5675" xr:uid="{C08B3630-697A-427E-983B-89E17BB79786}"/>
    <cellStyle name="Heading 3 2 4 3 2 5" xfId="5670" xr:uid="{92435119-905D-42C4-AA1B-51B4669D5928}"/>
    <cellStyle name="Heading 3 2 4 3 3" xfId="726" xr:uid="{9BA44873-CA7F-4D25-9C76-351A17CBFBE5}"/>
    <cellStyle name="Heading 3 2 4 3 3 2" xfId="727" xr:uid="{2CE1BD90-1C90-48D3-9347-F9269B291693}"/>
    <cellStyle name="Heading 3 2 4 3 3 2 2" xfId="5677" xr:uid="{2665321B-1F4C-4071-8C64-EDF10D910764}"/>
    <cellStyle name="Heading 3 2 4 3 3 3" xfId="728" xr:uid="{571C22A4-4CB2-417B-9A63-FE8AED7693F5}"/>
    <cellStyle name="Heading 3 2 4 3 3 3 2" xfId="5678" xr:uid="{0D29E4CA-70E5-4159-BA02-1D349A5D93DC}"/>
    <cellStyle name="Heading 3 2 4 3 3 4" xfId="5676" xr:uid="{ED659DE3-536E-4B0E-BD90-2F759C8A454C}"/>
    <cellStyle name="Heading 3 2 4 3 4" xfId="729" xr:uid="{7E08C61E-E5BA-46C6-926C-8B2C81127626}"/>
    <cellStyle name="Heading 3 2 4 3 4 2" xfId="5679" xr:uid="{BD02784D-626D-42BE-90E9-8742AFF0C09D}"/>
    <cellStyle name="Heading 3 2 4 3 5" xfId="730" xr:uid="{3F2646C6-726A-4972-BA1A-EB18C56C6BBC}"/>
    <cellStyle name="Heading 3 2 4 3 5 2" xfId="5680" xr:uid="{B32094BE-229C-4FA2-B2E3-D5D56A59E527}"/>
    <cellStyle name="Heading 3 2 4 3 6" xfId="5669" xr:uid="{41FC94BF-04C0-4D62-8159-0861BEADF754}"/>
    <cellStyle name="Heading 3 2 4 4" xfId="731" xr:uid="{1429E5D6-3634-4A5D-9877-9333ED4EA255}"/>
    <cellStyle name="Heading 3 2 4 4 2" xfId="732" xr:uid="{F90E9A11-DB4D-4D95-94A4-63550E4718EA}"/>
    <cellStyle name="Heading 3 2 4 4 2 2" xfId="733" xr:uid="{32049767-40E5-414A-BDC6-45D4AAD86979}"/>
    <cellStyle name="Heading 3 2 4 4 2 2 2" xfId="5683" xr:uid="{19C7FDD6-FD89-4520-97D1-2A677544661E}"/>
    <cellStyle name="Heading 3 2 4 4 2 3" xfId="734" xr:uid="{37823626-DE0B-4CF3-BC44-AC21841E6A78}"/>
    <cellStyle name="Heading 3 2 4 4 2 3 2" xfId="5684" xr:uid="{73D408A8-7B6C-4F72-A3A2-1B0A92604057}"/>
    <cellStyle name="Heading 3 2 4 4 2 4" xfId="5682" xr:uid="{5617DC73-23C4-4E2B-8B41-4928BF4CBBE1}"/>
    <cellStyle name="Heading 3 2 4 4 3" xfId="735" xr:uid="{62F8653C-3769-4F77-AC6D-6A7506C3E164}"/>
    <cellStyle name="Heading 3 2 4 4 3 2" xfId="5685" xr:uid="{F2F7C198-813E-4006-A914-8C61702D0E40}"/>
    <cellStyle name="Heading 3 2 4 4 4" xfId="736" xr:uid="{CFC89BC0-5A98-47BD-8621-EE63953C76E9}"/>
    <cellStyle name="Heading 3 2 4 4 4 2" xfId="5686" xr:uid="{A82E846F-FAB6-46FD-BF35-205C4EF4CFF2}"/>
    <cellStyle name="Heading 3 2 4 4 5" xfId="5681" xr:uid="{0988C670-F396-4DFF-B5E5-FDF577AC235C}"/>
    <cellStyle name="Heading 3 2 4 5" xfId="737" xr:uid="{6010F7AF-5A05-4C50-8222-1B621D0D325C}"/>
    <cellStyle name="Heading 3 2 4 5 2" xfId="738" xr:uid="{71832D50-64BF-4731-A483-42395474DE14}"/>
    <cellStyle name="Heading 3 2 4 5 2 2" xfId="5688" xr:uid="{8EF3CAFF-43D0-42C7-AE84-198B4AD49411}"/>
    <cellStyle name="Heading 3 2 4 5 3" xfId="739" xr:uid="{A13318D7-6CD9-478A-A7F4-EA2FA703E3B5}"/>
    <cellStyle name="Heading 3 2 4 5 3 2" xfId="5689" xr:uid="{F4520BDD-1388-4AF9-AF4A-65DAD756FE31}"/>
    <cellStyle name="Heading 3 2 4 5 4" xfId="5687" xr:uid="{B87DB8C5-0C0F-4FEC-825A-A44B67B61E45}"/>
    <cellStyle name="Heading 3 2 4 6" xfId="740" xr:uid="{3D64CA3B-0D33-4776-9EC1-9963DBC0A605}"/>
    <cellStyle name="Heading 3 2 4 6 2" xfId="5690" xr:uid="{E86D37F9-BEA5-4FC7-BAAE-DAAC17039C15}"/>
    <cellStyle name="Heading 3 2 4 7" xfId="5643" xr:uid="{E726084B-4F4D-4827-A47E-6D273B5A87C1}"/>
    <cellStyle name="Heading 3 2 5" xfId="741" xr:uid="{069C9417-7FAA-4868-ACA4-E4672E089BFB}"/>
    <cellStyle name="Heading 3 2 5 2" xfId="742" xr:uid="{A2E0243A-97A9-473B-A633-41AF350A147F}"/>
    <cellStyle name="Heading 3 2 5 2 2" xfId="743" xr:uid="{AC087AF6-3828-4D1C-B403-34FEC38D11E0}"/>
    <cellStyle name="Heading 3 2 5 2 2 2" xfId="744" xr:uid="{F30916D3-6F71-4111-B522-083C203F36DE}"/>
    <cellStyle name="Heading 3 2 5 2 2 2 2" xfId="745" xr:uid="{0CAD62F7-C23D-4579-82B4-9AB02BC2682F}"/>
    <cellStyle name="Heading 3 2 5 2 2 2 2 2" xfId="746" xr:uid="{53C0E672-1F94-4823-B560-9D1CC6883C0C}"/>
    <cellStyle name="Heading 3 2 5 2 2 2 2 2 2" xfId="747" xr:uid="{39D8A128-376F-43F2-B387-ED9785FE56C4}"/>
    <cellStyle name="Heading 3 2 5 2 2 2 2 2 2 2" xfId="5697" xr:uid="{FA7D98ED-DDF3-42A4-8B71-FBD6FC98943D}"/>
    <cellStyle name="Heading 3 2 5 2 2 2 2 2 3" xfId="748" xr:uid="{8404B728-74D0-4EF1-8530-53B8B673433F}"/>
    <cellStyle name="Heading 3 2 5 2 2 2 2 2 3 2" xfId="5698" xr:uid="{528D9A81-D862-42F8-99B6-51D51CA51FB8}"/>
    <cellStyle name="Heading 3 2 5 2 2 2 2 2 4" xfId="5696" xr:uid="{EC246540-D043-40E6-B037-9D6F4553E1E8}"/>
    <cellStyle name="Heading 3 2 5 2 2 2 2 3" xfId="749" xr:uid="{8CA4910A-8DC5-41E9-8F54-8A93B776497A}"/>
    <cellStyle name="Heading 3 2 5 2 2 2 2 3 2" xfId="5699" xr:uid="{788FBA2A-0F8D-476D-A00C-40449B599ACE}"/>
    <cellStyle name="Heading 3 2 5 2 2 2 2 4" xfId="750" xr:uid="{148224D9-E033-42F7-9062-4068B3CD812E}"/>
    <cellStyle name="Heading 3 2 5 2 2 2 2 4 2" xfId="5700" xr:uid="{18596C99-6732-406A-A84F-987AE1AD004B}"/>
    <cellStyle name="Heading 3 2 5 2 2 2 2 5" xfId="5695" xr:uid="{B7ADDBBF-31A2-489F-8841-505373DF682D}"/>
    <cellStyle name="Heading 3 2 5 2 2 2 3" xfId="751" xr:uid="{4EF7C076-0072-4824-81C1-A47FA24C1792}"/>
    <cellStyle name="Heading 3 2 5 2 2 2 3 2" xfId="752" xr:uid="{971BD1F1-F923-4693-AC96-4085F0FBC39C}"/>
    <cellStyle name="Heading 3 2 5 2 2 2 3 2 2" xfId="5702" xr:uid="{B114FA2A-A39C-4895-B2D2-17E9DDD55526}"/>
    <cellStyle name="Heading 3 2 5 2 2 2 3 3" xfId="753" xr:uid="{16D6FFC5-F56D-4AE3-BDC8-56C57AE66106}"/>
    <cellStyle name="Heading 3 2 5 2 2 2 3 3 2" xfId="5703" xr:uid="{C02DA048-1FCC-4D0B-97F7-5A06B259E1D2}"/>
    <cellStyle name="Heading 3 2 5 2 2 2 3 4" xfId="5701" xr:uid="{19645D75-04F5-4BF3-992F-880AED0F8FB6}"/>
    <cellStyle name="Heading 3 2 5 2 2 2 4" xfId="754" xr:uid="{605547D5-620E-4064-B31A-C3EAE47E1D66}"/>
    <cellStyle name="Heading 3 2 5 2 2 2 4 2" xfId="5704" xr:uid="{1FCA08FB-1F26-4394-B39C-6098D1295882}"/>
    <cellStyle name="Heading 3 2 5 2 2 2 5" xfId="755" xr:uid="{18BEB386-9480-44F6-AD71-B9B0A2498D89}"/>
    <cellStyle name="Heading 3 2 5 2 2 2 5 2" xfId="5705" xr:uid="{0D60E830-03E4-439F-962B-64BFD46B713D}"/>
    <cellStyle name="Heading 3 2 5 2 2 2 6" xfId="5694" xr:uid="{D79AC50E-63CC-4E08-8C5F-7D23B39AD4EA}"/>
    <cellStyle name="Heading 3 2 5 2 2 3" xfId="756" xr:uid="{8EC2FACD-0CCF-4B1C-8279-AE8E00B71EA0}"/>
    <cellStyle name="Heading 3 2 5 2 2 3 2" xfId="757" xr:uid="{C2FFBC22-E0DA-4C60-BFB6-C0FE9895A162}"/>
    <cellStyle name="Heading 3 2 5 2 2 3 2 2" xfId="758" xr:uid="{8268CE02-4871-49DE-9987-913F5677C60D}"/>
    <cellStyle name="Heading 3 2 5 2 2 3 2 2 2" xfId="5708" xr:uid="{47EBE178-F342-4658-A423-4AA5DC863F65}"/>
    <cellStyle name="Heading 3 2 5 2 2 3 2 3" xfId="759" xr:uid="{FE73F7B8-9669-4B56-BB3B-0600C9E7512F}"/>
    <cellStyle name="Heading 3 2 5 2 2 3 2 3 2" xfId="5709" xr:uid="{884C00AD-D382-4331-B071-49694F0FF17F}"/>
    <cellStyle name="Heading 3 2 5 2 2 3 2 4" xfId="5707" xr:uid="{A37B0D96-80A5-4116-A1E9-56EB62084E03}"/>
    <cellStyle name="Heading 3 2 5 2 2 3 3" xfId="760" xr:uid="{BC442849-4E30-4425-8FD5-08D98CF1B7B9}"/>
    <cellStyle name="Heading 3 2 5 2 2 3 3 2" xfId="5710" xr:uid="{A1CF7237-0A73-47B1-B920-D34B8F5FEAF9}"/>
    <cellStyle name="Heading 3 2 5 2 2 3 4" xfId="761" xr:uid="{78ED15A9-0EBD-4707-A324-3CD0EBB97550}"/>
    <cellStyle name="Heading 3 2 5 2 2 3 4 2" xfId="5711" xr:uid="{D8D1E6FF-CAD2-446A-B868-C04A57C7CA1A}"/>
    <cellStyle name="Heading 3 2 5 2 2 3 5" xfId="5706" xr:uid="{DAEA390A-CB32-4E49-B70F-891584C438BA}"/>
    <cellStyle name="Heading 3 2 5 2 2 4" xfId="762" xr:uid="{DDAA0042-6FB9-4258-8A88-55D5C685D982}"/>
    <cellStyle name="Heading 3 2 5 2 2 4 2" xfId="763" xr:uid="{99BD4160-88CC-4A7A-B4DF-275880640987}"/>
    <cellStyle name="Heading 3 2 5 2 2 4 2 2" xfId="5713" xr:uid="{3372AF7A-6F76-4563-9694-567B38E6E94A}"/>
    <cellStyle name="Heading 3 2 5 2 2 4 3" xfId="764" xr:uid="{DCFA505E-6897-4C43-8965-A2AF8B75F985}"/>
    <cellStyle name="Heading 3 2 5 2 2 4 3 2" xfId="5714" xr:uid="{EA8280B2-742D-4C6B-B82D-F13CCEA4275C}"/>
    <cellStyle name="Heading 3 2 5 2 2 4 4" xfId="5712" xr:uid="{8A2107B7-3932-427A-A430-35B22F35EE5E}"/>
    <cellStyle name="Heading 3 2 5 2 2 5" xfId="765" xr:uid="{56997C96-62A7-418C-BBBA-0E98B79C6F45}"/>
    <cellStyle name="Heading 3 2 5 2 2 5 2" xfId="5715" xr:uid="{0777B007-65DE-423A-BB69-3F864ECA5B1C}"/>
    <cellStyle name="Heading 3 2 5 2 2 6" xfId="766" xr:uid="{128D1C12-94A2-49EB-A094-1F0052AF0EAE}"/>
    <cellStyle name="Heading 3 2 5 2 2 6 2" xfId="5716" xr:uid="{22F4BE97-0EBB-4BC8-8240-76EE33ECCFD0}"/>
    <cellStyle name="Heading 3 2 5 2 2 7" xfId="767" xr:uid="{D2FAA3B0-E27C-4BA0-9453-D5478E708073}"/>
    <cellStyle name="Heading 3 2 5 2 2 7 2" xfId="5717" xr:uid="{8E115143-A09D-46CC-802C-1346A08A5766}"/>
    <cellStyle name="Heading 3 2 5 2 2 8" xfId="5693" xr:uid="{C7E60AF8-B333-4713-B503-E316B033EB3A}"/>
    <cellStyle name="Heading 3 2 5 2 3" xfId="768" xr:uid="{9EF0D1FE-F94D-4398-8856-87028C3C4EB7}"/>
    <cellStyle name="Heading 3 2 5 2 3 2" xfId="769" xr:uid="{ED5FBD1E-2090-4435-8187-63C37EC15D7C}"/>
    <cellStyle name="Heading 3 2 5 2 3 2 2" xfId="770" xr:uid="{FDC10D3C-4C8C-433F-B7E5-CDF95616C2E1}"/>
    <cellStyle name="Heading 3 2 5 2 3 2 2 2" xfId="771" xr:uid="{7768C76F-3E31-4CC0-9C3C-78281403AD7A}"/>
    <cellStyle name="Heading 3 2 5 2 3 2 2 2 2" xfId="5721" xr:uid="{893AA346-F70C-48CB-950D-10D88160D0BF}"/>
    <cellStyle name="Heading 3 2 5 2 3 2 2 3" xfId="772" xr:uid="{D5B7163F-5F7B-4740-BB48-9FD4706B32E0}"/>
    <cellStyle name="Heading 3 2 5 2 3 2 2 3 2" xfId="5722" xr:uid="{8B6925E4-F451-4B5E-B102-46C4A4408D41}"/>
    <cellStyle name="Heading 3 2 5 2 3 2 2 4" xfId="5720" xr:uid="{E23E1635-EFF1-444F-B356-F8AA364A0234}"/>
    <cellStyle name="Heading 3 2 5 2 3 2 3" xfId="773" xr:uid="{A3D0DEC6-4086-4726-B31D-1398B6563D73}"/>
    <cellStyle name="Heading 3 2 5 2 3 2 3 2" xfId="5723" xr:uid="{71B74C74-B002-43D4-BED9-4E803EAFBD61}"/>
    <cellStyle name="Heading 3 2 5 2 3 2 4" xfId="774" xr:uid="{D60DEED2-74AE-430C-A978-D643EC16B4C8}"/>
    <cellStyle name="Heading 3 2 5 2 3 2 4 2" xfId="5724" xr:uid="{A02EC536-4BFF-491E-838C-9CFFE3E7155E}"/>
    <cellStyle name="Heading 3 2 5 2 3 2 5" xfId="5719" xr:uid="{B4978EDF-6540-4C42-93D3-327247D8E59B}"/>
    <cellStyle name="Heading 3 2 5 2 3 3" xfId="775" xr:uid="{C07FA95A-5A0E-4F45-99E0-DD3B161C96C8}"/>
    <cellStyle name="Heading 3 2 5 2 3 3 2" xfId="776" xr:uid="{2FC6E96A-8E5F-405E-B5DB-9CC616D728D0}"/>
    <cellStyle name="Heading 3 2 5 2 3 3 2 2" xfId="5726" xr:uid="{F3EB9533-FD68-4893-9C37-55607722326E}"/>
    <cellStyle name="Heading 3 2 5 2 3 3 3" xfId="777" xr:uid="{2B080828-BDFC-4E00-83BB-D7E4CD34E892}"/>
    <cellStyle name="Heading 3 2 5 2 3 3 3 2" xfId="5727" xr:uid="{97FD3657-BC72-454C-AFE0-7E65730110C3}"/>
    <cellStyle name="Heading 3 2 5 2 3 3 4" xfId="5725" xr:uid="{76DF8B9E-81C2-4096-B805-4AE4E9F8F12E}"/>
    <cellStyle name="Heading 3 2 5 2 3 4" xfId="778" xr:uid="{DB746555-D4DD-4D6B-8CB3-68BB54DC0157}"/>
    <cellStyle name="Heading 3 2 5 2 3 4 2" xfId="5728" xr:uid="{58200474-84E5-4936-9DB2-2FD3537FBB1B}"/>
    <cellStyle name="Heading 3 2 5 2 3 5" xfId="779" xr:uid="{DFD5ACEE-0C70-4DF6-A47C-909A8C8DA9DC}"/>
    <cellStyle name="Heading 3 2 5 2 3 5 2" xfId="5729" xr:uid="{79DA68C3-397A-484C-A4ED-920BB6FDC27E}"/>
    <cellStyle name="Heading 3 2 5 2 3 6" xfId="5718" xr:uid="{32EBE29C-77AF-4ACE-8E0C-3D46725F5C65}"/>
    <cellStyle name="Heading 3 2 5 2 4" xfId="780" xr:uid="{F8FE92A5-0A99-4FD7-A60A-C47DD143DE84}"/>
    <cellStyle name="Heading 3 2 5 2 4 2" xfId="781" xr:uid="{164DFDFA-29A4-4860-98FF-45A491D3B899}"/>
    <cellStyle name="Heading 3 2 5 2 4 2 2" xfId="782" xr:uid="{6F03FE58-ABA7-425C-8560-2E7908BCF513}"/>
    <cellStyle name="Heading 3 2 5 2 4 2 2 2" xfId="5732" xr:uid="{83612ED5-9849-4FF5-93DD-B6DC18BC3468}"/>
    <cellStyle name="Heading 3 2 5 2 4 2 3" xfId="783" xr:uid="{7E9B5E27-2AFD-4C6F-B2DD-0A79612F6569}"/>
    <cellStyle name="Heading 3 2 5 2 4 2 3 2" xfId="5733" xr:uid="{50B1C4D2-B20C-4A79-9BA6-97CC03D479B1}"/>
    <cellStyle name="Heading 3 2 5 2 4 2 4" xfId="5731" xr:uid="{CBC68831-2CDD-4A73-8D26-EA29301EF874}"/>
    <cellStyle name="Heading 3 2 5 2 4 3" xfId="784" xr:uid="{D142DB18-C357-42CE-A261-37578A96A297}"/>
    <cellStyle name="Heading 3 2 5 2 4 3 2" xfId="5734" xr:uid="{E06257E8-2AEB-4D71-BB78-0B54F7F1D95D}"/>
    <cellStyle name="Heading 3 2 5 2 4 4" xfId="785" xr:uid="{4AC81003-F2F7-4D32-84C0-92F5B254EAE5}"/>
    <cellStyle name="Heading 3 2 5 2 4 4 2" xfId="5735" xr:uid="{EAD80D06-6E62-4B4D-9427-61BB2D496677}"/>
    <cellStyle name="Heading 3 2 5 2 4 5" xfId="5730" xr:uid="{554311C3-9032-470F-A62C-B7B0B3015E53}"/>
    <cellStyle name="Heading 3 2 5 2 5" xfId="786" xr:uid="{1D6D6346-C84C-4041-958B-2580066C5766}"/>
    <cellStyle name="Heading 3 2 5 2 5 2" xfId="787" xr:uid="{0A216325-27E4-4804-AF5E-708FC8BA42F8}"/>
    <cellStyle name="Heading 3 2 5 2 5 2 2" xfId="5737" xr:uid="{78136328-EA81-4871-964F-8754971B2B35}"/>
    <cellStyle name="Heading 3 2 5 2 5 3" xfId="788" xr:uid="{7B44FF0C-1AAB-4634-8856-C234EE624B9C}"/>
    <cellStyle name="Heading 3 2 5 2 5 3 2" xfId="5738" xr:uid="{12A59F57-7152-4512-94CF-E415CDD5F4AB}"/>
    <cellStyle name="Heading 3 2 5 2 5 4" xfId="5736" xr:uid="{13FD4DD2-C200-41E0-8CF6-FF412B07AA38}"/>
    <cellStyle name="Heading 3 2 5 2 6" xfId="789" xr:uid="{EF024D04-794F-4291-B84E-9A1753ED8BF8}"/>
    <cellStyle name="Heading 3 2 5 2 6 2" xfId="5739" xr:uid="{C00B9872-63E9-49BD-BF21-0BE472F01B41}"/>
    <cellStyle name="Heading 3 2 5 2 7" xfId="5692" xr:uid="{823607D1-CB98-4534-8156-6E401DF35465}"/>
    <cellStyle name="Heading 3 2 5 3" xfId="790" xr:uid="{BF5CF4A0-C34C-4C76-9730-B3B7087D2A74}"/>
    <cellStyle name="Heading 3 2 5 3 2" xfId="791" xr:uid="{741E36BC-F2D2-4C8B-BFAC-7077DF77D016}"/>
    <cellStyle name="Heading 3 2 5 3 2 2" xfId="792" xr:uid="{42DF1CDE-0423-4999-8179-9498EC393D32}"/>
    <cellStyle name="Heading 3 2 5 3 2 2 2" xfId="793" xr:uid="{DF02A141-40BD-49BE-AE80-CB4E2F86BDBD}"/>
    <cellStyle name="Heading 3 2 5 3 2 2 2 2" xfId="794" xr:uid="{98DFB467-527A-453D-AAAC-E90607296520}"/>
    <cellStyle name="Heading 3 2 5 3 2 2 2 2 2" xfId="5744" xr:uid="{D357121F-096E-4158-BBBC-DA549E31E8D3}"/>
    <cellStyle name="Heading 3 2 5 3 2 2 2 3" xfId="795" xr:uid="{E8C0BC46-310A-419C-9E4C-6BDCEE4C82BF}"/>
    <cellStyle name="Heading 3 2 5 3 2 2 2 3 2" xfId="5745" xr:uid="{DBCF1C7E-19E9-4C7D-B310-81335AFD8D4A}"/>
    <cellStyle name="Heading 3 2 5 3 2 2 2 4" xfId="5743" xr:uid="{FD0D200B-F800-4A5A-ADA3-10B4E5419C40}"/>
    <cellStyle name="Heading 3 2 5 3 2 2 3" xfId="796" xr:uid="{3FDA0CA6-7AE7-4539-8550-209D5375D3CE}"/>
    <cellStyle name="Heading 3 2 5 3 2 2 3 2" xfId="5746" xr:uid="{FD6B4073-8D4C-439B-9C05-C18FC7234895}"/>
    <cellStyle name="Heading 3 2 5 3 2 2 4" xfId="797" xr:uid="{DD85F03D-2670-4369-B213-041A85706D3F}"/>
    <cellStyle name="Heading 3 2 5 3 2 2 4 2" xfId="5747" xr:uid="{CBA5B80D-A4A6-4FCB-824F-DC75031153F4}"/>
    <cellStyle name="Heading 3 2 5 3 2 2 5" xfId="5742" xr:uid="{5699E07E-7E28-4D80-B10F-4828E00C11A9}"/>
    <cellStyle name="Heading 3 2 5 3 2 3" xfId="798" xr:uid="{B218B8B9-7CEC-476F-B591-C6F34427AA98}"/>
    <cellStyle name="Heading 3 2 5 3 2 3 2" xfId="799" xr:uid="{9003AF20-179B-4423-9435-ED27D01EF27C}"/>
    <cellStyle name="Heading 3 2 5 3 2 3 2 2" xfId="5749" xr:uid="{D57A6F2C-ABF4-4868-BB0A-3E5E6ED9D40C}"/>
    <cellStyle name="Heading 3 2 5 3 2 3 3" xfId="800" xr:uid="{21B50A1F-F022-465C-AED2-C2525550365E}"/>
    <cellStyle name="Heading 3 2 5 3 2 3 3 2" xfId="5750" xr:uid="{A87CBF8A-406A-4DCB-9B39-83C92A1D1E4E}"/>
    <cellStyle name="Heading 3 2 5 3 2 3 4" xfId="5748" xr:uid="{6DBD910E-A958-40F2-B68B-EA3EC23D407F}"/>
    <cellStyle name="Heading 3 2 5 3 2 4" xfId="801" xr:uid="{0E6CA70C-E166-4E4C-A86F-5B4CF0403058}"/>
    <cellStyle name="Heading 3 2 5 3 2 4 2" xfId="5751" xr:uid="{1456D589-8AB2-408E-ACE6-5525E2FF4463}"/>
    <cellStyle name="Heading 3 2 5 3 2 5" xfId="802" xr:uid="{4AA734BC-3B8F-4025-83DC-FF0EBEC6B3C2}"/>
    <cellStyle name="Heading 3 2 5 3 2 5 2" xfId="5752" xr:uid="{047313A1-8889-4226-91F3-FE7F808DCBCC}"/>
    <cellStyle name="Heading 3 2 5 3 2 6" xfId="5741" xr:uid="{68CE4BA9-9F12-4F01-AC27-5A328A34AD3A}"/>
    <cellStyle name="Heading 3 2 5 3 3" xfId="803" xr:uid="{6EF797EB-9C8A-4967-80A8-327CC973919D}"/>
    <cellStyle name="Heading 3 2 5 3 3 2" xfId="804" xr:uid="{3209FCD2-AAD2-48CB-9DD3-B4336F27FF19}"/>
    <cellStyle name="Heading 3 2 5 3 3 2 2" xfId="805" xr:uid="{561DB581-75F8-4498-A138-19CD9CD5C1AD}"/>
    <cellStyle name="Heading 3 2 5 3 3 2 2 2" xfId="5755" xr:uid="{0DF676BE-DA11-4131-B9B0-638109C51584}"/>
    <cellStyle name="Heading 3 2 5 3 3 2 3" xfId="806" xr:uid="{FDEEB1AD-2573-4E15-9E06-B0A4BDECFFE3}"/>
    <cellStyle name="Heading 3 2 5 3 3 2 3 2" xfId="5756" xr:uid="{5AD51DB1-3961-4714-A47A-08BA870BFF12}"/>
    <cellStyle name="Heading 3 2 5 3 3 2 4" xfId="5754" xr:uid="{48635205-F0B9-4FDF-B37F-B35B90B31B6D}"/>
    <cellStyle name="Heading 3 2 5 3 3 3" xfId="807" xr:uid="{A7A49479-34D1-402F-A5A0-9DD7039E0EC2}"/>
    <cellStyle name="Heading 3 2 5 3 3 3 2" xfId="5757" xr:uid="{022AE472-CBB6-4AB7-9E38-4A289AE20250}"/>
    <cellStyle name="Heading 3 2 5 3 3 4" xfId="808" xr:uid="{7BE8AE5A-216D-4E1D-BA43-2F1BAC61F1D7}"/>
    <cellStyle name="Heading 3 2 5 3 3 4 2" xfId="5758" xr:uid="{4BB41D99-8BCF-492F-87AF-14DF52B2CA65}"/>
    <cellStyle name="Heading 3 2 5 3 3 5" xfId="5753" xr:uid="{A65B892E-6EEF-42F8-86E5-F079D60404BF}"/>
    <cellStyle name="Heading 3 2 5 3 4" xfId="809" xr:uid="{477BC795-96A8-4FBF-A6F7-320F84F1CB31}"/>
    <cellStyle name="Heading 3 2 5 3 4 2" xfId="810" xr:uid="{B1E352B6-0912-4A76-B52B-F7CBFF052F4A}"/>
    <cellStyle name="Heading 3 2 5 3 4 2 2" xfId="5760" xr:uid="{8FC84618-10CB-46EC-9334-032DE1EB55F1}"/>
    <cellStyle name="Heading 3 2 5 3 4 3" xfId="811" xr:uid="{94F578C1-7820-4EBC-BA5F-50159CFD6A21}"/>
    <cellStyle name="Heading 3 2 5 3 4 3 2" xfId="5761" xr:uid="{73A496C2-516E-43B4-A2C1-E8F171A32A28}"/>
    <cellStyle name="Heading 3 2 5 3 4 4" xfId="5759" xr:uid="{1CC0B168-9FEB-4767-BBB7-27D3BB229E77}"/>
    <cellStyle name="Heading 3 2 5 3 5" xfId="812" xr:uid="{6271E8C5-1940-4CA3-B8FA-D70D977AC528}"/>
    <cellStyle name="Heading 3 2 5 3 5 2" xfId="5762" xr:uid="{2F299B51-F254-4D6B-8F07-ECBA5156997B}"/>
    <cellStyle name="Heading 3 2 5 3 6" xfId="813" xr:uid="{ED6F7B4D-E512-4C35-86BE-88D2A689F7BC}"/>
    <cellStyle name="Heading 3 2 5 3 6 2" xfId="5763" xr:uid="{FE579029-05FA-4E97-AC34-AC8C6F07A539}"/>
    <cellStyle name="Heading 3 2 5 3 7" xfId="814" xr:uid="{D53341B5-3735-4B30-8AF1-1F4FC7CD4716}"/>
    <cellStyle name="Heading 3 2 5 3 7 2" xfId="5764" xr:uid="{5DFBCA17-13F4-4A26-A021-55CFD05212BF}"/>
    <cellStyle name="Heading 3 2 5 3 8" xfId="5740" xr:uid="{78CECE9A-C7FE-4CAF-949E-DD399F06CAF7}"/>
    <cellStyle name="Heading 3 2 5 4" xfId="815" xr:uid="{1692A47A-507C-4A3B-B482-0D51D94B5E35}"/>
    <cellStyle name="Heading 3 2 5 4 2" xfId="816" xr:uid="{708C913F-C555-4303-AF48-5DED4C68F114}"/>
    <cellStyle name="Heading 3 2 5 4 2 2" xfId="817" xr:uid="{7D58AA19-E8CA-488C-A789-1847677ED20F}"/>
    <cellStyle name="Heading 3 2 5 4 2 2 2" xfId="818" xr:uid="{16282112-008D-4B2A-B20A-82B26D548732}"/>
    <cellStyle name="Heading 3 2 5 4 2 2 2 2" xfId="5768" xr:uid="{6FABE37C-7E82-40E3-8D97-08FA82B09936}"/>
    <cellStyle name="Heading 3 2 5 4 2 2 3" xfId="819" xr:uid="{719A50B9-1E9E-4B9A-A649-BD82D8C49746}"/>
    <cellStyle name="Heading 3 2 5 4 2 2 3 2" xfId="5769" xr:uid="{3CC55175-7A54-4B71-9727-AD170A607E88}"/>
    <cellStyle name="Heading 3 2 5 4 2 2 4" xfId="5767" xr:uid="{C851C896-27BF-4E14-8827-647D03BFEE4D}"/>
    <cellStyle name="Heading 3 2 5 4 2 3" xfId="820" xr:uid="{B8A05CD0-729B-402A-A519-36AF6170B336}"/>
    <cellStyle name="Heading 3 2 5 4 2 3 2" xfId="5770" xr:uid="{9AD86F96-12F3-4818-B273-709B25114B92}"/>
    <cellStyle name="Heading 3 2 5 4 2 4" xfId="821" xr:uid="{5FDE9347-C352-47CE-8CA3-A6799FB5DC96}"/>
    <cellStyle name="Heading 3 2 5 4 2 4 2" xfId="5771" xr:uid="{780F2580-80FA-47EF-B03B-DF9CA2BAF49B}"/>
    <cellStyle name="Heading 3 2 5 4 2 5" xfId="5766" xr:uid="{ECDB0DD4-05DC-409C-BC06-595FB7A5EBE4}"/>
    <cellStyle name="Heading 3 2 5 4 3" xfId="822" xr:uid="{FCBD6B61-38D6-44AD-B1BB-C6670C40C4E9}"/>
    <cellStyle name="Heading 3 2 5 4 3 2" xfId="823" xr:uid="{1BE60D70-55B6-4D46-AA9A-B842C503D456}"/>
    <cellStyle name="Heading 3 2 5 4 3 2 2" xfId="5773" xr:uid="{E0D4431A-108E-4EC6-8348-BBC43FCD528F}"/>
    <cellStyle name="Heading 3 2 5 4 3 3" xfId="824" xr:uid="{274E008F-66C4-4E9B-99C4-BDA7E2BB4F56}"/>
    <cellStyle name="Heading 3 2 5 4 3 3 2" xfId="5774" xr:uid="{347784B4-A06A-423E-9EC5-D66AE53F959B}"/>
    <cellStyle name="Heading 3 2 5 4 3 4" xfId="5772" xr:uid="{2F24E24D-4341-46E7-BD80-2178ACD6252D}"/>
    <cellStyle name="Heading 3 2 5 4 4" xfId="825" xr:uid="{0BB11D95-A593-41EC-9259-2B23F2B0D6DA}"/>
    <cellStyle name="Heading 3 2 5 4 4 2" xfId="5775" xr:uid="{58C3DA3F-0FA1-409F-9BFA-3811E0C317B3}"/>
    <cellStyle name="Heading 3 2 5 4 5" xfId="826" xr:uid="{6E24099E-1B56-4B9E-9037-3FF9F21F36C9}"/>
    <cellStyle name="Heading 3 2 5 4 5 2" xfId="5776" xr:uid="{0877E781-B9CA-49C0-B54B-2CAA39E91778}"/>
    <cellStyle name="Heading 3 2 5 4 6" xfId="5765" xr:uid="{D2DA9C39-BCF1-458F-AFC3-2890D9BCA23F}"/>
    <cellStyle name="Heading 3 2 5 5" xfId="827" xr:uid="{BC46B9C1-C578-460F-8A21-64CA2A87F459}"/>
    <cellStyle name="Heading 3 2 5 5 2" xfId="828" xr:uid="{52F866F6-FC71-461F-B60D-AD509D2947AC}"/>
    <cellStyle name="Heading 3 2 5 5 2 2" xfId="829" xr:uid="{B178CC61-4A31-44F8-B26D-C6D3EBD6B8C0}"/>
    <cellStyle name="Heading 3 2 5 5 2 2 2" xfId="5779" xr:uid="{147D7B18-41E7-4F8C-9443-7AF81DEC0205}"/>
    <cellStyle name="Heading 3 2 5 5 2 3" xfId="830" xr:uid="{C9052F80-68BA-46BB-A06D-F5E9A05EC021}"/>
    <cellStyle name="Heading 3 2 5 5 2 3 2" xfId="5780" xr:uid="{ECC8B22C-60DB-44AC-BC3B-2BF1E29AE7EF}"/>
    <cellStyle name="Heading 3 2 5 5 2 4" xfId="5778" xr:uid="{66AAE89A-3A7C-44B4-A736-3B21CE36A7C1}"/>
    <cellStyle name="Heading 3 2 5 5 3" xfId="831" xr:uid="{B99964D3-EE1C-41F6-8289-BA30D4A917F5}"/>
    <cellStyle name="Heading 3 2 5 5 3 2" xfId="5781" xr:uid="{E099DA1A-467F-44CF-BA6F-B432ED1BAF49}"/>
    <cellStyle name="Heading 3 2 5 5 4" xfId="832" xr:uid="{F5989034-0380-4733-AADE-C1CA4C979D21}"/>
    <cellStyle name="Heading 3 2 5 5 4 2" xfId="5782" xr:uid="{13CC3CB1-E24B-4716-9A24-27581D2D45D5}"/>
    <cellStyle name="Heading 3 2 5 5 5" xfId="5777" xr:uid="{9B31F80E-4E1B-481B-A59D-1828682031BB}"/>
    <cellStyle name="Heading 3 2 5 6" xfId="833" xr:uid="{AA80DB2F-BFAB-4530-8BE6-0D8E0BDF49E4}"/>
    <cellStyle name="Heading 3 2 5 6 2" xfId="834" xr:uid="{DC20989A-DB68-4396-90BF-1DA8822B8D7E}"/>
    <cellStyle name="Heading 3 2 5 6 2 2" xfId="5784" xr:uid="{A718073E-9ED5-47D7-9BA8-00F38AD907EC}"/>
    <cellStyle name="Heading 3 2 5 6 3" xfId="835" xr:uid="{FB9559AE-DEE0-4B74-ACE7-5F83BA78D203}"/>
    <cellStyle name="Heading 3 2 5 6 3 2" xfId="5785" xr:uid="{926D7425-6CB0-4B2A-9FF1-41F0D9F9D6C4}"/>
    <cellStyle name="Heading 3 2 5 6 4" xfId="5783" xr:uid="{DF486610-87B3-425E-98AD-7EC4F4586C57}"/>
    <cellStyle name="Heading 3 2 5 7" xfId="836" xr:uid="{C79A67C3-94B0-41C5-942C-192538D10DD8}"/>
    <cellStyle name="Heading 3 2 5 7 2" xfId="5786" xr:uid="{4DC1021D-E1DF-4FB8-A4B9-CDB88C0BF7B6}"/>
    <cellStyle name="Heading 3 2 5 8" xfId="5691" xr:uid="{E4B81E9B-21D3-42AC-9436-E2D7BFF30DFD}"/>
    <cellStyle name="Heading 3 2 6" xfId="837" xr:uid="{1BF2CFC4-A786-41F6-B2C3-F16A38397DD8}"/>
    <cellStyle name="Heading 3 2 6 2" xfId="838" xr:uid="{8187473F-8222-48B1-AE0F-577BB0AC7D8A}"/>
    <cellStyle name="Heading 3 2 6 2 2" xfId="839" xr:uid="{1D948ABE-C751-45EE-AD77-D93A949C1B3B}"/>
    <cellStyle name="Heading 3 2 6 2 2 2" xfId="840" xr:uid="{37B25683-7BE0-4D01-B01C-431F6E1C1814}"/>
    <cellStyle name="Heading 3 2 6 2 2 2 2" xfId="841" xr:uid="{3F87F3F9-0D2F-495D-ABC9-9B7810FE2DB3}"/>
    <cellStyle name="Heading 3 2 6 2 2 2 2 2" xfId="5791" xr:uid="{63BAD3A2-824D-47F2-B972-CF4A93207062}"/>
    <cellStyle name="Heading 3 2 6 2 2 2 3" xfId="842" xr:uid="{E6C1F8B4-7F9E-47D9-9D68-24150E20E2AE}"/>
    <cellStyle name="Heading 3 2 6 2 2 2 3 2" xfId="5792" xr:uid="{918AB5CA-6469-4529-8600-7008158C777E}"/>
    <cellStyle name="Heading 3 2 6 2 2 2 4" xfId="5790" xr:uid="{499DD8F2-8443-4836-A871-52EC32D18440}"/>
    <cellStyle name="Heading 3 2 6 2 2 3" xfId="843" xr:uid="{46F9870E-5D9D-4224-9942-AC3D0EC60FF4}"/>
    <cellStyle name="Heading 3 2 6 2 2 3 2" xfId="5793" xr:uid="{92343FEC-E5A4-44CB-A9C8-52A9766BFB6B}"/>
    <cellStyle name="Heading 3 2 6 2 2 4" xfId="844" xr:uid="{93350F7C-4735-4F61-98FC-B5118E168AA4}"/>
    <cellStyle name="Heading 3 2 6 2 2 4 2" xfId="5794" xr:uid="{5306E8B9-17F6-42A1-946F-D96F1A7D272E}"/>
    <cellStyle name="Heading 3 2 6 2 2 5" xfId="5789" xr:uid="{28594454-5D92-4E19-A908-36D907B55B80}"/>
    <cellStyle name="Heading 3 2 6 2 3" xfId="845" xr:uid="{76C25DFF-B67F-46AA-AE90-B75B713C55E4}"/>
    <cellStyle name="Heading 3 2 6 2 3 2" xfId="846" xr:uid="{2DF4F09B-B367-4D47-97E6-9F358CCC4525}"/>
    <cellStyle name="Heading 3 2 6 2 3 2 2" xfId="5796" xr:uid="{3FDDE648-468F-4E62-BE62-4B60D7E5BA6E}"/>
    <cellStyle name="Heading 3 2 6 2 3 3" xfId="847" xr:uid="{D313C74E-DF98-477E-A273-0D64A5CBE148}"/>
    <cellStyle name="Heading 3 2 6 2 3 3 2" xfId="5797" xr:uid="{84832BDC-F89B-4FAB-B9CA-669FEA1D9D08}"/>
    <cellStyle name="Heading 3 2 6 2 3 4" xfId="5795" xr:uid="{B17074B2-874A-40CA-9389-62785AB3EF68}"/>
    <cellStyle name="Heading 3 2 6 2 4" xfId="848" xr:uid="{1D8DEEBB-6E75-40BD-95FE-13079E8AF5F2}"/>
    <cellStyle name="Heading 3 2 6 2 4 2" xfId="5798" xr:uid="{93FC19C0-0E94-4F29-838F-B3A6DF5A9E5C}"/>
    <cellStyle name="Heading 3 2 6 2 5" xfId="849" xr:uid="{D968575A-8482-423A-A385-FDBAC61FE913}"/>
    <cellStyle name="Heading 3 2 6 2 5 2" xfId="5799" xr:uid="{3691E08B-D769-4544-AC31-E690C0165C81}"/>
    <cellStyle name="Heading 3 2 6 2 6" xfId="5788" xr:uid="{35CA661C-9874-4D3D-BEA3-2C91EFC1B879}"/>
    <cellStyle name="Heading 3 2 6 3" xfId="850" xr:uid="{2545885B-1C30-4320-87FC-C3B65F3AD745}"/>
    <cellStyle name="Heading 3 2 6 3 2" xfId="851" xr:uid="{544C04F1-8AF1-426B-AC44-C8591B627C63}"/>
    <cellStyle name="Heading 3 2 6 3 2 2" xfId="852" xr:uid="{A1DFBD57-958F-4527-8A39-533C84433949}"/>
    <cellStyle name="Heading 3 2 6 3 2 2 2" xfId="5802" xr:uid="{0A77BE2A-BB2C-4118-8E7E-5539DF7C40DF}"/>
    <cellStyle name="Heading 3 2 6 3 2 3" xfId="853" xr:uid="{9DB10B20-5E51-4C25-9320-FCAC83409891}"/>
    <cellStyle name="Heading 3 2 6 3 2 3 2" xfId="5803" xr:uid="{263EC86F-6F3A-453A-BD97-7849D4041C61}"/>
    <cellStyle name="Heading 3 2 6 3 2 4" xfId="5801" xr:uid="{3B12B899-2A87-44FF-8BDE-83DA9148CC4E}"/>
    <cellStyle name="Heading 3 2 6 3 3" xfId="854" xr:uid="{3BD4EE67-1335-4E60-92AF-4AA98F02384B}"/>
    <cellStyle name="Heading 3 2 6 3 3 2" xfId="5804" xr:uid="{3F0F1E65-C282-4CC6-B8DE-FF373F5FA3EB}"/>
    <cellStyle name="Heading 3 2 6 3 4" xfId="855" xr:uid="{C3B942EB-692F-422B-BB69-252B352A1DF8}"/>
    <cellStyle name="Heading 3 2 6 3 4 2" xfId="5805" xr:uid="{25D49616-824F-40A8-AE1F-42CD3F5A845D}"/>
    <cellStyle name="Heading 3 2 6 3 5" xfId="5800" xr:uid="{57281F91-E4A0-45F9-8DBF-6F37BDF129F9}"/>
    <cellStyle name="Heading 3 2 6 4" xfId="856" xr:uid="{A1C59EF0-7EBC-4F4A-A918-44DBBE136A55}"/>
    <cellStyle name="Heading 3 2 6 4 2" xfId="857" xr:uid="{0AC67AC3-31CE-440E-A5D9-A66CB4908E76}"/>
    <cellStyle name="Heading 3 2 6 4 2 2" xfId="5807" xr:uid="{3E62F986-8C1F-4AA9-A7FF-B8785A694372}"/>
    <cellStyle name="Heading 3 2 6 4 3" xfId="858" xr:uid="{76AF6FE5-98F4-47C3-AFEF-BE033E9C8B30}"/>
    <cellStyle name="Heading 3 2 6 4 3 2" xfId="5808" xr:uid="{74861BAA-EA13-4408-908A-F25B50768569}"/>
    <cellStyle name="Heading 3 2 6 4 4" xfId="5806" xr:uid="{4BAE6DCE-42D7-4BB8-B82E-1D5D954E7369}"/>
    <cellStyle name="Heading 3 2 6 5" xfId="859" xr:uid="{2A81804F-1C25-4605-9B0C-D16D6C85B7E6}"/>
    <cellStyle name="Heading 3 2 6 5 2" xfId="5809" xr:uid="{C8ADC444-56D0-441B-84CC-799E1076F326}"/>
    <cellStyle name="Heading 3 2 6 6" xfId="860" xr:uid="{D10693B4-EE65-4034-B880-98576EEF3AE1}"/>
    <cellStyle name="Heading 3 2 6 6 2" xfId="5810" xr:uid="{6C0C84CC-7D72-4F67-BF22-CB076D2162CA}"/>
    <cellStyle name="Heading 3 2 6 7" xfId="861" xr:uid="{1B20514D-17CE-4E83-B7F4-09D6C756405B}"/>
    <cellStyle name="Heading 3 2 6 7 2" xfId="5811" xr:uid="{6E402A0C-24C7-474B-9369-7B14FDB7148B}"/>
    <cellStyle name="Heading 3 2 6 8" xfId="5787" xr:uid="{CB3CED61-05F8-4CBF-B3EE-56972056E874}"/>
    <cellStyle name="Heading 3 2 7" xfId="862" xr:uid="{F7661EA3-89E2-4F02-B485-E65A954AD9A7}"/>
    <cellStyle name="Heading 3 2 7 2" xfId="863" xr:uid="{CBD4DC6B-3B4A-4940-8278-8FF4719E8DBA}"/>
    <cellStyle name="Heading 3 2 7 2 2" xfId="864" xr:uid="{AEF1CBF9-DC2B-4C50-A2D5-B56CE18FF0F7}"/>
    <cellStyle name="Heading 3 2 7 2 2 2" xfId="865" xr:uid="{79FA8D41-7836-4BDC-B986-02B2C9968730}"/>
    <cellStyle name="Heading 3 2 7 2 2 2 2" xfId="5815" xr:uid="{528FEFB0-519B-4C5A-A2BE-838B2737748F}"/>
    <cellStyle name="Heading 3 2 7 2 2 3" xfId="866" xr:uid="{147F94B9-D061-4C7D-BC20-9E00C6B581AF}"/>
    <cellStyle name="Heading 3 2 7 2 2 3 2" xfId="5816" xr:uid="{25EE6CD6-54E4-4B51-ABAB-82D552CB231E}"/>
    <cellStyle name="Heading 3 2 7 2 2 4" xfId="5814" xr:uid="{2339AFDC-ABB6-4A92-9EA0-369529EB6FD4}"/>
    <cellStyle name="Heading 3 2 7 2 3" xfId="867" xr:uid="{CB04A7BA-E4FF-4D98-80CD-B7E132465EEA}"/>
    <cellStyle name="Heading 3 2 7 2 3 2" xfId="5817" xr:uid="{C55EC7D7-225A-4DEC-8157-DC064B9D2B57}"/>
    <cellStyle name="Heading 3 2 7 2 4" xfId="868" xr:uid="{FBC81C27-5A10-4087-92E9-01C4A701C608}"/>
    <cellStyle name="Heading 3 2 7 2 4 2" xfId="5818" xr:uid="{952613D4-97DB-4CDB-A364-FC2BDEB0AF8E}"/>
    <cellStyle name="Heading 3 2 7 2 5" xfId="5813" xr:uid="{D988B082-3A06-4A46-A767-6B1452E58597}"/>
    <cellStyle name="Heading 3 2 7 3" xfId="869" xr:uid="{B776FACF-52BD-4BA4-BF28-DC08792F9A7F}"/>
    <cellStyle name="Heading 3 2 7 3 2" xfId="870" xr:uid="{1203A010-DA09-4DFA-8C29-75F59ED9F491}"/>
    <cellStyle name="Heading 3 2 7 3 2 2" xfId="5820" xr:uid="{6C747D8D-DAD3-4BE6-82D2-EEDFC4B49462}"/>
    <cellStyle name="Heading 3 2 7 3 3" xfId="871" xr:uid="{DF518D6D-A162-4667-9F6A-1ED00912BD78}"/>
    <cellStyle name="Heading 3 2 7 3 3 2" xfId="5821" xr:uid="{415899C5-CAAE-410F-90D3-0AC2F3E588E7}"/>
    <cellStyle name="Heading 3 2 7 3 4" xfId="5819" xr:uid="{9EDF42ED-96A3-4163-925B-960CBEA48310}"/>
    <cellStyle name="Heading 3 2 7 4" xfId="872" xr:uid="{CFE4B252-BAB1-4FF2-A76A-027544614D61}"/>
    <cellStyle name="Heading 3 2 7 4 2" xfId="5822" xr:uid="{765EAC78-2270-4B12-820B-4BFDD6424D91}"/>
    <cellStyle name="Heading 3 2 7 5" xfId="873" xr:uid="{40371652-F4E5-42F1-8072-9C6E016F733A}"/>
    <cellStyle name="Heading 3 2 7 5 2" xfId="5823" xr:uid="{B9B92DFA-CEC4-4A89-A3F8-FD591D76ACFF}"/>
    <cellStyle name="Heading 3 2 7 6" xfId="5812" xr:uid="{26579C7F-7A85-4058-96B7-D60BDD9F5381}"/>
    <cellStyle name="Heading 3 2 8" xfId="874" xr:uid="{8F0FE5CD-72BF-4DA8-824F-D1AAD4FAB572}"/>
    <cellStyle name="Heading 3 2 8 2" xfId="875" xr:uid="{3529EDBD-E7F7-4EEA-9598-DD32437D058D}"/>
    <cellStyle name="Heading 3 2 8 2 2" xfId="876" xr:uid="{8361310E-1A13-4D0D-AF9B-1D57ADB58553}"/>
    <cellStyle name="Heading 3 2 8 2 2 2" xfId="5826" xr:uid="{CE08B6E9-1344-4313-A05D-5E55FC6BC6BB}"/>
    <cellStyle name="Heading 3 2 8 2 3" xfId="877" xr:uid="{D4909E5B-8BC0-4FF4-90D3-ABF908686CBD}"/>
    <cellStyle name="Heading 3 2 8 2 3 2" xfId="5827" xr:uid="{7F3A87CF-9DA6-4622-8E02-80A94F6E9EA1}"/>
    <cellStyle name="Heading 3 2 8 2 4" xfId="5825" xr:uid="{FC9C2B81-FACF-4ADE-BF31-C2509F8E35F5}"/>
    <cellStyle name="Heading 3 2 8 3" xfId="878" xr:uid="{6DBAC6A4-8D24-412A-8FD7-E8D10BBFD28D}"/>
    <cellStyle name="Heading 3 2 8 3 2" xfId="5828" xr:uid="{D8D0FE05-E568-4E88-A3B0-453B3B9DD6B8}"/>
    <cellStyle name="Heading 3 2 8 4" xfId="879" xr:uid="{18253C58-CA96-4BB2-A937-AA423C2DC6C2}"/>
    <cellStyle name="Heading 3 2 8 4 2" xfId="5829" xr:uid="{3C43FB9C-640B-4E36-89A7-1CF258123BD5}"/>
    <cellStyle name="Heading 3 2 8 5" xfId="5824" xr:uid="{78655818-D8C7-4000-9724-954256C91381}"/>
    <cellStyle name="Heading 3 2 9" xfId="880" xr:uid="{DD65647E-E61C-49A4-93F1-2DEF225FE86A}"/>
    <cellStyle name="Heading 3 2 9 2" xfId="881" xr:uid="{9EA5A742-2FA3-4946-8D8B-B5F0BABF9F09}"/>
    <cellStyle name="Heading 3 2 9 2 2" xfId="5831" xr:uid="{229F65A8-22D9-49AF-98A8-74BB17591192}"/>
    <cellStyle name="Heading 3 2 9 3" xfId="882" xr:uid="{8103749A-D86B-4743-96F9-CCAD42D927D5}"/>
    <cellStyle name="Heading 3 2 9 3 2" xfId="5832" xr:uid="{652BAE73-D3DB-4ED1-B32B-637FDF2A8A6F}"/>
    <cellStyle name="Heading 3 2 9 4" xfId="5830" xr:uid="{D35FE5E5-7AA5-4E10-A215-9777FD6DE276}"/>
    <cellStyle name="Heading 3 3" xfId="883" xr:uid="{DDB730B2-96E7-44B4-8B46-29C0CD422C59}"/>
    <cellStyle name="Heading 3 3 10" xfId="5833" xr:uid="{73EF4715-1B10-42FD-904E-70FA9FC1DBD1}"/>
    <cellStyle name="Heading 3 3 2" xfId="884" xr:uid="{AD139C07-6B06-4326-A477-9960C561645E}"/>
    <cellStyle name="Heading 3 3 2 2" xfId="885" xr:uid="{79B4384D-9936-48FB-BA2D-3941644F4017}"/>
    <cellStyle name="Heading 3 3 2 2 2" xfId="886" xr:uid="{76731CB0-C6E2-45E9-9F96-39E8DBF4DCDC}"/>
    <cellStyle name="Heading 3 3 2 2 2 2" xfId="887" xr:uid="{2D4B8668-5184-42B9-95DA-05A11FEFF770}"/>
    <cellStyle name="Heading 3 3 2 2 2 2 2" xfId="888" xr:uid="{C4CFBFDF-4F88-40E3-8A47-6AA8F9CE17A7}"/>
    <cellStyle name="Heading 3 3 2 2 2 2 2 2" xfId="889" xr:uid="{3306B7EE-D0CD-45DB-95DC-99DE472932F9}"/>
    <cellStyle name="Heading 3 3 2 2 2 2 2 2 2" xfId="890" xr:uid="{10809275-EBF9-4A07-9D09-20F2FF0A70CA}"/>
    <cellStyle name="Heading 3 3 2 2 2 2 2 2 2 2" xfId="5840" xr:uid="{8A9F3369-D404-4F78-BB3F-DB83F528AFA4}"/>
    <cellStyle name="Heading 3 3 2 2 2 2 2 2 3" xfId="891" xr:uid="{665E8656-806C-4F51-BDF0-0CA16740281A}"/>
    <cellStyle name="Heading 3 3 2 2 2 2 2 2 3 2" xfId="5841" xr:uid="{1EA26FF0-3DB5-4E9C-A2AA-9E59348DD7D8}"/>
    <cellStyle name="Heading 3 3 2 2 2 2 2 2 4" xfId="5839" xr:uid="{F15BE597-A61C-4B41-A6F7-C8D3ABE7430F}"/>
    <cellStyle name="Heading 3 3 2 2 2 2 2 3" xfId="892" xr:uid="{43863A8E-E287-4A85-9DC9-E8D034AC47BE}"/>
    <cellStyle name="Heading 3 3 2 2 2 2 2 3 2" xfId="5842" xr:uid="{2C96BF09-D1C2-4957-9123-CFED3015B6A5}"/>
    <cellStyle name="Heading 3 3 2 2 2 2 2 4" xfId="893" xr:uid="{24FDB5A2-5E38-4249-9FE6-7CFA829EA048}"/>
    <cellStyle name="Heading 3 3 2 2 2 2 2 4 2" xfId="5843" xr:uid="{F620196F-BB58-4AE3-B3D4-F1417811604F}"/>
    <cellStyle name="Heading 3 3 2 2 2 2 2 5" xfId="5838" xr:uid="{A4BF63AC-1EC4-468B-8412-A004CBE0AF27}"/>
    <cellStyle name="Heading 3 3 2 2 2 2 3" xfId="894" xr:uid="{352768EC-61F4-4A9F-9AD2-DF1117F180D4}"/>
    <cellStyle name="Heading 3 3 2 2 2 2 3 2" xfId="895" xr:uid="{18415DE3-E900-44A9-8948-B06E826B5B72}"/>
    <cellStyle name="Heading 3 3 2 2 2 2 3 2 2" xfId="5845" xr:uid="{60422030-A3E1-4461-93FD-ED5173EA8E65}"/>
    <cellStyle name="Heading 3 3 2 2 2 2 3 3" xfId="896" xr:uid="{EE566FF9-A88F-4087-A098-4D4A64697A22}"/>
    <cellStyle name="Heading 3 3 2 2 2 2 3 3 2" xfId="5846" xr:uid="{681D883B-9C09-40B1-B41A-169D4914BD8E}"/>
    <cellStyle name="Heading 3 3 2 2 2 2 3 4" xfId="5844" xr:uid="{02D28283-C013-4691-A1AC-4E14738CFC9F}"/>
    <cellStyle name="Heading 3 3 2 2 2 2 4" xfId="897" xr:uid="{63F383E0-F25D-493F-96BB-670542AD30A4}"/>
    <cellStyle name="Heading 3 3 2 2 2 2 4 2" xfId="5847" xr:uid="{C348E7F0-FF0D-4777-AC43-94CB52B8A1BB}"/>
    <cellStyle name="Heading 3 3 2 2 2 2 5" xfId="898" xr:uid="{0CECD2A7-8456-461A-B9A9-9A6CA22A14F5}"/>
    <cellStyle name="Heading 3 3 2 2 2 2 5 2" xfId="5848" xr:uid="{921AAD5F-FFD5-4846-8940-AA06C69209F1}"/>
    <cellStyle name="Heading 3 3 2 2 2 2 6" xfId="5837" xr:uid="{54BBCD7F-1508-438C-8B83-563D2A48B862}"/>
    <cellStyle name="Heading 3 3 2 2 2 3" xfId="899" xr:uid="{8248545A-E23D-4E0C-9055-99401FD8624C}"/>
    <cellStyle name="Heading 3 3 2 2 2 3 2" xfId="900" xr:uid="{689B9129-5900-41E5-93FC-8D0DBCD35A84}"/>
    <cellStyle name="Heading 3 3 2 2 2 3 2 2" xfId="901" xr:uid="{49637354-079D-4977-94C2-FEA74E8072DE}"/>
    <cellStyle name="Heading 3 3 2 2 2 3 2 2 2" xfId="5851" xr:uid="{198A90F1-ED5F-4A39-8E3E-136E35DB53B8}"/>
    <cellStyle name="Heading 3 3 2 2 2 3 2 3" xfId="902" xr:uid="{0168D4ED-5D06-4CCD-A7F2-F7EA107AA13E}"/>
    <cellStyle name="Heading 3 3 2 2 2 3 2 3 2" xfId="5852" xr:uid="{B5AB86C7-B764-42CF-8237-066D77C45FA4}"/>
    <cellStyle name="Heading 3 3 2 2 2 3 2 4" xfId="5850" xr:uid="{9C3C5A42-4AED-4EFF-9B5B-0FBF7C03AC0A}"/>
    <cellStyle name="Heading 3 3 2 2 2 3 3" xfId="903" xr:uid="{B2777CBF-0996-4518-881D-8F24C1F3FD00}"/>
    <cellStyle name="Heading 3 3 2 2 2 3 3 2" xfId="5853" xr:uid="{BB218FD1-A8BB-48E0-BDE3-086D27BBE471}"/>
    <cellStyle name="Heading 3 3 2 2 2 3 4" xfId="904" xr:uid="{EB5F1A04-7032-473E-A1D5-A70F5D6C19B9}"/>
    <cellStyle name="Heading 3 3 2 2 2 3 4 2" xfId="5854" xr:uid="{E224782A-642C-4294-830D-B779DD2417E2}"/>
    <cellStyle name="Heading 3 3 2 2 2 3 5" xfId="5849" xr:uid="{4B5CF7FF-E3D7-444E-9123-4C8C680B4471}"/>
    <cellStyle name="Heading 3 3 2 2 2 4" xfId="905" xr:uid="{C3FC052D-611D-438F-8905-9DCD2D1180D6}"/>
    <cellStyle name="Heading 3 3 2 2 2 4 2" xfId="906" xr:uid="{76D4EA86-1CCD-46E1-BBC7-061F1F781DB5}"/>
    <cellStyle name="Heading 3 3 2 2 2 4 2 2" xfId="5856" xr:uid="{D6186363-38E9-40B8-BDD5-1C4DABBD1FC9}"/>
    <cellStyle name="Heading 3 3 2 2 2 4 3" xfId="907" xr:uid="{BC093C11-9B27-4DD0-B4EA-2A87EBBF8074}"/>
    <cellStyle name="Heading 3 3 2 2 2 4 3 2" xfId="5857" xr:uid="{38F28553-E841-4F9E-8F7C-557AD206C860}"/>
    <cellStyle name="Heading 3 3 2 2 2 4 4" xfId="5855" xr:uid="{0E0CD369-BD36-4DEB-8EF4-FF01D5E2A74B}"/>
    <cellStyle name="Heading 3 3 2 2 2 5" xfId="908" xr:uid="{CE612638-585D-4723-9079-A1BA2FC7E27E}"/>
    <cellStyle name="Heading 3 3 2 2 2 5 2" xfId="5858" xr:uid="{48E77506-EB00-4F30-84B1-DC15A7BF3A14}"/>
    <cellStyle name="Heading 3 3 2 2 2 6" xfId="909" xr:uid="{694491A6-1219-4FC4-B872-F4BA39EC9FAA}"/>
    <cellStyle name="Heading 3 3 2 2 2 6 2" xfId="5859" xr:uid="{30A303BA-1996-4FAC-AE42-A1DA42B0EF76}"/>
    <cellStyle name="Heading 3 3 2 2 2 7" xfId="910" xr:uid="{9975BF79-9338-448B-A730-03EA7A7C99A7}"/>
    <cellStyle name="Heading 3 3 2 2 2 7 2" xfId="5860" xr:uid="{49144641-63B1-4227-83C0-20FFB7E039E9}"/>
    <cellStyle name="Heading 3 3 2 2 2 8" xfId="5836" xr:uid="{24EE4EFF-457E-4F56-8BD5-4668F1C52151}"/>
    <cellStyle name="Heading 3 3 2 2 3" xfId="911" xr:uid="{31D032BC-BAF1-4DA5-92DF-0EB4E0C37F0F}"/>
    <cellStyle name="Heading 3 3 2 2 3 2" xfId="912" xr:uid="{D43BE5DA-B899-4730-A7BC-F4F2F161C0E1}"/>
    <cellStyle name="Heading 3 3 2 2 3 2 2" xfId="913" xr:uid="{483E5ACA-C5AA-44B0-859D-EF04297282BF}"/>
    <cellStyle name="Heading 3 3 2 2 3 2 2 2" xfId="914" xr:uid="{9C988682-429F-498B-8D08-8BF92B506026}"/>
    <cellStyle name="Heading 3 3 2 2 3 2 2 2 2" xfId="5864" xr:uid="{382BD2E5-D55C-4F66-BD61-C96E1A5828D9}"/>
    <cellStyle name="Heading 3 3 2 2 3 2 2 3" xfId="915" xr:uid="{218DE2D2-004A-4C96-9CEC-FD662285730D}"/>
    <cellStyle name="Heading 3 3 2 2 3 2 2 3 2" xfId="5865" xr:uid="{5CFB7213-ECC8-47C9-96C3-03C071288168}"/>
    <cellStyle name="Heading 3 3 2 2 3 2 2 4" xfId="5863" xr:uid="{D6A0A4FF-F325-4DF1-9FD1-CCEA24EC1A7C}"/>
    <cellStyle name="Heading 3 3 2 2 3 2 3" xfId="916" xr:uid="{4447D795-E3A3-46FC-842B-F0A07439BDD7}"/>
    <cellStyle name="Heading 3 3 2 2 3 2 3 2" xfId="5866" xr:uid="{5136DE48-7E08-457E-AF31-B01A8FE61CEC}"/>
    <cellStyle name="Heading 3 3 2 2 3 2 4" xfId="917" xr:uid="{11234780-8018-4D38-8C1B-974F7C4D1EF4}"/>
    <cellStyle name="Heading 3 3 2 2 3 2 4 2" xfId="5867" xr:uid="{BC86D4AA-B98E-48F9-83DF-66B56B4A3C87}"/>
    <cellStyle name="Heading 3 3 2 2 3 2 5" xfId="5862" xr:uid="{71469CB3-4B0C-4B2C-B1E4-DB46A47756C8}"/>
    <cellStyle name="Heading 3 3 2 2 3 3" xfId="918" xr:uid="{DB89775B-4BF9-4861-AF9C-FDFD57CE0210}"/>
    <cellStyle name="Heading 3 3 2 2 3 3 2" xfId="919" xr:uid="{14C7F954-3CBA-4614-AB84-65DCAD6B32AF}"/>
    <cellStyle name="Heading 3 3 2 2 3 3 2 2" xfId="5869" xr:uid="{AF7815BA-54D6-4FBB-B63E-DEC69F35E790}"/>
    <cellStyle name="Heading 3 3 2 2 3 3 3" xfId="920" xr:uid="{8FDDBDB3-95C2-433E-B7DF-3BE7E42E478B}"/>
    <cellStyle name="Heading 3 3 2 2 3 3 3 2" xfId="5870" xr:uid="{0BD7479C-E75E-4559-9FD3-E496CF40D421}"/>
    <cellStyle name="Heading 3 3 2 2 3 3 4" xfId="5868" xr:uid="{CD236032-EE6E-40C1-8A90-C8A297ED2D5E}"/>
    <cellStyle name="Heading 3 3 2 2 3 4" xfId="921" xr:uid="{C65A8D92-356A-461D-892E-7DD457F4A55D}"/>
    <cellStyle name="Heading 3 3 2 2 3 4 2" xfId="5871" xr:uid="{80960390-BAAB-4496-ACE6-27E0EF75D2BC}"/>
    <cellStyle name="Heading 3 3 2 2 3 5" xfId="922" xr:uid="{7B098CEA-5C35-4752-A1CB-31FD69E98897}"/>
    <cellStyle name="Heading 3 3 2 2 3 5 2" xfId="5872" xr:uid="{0EBE320A-1FF3-44C5-8A23-BF79704CCA86}"/>
    <cellStyle name="Heading 3 3 2 2 3 6" xfId="5861" xr:uid="{100191BF-4F85-4F82-A6E8-201484D3673E}"/>
    <cellStyle name="Heading 3 3 2 2 4" xfId="923" xr:uid="{09DA1AC2-74B0-4BAE-A088-10FFE019BB38}"/>
    <cellStyle name="Heading 3 3 2 2 4 2" xfId="924" xr:uid="{FD09EB9C-E6FC-47CB-AB65-BAF6A8B9EC2B}"/>
    <cellStyle name="Heading 3 3 2 2 4 2 2" xfId="925" xr:uid="{560C0F98-216C-42DF-B754-D05088C626AF}"/>
    <cellStyle name="Heading 3 3 2 2 4 2 2 2" xfId="5875" xr:uid="{9D091356-502D-4039-800F-F3694892DC58}"/>
    <cellStyle name="Heading 3 3 2 2 4 2 3" xfId="926" xr:uid="{75B807B1-F5CE-45AF-8789-681F5C471B42}"/>
    <cellStyle name="Heading 3 3 2 2 4 2 3 2" xfId="5876" xr:uid="{10371279-9D4D-410C-A376-D00A5A3994B8}"/>
    <cellStyle name="Heading 3 3 2 2 4 2 4" xfId="5874" xr:uid="{5B496ADC-B830-49C1-850F-9F73B8373F78}"/>
    <cellStyle name="Heading 3 3 2 2 4 3" xfId="927" xr:uid="{79AC9993-68F2-4F6E-AFC4-A792851B4955}"/>
    <cellStyle name="Heading 3 3 2 2 4 3 2" xfId="5877" xr:uid="{EF720600-8835-4149-8F2B-769138983F1F}"/>
    <cellStyle name="Heading 3 3 2 2 4 4" xfId="928" xr:uid="{F201A261-73F7-401B-B19D-4DC70C2CF106}"/>
    <cellStyle name="Heading 3 3 2 2 4 4 2" xfId="5878" xr:uid="{9798217A-5A92-48EB-9100-B757A7772CD2}"/>
    <cellStyle name="Heading 3 3 2 2 4 5" xfId="5873" xr:uid="{FFDAAFA1-B161-4113-8AB6-5A43BC9101ED}"/>
    <cellStyle name="Heading 3 3 2 2 5" xfId="929" xr:uid="{288F4B8E-6780-4897-82A9-601B64045BE1}"/>
    <cellStyle name="Heading 3 3 2 2 5 2" xfId="930" xr:uid="{F3B2570F-23C7-49B5-9C58-9B6AE3FA99E0}"/>
    <cellStyle name="Heading 3 3 2 2 5 2 2" xfId="5880" xr:uid="{90F1D0F7-D4FA-4ED2-8715-9347A9C65C36}"/>
    <cellStyle name="Heading 3 3 2 2 5 3" xfId="931" xr:uid="{92A77ED5-76C8-4EDF-801C-BC8D5B46E10D}"/>
    <cellStyle name="Heading 3 3 2 2 5 3 2" xfId="5881" xr:uid="{89D25B27-0A72-471E-AE32-6D327A52CE91}"/>
    <cellStyle name="Heading 3 3 2 2 5 4" xfId="5879" xr:uid="{F1BED91F-7231-4D30-8D14-01D65F8DD0FA}"/>
    <cellStyle name="Heading 3 3 2 2 6" xfId="932" xr:uid="{56FB83A6-2F03-48B8-A145-C7130FC599A0}"/>
    <cellStyle name="Heading 3 3 2 2 6 2" xfId="5882" xr:uid="{C7EF6FE7-70B4-446E-AD60-BD605632B41F}"/>
    <cellStyle name="Heading 3 3 2 2 7" xfId="5835" xr:uid="{D7CB901D-9609-4D2D-9980-0B44F1C561D3}"/>
    <cellStyle name="Heading 3 3 2 3" xfId="933" xr:uid="{E31C980C-C591-4387-8307-B27F68306FE3}"/>
    <cellStyle name="Heading 3 3 2 3 2" xfId="934" xr:uid="{D3361273-A621-4203-AC7D-A425CE953928}"/>
    <cellStyle name="Heading 3 3 2 3 2 2" xfId="935" xr:uid="{E1C40565-14B1-4E33-AFDD-81BCC4020D19}"/>
    <cellStyle name="Heading 3 3 2 3 2 2 2" xfId="936" xr:uid="{138C2333-7908-477C-A7E5-B6D14986AB4E}"/>
    <cellStyle name="Heading 3 3 2 3 2 2 2 2" xfId="937" xr:uid="{A5815330-22DF-4262-9EE6-2168775ED79C}"/>
    <cellStyle name="Heading 3 3 2 3 2 2 2 2 2" xfId="5887" xr:uid="{91E30133-5D4F-4662-A2BA-860F17F4C7B5}"/>
    <cellStyle name="Heading 3 3 2 3 2 2 2 3" xfId="938" xr:uid="{9F09E199-7595-472D-B349-4F1D416163F1}"/>
    <cellStyle name="Heading 3 3 2 3 2 2 2 3 2" xfId="5888" xr:uid="{4B2A2974-F0FD-43DA-A049-948DD94CDDCA}"/>
    <cellStyle name="Heading 3 3 2 3 2 2 2 4" xfId="5886" xr:uid="{7E777DA8-24A5-4D6D-89BA-8C4636F2CB3E}"/>
    <cellStyle name="Heading 3 3 2 3 2 2 3" xfId="939" xr:uid="{6EE1B525-ECD3-4D1B-9188-1EAF21EA9B8D}"/>
    <cellStyle name="Heading 3 3 2 3 2 2 3 2" xfId="5889" xr:uid="{A00788EA-6357-40F4-9A95-AB999D898DA5}"/>
    <cellStyle name="Heading 3 3 2 3 2 2 4" xfId="940" xr:uid="{51101FD5-17D2-4388-9A50-CFE3B799C1ED}"/>
    <cellStyle name="Heading 3 3 2 3 2 2 4 2" xfId="5890" xr:uid="{DE6FD1E9-B4A1-49EE-B27B-524D3D44E659}"/>
    <cellStyle name="Heading 3 3 2 3 2 2 5" xfId="5885" xr:uid="{3CB2DF75-E7A9-46B0-88D3-45EFDC7D17F0}"/>
    <cellStyle name="Heading 3 3 2 3 2 3" xfId="941" xr:uid="{4E8B296E-91CA-422E-BF2B-B4F262F38FAA}"/>
    <cellStyle name="Heading 3 3 2 3 2 3 2" xfId="942" xr:uid="{ED4E8E5E-A7CA-4075-8F8A-0A10A208821D}"/>
    <cellStyle name="Heading 3 3 2 3 2 3 2 2" xfId="5892" xr:uid="{0896AD8B-E7F3-4165-B056-C10A4F7BC12A}"/>
    <cellStyle name="Heading 3 3 2 3 2 3 3" xfId="943" xr:uid="{EEFDF2DF-FE90-46FA-8E67-F6F85FFD3BE1}"/>
    <cellStyle name="Heading 3 3 2 3 2 3 3 2" xfId="5893" xr:uid="{DE332A74-7C4D-4CB7-A2DA-A7A8D0CDE606}"/>
    <cellStyle name="Heading 3 3 2 3 2 3 4" xfId="5891" xr:uid="{B38BAEA3-8A64-4F7E-A4ED-20346EABAFE2}"/>
    <cellStyle name="Heading 3 3 2 3 2 4" xfId="944" xr:uid="{1E4AB415-478F-47A1-82A9-BE8FF31139D3}"/>
    <cellStyle name="Heading 3 3 2 3 2 4 2" xfId="5894" xr:uid="{B31FB71A-0F34-4809-BA08-709F1D6ADDFE}"/>
    <cellStyle name="Heading 3 3 2 3 2 5" xfId="945" xr:uid="{32413486-808F-406E-A36F-45F55DC6DDAC}"/>
    <cellStyle name="Heading 3 3 2 3 2 5 2" xfId="5895" xr:uid="{E94609C5-7913-4F4F-BF17-B3F0973923B2}"/>
    <cellStyle name="Heading 3 3 2 3 2 6" xfId="5884" xr:uid="{A1025F98-6866-4F4C-8683-8C3198B5662A}"/>
    <cellStyle name="Heading 3 3 2 3 3" xfId="946" xr:uid="{2607E09A-3D9F-4D28-BEA9-3A15FD7F8436}"/>
    <cellStyle name="Heading 3 3 2 3 3 2" xfId="947" xr:uid="{AB4F36A0-24BE-43F7-9AB6-C4A57C5F0646}"/>
    <cellStyle name="Heading 3 3 2 3 3 2 2" xfId="948" xr:uid="{89494B30-427E-459B-952B-8CC6A97984CC}"/>
    <cellStyle name="Heading 3 3 2 3 3 2 2 2" xfId="5898" xr:uid="{A0E8C17E-AE3E-453B-A352-C9299384D03B}"/>
    <cellStyle name="Heading 3 3 2 3 3 2 3" xfId="949" xr:uid="{CDF35039-2845-405D-A233-5349BEDBBEB0}"/>
    <cellStyle name="Heading 3 3 2 3 3 2 3 2" xfId="5899" xr:uid="{050C7C25-B9CA-40E7-B621-83E44F55526A}"/>
    <cellStyle name="Heading 3 3 2 3 3 2 4" xfId="5897" xr:uid="{79BC1081-FA4F-44D2-8935-CEC4D39CAB38}"/>
    <cellStyle name="Heading 3 3 2 3 3 3" xfId="950" xr:uid="{7066D0CF-EF27-4C1D-8FE6-2966E424C0F2}"/>
    <cellStyle name="Heading 3 3 2 3 3 3 2" xfId="5900" xr:uid="{AC607B1B-8C67-491C-9F3A-7F924CC4C534}"/>
    <cellStyle name="Heading 3 3 2 3 3 4" xfId="951" xr:uid="{DFFDF3D2-F284-4709-B3D2-1F077BC8C622}"/>
    <cellStyle name="Heading 3 3 2 3 3 4 2" xfId="5901" xr:uid="{C46F3FA9-56B2-40D1-AFB3-AEA46BAFEE0A}"/>
    <cellStyle name="Heading 3 3 2 3 3 5" xfId="5896" xr:uid="{BF1B63BC-6794-4618-804C-AF6E4D9AE4FB}"/>
    <cellStyle name="Heading 3 3 2 3 4" xfId="952" xr:uid="{EFD99A76-4F6E-4411-91CD-6047908E164B}"/>
    <cellStyle name="Heading 3 3 2 3 4 2" xfId="953" xr:uid="{5219C0AD-ACE7-4980-8B22-75713C3CBCC0}"/>
    <cellStyle name="Heading 3 3 2 3 4 2 2" xfId="5903" xr:uid="{BB7B6F52-5720-46D7-9C12-8F04DAC106DF}"/>
    <cellStyle name="Heading 3 3 2 3 4 3" xfId="954" xr:uid="{BC7FE093-0ED1-47BB-8F26-CF7573E5A4EA}"/>
    <cellStyle name="Heading 3 3 2 3 4 3 2" xfId="5904" xr:uid="{361F4615-10F4-4BF6-BD0F-886066C0019C}"/>
    <cellStyle name="Heading 3 3 2 3 4 4" xfId="5902" xr:uid="{0286DDBC-2239-4697-ADB1-703B1935F1A3}"/>
    <cellStyle name="Heading 3 3 2 3 5" xfId="955" xr:uid="{E24B1293-A79E-4C7B-BD2D-E891548CB305}"/>
    <cellStyle name="Heading 3 3 2 3 5 2" xfId="5905" xr:uid="{7B52EB71-436D-4D4D-9216-81176289AB4F}"/>
    <cellStyle name="Heading 3 3 2 3 6" xfId="956" xr:uid="{08DBA3CB-8F2F-436B-8D11-F80B81F0B977}"/>
    <cellStyle name="Heading 3 3 2 3 6 2" xfId="5906" xr:uid="{BD8765F7-6F3F-466F-86F8-549B1984049E}"/>
    <cellStyle name="Heading 3 3 2 3 7" xfId="957" xr:uid="{AF303F0C-95B7-4E51-82CD-DD28A771FC26}"/>
    <cellStyle name="Heading 3 3 2 3 7 2" xfId="5907" xr:uid="{FF51A4BA-4024-4E03-B0F8-E08F7B29ED05}"/>
    <cellStyle name="Heading 3 3 2 3 8" xfId="5883" xr:uid="{54C3547A-0A90-4B50-9B91-EBFD22A42291}"/>
    <cellStyle name="Heading 3 3 2 4" xfId="958" xr:uid="{FCE88364-9199-4DDF-902F-BC7A29D15FE9}"/>
    <cellStyle name="Heading 3 3 2 4 2" xfId="959" xr:uid="{BA15633B-3D36-4071-B244-45D2224DAD91}"/>
    <cellStyle name="Heading 3 3 2 4 2 2" xfId="960" xr:uid="{9CE2CA0E-B052-42E0-9A6E-90C64DA61BEC}"/>
    <cellStyle name="Heading 3 3 2 4 2 2 2" xfId="961" xr:uid="{D92628C4-B5AA-4343-8B0C-4613190C880E}"/>
    <cellStyle name="Heading 3 3 2 4 2 2 2 2" xfId="5911" xr:uid="{1F765304-CAFE-4486-8064-2A5DDB3F7D99}"/>
    <cellStyle name="Heading 3 3 2 4 2 2 3" xfId="962" xr:uid="{26CEB1BC-783C-4132-8FDE-5608C4A2FC7A}"/>
    <cellStyle name="Heading 3 3 2 4 2 2 3 2" xfId="5912" xr:uid="{980A5C62-B454-485F-B354-318306B23B3F}"/>
    <cellStyle name="Heading 3 3 2 4 2 2 4" xfId="5910" xr:uid="{CE1D67BE-60B4-4B82-BD51-77B06431DD94}"/>
    <cellStyle name="Heading 3 3 2 4 2 3" xfId="963" xr:uid="{743805CF-A449-4704-AC8C-3482FF42181C}"/>
    <cellStyle name="Heading 3 3 2 4 2 3 2" xfId="5913" xr:uid="{8F4F1C40-ACEE-4C08-8B99-89FE75C52FF7}"/>
    <cellStyle name="Heading 3 3 2 4 2 4" xfId="964" xr:uid="{0FB6A98B-71B1-4F12-90D7-08E817A74DFC}"/>
    <cellStyle name="Heading 3 3 2 4 2 4 2" xfId="5914" xr:uid="{06A4AC36-90FB-49D9-B912-71B4E5848C5C}"/>
    <cellStyle name="Heading 3 3 2 4 2 5" xfId="5909" xr:uid="{29D0F40D-7949-43B3-B64A-C7AAF34314EF}"/>
    <cellStyle name="Heading 3 3 2 4 3" xfId="965" xr:uid="{99150E45-A078-40E9-913E-AD463FC70906}"/>
    <cellStyle name="Heading 3 3 2 4 3 2" xfId="966" xr:uid="{0FD48ADF-7244-43C9-81B0-C3409F7D0EA5}"/>
    <cellStyle name="Heading 3 3 2 4 3 2 2" xfId="5916" xr:uid="{855D8C3B-48FE-4F5C-936C-31541CB29B0F}"/>
    <cellStyle name="Heading 3 3 2 4 3 3" xfId="967" xr:uid="{D8E45EE0-F856-41A7-A936-CF59B6831A16}"/>
    <cellStyle name="Heading 3 3 2 4 3 3 2" xfId="5917" xr:uid="{CFEECEE4-E488-4267-82E0-5D6047F0E401}"/>
    <cellStyle name="Heading 3 3 2 4 3 4" xfId="5915" xr:uid="{A8C2829E-BBFF-4A52-B9D4-D28B1E302D49}"/>
    <cellStyle name="Heading 3 3 2 4 4" xfId="968" xr:uid="{B2A88F0E-0AEF-4BB3-BA4B-99B7AEE61508}"/>
    <cellStyle name="Heading 3 3 2 4 4 2" xfId="5918" xr:uid="{F7079EC8-AC1D-4117-822F-488529BE53BF}"/>
    <cellStyle name="Heading 3 3 2 4 5" xfId="969" xr:uid="{C2D88A7E-BED7-4A9B-8F25-EE13219412B0}"/>
    <cellStyle name="Heading 3 3 2 4 5 2" xfId="5919" xr:uid="{7131A83D-59E7-4EFF-802A-A7EBE0120113}"/>
    <cellStyle name="Heading 3 3 2 4 6" xfId="5908" xr:uid="{A641C313-CD5E-4904-8492-080E48F51C5A}"/>
    <cellStyle name="Heading 3 3 2 5" xfId="970" xr:uid="{51D0E68F-836B-4BB6-8F71-58ECEDF758D1}"/>
    <cellStyle name="Heading 3 3 2 5 2" xfId="971" xr:uid="{841C5297-26BC-4EB8-BF92-CC97122CB20F}"/>
    <cellStyle name="Heading 3 3 2 5 2 2" xfId="972" xr:uid="{26462417-937B-4192-A0D2-B3B0FC23374D}"/>
    <cellStyle name="Heading 3 3 2 5 2 2 2" xfId="5922" xr:uid="{FFA2CAC0-AD72-49B8-91BE-714AD4096318}"/>
    <cellStyle name="Heading 3 3 2 5 2 3" xfId="973" xr:uid="{4D0C4EE7-1D10-4C13-8FC4-97A9E4AE4138}"/>
    <cellStyle name="Heading 3 3 2 5 2 3 2" xfId="5923" xr:uid="{4CF5C4E5-9FCF-4B45-BAC3-A16EB208DFFF}"/>
    <cellStyle name="Heading 3 3 2 5 2 4" xfId="5921" xr:uid="{4233C327-DD6A-47C5-93A2-08879663AA4A}"/>
    <cellStyle name="Heading 3 3 2 5 3" xfId="974" xr:uid="{E840AC7C-2E4C-419D-BA9A-55E3825AB8AA}"/>
    <cellStyle name="Heading 3 3 2 5 3 2" xfId="5924" xr:uid="{0F7B6ABC-1C8B-4DE5-9E0C-B63008433965}"/>
    <cellStyle name="Heading 3 3 2 5 4" xfId="975" xr:uid="{60525004-3923-415F-A121-97D4797DE91E}"/>
    <cellStyle name="Heading 3 3 2 5 4 2" xfId="5925" xr:uid="{A949BB08-1592-4BF7-993C-69AAD91B4DE2}"/>
    <cellStyle name="Heading 3 3 2 5 5" xfId="5920" xr:uid="{AF0383ED-3286-421F-B2E9-102220C8D6E4}"/>
    <cellStyle name="Heading 3 3 2 6" xfId="976" xr:uid="{C5CBA959-50E2-428C-970E-A9D1E39A0CB0}"/>
    <cellStyle name="Heading 3 3 2 6 2" xfId="977" xr:uid="{E19CE384-8B15-4CAA-A897-1443E9781ED0}"/>
    <cellStyle name="Heading 3 3 2 6 2 2" xfId="5927" xr:uid="{CFFFDD9E-DA6A-46AC-9749-4F9A52A1DB38}"/>
    <cellStyle name="Heading 3 3 2 6 3" xfId="978" xr:uid="{49EB2C51-F639-462C-9BD8-0B805330E245}"/>
    <cellStyle name="Heading 3 3 2 6 3 2" xfId="5928" xr:uid="{922290D1-B5B0-4BB9-818D-68C30CC1C08B}"/>
    <cellStyle name="Heading 3 3 2 6 4" xfId="5926" xr:uid="{C71C5959-A05E-4D3E-B323-188F938E6AF5}"/>
    <cellStyle name="Heading 3 3 2 7" xfId="979" xr:uid="{9EA928EC-92D6-4D84-B12D-2C9856935DBD}"/>
    <cellStyle name="Heading 3 3 2 7 2" xfId="5929" xr:uid="{6DEB21A7-2147-4B26-B189-73A79590BFF2}"/>
    <cellStyle name="Heading 3 3 2 8" xfId="5834" xr:uid="{FE526E96-CB48-440E-A4A8-C44444C010F0}"/>
    <cellStyle name="Heading 3 3 3" xfId="980" xr:uid="{FE9F4F86-AF03-4BE6-9903-AC7AE5E87AB2}"/>
    <cellStyle name="Heading 3 3 3 2" xfId="981" xr:uid="{F95740FD-1C13-4832-9F6D-7F5B16F6CD7C}"/>
    <cellStyle name="Heading 3 3 3 2 2" xfId="982" xr:uid="{2761AB49-57EA-45B2-BEA7-6C09AE419C30}"/>
    <cellStyle name="Heading 3 3 3 2 2 2" xfId="983" xr:uid="{21DF0472-9135-451D-908C-981274558C8F}"/>
    <cellStyle name="Heading 3 3 3 2 2 2 2" xfId="984" xr:uid="{82650B08-5940-4CA6-9F0E-2EA5EE92A3D6}"/>
    <cellStyle name="Heading 3 3 3 2 2 2 2 2" xfId="985" xr:uid="{AB919568-8F1A-4CAB-A0D6-59D51D35CB69}"/>
    <cellStyle name="Heading 3 3 3 2 2 2 2 2 2" xfId="5935" xr:uid="{6C4D6191-ACF5-49AA-A7F5-A1C0671A5ED0}"/>
    <cellStyle name="Heading 3 3 3 2 2 2 2 3" xfId="986" xr:uid="{0D58F188-7948-4361-80CD-978F3ABD1003}"/>
    <cellStyle name="Heading 3 3 3 2 2 2 2 3 2" xfId="5936" xr:uid="{853A3D77-ACEE-4CE8-B42D-73031AA70B88}"/>
    <cellStyle name="Heading 3 3 3 2 2 2 2 4" xfId="5934" xr:uid="{8C8F1793-EB12-4A1A-8846-7FA0F5DA1756}"/>
    <cellStyle name="Heading 3 3 3 2 2 2 3" xfId="987" xr:uid="{8C1F1514-2048-4277-A299-F06F7FB81037}"/>
    <cellStyle name="Heading 3 3 3 2 2 2 3 2" xfId="5937" xr:uid="{CF5F1FAF-5060-45C0-86FD-B05DE7CAFB93}"/>
    <cellStyle name="Heading 3 3 3 2 2 2 4" xfId="988" xr:uid="{BDF20A16-842D-4203-97F3-822F76CE382F}"/>
    <cellStyle name="Heading 3 3 3 2 2 2 4 2" xfId="5938" xr:uid="{A921588A-814B-4032-B322-915420720E9E}"/>
    <cellStyle name="Heading 3 3 3 2 2 2 5" xfId="5933" xr:uid="{B9BA5D36-4308-46FE-8BB0-2B21D7BAE102}"/>
    <cellStyle name="Heading 3 3 3 2 2 3" xfId="989" xr:uid="{7DFC16BE-4E8F-40BD-B2CA-4FEE3F32A42C}"/>
    <cellStyle name="Heading 3 3 3 2 2 3 2" xfId="990" xr:uid="{85FBFA97-EABD-4C9C-AB83-D432F9915D2E}"/>
    <cellStyle name="Heading 3 3 3 2 2 3 2 2" xfId="5940" xr:uid="{8BC4924A-DA0D-4120-9B43-4A60F3A22171}"/>
    <cellStyle name="Heading 3 3 3 2 2 3 3" xfId="991" xr:uid="{CB182CB9-C5CF-4FB4-8FB0-E1282ED2FA18}"/>
    <cellStyle name="Heading 3 3 3 2 2 3 3 2" xfId="5941" xr:uid="{0D055165-A5F2-478C-93C2-96B0AEC9865B}"/>
    <cellStyle name="Heading 3 3 3 2 2 3 4" xfId="5939" xr:uid="{2B9BD4E4-8EC7-4014-B362-399E97B4F4D2}"/>
    <cellStyle name="Heading 3 3 3 2 2 4" xfId="992" xr:uid="{DFB0FF76-EEAE-4F9A-9F5E-1B0536E6A7BF}"/>
    <cellStyle name="Heading 3 3 3 2 2 4 2" xfId="5942" xr:uid="{D51D2FCC-5302-4F41-9441-D5DB0178C70D}"/>
    <cellStyle name="Heading 3 3 3 2 2 5" xfId="993" xr:uid="{E80BCC78-57C1-48E6-A57F-E282D8254124}"/>
    <cellStyle name="Heading 3 3 3 2 2 5 2" xfId="5943" xr:uid="{017CCB2D-6FB6-4F5E-85B6-1D493283A25B}"/>
    <cellStyle name="Heading 3 3 3 2 2 6" xfId="5932" xr:uid="{48FD4C35-45CA-4173-B0C7-AED3CD052E0B}"/>
    <cellStyle name="Heading 3 3 3 2 3" xfId="994" xr:uid="{CD50B53B-6562-4CBB-8674-809986490015}"/>
    <cellStyle name="Heading 3 3 3 2 3 2" xfId="995" xr:uid="{2CACD8DF-9791-412C-A6A4-3072F607C38E}"/>
    <cellStyle name="Heading 3 3 3 2 3 2 2" xfId="996" xr:uid="{0EBB7F07-E17D-4453-936F-E7AB135648DA}"/>
    <cellStyle name="Heading 3 3 3 2 3 2 2 2" xfId="5946" xr:uid="{3C647154-2D8E-43CB-9C73-F5A5012FE349}"/>
    <cellStyle name="Heading 3 3 3 2 3 2 3" xfId="997" xr:uid="{2C0696D5-E6EA-4481-A60F-92D6029CC077}"/>
    <cellStyle name="Heading 3 3 3 2 3 2 3 2" xfId="5947" xr:uid="{219D7E61-0456-44D1-878D-67BBE09AEFD8}"/>
    <cellStyle name="Heading 3 3 3 2 3 2 4" xfId="5945" xr:uid="{D98049BA-65C3-4AA5-81CE-4860CEDFC8B6}"/>
    <cellStyle name="Heading 3 3 3 2 3 3" xfId="998" xr:uid="{0B08E55E-7754-4E56-BCB2-104AC086F031}"/>
    <cellStyle name="Heading 3 3 3 2 3 3 2" xfId="5948" xr:uid="{B1839657-36A4-4C86-AC2F-B43EE206ED5F}"/>
    <cellStyle name="Heading 3 3 3 2 3 4" xfId="999" xr:uid="{D7808EE2-7192-4AC8-9E0E-D567BA7F6315}"/>
    <cellStyle name="Heading 3 3 3 2 3 4 2" xfId="5949" xr:uid="{01FEC146-DE1E-4273-9A03-400214771244}"/>
    <cellStyle name="Heading 3 3 3 2 3 5" xfId="5944" xr:uid="{A6985BAA-D3F5-4347-AC7B-307724D1D4BA}"/>
    <cellStyle name="Heading 3 3 3 2 4" xfId="1000" xr:uid="{F9965955-8BEF-4C61-B798-6D6F87C1042F}"/>
    <cellStyle name="Heading 3 3 3 2 4 2" xfId="1001" xr:uid="{B53F92C6-DC80-4D71-BAD7-B5CB6FF8DB94}"/>
    <cellStyle name="Heading 3 3 3 2 4 2 2" xfId="5951" xr:uid="{1AD07B50-75F8-449F-90A4-F827CF988CE8}"/>
    <cellStyle name="Heading 3 3 3 2 4 3" xfId="1002" xr:uid="{8BDEB571-48F5-4B21-A692-85753E3EE9F6}"/>
    <cellStyle name="Heading 3 3 3 2 4 3 2" xfId="5952" xr:uid="{EBB71BEF-D880-4AE3-82C1-2FFB4FC95633}"/>
    <cellStyle name="Heading 3 3 3 2 4 4" xfId="5950" xr:uid="{47699CEB-C4CB-4B00-979F-20C751A948BB}"/>
    <cellStyle name="Heading 3 3 3 2 5" xfId="1003" xr:uid="{EB5B734F-FD21-4407-8D3F-2F4739B4A85C}"/>
    <cellStyle name="Heading 3 3 3 2 5 2" xfId="5953" xr:uid="{C0650CC4-AF84-485D-B351-F978577FFA79}"/>
    <cellStyle name="Heading 3 3 3 2 6" xfId="1004" xr:uid="{AF8681F9-EB9A-4F3C-AA4B-FFDE4D3116CF}"/>
    <cellStyle name="Heading 3 3 3 2 6 2" xfId="5954" xr:uid="{E880FBB0-36AF-4E82-94EA-729E6D568D9A}"/>
    <cellStyle name="Heading 3 3 3 2 7" xfId="1005" xr:uid="{F19C3022-9C72-4596-BE75-2874DC5A23D3}"/>
    <cellStyle name="Heading 3 3 3 2 7 2" xfId="5955" xr:uid="{B64A4ED3-93D5-4423-808F-54E8ACB5F07C}"/>
    <cellStyle name="Heading 3 3 3 2 8" xfId="5931" xr:uid="{4582D0EB-41CA-4C8B-A308-9B5F1DF54F18}"/>
    <cellStyle name="Heading 3 3 3 3" xfId="1006" xr:uid="{D561B96F-CA42-49FF-AA4A-3ECC38A15F74}"/>
    <cellStyle name="Heading 3 3 3 3 2" xfId="1007" xr:uid="{5116FC7C-CD4C-4388-A8CC-667ED10E0C2B}"/>
    <cellStyle name="Heading 3 3 3 3 2 2" xfId="1008" xr:uid="{1337D92C-2C7B-4683-9674-E32119F33737}"/>
    <cellStyle name="Heading 3 3 3 3 2 2 2" xfId="1009" xr:uid="{CD1E90E7-B9E0-4D25-993D-F3D0D66FA895}"/>
    <cellStyle name="Heading 3 3 3 3 2 2 2 2" xfId="5959" xr:uid="{3EC41FC2-8BA1-433F-BF50-D1E9893107E3}"/>
    <cellStyle name="Heading 3 3 3 3 2 2 3" xfId="1010" xr:uid="{0C0CE268-BBE2-4B24-865F-2FA0F77DDA67}"/>
    <cellStyle name="Heading 3 3 3 3 2 2 3 2" xfId="5960" xr:uid="{B6B5B5E3-7900-4357-9FAB-68CB1148E280}"/>
    <cellStyle name="Heading 3 3 3 3 2 2 4" xfId="5958" xr:uid="{D639EA76-B7D8-4973-827A-DD32BAE51DE0}"/>
    <cellStyle name="Heading 3 3 3 3 2 3" xfId="1011" xr:uid="{8F06CD2A-F64F-4C2E-A25D-6DF25459CD8A}"/>
    <cellStyle name="Heading 3 3 3 3 2 3 2" xfId="5961" xr:uid="{E7707842-889C-4017-B9E8-6B00547EE2D1}"/>
    <cellStyle name="Heading 3 3 3 3 2 4" xfId="1012" xr:uid="{EBA645DE-FBAD-4AF5-BAAD-BCEE7D0799DB}"/>
    <cellStyle name="Heading 3 3 3 3 2 4 2" xfId="5962" xr:uid="{2061FB3C-6DDE-45DF-9E24-9F8B9647B639}"/>
    <cellStyle name="Heading 3 3 3 3 2 5" xfId="5957" xr:uid="{D49504AD-62C1-4587-BBB0-17F08D780FA9}"/>
    <cellStyle name="Heading 3 3 3 3 3" xfId="1013" xr:uid="{C64C7EAB-F440-4769-9570-117EDFAFE9DD}"/>
    <cellStyle name="Heading 3 3 3 3 3 2" xfId="1014" xr:uid="{F26A016A-C966-4EB1-86CF-85C76E15739D}"/>
    <cellStyle name="Heading 3 3 3 3 3 2 2" xfId="5964" xr:uid="{129C840C-2A1D-4E63-A95C-5428A38F19A6}"/>
    <cellStyle name="Heading 3 3 3 3 3 3" xfId="1015" xr:uid="{86F10C0D-8A15-40C9-AB07-FCAA53916B9B}"/>
    <cellStyle name="Heading 3 3 3 3 3 3 2" xfId="5965" xr:uid="{B5083F40-B9BF-4D02-8A87-6B1E100D61D2}"/>
    <cellStyle name="Heading 3 3 3 3 3 4" xfId="5963" xr:uid="{73E372B7-64D4-43A3-8D68-85D407933DDC}"/>
    <cellStyle name="Heading 3 3 3 3 4" xfId="1016" xr:uid="{25ED2027-3A27-4F8B-BF26-C79531B0296E}"/>
    <cellStyle name="Heading 3 3 3 3 4 2" xfId="5966" xr:uid="{E19750E9-A465-4864-9B54-3850AD61EA7E}"/>
    <cellStyle name="Heading 3 3 3 3 5" xfId="1017" xr:uid="{FB34CB7A-00FF-444F-858D-2022F547C96A}"/>
    <cellStyle name="Heading 3 3 3 3 5 2" xfId="5967" xr:uid="{493781EE-4435-4779-A119-E15F6FFC9E98}"/>
    <cellStyle name="Heading 3 3 3 3 6" xfId="5956" xr:uid="{D967E525-8928-46F5-9308-B5D50A729EAF}"/>
    <cellStyle name="Heading 3 3 3 4" xfId="1018" xr:uid="{8E01FBB1-475E-4CA3-BD19-8194AA7E5F57}"/>
    <cellStyle name="Heading 3 3 3 4 2" xfId="1019" xr:uid="{825438FC-07D2-4590-9FF8-CB3571036A20}"/>
    <cellStyle name="Heading 3 3 3 4 2 2" xfId="1020" xr:uid="{99C07426-D9E4-400F-8A6A-9A3812CF8D25}"/>
    <cellStyle name="Heading 3 3 3 4 2 2 2" xfId="5970" xr:uid="{74C9532E-6DB0-45E8-B4EF-0379E15D4F1E}"/>
    <cellStyle name="Heading 3 3 3 4 2 3" xfId="1021" xr:uid="{C505116E-4D1E-4914-917B-6B8C84739F3A}"/>
    <cellStyle name="Heading 3 3 3 4 2 3 2" xfId="5971" xr:uid="{59A6B821-B3C2-40FD-AC29-BE87B1DEE8E4}"/>
    <cellStyle name="Heading 3 3 3 4 2 4" xfId="5969" xr:uid="{3DE762D0-14F8-4925-9973-AF7265340755}"/>
    <cellStyle name="Heading 3 3 3 4 3" xfId="1022" xr:uid="{7FCA2945-D642-45A1-AF66-7116F32DAC06}"/>
    <cellStyle name="Heading 3 3 3 4 3 2" xfId="5972" xr:uid="{CF07B3DD-3F44-43BA-9CB0-7F1D7A9F2412}"/>
    <cellStyle name="Heading 3 3 3 4 4" xfId="1023" xr:uid="{60ED8140-E32F-4E83-AD3D-ECC03A2265B9}"/>
    <cellStyle name="Heading 3 3 3 4 4 2" xfId="5973" xr:uid="{D86E0FDA-3EA4-4323-BFD4-6F0955622480}"/>
    <cellStyle name="Heading 3 3 3 4 5" xfId="5968" xr:uid="{F88DB936-9BAA-4000-81C0-24B7F0C22336}"/>
    <cellStyle name="Heading 3 3 3 5" xfId="1024" xr:uid="{E170CE8E-F1C5-4C3E-B05B-DC172249BD00}"/>
    <cellStyle name="Heading 3 3 3 5 2" xfId="1025" xr:uid="{FD9C8947-68CB-49CD-ACDC-B48BD309A937}"/>
    <cellStyle name="Heading 3 3 3 5 2 2" xfId="5975" xr:uid="{A236FA94-BD0D-41C4-823F-ED1C1E076869}"/>
    <cellStyle name="Heading 3 3 3 5 3" xfId="1026" xr:uid="{3CE378E7-471E-4D56-B142-2619D356E804}"/>
    <cellStyle name="Heading 3 3 3 5 3 2" xfId="5976" xr:uid="{D9F6E70C-4C6D-4F8A-9E30-3484DCA4C18F}"/>
    <cellStyle name="Heading 3 3 3 5 4" xfId="5974" xr:uid="{472ACAB7-4081-480F-982F-CD37AAD129FB}"/>
    <cellStyle name="Heading 3 3 3 6" xfId="1027" xr:uid="{00C79E8C-73E2-4741-A085-4A10C394408D}"/>
    <cellStyle name="Heading 3 3 3 6 2" xfId="5977" xr:uid="{550411C9-ECAD-442D-BD4A-AAD9763F8AC5}"/>
    <cellStyle name="Heading 3 3 3 7" xfId="5930" xr:uid="{81126DF6-6569-4BE2-B970-EE394BC9A5AA}"/>
    <cellStyle name="Heading 3 3 4" xfId="1028" xr:uid="{0699EBEF-6226-4485-B1E2-15E44EC4021F}"/>
    <cellStyle name="Heading 3 3 4 2" xfId="1029" xr:uid="{37609308-8E41-47A5-8794-90EA78566738}"/>
    <cellStyle name="Heading 3 3 4 2 2" xfId="1030" xr:uid="{AC75BD6E-CDBF-43E2-BCB4-A4163B52D24E}"/>
    <cellStyle name="Heading 3 3 4 2 2 2" xfId="1031" xr:uid="{2DBAB97D-A1C8-4C58-A5C0-4B391FFBE8D5}"/>
    <cellStyle name="Heading 3 3 4 2 2 2 2" xfId="1032" xr:uid="{DA45604F-A162-478E-BEB5-BA239DFBACB8}"/>
    <cellStyle name="Heading 3 3 4 2 2 2 2 2" xfId="1033" xr:uid="{DE1584D1-B356-4604-A94C-B8BF3239CC2A}"/>
    <cellStyle name="Heading 3 3 4 2 2 2 2 2 2" xfId="1034" xr:uid="{B4E46CF6-8329-4C24-BEDD-792D599FB6E0}"/>
    <cellStyle name="Heading 3 3 4 2 2 2 2 2 2 2" xfId="5984" xr:uid="{31D8B5FA-51EA-41E2-A52F-EC9532A21E3B}"/>
    <cellStyle name="Heading 3 3 4 2 2 2 2 2 3" xfId="1035" xr:uid="{196C58A4-FF64-4342-9DCE-33343DD6FF24}"/>
    <cellStyle name="Heading 3 3 4 2 2 2 2 2 3 2" xfId="5985" xr:uid="{56B66025-7B4D-48F4-911C-4AA600D6D130}"/>
    <cellStyle name="Heading 3 3 4 2 2 2 2 2 4" xfId="5983" xr:uid="{DFE8F150-0B98-4B5F-8CC5-41F8491F2A69}"/>
    <cellStyle name="Heading 3 3 4 2 2 2 2 3" xfId="1036" xr:uid="{8CA4E1BD-94F6-4460-AACD-5F65EAC7B329}"/>
    <cellStyle name="Heading 3 3 4 2 2 2 2 3 2" xfId="5986" xr:uid="{41FA6E7E-48C9-4D37-A48F-D457673D7E79}"/>
    <cellStyle name="Heading 3 3 4 2 2 2 2 4" xfId="1037" xr:uid="{307C19C9-C455-4265-AA9D-EB7414082983}"/>
    <cellStyle name="Heading 3 3 4 2 2 2 2 4 2" xfId="5987" xr:uid="{B2006399-5849-4A57-A509-0647A834EB1F}"/>
    <cellStyle name="Heading 3 3 4 2 2 2 2 5" xfId="5982" xr:uid="{4CAC8479-C518-40A2-AF76-AEADB0A8F46A}"/>
    <cellStyle name="Heading 3 3 4 2 2 2 3" xfId="1038" xr:uid="{0BC6F2E3-D489-414E-BC0C-67C96E5D6E91}"/>
    <cellStyle name="Heading 3 3 4 2 2 2 3 2" xfId="1039" xr:uid="{45C2A9AD-646A-44E9-93FC-A64C9F495413}"/>
    <cellStyle name="Heading 3 3 4 2 2 2 3 2 2" xfId="5989" xr:uid="{33185834-FE49-442E-861E-58EDF947B850}"/>
    <cellStyle name="Heading 3 3 4 2 2 2 3 3" xfId="1040" xr:uid="{E19D4B47-4B01-4F90-BC91-38468509B4F9}"/>
    <cellStyle name="Heading 3 3 4 2 2 2 3 3 2" xfId="5990" xr:uid="{CCFF055A-B751-415F-9D11-CD431C3EE6EE}"/>
    <cellStyle name="Heading 3 3 4 2 2 2 3 4" xfId="5988" xr:uid="{AAD7A310-74FB-4915-8C51-0062006AEC98}"/>
    <cellStyle name="Heading 3 3 4 2 2 2 4" xfId="1041" xr:uid="{A96D1B71-1328-4361-A5CE-88C42CEB39CA}"/>
    <cellStyle name="Heading 3 3 4 2 2 2 4 2" xfId="5991" xr:uid="{A706D40C-80E8-41A5-8B80-9D6B040026A1}"/>
    <cellStyle name="Heading 3 3 4 2 2 2 5" xfId="1042" xr:uid="{9AAE0E31-2052-4469-96A7-E3516E41CBE5}"/>
    <cellStyle name="Heading 3 3 4 2 2 2 5 2" xfId="5992" xr:uid="{0C78D935-8066-4595-A090-CB2F983FD9DE}"/>
    <cellStyle name="Heading 3 3 4 2 2 2 6" xfId="5981" xr:uid="{D1991DAA-24ED-419A-9EFA-EDF5D4BC42DA}"/>
    <cellStyle name="Heading 3 3 4 2 2 3" xfId="1043" xr:uid="{0DA97B9A-E935-406E-99D3-6C84CF585CAF}"/>
    <cellStyle name="Heading 3 3 4 2 2 3 2" xfId="1044" xr:uid="{A678DFAB-3712-48F4-926B-B80E187E1016}"/>
    <cellStyle name="Heading 3 3 4 2 2 3 2 2" xfId="1045" xr:uid="{3984EE96-18B5-4E5C-8A16-0B7C082CC77E}"/>
    <cellStyle name="Heading 3 3 4 2 2 3 2 2 2" xfId="5995" xr:uid="{E3186477-5E62-4D23-A77B-F48692D1938B}"/>
    <cellStyle name="Heading 3 3 4 2 2 3 2 3" xfId="1046" xr:uid="{310795C8-2ECD-41BA-B70B-ACE687941B14}"/>
    <cellStyle name="Heading 3 3 4 2 2 3 2 3 2" xfId="5996" xr:uid="{199F1AAD-ED6D-4D5F-8204-FE283D27E686}"/>
    <cellStyle name="Heading 3 3 4 2 2 3 2 4" xfId="5994" xr:uid="{AE5DCED8-C7C9-46BD-8C9A-E192ED14697A}"/>
    <cellStyle name="Heading 3 3 4 2 2 3 3" xfId="1047" xr:uid="{FDF314AB-00CA-4010-A178-4EC476A41805}"/>
    <cellStyle name="Heading 3 3 4 2 2 3 3 2" xfId="5997" xr:uid="{2AF12980-0310-4C77-B7B2-3D19A7FC3EBD}"/>
    <cellStyle name="Heading 3 3 4 2 2 3 4" xfId="1048" xr:uid="{B9E4756F-2DB2-4998-A5C3-0DF25B7360B6}"/>
    <cellStyle name="Heading 3 3 4 2 2 3 4 2" xfId="5998" xr:uid="{A7287663-3DD5-4DF0-AAE3-902D1A5FF54C}"/>
    <cellStyle name="Heading 3 3 4 2 2 3 5" xfId="5993" xr:uid="{5DBC19AE-53E5-495B-ABA6-2CA06F4EF48D}"/>
    <cellStyle name="Heading 3 3 4 2 2 4" xfId="1049" xr:uid="{A891C3EF-A9ED-4810-82C0-AF34B8C6B53D}"/>
    <cellStyle name="Heading 3 3 4 2 2 4 2" xfId="1050" xr:uid="{3BBF9AD3-4EE3-46E4-A1FA-A04BCF235823}"/>
    <cellStyle name="Heading 3 3 4 2 2 4 2 2" xfId="6000" xr:uid="{95D54CAF-CA38-4871-8AEF-8BFCF316782F}"/>
    <cellStyle name="Heading 3 3 4 2 2 4 3" xfId="1051" xr:uid="{28132A76-E8FE-46E8-912B-E9B1AB3F24FD}"/>
    <cellStyle name="Heading 3 3 4 2 2 4 3 2" xfId="6001" xr:uid="{96DC177D-9B78-4925-A662-3C275FF6A145}"/>
    <cellStyle name="Heading 3 3 4 2 2 4 4" xfId="5999" xr:uid="{6DE683C8-D9DD-4474-AE65-370605DD77ED}"/>
    <cellStyle name="Heading 3 3 4 2 2 5" xfId="1052" xr:uid="{653D0DAB-6B18-4BDE-BD44-906B95E92D35}"/>
    <cellStyle name="Heading 3 3 4 2 2 5 2" xfId="6002" xr:uid="{D066D5A2-3CF6-40B9-939B-2493A0458CC7}"/>
    <cellStyle name="Heading 3 3 4 2 2 6" xfId="1053" xr:uid="{D74666FC-F6CA-46BA-BE62-3DF01A9E9898}"/>
    <cellStyle name="Heading 3 3 4 2 2 6 2" xfId="6003" xr:uid="{2F9ACF16-EACF-4AF1-8D08-9EA7D28B3A8A}"/>
    <cellStyle name="Heading 3 3 4 2 2 7" xfId="1054" xr:uid="{CA9BBB07-E237-4143-AD70-D781EDE6D8AF}"/>
    <cellStyle name="Heading 3 3 4 2 2 7 2" xfId="6004" xr:uid="{3C596661-4293-45A6-84F1-09DAAD88A693}"/>
    <cellStyle name="Heading 3 3 4 2 2 8" xfId="5980" xr:uid="{4CE93A30-C835-47F7-A2E2-609977FB15E7}"/>
    <cellStyle name="Heading 3 3 4 2 3" xfId="1055" xr:uid="{78D6F00E-726C-4EC5-BEA7-9F40D4204D88}"/>
    <cellStyle name="Heading 3 3 4 2 3 2" xfId="1056" xr:uid="{25AA441E-11D8-422C-AC06-BA46434E67DB}"/>
    <cellStyle name="Heading 3 3 4 2 3 2 2" xfId="1057" xr:uid="{E282751D-E097-4678-8C65-45AB2114D2B6}"/>
    <cellStyle name="Heading 3 3 4 2 3 2 2 2" xfId="1058" xr:uid="{D1BF2E54-2E6D-48C7-9B1D-8338984FEBB4}"/>
    <cellStyle name="Heading 3 3 4 2 3 2 2 2 2" xfId="6008" xr:uid="{47E459DA-2E6A-4BED-A574-55C27A331FC7}"/>
    <cellStyle name="Heading 3 3 4 2 3 2 2 3" xfId="1059" xr:uid="{7C1CA05C-4499-4BAF-A840-3C1B7DAF72CF}"/>
    <cellStyle name="Heading 3 3 4 2 3 2 2 3 2" xfId="6009" xr:uid="{63B7B23C-70F1-4900-B5D8-61433DCE57AF}"/>
    <cellStyle name="Heading 3 3 4 2 3 2 2 4" xfId="6007" xr:uid="{520AE8C7-63D1-47FF-902E-3E14100F6CB5}"/>
    <cellStyle name="Heading 3 3 4 2 3 2 3" xfId="1060" xr:uid="{C1708A18-C03E-4347-819D-0D1F80BA7E50}"/>
    <cellStyle name="Heading 3 3 4 2 3 2 3 2" xfId="6010" xr:uid="{4FF5F6FB-9F68-46BE-80AB-BE7FB5671234}"/>
    <cellStyle name="Heading 3 3 4 2 3 2 4" xfId="1061" xr:uid="{217CE3E3-4121-43D0-B14B-15FD9DE17521}"/>
    <cellStyle name="Heading 3 3 4 2 3 2 4 2" xfId="6011" xr:uid="{CE792BA4-B09D-44A6-B0EA-6CC09B245368}"/>
    <cellStyle name="Heading 3 3 4 2 3 2 5" xfId="6006" xr:uid="{83120B86-659C-4E47-93BD-45834ED88F28}"/>
    <cellStyle name="Heading 3 3 4 2 3 3" xfId="1062" xr:uid="{8A5B7C3D-D295-4C7A-ACB3-4B8E6143ED77}"/>
    <cellStyle name="Heading 3 3 4 2 3 3 2" xfId="1063" xr:uid="{89372080-C5B3-475D-9E39-95311B39E67B}"/>
    <cellStyle name="Heading 3 3 4 2 3 3 2 2" xfId="6013" xr:uid="{D3F6AB7E-AACE-4AD5-A605-DDD6ADF9F78B}"/>
    <cellStyle name="Heading 3 3 4 2 3 3 3" xfId="1064" xr:uid="{E2EFF9BF-EC39-4290-A931-DB4AE61FB8EA}"/>
    <cellStyle name="Heading 3 3 4 2 3 3 3 2" xfId="6014" xr:uid="{5F54AB45-62D4-497D-87A3-FFD23E5F5ECA}"/>
    <cellStyle name="Heading 3 3 4 2 3 3 4" xfId="6012" xr:uid="{7E3A0B3A-A3E2-4BFB-95AA-0BCA0FD8AE77}"/>
    <cellStyle name="Heading 3 3 4 2 3 4" xfId="1065" xr:uid="{FF8359BB-CDBF-4A39-A4B9-931A098C6D2C}"/>
    <cellStyle name="Heading 3 3 4 2 3 4 2" xfId="6015" xr:uid="{43E1A574-535B-4C43-9CA9-8B04CCD10A2A}"/>
    <cellStyle name="Heading 3 3 4 2 3 5" xfId="1066" xr:uid="{F70DEA65-797D-4DC0-A4D3-4FB7CAF76DDA}"/>
    <cellStyle name="Heading 3 3 4 2 3 5 2" xfId="6016" xr:uid="{63B575F5-0447-4B78-9122-38C5F9E0524C}"/>
    <cellStyle name="Heading 3 3 4 2 3 6" xfId="6005" xr:uid="{243367A1-D907-4EAD-895C-04C8D7DCA503}"/>
    <cellStyle name="Heading 3 3 4 2 4" xfId="1067" xr:uid="{6C77DB18-8FDE-4953-91C9-17905C1A6BDD}"/>
    <cellStyle name="Heading 3 3 4 2 4 2" xfId="1068" xr:uid="{26CE5C64-580D-48CA-A037-613690A17790}"/>
    <cellStyle name="Heading 3 3 4 2 4 2 2" xfId="1069" xr:uid="{175542B8-4F6A-432E-B4F3-A641BD3F24F6}"/>
    <cellStyle name="Heading 3 3 4 2 4 2 2 2" xfId="6019" xr:uid="{39487442-94B9-4DB0-8623-B3F487E3727B}"/>
    <cellStyle name="Heading 3 3 4 2 4 2 3" xfId="1070" xr:uid="{7CDF7BE9-6B17-46B2-8E77-D1892E9C1F2C}"/>
    <cellStyle name="Heading 3 3 4 2 4 2 3 2" xfId="6020" xr:uid="{1010C9E3-4BA4-4DAE-86C6-9C35168D8023}"/>
    <cellStyle name="Heading 3 3 4 2 4 2 4" xfId="6018" xr:uid="{85C14E9A-B942-40BA-90DA-BE60850A4E46}"/>
    <cellStyle name="Heading 3 3 4 2 4 3" xfId="1071" xr:uid="{A6AC64C1-6887-48F3-9BC7-3CEBDCF26F0B}"/>
    <cellStyle name="Heading 3 3 4 2 4 3 2" xfId="6021" xr:uid="{7FC8B78E-1CC7-45E3-BCD0-993951BFECC2}"/>
    <cellStyle name="Heading 3 3 4 2 4 4" xfId="1072" xr:uid="{11C6574E-32BD-4C46-8956-F14CE5123467}"/>
    <cellStyle name="Heading 3 3 4 2 4 4 2" xfId="6022" xr:uid="{B87AFD3D-C987-46CD-8BDA-5ECB353913A7}"/>
    <cellStyle name="Heading 3 3 4 2 4 5" xfId="6017" xr:uid="{E7D220B6-8335-4DBC-AD0D-4698E15A8C9C}"/>
    <cellStyle name="Heading 3 3 4 2 5" xfId="1073" xr:uid="{B278F880-38D3-4F94-90CC-0357DF34B53E}"/>
    <cellStyle name="Heading 3 3 4 2 5 2" xfId="1074" xr:uid="{73A1C10B-9408-4E3E-8CE7-A6A750365F50}"/>
    <cellStyle name="Heading 3 3 4 2 5 2 2" xfId="6024" xr:uid="{DBA068FB-D9F2-4E70-8091-CF31A506A674}"/>
    <cellStyle name="Heading 3 3 4 2 5 3" xfId="1075" xr:uid="{8D907CA4-1DEF-426D-BACA-10907B22C5E3}"/>
    <cellStyle name="Heading 3 3 4 2 5 3 2" xfId="6025" xr:uid="{5685594E-1E95-4586-A051-9B7C3DB4461F}"/>
    <cellStyle name="Heading 3 3 4 2 5 4" xfId="6023" xr:uid="{AA9071EA-0954-4712-86A8-4352F7F6C154}"/>
    <cellStyle name="Heading 3 3 4 2 6" xfId="1076" xr:uid="{8EABF0E3-C70B-491E-B247-61A8A85C6563}"/>
    <cellStyle name="Heading 3 3 4 2 6 2" xfId="6026" xr:uid="{C3778DA3-C3FB-4113-B1FC-962307D3DC98}"/>
    <cellStyle name="Heading 3 3 4 2 7" xfId="5979" xr:uid="{1D4756DA-68B7-456D-95B3-FFAECF1724D2}"/>
    <cellStyle name="Heading 3 3 4 3" xfId="1077" xr:uid="{C2B5CBD0-5062-46C7-8CA8-559331DE43BF}"/>
    <cellStyle name="Heading 3 3 4 3 2" xfId="1078" xr:uid="{A6DEA0EC-18F7-4866-8E87-586707424658}"/>
    <cellStyle name="Heading 3 3 4 3 2 2" xfId="1079" xr:uid="{C7B3F73C-2BED-46C4-A1ED-1F1452F50CF5}"/>
    <cellStyle name="Heading 3 3 4 3 2 2 2" xfId="1080" xr:uid="{362192CE-D9BD-4E80-84A2-D2E86B00C96A}"/>
    <cellStyle name="Heading 3 3 4 3 2 2 2 2" xfId="1081" xr:uid="{440060F8-01AA-44CB-808C-B5947118E103}"/>
    <cellStyle name="Heading 3 3 4 3 2 2 2 2 2" xfId="6031" xr:uid="{05C65CB7-F581-40AE-84DF-412851868C37}"/>
    <cellStyle name="Heading 3 3 4 3 2 2 2 3" xfId="1082" xr:uid="{2F9E902C-ED68-4D5B-97FF-4B591C97D0E3}"/>
    <cellStyle name="Heading 3 3 4 3 2 2 2 3 2" xfId="6032" xr:uid="{7DDBAB24-3E1A-4F59-8A24-136A587CF664}"/>
    <cellStyle name="Heading 3 3 4 3 2 2 2 4" xfId="6030" xr:uid="{0114D3F6-7AA0-4284-9E4E-12570A888D12}"/>
    <cellStyle name="Heading 3 3 4 3 2 2 3" xfId="1083" xr:uid="{FA82656F-1496-4CAF-A2E4-B9EF076FD36B}"/>
    <cellStyle name="Heading 3 3 4 3 2 2 3 2" xfId="6033" xr:uid="{2E92A2F1-B1FE-4690-9CC2-DED8F7D897FF}"/>
    <cellStyle name="Heading 3 3 4 3 2 2 4" xfId="1084" xr:uid="{84CEB0C2-02BF-450B-91C0-EF93B8E19F78}"/>
    <cellStyle name="Heading 3 3 4 3 2 2 4 2" xfId="6034" xr:uid="{2EAC104F-3149-4A0D-A158-A217722D77F9}"/>
    <cellStyle name="Heading 3 3 4 3 2 2 5" xfId="6029" xr:uid="{91D13ADB-6DAE-4955-A3BF-235C98C78710}"/>
    <cellStyle name="Heading 3 3 4 3 2 3" xfId="1085" xr:uid="{A7F42AE0-A8AD-409F-91F0-906CC3B1BB5C}"/>
    <cellStyle name="Heading 3 3 4 3 2 3 2" xfId="1086" xr:uid="{FC6A3441-CF00-41C3-A7C4-87B20B1C47B1}"/>
    <cellStyle name="Heading 3 3 4 3 2 3 2 2" xfId="6036" xr:uid="{87F26849-808D-4723-AD17-5071849EDC9C}"/>
    <cellStyle name="Heading 3 3 4 3 2 3 3" xfId="1087" xr:uid="{7C30A1B3-D118-4743-92CF-8F41FC3AE35B}"/>
    <cellStyle name="Heading 3 3 4 3 2 3 3 2" xfId="6037" xr:uid="{FC1A4B80-2986-4C2C-A3EB-0272254EA71A}"/>
    <cellStyle name="Heading 3 3 4 3 2 3 4" xfId="6035" xr:uid="{66C91B95-381A-41C7-A7C0-5F791715B35A}"/>
    <cellStyle name="Heading 3 3 4 3 2 4" xfId="1088" xr:uid="{6AECC2E8-B930-49D7-BBC1-37DF39038516}"/>
    <cellStyle name="Heading 3 3 4 3 2 4 2" xfId="6038" xr:uid="{E66419BD-D190-4425-B921-132E23CD876F}"/>
    <cellStyle name="Heading 3 3 4 3 2 5" xfId="1089" xr:uid="{4979277B-9ACF-434E-BA93-4484DCBAA3C3}"/>
    <cellStyle name="Heading 3 3 4 3 2 5 2" xfId="6039" xr:uid="{A4CD46A4-02E8-444C-8592-F7BD68B8ACE1}"/>
    <cellStyle name="Heading 3 3 4 3 2 6" xfId="6028" xr:uid="{B94FA0D8-A034-4EEB-BEFA-CA51BDCCEF61}"/>
    <cellStyle name="Heading 3 3 4 3 3" xfId="1090" xr:uid="{B3F0BBFE-8A05-4DA8-A698-56F341429E3E}"/>
    <cellStyle name="Heading 3 3 4 3 3 2" xfId="1091" xr:uid="{7AE2C997-2D00-40BC-BD7C-95B1ED64ABAF}"/>
    <cellStyle name="Heading 3 3 4 3 3 2 2" xfId="1092" xr:uid="{61CF8905-FE42-4325-90F4-FABD7AA62281}"/>
    <cellStyle name="Heading 3 3 4 3 3 2 2 2" xfId="6042" xr:uid="{A0CABBF4-920E-421F-865C-1238EC8845ED}"/>
    <cellStyle name="Heading 3 3 4 3 3 2 3" xfId="1093" xr:uid="{0D52C961-F60A-40ED-A5CE-A818B955FAFC}"/>
    <cellStyle name="Heading 3 3 4 3 3 2 3 2" xfId="6043" xr:uid="{9B9AAF4C-8C0C-4786-83A3-C8F9B6E02683}"/>
    <cellStyle name="Heading 3 3 4 3 3 2 4" xfId="6041" xr:uid="{078B2C8A-C3B7-4826-9660-1EB9D0F12D68}"/>
    <cellStyle name="Heading 3 3 4 3 3 3" xfId="1094" xr:uid="{09BBE43D-5DF6-4F3D-8451-4F2EE7291EB3}"/>
    <cellStyle name="Heading 3 3 4 3 3 3 2" xfId="6044" xr:uid="{7E731953-5162-4B0F-A8FF-B178ABCCA2F1}"/>
    <cellStyle name="Heading 3 3 4 3 3 4" xfId="1095" xr:uid="{00265361-168D-498D-B184-7AFA54117CE7}"/>
    <cellStyle name="Heading 3 3 4 3 3 4 2" xfId="6045" xr:uid="{1C81A5D3-31D3-4C2B-B02D-5B60E552FA05}"/>
    <cellStyle name="Heading 3 3 4 3 3 5" xfId="6040" xr:uid="{C4CE2B7D-2ED4-467B-A345-CFCD5D3D933F}"/>
    <cellStyle name="Heading 3 3 4 3 4" xfId="1096" xr:uid="{EFB7CD27-010F-4F68-B848-1341891C5797}"/>
    <cellStyle name="Heading 3 3 4 3 4 2" xfId="1097" xr:uid="{7C9B2D97-E4C2-4F49-B316-C9E7D86B0D7E}"/>
    <cellStyle name="Heading 3 3 4 3 4 2 2" xfId="6047" xr:uid="{2E30FFAA-F2F5-417C-827A-5DE45CE259BD}"/>
    <cellStyle name="Heading 3 3 4 3 4 3" xfId="1098" xr:uid="{2AFD7210-6C68-46DE-8DC3-EF337EDEC48D}"/>
    <cellStyle name="Heading 3 3 4 3 4 3 2" xfId="6048" xr:uid="{5BFA64F7-3E94-4C88-992B-FAB3FE83B59C}"/>
    <cellStyle name="Heading 3 3 4 3 4 4" xfId="6046" xr:uid="{3C5BA13E-BCD6-4180-AB66-0700EA354A91}"/>
    <cellStyle name="Heading 3 3 4 3 5" xfId="1099" xr:uid="{D9C856DB-7FF9-413B-B4CD-B2CEE201AA00}"/>
    <cellStyle name="Heading 3 3 4 3 5 2" xfId="6049" xr:uid="{3B9048D8-36C0-428D-80A1-6206E1EC8EE0}"/>
    <cellStyle name="Heading 3 3 4 3 6" xfId="1100" xr:uid="{4282ABFF-5CC8-4547-99FE-F29C2DA3D90C}"/>
    <cellStyle name="Heading 3 3 4 3 6 2" xfId="6050" xr:uid="{8064127A-E833-4E0B-B960-3129449271B2}"/>
    <cellStyle name="Heading 3 3 4 3 7" xfId="1101" xr:uid="{AA10462B-220A-4612-BF46-87AAE6F1D8BF}"/>
    <cellStyle name="Heading 3 3 4 3 7 2" xfId="6051" xr:uid="{1691454B-D94F-4F23-A9FD-ED53BCDAA50E}"/>
    <cellStyle name="Heading 3 3 4 3 8" xfId="6027" xr:uid="{F5365ECB-5314-48A1-92FF-6B0B9BF36715}"/>
    <cellStyle name="Heading 3 3 4 4" xfId="1102" xr:uid="{63C546A6-F0E2-49D2-885C-6A47B8AA8378}"/>
    <cellStyle name="Heading 3 3 4 4 2" xfId="1103" xr:uid="{EFAFC9CC-947C-4879-9967-3B3ACE2A3911}"/>
    <cellStyle name="Heading 3 3 4 4 2 2" xfId="1104" xr:uid="{49E4A5AC-3EE7-43F5-87D3-026BF2360B28}"/>
    <cellStyle name="Heading 3 3 4 4 2 2 2" xfId="1105" xr:uid="{F8A6DBED-19BE-43B4-84BD-19128EC016E8}"/>
    <cellStyle name="Heading 3 3 4 4 2 2 2 2" xfId="6055" xr:uid="{0996C454-3038-4F3B-9FB4-F11940C3D0E2}"/>
    <cellStyle name="Heading 3 3 4 4 2 2 3" xfId="1106" xr:uid="{58D09A69-F466-4EED-819C-1643D5A5B339}"/>
    <cellStyle name="Heading 3 3 4 4 2 2 3 2" xfId="6056" xr:uid="{5DD0B6E0-7F97-4F14-8927-97ADD752B6CB}"/>
    <cellStyle name="Heading 3 3 4 4 2 2 4" xfId="6054" xr:uid="{DCE3C27F-885C-4F4B-AAE1-0E8BC4AB6A49}"/>
    <cellStyle name="Heading 3 3 4 4 2 3" xfId="1107" xr:uid="{85EB575B-C32E-45CF-A604-A640B70C9AE0}"/>
    <cellStyle name="Heading 3 3 4 4 2 3 2" xfId="6057" xr:uid="{466F3A99-A48A-49D5-8910-DB328A4584B9}"/>
    <cellStyle name="Heading 3 3 4 4 2 4" xfId="1108" xr:uid="{7E36925D-08BD-44D8-8CA7-83682B02484C}"/>
    <cellStyle name="Heading 3 3 4 4 2 4 2" xfId="6058" xr:uid="{1C0AF777-F856-45A0-8772-C71C58488084}"/>
    <cellStyle name="Heading 3 3 4 4 2 5" xfId="6053" xr:uid="{022BA34E-D2D0-4F63-9CEF-C44709BE00A4}"/>
    <cellStyle name="Heading 3 3 4 4 3" xfId="1109" xr:uid="{9DCB307B-F7A0-42FD-830C-1114652A8DE5}"/>
    <cellStyle name="Heading 3 3 4 4 3 2" xfId="1110" xr:uid="{86CAE8B8-8F56-4F84-9BA0-9E6C732A2B57}"/>
    <cellStyle name="Heading 3 3 4 4 3 2 2" xfId="6060" xr:uid="{3241001F-8711-4C69-87FE-04231B11DAF9}"/>
    <cellStyle name="Heading 3 3 4 4 3 3" xfId="1111" xr:uid="{B0E86773-617F-4C7B-A6A6-F1329ACDC4EB}"/>
    <cellStyle name="Heading 3 3 4 4 3 3 2" xfId="6061" xr:uid="{BCA6E183-1F9D-4C5E-8F52-5A99AFC34592}"/>
    <cellStyle name="Heading 3 3 4 4 3 4" xfId="6059" xr:uid="{5A3A13D4-1CA4-4112-993B-09AAAB0EBACD}"/>
    <cellStyle name="Heading 3 3 4 4 4" xfId="1112" xr:uid="{B737F91F-6B8E-4409-82FD-4AB0D142965D}"/>
    <cellStyle name="Heading 3 3 4 4 4 2" xfId="6062" xr:uid="{44C59328-DFDC-48C7-89E7-6E9DEDBA2399}"/>
    <cellStyle name="Heading 3 3 4 4 5" xfId="1113" xr:uid="{1C00957F-A973-470F-AB1E-46903854A847}"/>
    <cellStyle name="Heading 3 3 4 4 5 2" xfId="6063" xr:uid="{FE878CB1-0E02-43E2-AF9F-B6302C5CD026}"/>
    <cellStyle name="Heading 3 3 4 4 6" xfId="6052" xr:uid="{8C57F66A-0982-41E3-9F3D-3AF3AF6FD891}"/>
    <cellStyle name="Heading 3 3 4 5" xfId="1114" xr:uid="{99DEFDCD-6601-4631-A790-DBAE4E8DE1B2}"/>
    <cellStyle name="Heading 3 3 4 5 2" xfId="1115" xr:uid="{2E777F25-5A97-43E3-B212-76EF01B0B82D}"/>
    <cellStyle name="Heading 3 3 4 5 2 2" xfId="1116" xr:uid="{6BA02D9B-576F-490C-B6D9-8B7BC73D7E80}"/>
    <cellStyle name="Heading 3 3 4 5 2 2 2" xfId="6066" xr:uid="{BC5D199C-5082-4EB9-9325-4C97CC8AE3CC}"/>
    <cellStyle name="Heading 3 3 4 5 2 3" xfId="1117" xr:uid="{3141E56A-335F-43C5-BBDB-5345EDCA5E6B}"/>
    <cellStyle name="Heading 3 3 4 5 2 3 2" xfId="6067" xr:uid="{9CB435C9-CDFF-42EB-963B-FB98C497627F}"/>
    <cellStyle name="Heading 3 3 4 5 2 4" xfId="6065" xr:uid="{9F2DA8E6-AD6B-424E-86EA-980F1E31DE5B}"/>
    <cellStyle name="Heading 3 3 4 5 3" xfId="1118" xr:uid="{B932F8C4-8649-47F0-8400-BC069F353743}"/>
    <cellStyle name="Heading 3 3 4 5 3 2" xfId="6068" xr:uid="{EBB3D3B3-5AE5-4DB6-97EA-A6B62DA14C55}"/>
    <cellStyle name="Heading 3 3 4 5 4" xfId="1119" xr:uid="{B05EA2CE-B106-45F0-BB6C-B48FFDD0A813}"/>
    <cellStyle name="Heading 3 3 4 5 4 2" xfId="6069" xr:uid="{D5F5E7F4-B656-4345-886A-BCCEE1895C85}"/>
    <cellStyle name="Heading 3 3 4 5 5" xfId="6064" xr:uid="{D9268D93-B185-4A83-8FE2-3D15DB2CBBEA}"/>
    <cellStyle name="Heading 3 3 4 6" xfId="1120" xr:uid="{4CE725CB-04FC-4870-B15D-93214B428809}"/>
    <cellStyle name="Heading 3 3 4 6 2" xfId="1121" xr:uid="{F283B634-ED31-4D79-8E16-AAA52B1B38BF}"/>
    <cellStyle name="Heading 3 3 4 6 2 2" xfId="6071" xr:uid="{86F6D1BD-6CC4-42EE-8587-1ADC4F830E55}"/>
    <cellStyle name="Heading 3 3 4 6 3" xfId="1122" xr:uid="{DA75AC2A-2FF0-45B4-8F3D-A91E7A841903}"/>
    <cellStyle name="Heading 3 3 4 6 3 2" xfId="6072" xr:uid="{E852E247-E39E-46ED-8913-FBC6DEF06312}"/>
    <cellStyle name="Heading 3 3 4 6 4" xfId="6070" xr:uid="{1ED70AB6-BECB-409F-81D9-1664E38EF4E9}"/>
    <cellStyle name="Heading 3 3 4 7" xfId="1123" xr:uid="{B3061D17-ABF8-4A2F-B7DB-018B47DEF417}"/>
    <cellStyle name="Heading 3 3 4 7 2" xfId="6073" xr:uid="{97A82EAF-1FCC-43DE-BF10-2E287CBF0A0C}"/>
    <cellStyle name="Heading 3 3 4 8" xfId="5978" xr:uid="{903728FD-E3FC-4C18-B90C-14AFFC68B94D}"/>
    <cellStyle name="Heading 3 3 5" xfId="1124" xr:uid="{255E8EAB-3A5F-4999-99DD-EF39BB6FC25A}"/>
    <cellStyle name="Heading 3 3 5 2" xfId="1125" xr:uid="{8D70965A-10AC-4D47-AC94-1FE875985EE7}"/>
    <cellStyle name="Heading 3 3 5 2 2" xfId="1126" xr:uid="{0F3228A2-67A3-4586-8779-8DFE0E903CCB}"/>
    <cellStyle name="Heading 3 3 5 2 2 2" xfId="1127" xr:uid="{3BCCE277-81A5-44AD-B37E-4435554F8F60}"/>
    <cellStyle name="Heading 3 3 5 2 2 2 2" xfId="1128" xr:uid="{AC77C8E3-0CAE-48DF-B1B7-83D22D8C9C34}"/>
    <cellStyle name="Heading 3 3 5 2 2 2 2 2" xfId="6078" xr:uid="{E0AD7753-473F-4B8C-84D5-1C38ECCB3CE7}"/>
    <cellStyle name="Heading 3 3 5 2 2 2 3" xfId="1129" xr:uid="{746BD8E1-CB56-4234-AB40-69779ADD13B4}"/>
    <cellStyle name="Heading 3 3 5 2 2 2 3 2" xfId="6079" xr:uid="{EE17DD41-588F-40AA-B688-99092C0142A1}"/>
    <cellStyle name="Heading 3 3 5 2 2 2 4" xfId="6077" xr:uid="{A3F5217D-2DD8-49C7-98EB-9ED771526428}"/>
    <cellStyle name="Heading 3 3 5 2 2 3" xfId="1130" xr:uid="{1919C630-7A7D-4406-A73A-D95B1E140DBB}"/>
    <cellStyle name="Heading 3 3 5 2 2 3 2" xfId="6080" xr:uid="{68C5B4CB-8627-40D7-9BF5-AD3F6A916030}"/>
    <cellStyle name="Heading 3 3 5 2 2 4" xfId="1131" xr:uid="{1ABDE673-F3E6-411E-BD9D-46CEC5427AA1}"/>
    <cellStyle name="Heading 3 3 5 2 2 4 2" xfId="6081" xr:uid="{E1468067-CB03-4805-BC4A-6B9A39F3E593}"/>
    <cellStyle name="Heading 3 3 5 2 2 5" xfId="6076" xr:uid="{D59DC8F7-5010-4214-A469-1059EC67C5B0}"/>
    <cellStyle name="Heading 3 3 5 2 3" xfId="1132" xr:uid="{6222CBCB-6C7B-43F2-B01E-894279EE68AA}"/>
    <cellStyle name="Heading 3 3 5 2 3 2" xfId="1133" xr:uid="{921CE236-A1CE-4737-B9A5-CADC865BDB7C}"/>
    <cellStyle name="Heading 3 3 5 2 3 2 2" xfId="6083" xr:uid="{17B57676-412F-457F-9E34-908AD3EA2753}"/>
    <cellStyle name="Heading 3 3 5 2 3 3" xfId="1134" xr:uid="{155E8963-951A-4CED-AE77-F374215770A6}"/>
    <cellStyle name="Heading 3 3 5 2 3 3 2" xfId="6084" xr:uid="{95EE6665-5127-473D-9BEE-BF26F7605620}"/>
    <cellStyle name="Heading 3 3 5 2 3 4" xfId="6082" xr:uid="{45154BE0-4443-4830-874F-DB7D1C34D33F}"/>
    <cellStyle name="Heading 3 3 5 2 4" xfId="1135" xr:uid="{CDB154D2-678A-4B51-9130-4798A557D31A}"/>
    <cellStyle name="Heading 3 3 5 2 4 2" xfId="6085" xr:uid="{C9DA1DAB-4097-4264-9181-FC5CDDB76C5F}"/>
    <cellStyle name="Heading 3 3 5 2 5" xfId="1136" xr:uid="{3F392D34-60EA-46CE-9DAB-05705855F11F}"/>
    <cellStyle name="Heading 3 3 5 2 5 2" xfId="6086" xr:uid="{8C55B0EA-8D63-43FB-AF43-39B6B7E6B013}"/>
    <cellStyle name="Heading 3 3 5 2 6" xfId="6075" xr:uid="{37FAE051-5178-4043-87D3-0BB88A0E5A67}"/>
    <cellStyle name="Heading 3 3 5 3" xfId="1137" xr:uid="{020A636D-9947-41BD-8B8F-6FA87905B4F1}"/>
    <cellStyle name="Heading 3 3 5 3 2" xfId="1138" xr:uid="{E9430DA1-82CD-4A3E-8A91-DE6947F792A3}"/>
    <cellStyle name="Heading 3 3 5 3 2 2" xfId="1139" xr:uid="{1E6E318C-986C-472A-B88E-90B2748C5F2B}"/>
    <cellStyle name="Heading 3 3 5 3 2 2 2" xfId="6089" xr:uid="{4B1277F7-D77B-411D-82A7-C040F1BB51DD}"/>
    <cellStyle name="Heading 3 3 5 3 2 3" xfId="1140" xr:uid="{60B58326-57F1-4F65-BB5B-D384D745DB7F}"/>
    <cellStyle name="Heading 3 3 5 3 2 3 2" xfId="6090" xr:uid="{C764B511-10E7-4DAE-B846-EA3EB53D394D}"/>
    <cellStyle name="Heading 3 3 5 3 2 4" xfId="6088" xr:uid="{09CF02F6-8670-424D-AEF4-79775A1F7A11}"/>
    <cellStyle name="Heading 3 3 5 3 3" xfId="1141" xr:uid="{5958C230-8EAE-4056-9F59-DECF15DE7969}"/>
    <cellStyle name="Heading 3 3 5 3 3 2" xfId="6091" xr:uid="{4B652D1B-9E8B-4254-AA35-E8840EA8FD0A}"/>
    <cellStyle name="Heading 3 3 5 3 4" xfId="1142" xr:uid="{C9FF4A19-1C6F-4854-B23D-BE6B0899DDCF}"/>
    <cellStyle name="Heading 3 3 5 3 4 2" xfId="6092" xr:uid="{FE2A4BD1-7442-4881-A33F-D2FC1387AAA4}"/>
    <cellStyle name="Heading 3 3 5 3 5" xfId="6087" xr:uid="{54E219D3-B3B9-4782-8018-44566364B39D}"/>
    <cellStyle name="Heading 3 3 5 4" xfId="1143" xr:uid="{E74EEC9A-9625-43D9-8313-C9EBA6AC9832}"/>
    <cellStyle name="Heading 3 3 5 4 2" xfId="1144" xr:uid="{42D9526E-666E-4F25-90B0-F5327E658775}"/>
    <cellStyle name="Heading 3 3 5 4 2 2" xfId="6094" xr:uid="{E5257DD6-1C91-4780-A006-180884C3CCC3}"/>
    <cellStyle name="Heading 3 3 5 4 3" xfId="1145" xr:uid="{77A8D6A0-7587-4F0F-BDC5-2AACEA54A2CF}"/>
    <cellStyle name="Heading 3 3 5 4 3 2" xfId="6095" xr:uid="{BBEE723D-B870-4ED9-A6CB-2E235DF305E1}"/>
    <cellStyle name="Heading 3 3 5 4 4" xfId="6093" xr:uid="{ED5B3FFF-B26A-43FA-AC53-7E69E4AC64D8}"/>
    <cellStyle name="Heading 3 3 5 5" xfId="1146" xr:uid="{7DDC559F-0C59-4CB0-9370-2598C01797E8}"/>
    <cellStyle name="Heading 3 3 5 5 2" xfId="6096" xr:uid="{3B118452-37B6-4D9A-AB67-EDFC0DB261EA}"/>
    <cellStyle name="Heading 3 3 5 6" xfId="1147" xr:uid="{B0665911-8AF5-4F70-A1D7-DF0ED83D6AF0}"/>
    <cellStyle name="Heading 3 3 5 6 2" xfId="6097" xr:uid="{3453A6C3-257C-4C72-871F-1CA930B91FF1}"/>
    <cellStyle name="Heading 3 3 5 7" xfId="1148" xr:uid="{4C16E541-2BD0-4073-9BBE-336964A69339}"/>
    <cellStyle name="Heading 3 3 5 7 2" xfId="6098" xr:uid="{791F5802-AADB-4927-84B4-D815AC4275D6}"/>
    <cellStyle name="Heading 3 3 5 8" xfId="6074" xr:uid="{D74D55D4-379E-4712-A551-E09D55A5FE0F}"/>
    <cellStyle name="Heading 3 3 6" xfId="1149" xr:uid="{A0942506-37CE-4F89-826D-4704F55F1B61}"/>
    <cellStyle name="Heading 3 3 6 2" xfId="1150" xr:uid="{A163A51C-4F91-4D58-B9C9-BDD378541751}"/>
    <cellStyle name="Heading 3 3 6 2 2" xfId="1151" xr:uid="{EBD530A2-89D9-4F95-944C-3FF0345707AB}"/>
    <cellStyle name="Heading 3 3 6 2 2 2" xfId="1152" xr:uid="{C5E40D8C-83F2-4D62-A99A-96B74AFC1E91}"/>
    <cellStyle name="Heading 3 3 6 2 2 2 2" xfId="6102" xr:uid="{70BF08E2-708C-40D1-B5F4-9667A890CAC6}"/>
    <cellStyle name="Heading 3 3 6 2 2 3" xfId="1153" xr:uid="{0B0137F3-0E1D-4825-9735-992FB43FF99E}"/>
    <cellStyle name="Heading 3 3 6 2 2 3 2" xfId="6103" xr:uid="{7B09B4C3-14A5-4796-A808-2E07D4A87F81}"/>
    <cellStyle name="Heading 3 3 6 2 2 4" xfId="6101" xr:uid="{420FAEDC-421A-494A-A257-FFA169BFA7F7}"/>
    <cellStyle name="Heading 3 3 6 2 3" xfId="1154" xr:uid="{B62A11E4-5BD4-4711-820A-503473D89C9D}"/>
    <cellStyle name="Heading 3 3 6 2 3 2" xfId="6104" xr:uid="{A7336EAC-0BB7-47FD-BCF4-0DA1A3658F79}"/>
    <cellStyle name="Heading 3 3 6 2 4" xfId="1155" xr:uid="{00FE1189-1BCA-459E-A750-88615E2463ED}"/>
    <cellStyle name="Heading 3 3 6 2 4 2" xfId="6105" xr:uid="{CA4A573C-FA31-4C9E-87E1-E0847CF0A2B5}"/>
    <cellStyle name="Heading 3 3 6 2 5" xfId="6100" xr:uid="{500A1D41-669E-4573-86EB-6DFFBC0520AD}"/>
    <cellStyle name="Heading 3 3 6 3" xfId="1156" xr:uid="{23A8356E-0F1C-4056-B1CD-C7EE5FFBC2A6}"/>
    <cellStyle name="Heading 3 3 6 3 2" xfId="1157" xr:uid="{A867D1C2-BF74-41E9-B154-4877DFC16F6F}"/>
    <cellStyle name="Heading 3 3 6 3 2 2" xfId="6107" xr:uid="{46C6E4C2-63EA-4796-8776-5CE49D552F14}"/>
    <cellStyle name="Heading 3 3 6 3 3" xfId="1158" xr:uid="{C3B3645C-2E8F-4A05-BACF-8BCD2C944B36}"/>
    <cellStyle name="Heading 3 3 6 3 3 2" xfId="6108" xr:uid="{B2B4A208-4736-49DA-8E1D-2771F89F9692}"/>
    <cellStyle name="Heading 3 3 6 3 4" xfId="6106" xr:uid="{A65E1CBC-F548-4846-827C-4E9069161E91}"/>
    <cellStyle name="Heading 3 3 6 4" xfId="1159" xr:uid="{44DAD53A-BDF5-4C0D-94D1-81DED1045D71}"/>
    <cellStyle name="Heading 3 3 6 4 2" xfId="6109" xr:uid="{39A4084F-D3C4-4156-8D46-5E5568B9EFD5}"/>
    <cellStyle name="Heading 3 3 6 5" xfId="1160" xr:uid="{C697B749-726B-43DB-A4E0-4A481328917E}"/>
    <cellStyle name="Heading 3 3 6 5 2" xfId="6110" xr:uid="{3A50D766-ED53-46EE-9164-5AD6AFDBCF75}"/>
    <cellStyle name="Heading 3 3 6 6" xfId="6099" xr:uid="{D90F222C-E3A7-47B2-9B17-CC0F8D595F80}"/>
    <cellStyle name="Heading 3 3 7" xfId="1161" xr:uid="{DC7E303E-2157-4B0F-996C-887E188133B2}"/>
    <cellStyle name="Heading 3 3 7 2" xfId="1162" xr:uid="{5A484D9F-E897-4161-A4D1-590CA963D5A1}"/>
    <cellStyle name="Heading 3 3 7 2 2" xfId="1163" xr:uid="{55178DA6-0F91-4374-85A1-9402E6772946}"/>
    <cellStyle name="Heading 3 3 7 2 2 2" xfId="6113" xr:uid="{96225E62-2174-4269-A7C6-E0841C614874}"/>
    <cellStyle name="Heading 3 3 7 2 3" xfId="1164" xr:uid="{BB14CEEF-606C-4056-B880-36114B4482A6}"/>
    <cellStyle name="Heading 3 3 7 2 3 2" xfId="6114" xr:uid="{C718A9FC-843C-4CC6-9A73-B6FEDA31DD39}"/>
    <cellStyle name="Heading 3 3 7 2 4" xfId="6112" xr:uid="{E4998B8B-4C75-460D-8AFF-A62A54F72CAC}"/>
    <cellStyle name="Heading 3 3 7 3" xfId="1165" xr:uid="{5DA03FA3-E019-4796-BF05-6871D9BD260F}"/>
    <cellStyle name="Heading 3 3 7 3 2" xfId="6115" xr:uid="{6075492F-E134-46F3-B3FB-0E3052536E8F}"/>
    <cellStyle name="Heading 3 3 7 4" xfId="1166" xr:uid="{56C748FC-79D8-4ECC-B599-A764A909B18B}"/>
    <cellStyle name="Heading 3 3 7 4 2" xfId="6116" xr:uid="{FA75FC86-9642-4E2F-A535-A92942D66025}"/>
    <cellStyle name="Heading 3 3 7 5" xfId="6111" xr:uid="{73018225-D863-45E2-86DF-64810D3FE309}"/>
    <cellStyle name="Heading 3 3 8" xfId="1167" xr:uid="{81A38D1F-C9FB-4BE6-B565-7F72FAAF8351}"/>
    <cellStyle name="Heading 3 3 8 2" xfId="1168" xr:uid="{9AB77096-75B0-49EE-A685-409F873E82F2}"/>
    <cellStyle name="Heading 3 3 8 2 2" xfId="6118" xr:uid="{1DE69BF8-3380-46B5-9DD4-728CAAD7A398}"/>
    <cellStyle name="Heading 3 3 8 3" xfId="1169" xr:uid="{C4D994D9-11CF-4C32-A9CA-0787B1412ACC}"/>
    <cellStyle name="Heading 3 3 8 3 2" xfId="6119" xr:uid="{7A254670-46D0-4C83-BC6D-32ABC911A634}"/>
    <cellStyle name="Heading 3 3 8 4" xfId="6117" xr:uid="{15502971-2F99-459D-9DE1-E45803867758}"/>
    <cellStyle name="Heading 3 3 9" xfId="1170" xr:uid="{24F3E1F0-6D67-44B9-9B35-84379AEBF14B}"/>
    <cellStyle name="Heading 3 3 9 2" xfId="6120" xr:uid="{602F8013-0804-4CF2-9C0F-1D3E89A74D9D}"/>
    <cellStyle name="Heading 3 4" xfId="1171" xr:uid="{6AF18453-C64A-4941-A707-BEAC0C92BA4C}"/>
    <cellStyle name="Heading 3 4 2" xfId="1172" xr:uid="{4069B3F1-8014-451B-9766-3F869E75E02A}"/>
    <cellStyle name="Heading 3 4 2 2" xfId="1173" xr:uid="{14203CE4-0C89-4CD1-83F0-C83230ECEB25}"/>
    <cellStyle name="Heading 3 4 2 2 2" xfId="1174" xr:uid="{3DFA3C0B-C929-4B79-A095-1A083EEDF615}"/>
    <cellStyle name="Heading 3 4 2 2 2 2" xfId="1175" xr:uid="{0775B231-B376-41C4-875E-77082C43B926}"/>
    <cellStyle name="Heading 3 4 2 2 2 2 2" xfId="1176" xr:uid="{53FEBC4D-1043-40DB-9D53-6A70B03E6E70}"/>
    <cellStyle name="Heading 3 4 2 2 2 2 2 2" xfId="1177" xr:uid="{32350BEE-388D-4579-B00B-66C99A8A2DEA}"/>
    <cellStyle name="Heading 3 4 2 2 2 2 2 2 2" xfId="1178" xr:uid="{1AC3FB45-3D39-4C71-BDD5-D3473B7E9075}"/>
    <cellStyle name="Heading 3 4 2 2 2 2 2 2 2 2" xfId="6128" xr:uid="{B6FD5545-ECB3-4BFC-A1E9-7C638D283D8F}"/>
    <cellStyle name="Heading 3 4 2 2 2 2 2 2 3" xfId="1179" xr:uid="{9AFE1CC3-C575-4664-BA6A-6B11D1714BC2}"/>
    <cellStyle name="Heading 3 4 2 2 2 2 2 2 3 2" xfId="6129" xr:uid="{28361D00-6C91-4847-AA08-2076433FB7D4}"/>
    <cellStyle name="Heading 3 4 2 2 2 2 2 2 4" xfId="6127" xr:uid="{045EE41D-6606-4033-8D6C-7289FEE09B50}"/>
    <cellStyle name="Heading 3 4 2 2 2 2 2 3" xfId="1180" xr:uid="{03FEE6F0-02BC-4F5B-8AF7-62230B428859}"/>
    <cellStyle name="Heading 3 4 2 2 2 2 2 3 2" xfId="6130" xr:uid="{A9CB4DF4-2BC8-4050-A6E5-C682EFEF2333}"/>
    <cellStyle name="Heading 3 4 2 2 2 2 2 4" xfId="1181" xr:uid="{2B7CC61B-96E2-4C76-937E-1D74B940C7AB}"/>
    <cellStyle name="Heading 3 4 2 2 2 2 2 4 2" xfId="6131" xr:uid="{1FF8995D-9C9D-497A-B214-27F1AA811CCC}"/>
    <cellStyle name="Heading 3 4 2 2 2 2 2 5" xfId="6126" xr:uid="{BC7F8386-8022-4845-887F-143C6ED90A47}"/>
    <cellStyle name="Heading 3 4 2 2 2 2 3" xfId="1182" xr:uid="{6346DEE4-22C0-4933-960B-F9F15F90CA0A}"/>
    <cellStyle name="Heading 3 4 2 2 2 2 3 2" xfId="1183" xr:uid="{BF3129F3-6DC0-4A91-93BF-FF824BD2E507}"/>
    <cellStyle name="Heading 3 4 2 2 2 2 3 2 2" xfId="6133" xr:uid="{2341526C-C246-4155-98BA-7CECA9A25A23}"/>
    <cellStyle name="Heading 3 4 2 2 2 2 3 3" xfId="1184" xr:uid="{63E1E106-3892-426A-B5B5-8F50800247FB}"/>
    <cellStyle name="Heading 3 4 2 2 2 2 3 3 2" xfId="6134" xr:uid="{658C7F47-2314-4FF4-A636-2E517EDC3FAE}"/>
    <cellStyle name="Heading 3 4 2 2 2 2 3 4" xfId="6132" xr:uid="{62A36A23-D391-4B36-9E18-0335453DD50C}"/>
    <cellStyle name="Heading 3 4 2 2 2 2 4" xfId="1185" xr:uid="{3A080AEF-11E0-4732-9FFF-29E0014C4275}"/>
    <cellStyle name="Heading 3 4 2 2 2 2 4 2" xfId="6135" xr:uid="{F1AA0BDE-56B9-4DAA-B252-34D62502A40E}"/>
    <cellStyle name="Heading 3 4 2 2 2 2 5" xfId="1186" xr:uid="{FB606FEF-36CC-478C-AEB4-2FBEC14EFFF0}"/>
    <cellStyle name="Heading 3 4 2 2 2 2 5 2" xfId="6136" xr:uid="{83B4F36D-B8B4-4354-AF7F-BE712E61AAFB}"/>
    <cellStyle name="Heading 3 4 2 2 2 2 6" xfId="6125" xr:uid="{91E61CB7-6F96-4F8A-A5D9-305F71B0D701}"/>
    <cellStyle name="Heading 3 4 2 2 2 3" xfId="1187" xr:uid="{0E255552-EC67-4446-B624-BAA9BD9A4B54}"/>
    <cellStyle name="Heading 3 4 2 2 2 3 2" xfId="1188" xr:uid="{C4B77C34-4C13-41DC-AA71-7773457EE805}"/>
    <cellStyle name="Heading 3 4 2 2 2 3 2 2" xfId="1189" xr:uid="{68080C92-78E8-4E0F-A2B8-AFC1319125D1}"/>
    <cellStyle name="Heading 3 4 2 2 2 3 2 2 2" xfId="6139" xr:uid="{33F7C571-EA44-40B0-B535-C007D702EC50}"/>
    <cellStyle name="Heading 3 4 2 2 2 3 2 3" xfId="1190" xr:uid="{70C1B698-B14C-433A-98C4-0E17B05D0E00}"/>
    <cellStyle name="Heading 3 4 2 2 2 3 2 3 2" xfId="6140" xr:uid="{F7117928-D974-47D0-880A-9355B4AF2F2C}"/>
    <cellStyle name="Heading 3 4 2 2 2 3 2 4" xfId="6138" xr:uid="{CE682389-DAC9-4212-8389-6B164C1CE4AE}"/>
    <cellStyle name="Heading 3 4 2 2 2 3 3" xfId="1191" xr:uid="{4B2D8338-4139-4D0A-99EC-4D0CB416C45F}"/>
    <cellStyle name="Heading 3 4 2 2 2 3 3 2" xfId="6141" xr:uid="{9F58F311-65FA-4E0E-A8EF-2883378C4DE4}"/>
    <cellStyle name="Heading 3 4 2 2 2 3 4" xfId="1192" xr:uid="{76DEAAFD-AFC9-43EE-B5EB-0638F8181714}"/>
    <cellStyle name="Heading 3 4 2 2 2 3 4 2" xfId="6142" xr:uid="{F5EEA308-077D-416E-870D-5C9EFB6B96EA}"/>
    <cellStyle name="Heading 3 4 2 2 2 3 5" xfId="6137" xr:uid="{646CF0B7-9844-4EE9-A55F-15A06DCA5FFE}"/>
    <cellStyle name="Heading 3 4 2 2 2 4" xfId="1193" xr:uid="{D507AE7D-DC1D-44CB-94D1-B569F74A2C7F}"/>
    <cellStyle name="Heading 3 4 2 2 2 4 2" xfId="1194" xr:uid="{1356C106-D9E5-454E-811A-59F5917BB2D5}"/>
    <cellStyle name="Heading 3 4 2 2 2 4 2 2" xfId="6144" xr:uid="{C75E34BD-C454-4C36-88FB-4DE9A08EA9EC}"/>
    <cellStyle name="Heading 3 4 2 2 2 4 3" xfId="1195" xr:uid="{2F548F7B-AAB9-4515-878C-D3EA818593E6}"/>
    <cellStyle name="Heading 3 4 2 2 2 4 3 2" xfId="6145" xr:uid="{BCD19C80-FFFD-4E8D-B4DD-6675D36DE5B5}"/>
    <cellStyle name="Heading 3 4 2 2 2 4 4" xfId="6143" xr:uid="{06A1FB75-9BC1-4296-97EE-AA7EF86721B1}"/>
    <cellStyle name="Heading 3 4 2 2 2 5" xfId="1196" xr:uid="{CBAA85F9-7C86-429C-8015-886AF1370A6A}"/>
    <cellStyle name="Heading 3 4 2 2 2 5 2" xfId="6146" xr:uid="{BB0A0A66-7A6B-414C-AE39-CFAFBCAAB28C}"/>
    <cellStyle name="Heading 3 4 2 2 2 6" xfId="1197" xr:uid="{CB5C878B-C000-4B57-BCB4-885919874FA2}"/>
    <cellStyle name="Heading 3 4 2 2 2 6 2" xfId="6147" xr:uid="{C9DBAA05-D6ED-4E8F-B89B-687C7852F783}"/>
    <cellStyle name="Heading 3 4 2 2 2 7" xfId="1198" xr:uid="{E795A58D-D330-4625-8B8F-D378B7390810}"/>
    <cellStyle name="Heading 3 4 2 2 2 7 2" xfId="6148" xr:uid="{A156DA93-2115-4823-B8C4-A8F4ABF55052}"/>
    <cellStyle name="Heading 3 4 2 2 2 8" xfId="6124" xr:uid="{D81508FB-6235-481D-8732-1323236D83D7}"/>
    <cellStyle name="Heading 3 4 2 2 3" xfId="1199" xr:uid="{ED1827A6-23AD-4463-8829-9E035F911A19}"/>
    <cellStyle name="Heading 3 4 2 2 3 2" xfId="1200" xr:uid="{4B6248B1-0948-40F0-A0ED-671E62A9B500}"/>
    <cellStyle name="Heading 3 4 2 2 3 2 2" xfId="1201" xr:uid="{F91649E1-3BAC-41A4-8449-D5FD76CA7276}"/>
    <cellStyle name="Heading 3 4 2 2 3 2 2 2" xfId="1202" xr:uid="{CA5A1F03-7392-4247-90EF-4C7C02BE7EEF}"/>
    <cellStyle name="Heading 3 4 2 2 3 2 2 2 2" xfId="6152" xr:uid="{AB2C1B55-8F7F-4DF7-818D-128B57FEB583}"/>
    <cellStyle name="Heading 3 4 2 2 3 2 2 3" xfId="1203" xr:uid="{02206E4C-3D6B-4B7E-94DD-0F39B27C53A0}"/>
    <cellStyle name="Heading 3 4 2 2 3 2 2 3 2" xfId="6153" xr:uid="{DB94F4FC-0B53-49DD-9011-5D4C8A242818}"/>
    <cellStyle name="Heading 3 4 2 2 3 2 2 4" xfId="6151" xr:uid="{0284BAA6-2BE6-44EE-A96D-6DE8EEADC57F}"/>
    <cellStyle name="Heading 3 4 2 2 3 2 3" xfId="1204" xr:uid="{8352B433-0DE0-41FF-85B9-9EF120BCDB43}"/>
    <cellStyle name="Heading 3 4 2 2 3 2 3 2" xfId="6154" xr:uid="{FD032E68-1FF0-4067-93E7-D7319CA538D3}"/>
    <cellStyle name="Heading 3 4 2 2 3 2 4" xfId="1205" xr:uid="{FDA75CD0-E1D4-4C40-B296-FADFD7930476}"/>
    <cellStyle name="Heading 3 4 2 2 3 2 4 2" xfId="6155" xr:uid="{6570B104-5402-4470-8031-6525AD865D19}"/>
    <cellStyle name="Heading 3 4 2 2 3 2 5" xfId="6150" xr:uid="{E0C408F8-77DF-4CD8-9694-600ACF3AFB1E}"/>
    <cellStyle name="Heading 3 4 2 2 3 3" xfId="1206" xr:uid="{AD7501AE-0672-4EC7-8173-83A1EC306F60}"/>
    <cellStyle name="Heading 3 4 2 2 3 3 2" xfId="1207" xr:uid="{7F438381-D66A-4858-A3DD-3B973873E203}"/>
    <cellStyle name="Heading 3 4 2 2 3 3 2 2" xfId="6157" xr:uid="{2E0A6714-C892-4CDC-9806-4E902F65AC7F}"/>
    <cellStyle name="Heading 3 4 2 2 3 3 3" xfId="1208" xr:uid="{968373E4-A162-4CD3-AD5E-95F8B5AAEBCC}"/>
    <cellStyle name="Heading 3 4 2 2 3 3 3 2" xfId="6158" xr:uid="{CDA9212F-7CC2-42DC-9DF8-CC36603B9D64}"/>
    <cellStyle name="Heading 3 4 2 2 3 3 4" xfId="6156" xr:uid="{C8716D80-1DCE-48F6-A5AB-E1495DF76437}"/>
    <cellStyle name="Heading 3 4 2 2 3 4" xfId="1209" xr:uid="{C8F742FC-E787-450F-957B-5801073DEB42}"/>
    <cellStyle name="Heading 3 4 2 2 3 4 2" xfId="6159" xr:uid="{E9CDB3B3-8B2F-4D66-A4A3-EE0CFF1A762E}"/>
    <cellStyle name="Heading 3 4 2 2 3 5" xfId="1210" xr:uid="{C8D93FA7-6498-4D55-AA3C-0BFDFEC31804}"/>
    <cellStyle name="Heading 3 4 2 2 3 5 2" xfId="6160" xr:uid="{E597C2AF-2157-4D7D-8B9B-F98808509ACA}"/>
    <cellStyle name="Heading 3 4 2 2 3 6" xfId="6149" xr:uid="{F943D650-EAA1-4F1A-BEDC-C80E9C5470E0}"/>
    <cellStyle name="Heading 3 4 2 2 4" xfId="1211" xr:uid="{BCE887F6-4297-4275-86B1-4BFF4B370C55}"/>
    <cellStyle name="Heading 3 4 2 2 4 2" xfId="1212" xr:uid="{B6EB9674-31C4-4859-8BE4-A01FE9FD8E09}"/>
    <cellStyle name="Heading 3 4 2 2 4 2 2" xfId="1213" xr:uid="{B66ACF8D-1AE3-4FD6-A438-F37DB31E27E1}"/>
    <cellStyle name="Heading 3 4 2 2 4 2 2 2" xfId="6163" xr:uid="{4342D2E7-6512-40E0-B562-09EF7D35057C}"/>
    <cellStyle name="Heading 3 4 2 2 4 2 3" xfId="1214" xr:uid="{09BDE75C-FDCC-49D6-B229-AC86A9D22CEC}"/>
    <cellStyle name="Heading 3 4 2 2 4 2 3 2" xfId="6164" xr:uid="{0F88A523-1342-4175-A733-C22A217399AE}"/>
    <cellStyle name="Heading 3 4 2 2 4 2 4" xfId="6162" xr:uid="{369AC21B-DAF2-4C31-92DE-2F1981ECF5CE}"/>
    <cellStyle name="Heading 3 4 2 2 4 3" xfId="1215" xr:uid="{2EBFE3E7-0E35-4219-9187-DB019054ED5A}"/>
    <cellStyle name="Heading 3 4 2 2 4 3 2" xfId="6165" xr:uid="{A1C8F597-F92D-4D1C-AFDD-3D53DBFE10F2}"/>
    <cellStyle name="Heading 3 4 2 2 4 4" xfId="1216" xr:uid="{938DD6D9-AE88-43AA-BE2A-847442D9DB6A}"/>
    <cellStyle name="Heading 3 4 2 2 4 4 2" xfId="6166" xr:uid="{84CBFA12-8A09-4590-84F1-FBE09F74AEB2}"/>
    <cellStyle name="Heading 3 4 2 2 4 5" xfId="6161" xr:uid="{0CB04361-238B-44C1-BF8B-C690F481227B}"/>
    <cellStyle name="Heading 3 4 2 2 5" xfId="1217" xr:uid="{E2364791-0BEA-4CFF-BACF-D6EE37051226}"/>
    <cellStyle name="Heading 3 4 2 2 5 2" xfId="1218" xr:uid="{985381B9-9D1D-4176-AD64-47AE902AB630}"/>
    <cellStyle name="Heading 3 4 2 2 5 2 2" xfId="6168" xr:uid="{76F050C2-FF03-41C7-AA9E-2AE5D6CA22F4}"/>
    <cellStyle name="Heading 3 4 2 2 5 3" xfId="1219" xr:uid="{7BB6ECB4-6ED1-48B9-B0F1-65A81B88E77D}"/>
    <cellStyle name="Heading 3 4 2 2 5 3 2" xfId="6169" xr:uid="{01077E16-33E5-46C6-895D-D7F3A063A6AC}"/>
    <cellStyle name="Heading 3 4 2 2 5 4" xfId="6167" xr:uid="{A2EDBFE0-D0C5-431B-9A3C-F0670D7CF390}"/>
    <cellStyle name="Heading 3 4 2 2 6" xfId="1220" xr:uid="{B8587C7F-4C51-4E95-B84E-217E05E00E6D}"/>
    <cellStyle name="Heading 3 4 2 2 6 2" xfId="6170" xr:uid="{28D93421-2C02-40D2-AB1C-E7C9EC491FC2}"/>
    <cellStyle name="Heading 3 4 2 2 7" xfId="6123" xr:uid="{9C0B8ACA-31B9-421F-B3BF-962A5D557B01}"/>
    <cellStyle name="Heading 3 4 2 3" xfId="1221" xr:uid="{BFF507DC-F4FD-4866-9F0B-601BF1ED38F0}"/>
    <cellStyle name="Heading 3 4 2 3 2" xfId="1222" xr:uid="{CB31F52E-2BD1-44E9-B984-F2846CD97F10}"/>
    <cellStyle name="Heading 3 4 2 3 2 2" xfId="1223" xr:uid="{CDC5910E-2805-468D-B3A8-27BAC0523CDB}"/>
    <cellStyle name="Heading 3 4 2 3 2 2 2" xfId="1224" xr:uid="{5D3BD67F-9949-4B23-975A-C53EB96C9477}"/>
    <cellStyle name="Heading 3 4 2 3 2 2 2 2" xfId="1225" xr:uid="{E6A20473-7AAC-4C0B-B569-F7F54E831117}"/>
    <cellStyle name="Heading 3 4 2 3 2 2 2 2 2" xfId="6175" xr:uid="{5F2AF7F1-9DE2-4966-B32C-1E154453A2C0}"/>
    <cellStyle name="Heading 3 4 2 3 2 2 2 3" xfId="1226" xr:uid="{29771B5C-4F03-4D0B-9524-F9BCBF4465C0}"/>
    <cellStyle name="Heading 3 4 2 3 2 2 2 3 2" xfId="6176" xr:uid="{E204D577-91EC-4AC7-8F4A-FD5ADB556D48}"/>
    <cellStyle name="Heading 3 4 2 3 2 2 2 4" xfId="6174" xr:uid="{8314DDFF-A602-481C-BA78-38C60D41C57E}"/>
    <cellStyle name="Heading 3 4 2 3 2 2 3" xfId="1227" xr:uid="{EDD1AD1D-C62F-405D-9701-6445665F6058}"/>
    <cellStyle name="Heading 3 4 2 3 2 2 3 2" xfId="6177" xr:uid="{35ACC40A-551E-453A-997E-B9FB173ED771}"/>
    <cellStyle name="Heading 3 4 2 3 2 2 4" xfId="1228" xr:uid="{B8B041BA-DD37-4846-9161-CDD4C2E307B6}"/>
    <cellStyle name="Heading 3 4 2 3 2 2 4 2" xfId="6178" xr:uid="{0D6A63E1-4503-4436-89DC-4C23E78BC4C7}"/>
    <cellStyle name="Heading 3 4 2 3 2 2 5" xfId="6173" xr:uid="{90587C12-8278-41D7-97B9-0BB3771A09BF}"/>
    <cellStyle name="Heading 3 4 2 3 2 3" xfId="1229" xr:uid="{1E1BEE80-B080-4332-97C9-5D53AE327821}"/>
    <cellStyle name="Heading 3 4 2 3 2 3 2" xfId="1230" xr:uid="{0FAB5E36-7638-4EDF-99FC-80E5E27C0764}"/>
    <cellStyle name="Heading 3 4 2 3 2 3 2 2" xfId="6180" xr:uid="{7E89BDF4-DB4F-4696-857A-759AAD9A8B44}"/>
    <cellStyle name="Heading 3 4 2 3 2 3 3" xfId="1231" xr:uid="{C88918F2-DCCB-4F23-9B73-40D6F427CE39}"/>
    <cellStyle name="Heading 3 4 2 3 2 3 3 2" xfId="6181" xr:uid="{8553E639-1DC0-4E53-94BD-21D80E6A56DA}"/>
    <cellStyle name="Heading 3 4 2 3 2 3 4" xfId="6179" xr:uid="{5EC247AC-A492-45BC-907E-53B3DB5DDD97}"/>
    <cellStyle name="Heading 3 4 2 3 2 4" xfId="1232" xr:uid="{FBEE2095-E2C1-4E0F-A438-A5D48CDDFDA6}"/>
    <cellStyle name="Heading 3 4 2 3 2 4 2" xfId="6182" xr:uid="{A6DE70C0-BE56-4624-B13A-87DBA0032496}"/>
    <cellStyle name="Heading 3 4 2 3 2 5" xfId="1233" xr:uid="{234BB9AA-D195-4F87-B63A-3F333CB7EE2A}"/>
    <cellStyle name="Heading 3 4 2 3 2 5 2" xfId="6183" xr:uid="{80A07263-6F28-410F-9C79-3661E872AE25}"/>
    <cellStyle name="Heading 3 4 2 3 2 6" xfId="6172" xr:uid="{428C00CF-C564-4058-8AC9-80BB80D378AB}"/>
    <cellStyle name="Heading 3 4 2 3 3" xfId="1234" xr:uid="{73D2BD8C-FE7C-4E2A-8927-4D54CE4C2E00}"/>
    <cellStyle name="Heading 3 4 2 3 3 2" xfId="1235" xr:uid="{07C02AF6-AF21-4443-A0D3-D82B71D989B0}"/>
    <cellStyle name="Heading 3 4 2 3 3 2 2" xfId="1236" xr:uid="{6BD47CD1-A78A-4834-BB50-43E739C4697E}"/>
    <cellStyle name="Heading 3 4 2 3 3 2 2 2" xfId="6186" xr:uid="{2027B593-48F5-46F3-9E96-FF33DF1E805D}"/>
    <cellStyle name="Heading 3 4 2 3 3 2 3" xfId="1237" xr:uid="{705FD5EF-06FC-4B13-AD68-F59320B42AE8}"/>
    <cellStyle name="Heading 3 4 2 3 3 2 3 2" xfId="6187" xr:uid="{A6B24D5A-9937-452F-A637-383B8B8A912F}"/>
    <cellStyle name="Heading 3 4 2 3 3 2 4" xfId="6185" xr:uid="{0C8A2889-A5CB-4AB0-B7AD-0E3EEBD2FB19}"/>
    <cellStyle name="Heading 3 4 2 3 3 3" xfId="1238" xr:uid="{7EEF63B6-42E4-442E-BA40-B5731B160DD7}"/>
    <cellStyle name="Heading 3 4 2 3 3 3 2" xfId="6188" xr:uid="{5D274598-5678-4D98-893F-DF5D4DE22CE8}"/>
    <cellStyle name="Heading 3 4 2 3 3 4" xfId="1239" xr:uid="{560037D0-94F3-43B9-ABD5-2E78FAB449C4}"/>
    <cellStyle name="Heading 3 4 2 3 3 4 2" xfId="6189" xr:uid="{A5568AC4-9A16-454B-8BC0-E26F7D2BD2AF}"/>
    <cellStyle name="Heading 3 4 2 3 3 5" xfId="6184" xr:uid="{D4E13688-FDD0-4D11-B3EB-4404C67C7B84}"/>
    <cellStyle name="Heading 3 4 2 3 4" xfId="1240" xr:uid="{DD64E25A-A39C-49D6-904B-FEB31B4ECCE7}"/>
    <cellStyle name="Heading 3 4 2 3 4 2" xfId="1241" xr:uid="{826B9ADD-7697-48BE-801C-69AFA2BDC9E6}"/>
    <cellStyle name="Heading 3 4 2 3 4 2 2" xfId="6191" xr:uid="{0601B5FF-2586-45C7-89E6-2C155B66A86F}"/>
    <cellStyle name="Heading 3 4 2 3 4 3" xfId="1242" xr:uid="{D8A25151-D73C-45BF-9625-E1BB5DAD194F}"/>
    <cellStyle name="Heading 3 4 2 3 4 3 2" xfId="6192" xr:uid="{A34798A7-9CFD-4AD9-8EDE-B397F43F3255}"/>
    <cellStyle name="Heading 3 4 2 3 4 4" xfId="6190" xr:uid="{676037E0-7BA7-46D3-913C-B11D9FDDFBE6}"/>
    <cellStyle name="Heading 3 4 2 3 5" xfId="1243" xr:uid="{D1BCE1FF-B75D-46B9-BAE2-2561366578E1}"/>
    <cellStyle name="Heading 3 4 2 3 5 2" xfId="6193" xr:uid="{6BDEA56A-9753-4471-B7B4-52FF77DCEAC7}"/>
    <cellStyle name="Heading 3 4 2 3 6" xfId="1244" xr:uid="{578308EB-5CE8-4675-960C-9120443D26F9}"/>
    <cellStyle name="Heading 3 4 2 3 6 2" xfId="6194" xr:uid="{DDDD27B7-7284-444D-8561-910266A9C993}"/>
    <cellStyle name="Heading 3 4 2 3 7" xfId="1245" xr:uid="{A2A76D3B-2129-4878-A531-6750CA85D5F4}"/>
    <cellStyle name="Heading 3 4 2 3 7 2" xfId="6195" xr:uid="{314C7563-6C57-4D9F-8AF8-554A64529C78}"/>
    <cellStyle name="Heading 3 4 2 3 8" xfId="6171" xr:uid="{457BA293-5764-4A75-80F7-C1450EC3599B}"/>
    <cellStyle name="Heading 3 4 2 4" xfId="1246" xr:uid="{6A9E4FC6-4B8D-4356-AD8E-1B31C09B709C}"/>
    <cellStyle name="Heading 3 4 2 4 2" xfId="1247" xr:uid="{D80CCEA2-4BBB-46A7-8965-CE58059FD0F5}"/>
    <cellStyle name="Heading 3 4 2 4 2 2" xfId="1248" xr:uid="{EFBE3A1C-48E0-4194-8FA6-E430AF21AA63}"/>
    <cellStyle name="Heading 3 4 2 4 2 2 2" xfId="1249" xr:uid="{75F74B6E-ACE6-49AB-AE37-AE9BEC62A5BC}"/>
    <cellStyle name="Heading 3 4 2 4 2 2 2 2" xfId="6199" xr:uid="{72B69055-1763-4882-95E5-AF47F8E980A8}"/>
    <cellStyle name="Heading 3 4 2 4 2 2 3" xfId="1250" xr:uid="{578839B9-7442-4B48-9911-578151AFA417}"/>
    <cellStyle name="Heading 3 4 2 4 2 2 3 2" xfId="6200" xr:uid="{37DE6935-1628-4BD8-AD5A-7E42060CD87E}"/>
    <cellStyle name="Heading 3 4 2 4 2 2 4" xfId="6198" xr:uid="{C7E08421-F4AD-4525-86F6-5539F5A6836A}"/>
    <cellStyle name="Heading 3 4 2 4 2 3" xfId="1251" xr:uid="{847A7F3B-29CF-49EA-B7FB-82DAB67ACEBB}"/>
    <cellStyle name="Heading 3 4 2 4 2 3 2" xfId="6201" xr:uid="{10AE752F-3D47-46F4-B5B4-FED2FDA9B639}"/>
    <cellStyle name="Heading 3 4 2 4 2 4" xfId="1252" xr:uid="{79EEFD3E-002A-4457-B94F-6181B2964695}"/>
    <cellStyle name="Heading 3 4 2 4 2 4 2" xfId="6202" xr:uid="{1C13F248-E438-4256-9658-016D38EFB66A}"/>
    <cellStyle name="Heading 3 4 2 4 2 5" xfId="6197" xr:uid="{3107E1E4-12EB-4A2C-A495-F7DE550E6B57}"/>
    <cellStyle name="Heading 3 4 2 4 3" xfId="1253" xr:uid="{54699136-75B2-4A00-BCE2-A9FE99217297}"/>
    <cellStyle name="Heading 3 4 2 4 3 2" xfId="1254" xr:uid="{D8A9365C-2CD0-4509-BDF7-581168F2286F}"/>
    <cellStyle name="Heading 3 4 2 4 3 2 2" xfId="6204" xr:uid="{DAE29C7E-8EF1-4B0F-A008-D53CA207943B}"/>
    <cellStyle name="Heading 3 4 2 4 3 3" xfId="1255" xr:uid="{3C896E57-3C58-490A-87D7-7BB7E917BE94}"/>
    <cellStyle name="Heading 3 4 2 4 3 3 2" xfId="6205" xr:uid="{FABD1B64-7669-46AB-9869-E3CE45EC2EF8}"/>
    <cellStyle name="Heading 3 4 2 4 3 4" xfId="6203" xr:uid="{EBEE7964-DA8E-4B03-975F-95A7B98E15B0}"/>
    <cellStyle name="Heading 3 4 2 4 4" xfId="1256" xr:uid="{9B5BE231-345C-4F2E-922B-8A9FC0F5AFF2}"/>
    <cellStyle name="Heading 3 4 2 4 4 2" xfId="6206" xr:uid="{8724C01A-D509-4313-BD43-0F7BE6226AAB}"/>
    <cellStyle name="Heading 3 4 2 4 5" xfId="1257" xr:uid="{FEBA0013-04BE-4051-8204-0C94EF8D6D81}"/>
    <cellStyle name="Heading 3 4 2 4 5 2" xfId="6207" xr:uid="{14C83E8F-4878-4F9C-8F89-267DE3A56400}"/>
    <cellStyle name="Heading 3 4 2 4 6" xfId="6196" xr:uid="{95285B7D-FC74-4085-9C71-573F6838E25C}"/>
    <cellStyle name="Heading 3 4 2 5" xfId="1258" xr:uid="{62E5861C-6247-4E8F-93E8-9FF91098A395}"/>
    <cellStyle name="Heading 3 4 2 5 2" xfId="1259" xr:uid="{7A077E9B-BA47-48A9-A6EC-6EC2166FAF3C}"/>
    <cellStyle name="Heading 3 4 2 5 2 2" xfId="1260" xr:uid="{F0FF2F55-154F-4360-91A4-FAED2E2AFB7B}"/>
    <cellStyle name="Heading 3 4 2 5 2 2 2" xfId="6210" xr:uid="{E5B3CC2E-898A-4A05-A8F8-E9A89BAE4197}"/>
    <cellStyle name="Heading 3 4 2 5 2 3" xfId="1261" xr:uid="{6B5C644A-AA58-4F26-8B38-E18DB1FC2D8E}"/>
    <cellStyle name="Heading 3 4 2 5 2 3 2" xfId="6211" xr:uid="{3F776CA8-DB69-4A15-93A8-67576F3E22F9}"/>
    <cellStyle name="Heading 3 4 2 5 2 4" xfId="6209" xr:uid="{2A13E602-A6FA-4FEE-A8E3-263E43A749B7}"/>
    <cellStyle name="Heading 3 4 2 5 3" xfId="1262" xr:uid="{A4160F9B-4247-4B1A-96BB-6D7A4F3743D7}"/>
    <cellStyle name="Heading 3 4 2 5 3 2" xfId="6212" xr:uid="{9674B6FB-5294-4E65-8C37-E56E4FE14FE9}"/>
    <cellStyle name="Heading 3 4 2 5 4" xfId="1263" xr:uid="{28FCD0E5-4037-4787-8DC8-F89F4CD78295}"/>
    <cellStyle name="Heading 3 4 2 5 4 2" xfId="6213" xr:uid="{6C548196-1B0E-40D1-B774-75642D077A2C}"/>
    <cellStyle name="Heading 3 4 2 5 5" xfId="6208" xr:uid="{BD015077-2065-4115-9554-47B2AE0DAAB3}"/>
    <cellStyle name="Heading 3 4 2 6" xfId="1264" xr:uid="{D627498C-1DB8-4916-9D6E-2E8073EA9EC0}"/>
    <cellStyle name="Heading 3 4 2 6 2" xfId="1265" xr:uid="{770462B9-02B9-4EEF-AA24-7D60F3C8D98F}"/>
    <cellStyle name="Heading 3 4 2 6 2 2" xfId="6215" xr:uid="{0B733C29-9109-46DD-B07C-0F8488E1574C}"/>
    <cellStyle name="Heading 3 4 2 6 3" xfId="1266" xr:uid="{ECF2478D-2C7F-4BE2-BB9F-CE44B2F7F4C8}"/>
    <cellStyle name="Heading 3 4 2 6 3 2" xfId="6216" xr:uid="{1E5D8D34-CA0F-4EB7-96BB-32F2B5230E3E}"/>
    <cellStyle name="Heading 3 4 2 6 4" xfId="6214" xr:uid="{A94751D8-436D-46BF-948F-2FD4DCC567FF}"/>
    <cellStyle name="Heading 3 4 2 7" xfId="1267" xr:uid="{F47BDC7F-331A-4880-817D-C9099F6532E9}"/>
    <cellStyle name="Heading 3 4 2 7 2" xfId="6217" xr:uid="{79D491A0-37C6-45E5-959F-0273CBA361DE}"/>
    <cellStyle name="Heading 3 4 2 8" xfId="6122" xr:uid="{7C89097F-2C22-4947-BDF6-4F0E95FA7057}"/>
    <cellStyle name="Heading 3 4 3" xfId="1268" xr:uid="{47F0B63A-022C-4CC0-B272-4CB5514DD009}"/>
    <cellStyle name="Heading 3 4 3 2" xfId="1269" xr:uid="{C8FB4455-A5D2-41F7-9315-C124978B5576}"/>
    <cellStyle name="Heading 3 4 3 2 2" xfId="1270" xr:uid="{57360F46-49C7-44F2-885A-F7E9CBB74A33}"/>
    <cellStyle name="Heading 3 4 3 2 2 2" xfId="1271" xr:uid="{D083CC3C-830B-48DC-A8E6-4138B2564D0F}"/>
    <cellStyle name="Heading 3 4 3 2 2 2 2" xfId="1272" xr:uid="{0DF98FB7-7ACF-4CDD-B1DC-4BE11E3EA6E7}"/>
    <cellStyle name="Heading 3 4 3 2 2 2 2 2" xfId="1273" xr:uid="{9997C429-3207-478F-AA51-C70C830AD265}"/>
    <cellStyle name="Heading 3 4 3 2 2 2 2 2 2" xfId="6223" xr:uid="{6840D854-D90B-4CDA-AB72-04FD19193D08}"/>
    <cellStyle name="Heading 3 4 3 2 2 2 2 3" xfId="1274" xr:uid="{3C7D1FFD-AF96-4DE5-9026-32C07A5923FC}"/>
    <cellStyle name="Heading 3 4 3 2 2 2 2 3 2" xfId="6224" xr:uid="{C7F79E7C-071C-48B3-9D46-274E4AC8FA9A}"/>
    <cellStyle name="Heading 3 4 3 2 2 2 2 4" xfId="6222" xr:uid="{4FB52B1D-9A40-4628-B5D1-D7684E3C606D}"/>
    <cellStyle name="Heading 3 4 3 2 2 2 3" xfId="1275" xr:uid="{05772514-26F9-42AC-BE14-606CFD20E3A8}"/>
    <cellStyle name="Heading 3 4 3 2 2 2 3 2" xfId="6225" xr:uid="{E582C6E8-8B5E-4DB3-899D-3B55AB40C0EB}"/>
    <cellStyle name="Heading 3 4 3 2 2 2 4" xfId="1276" xr:uid="{479848A9-5857-4CB8-B693-0D5343B81748}"/>
    <cellStyle name="Heading 3 4 3 2 2 2 4 2" xfId="6226" xr:uid="{2F52D45E-6341-4866-B415-C32980B0E232}"/>
    <cellStyle name="Heading 3 4 3 2 2 2 5" xfId="6221" xr:uid="{2A2E4608-05CD-48AA-9385-C7501B81F8D1}"/>
    <cellStyle name="Heading 3 4 3 2 2 3" xfId="1277" xr:uid="{BA5F6FB2-1A6C-4410-A6F5-58FB69D74E0F}"/>
    <cellStyle name="Heading 3 4 3 2 2 3 2" xfId="1278" xr:uid="{7317D15F-7BF3-47B8-AC27-286F6A2B7921}"/>
    <cellStyle name="Heading 3 4 3 2 2 3 2 2" xfId="6228" xr:uid="{BD22FC81-7ACE-49CC-9D34-41E38531F95A}"/>
    <cellStyle name="Heading 3 4 3 2 2 3 3" xfId="1279" xr:uid="{E12245FF-BFEC-4307-BAA4-BB2331541465}"/>
    <cellStyle name="Heading 3 4 3 2 2 3 3 2" xfId="6229" xr:uid="{117D9C58-35D9-4373-B3A5-A55A01E06CE3}"/>
    <cellStyle name="Heading 3 4 3 2 2 3 4" xfId="6227" xr:uid="{C9045172-F6DB-44A4-8F5D-E0F6BB95F16E}"/>
    <cellStyle name="Heading 3 4 3 2 2 4" xfId="1280" xr:uid="{C9E85D71-171B-42F8-930F-F279954A337A}"/>
    <cellStyle name="Heading 3 4 3 2 2 4 2" xfId="6230" xr:uid="{7BEF4D75-8E48-464E-9183-C682710CC269}"/>
    <cellStyle name="Heading 3 4 3 2 2 5" xfId="1281" xr:uid="{D94FA3A3-17DF-4F54-9FF6-A3DC6A2A36B6}"/>
    <cellStyle name="Heading 3 4 3 2 2 5 2" xfId="6231" xr:uid="{0ABACA57-9F96-4EC8-9186-57D00AFAADC9}"/>
    <cellStyle name="Heading 3 4 3 2 2 6" xfId="6220" xr:uid="{5C1EEE97-5A6D-42CA-B741-2AA9B9FDD809}"/>
    <cellStyle name="Heading 3 4 3 2 3" xfId="1282" xr:uid="{4F202D2B-6854-4BA4-9EE3-6CD769E17EF0}"/>
    <cellStyle name="Heading 3 4 3 2 3 2" xfId="1283" xr:uid="{DB93C5F1-B2CE-4371-87DB-23DE42319FA6}"/>
    <cellStyle name="Heading 3 4 3 2 3 2 2" xfId="1284" xr:uid="{7CC9C0A1-6580-45DB-8E6E-649908D67AA3}"/>
    <cellStyle name="Heading 3 4 3 2 3 2 2 2" xfId="6234" xr:uid="{81555EF3-15AA-451A-8879-2C59216FB61C}"/>
    <cellStyle name="Heading 3 4 3 2 3 2 3" xfId="1285" xr:uid="{E89DCB4A-4F5E-456F-8A5A-35ABEB88FFB1}"/>
    <cellStyle name="Heading 3 4 3 2 3 2 3 2" xfId="6235" xr:uid="{62B43F5B-8A00-45BD-B908-345440D60A6C}"/>
    <cellStyle name="Heading 3 4 3 2 3 2 4" xfId="6233" xr:uid="{C5AA0418-16F7-4BB5-8A6E-0D5CABCFDAC1}"/>
    <cellStyle name="Heading 3 4 3 2 3 3" xfId="1286" xr:uid="{009DDE50-253B-421E-83A3-7B5B9139A536}"/>
    <cellStyle name="Heading 3 4 3 2 3 3 2" xfId="6236" xr:uid="{5158BF42-C1EC-46C5-B819-F391C80263FF}"/>
    <cellStyle name="Heading 3 4 3 2 3 4" xfId="1287" xr:uid="{FA8D6F8D-FCAA-4829-8B9D-B06783DFFFA6}"/>
    <cellStyle name="Heading 3 4 3 2 3 4 2" xfId="6237" xr:uid="{F4DA9BAC-977D-44B5-B776-8F4957740FC7}"/>
    <cellStyle name="Heading 3 4 3 2 3 5" xfId="6232" xr:uid="{B5361160-6BBF-4CED-B164-4D65C4DED8A9}"/>
    <cellStyle name="Heading 3 4 3 2 4" xfId="1288" xr:uid="{0A9D1099-35F3-40DD-AB78-701B18F547AD}"/>
    <cellStyle name="Heading 3 4 3 2 4 2" xfId="1289" xr:uid="{267E4745-329A-4DDB-AA4D-06571BB459A0}"/>
    <cellStyle name="Heading 3 4 3 2 4 2 2" xfId="6239" xr:uid="{4C428165-F8AC-415E-9354-D351F3DF64FE}"/>
    <cellStyle name="Heading 3 4 3 2 4 3" xfId="1290" xr:uid="{5CC423AE-F23E-4DC6-9693-CD2A42958D3E}"/>
    <cellStyle name="Heading 3 4 3 2 4 3 2" xfId="6240" xr:uid="{F1B6B1C7-9BD5-4A7D-BD4D-66AFEFFB146C}"/>
    <cellStyle name="Heading 3 4 3 2 4 4" xfId="6238" xr:uid="{A490F5A2-FE15-46C5-928D-0F00466C85A8}"/>
    <cellStyle name="Heading 3 4 3 2 5" xfId="1291" xr:uid="{1DD07F24-6449-4C78-8F9E-35D5AD4AA02B}"/>
    <cellStyle name="Heading 3 4 3 2 5 2" xfId="6241" xr:uid="{5701079F-BCEC-4D50-9D33-8CC106FE0D1A}"/>
    <cellStyle name="Heading 3 4 3 2 6" xfId="1292" xr:uid="{88AE5E2A-8FB0-4576-AAF1-9256DAF6359C}"/>
    <cellStyle name="Heading 3 4 3 2 6 2" xfId="6242" xr:uid="{1D0F9843-7F19-4E17-BAF1-E13FE49B14B3}"/>
    <cellStyle name="Heading 3 4 3 2 7" xfId="1293" xr:uid="{E73931D4-3D07-427F-BF0B-52FFF76C5931}"/>
    <cellStyle name="Heading 3 4 3 2 7 2" xfId="6243" xr:uid="{09AE0A77-0547-4E92-9A3E-A419F463D425}"/>
    <cellStyle name="Heading 3 4 3 2 8" xfId="6219" xr:uid="{19FC4C36-AABA-4D56-B0CE-2E86BDF9F4D4}"/>
    <cellStyle name="Heading 3 4 3 3" xfId="1294" xr:uid="{3D774C9B-8F69-45B8-909D-F217AAFC4DAC}"/>
    <cellStyle name="Heading 3 4 3 3 2" xfId="1295" xr:uid="{A05EF4BC-0B38-458A-9526-667B4E7C5419}"/>
    <cellStyle name="Heading 3 4 3 3 2 2" xfId="1296" xr:uid="{D333B5A1-DFB9-4CA4-9CBF-2FD6F031F3D6}"/>
    <cellStyle name="Heading 3 4 3 3 2 2 2" xfId="1297" xr:uid="{4F68D4B2-2A08-4FDB-823E-452E1F0E1EA3}"/>
    <cellStyle name="Heading 3 4 3 3 2 2 2 2" xfId="6247" xr:uid="{F68E730A-F998-40D4-AA70-FCE0BED2D8D4}"/>
    <cellStyle name="Heading 3 4 3 3 2 2 3" xfId="1298" xr:uid="{346BE82F-FE8F-4065-8357-7E89EBF9570E}"/>
    <cellStyle name="Heading 3 4 3 3 2 2 3 2" xfId="6248" xr:uid="{4355E9C6-8AA5-4D29-9B18-256BD1051EDD}"/>
    <cellStyle name="Heading 3 4 3 3 2 2 4" xfId="6246" xr:uid="{E79DE1B6-C67E-40A4-92B7-1F4DDF391CB0}"/>
    <cellStyle name="Heading 3 4 3 3 2 3" xfId="1299" xr:uid="{A6E52E10-0B81-40DE-9EF4-84640A6EE058}"/>
    <cellStyle name="Heading 3 4 3 3 2 3 2" xfId="6249" xr:uid="{66A1E9DB-FC4E-4EAF-A004-3816B5156693}"/>
    <cellStyle name="Heading 3 4 3 3 2 4" xfId="1300" xr:uid="{251CE777-B694-46D7-87DC-9FC9748C8D6C}"/>
    <cellStyle name="Heading 3 4 3 3 2 4 2" xfId="6250" xr:uid="{7B463522-AC80-4DBD-8AE1-828537BBC3A0}"/>
    <cellStyle name="Heading 3 4 3 3 2 5" xfId="6245" xr:uid="{C6F9AEEC-6F20-4C79-94B4-33CF84DDC73A}"/>
    <cellStyle name="Heading 3 4 3 3 3" xfId="1301" xr:uid="{EB566677-E156-4A14-A1EB-445902B7ADBB}"/>
    <cellStyle name="Heading 3 4 3 3 3 2" xfId="1302" xr:uid="{7B88A76B-31A6-4714-A88C-0BCE445824E1}"/>
    <cellStyle name="Heading 3 4 3 3 3 2 2" xfId="6252" xr:uid="{42B8F298-A0A5-4BE4-9A2B-DF2ACAA321CC}"/>
    <cellStyle name="Heading 3 4 3 3 3 3" xfId="1303" xr:uid="{DD4E3945-C865-479A-B826-97E5DC61AC51}"/>
    <cellStyle name="Heading 3 4 3 3 3 3 2" xfId="6253" xr:uid="{BB13708B-17B2-44D1-9779-57B1AB38DF17}"/>
    <cellStyle name="Heading 3 4 3 3 3 4" xfId="6251" xr:uid="{A6395426-2DBB-4126-BE74-4B216213D797}"/>
    <cellStyle name="Heading 3 4 3 3 4" xfId="1304" xr:uid="{3D3E9566-AE83-42D7-A57A-B9E92B62FEB0}"/>
    <cellStyle name="Heading 3 4 3 3 4 2" xfId="6254" xr:uid="{9F065221-1AB0-434B-8383-684B34032B25}"/>
    <cellStyle name="Heading 3 4 3 3 5" xfId="1305" xr:uid="{F3AF4EAD-9B79-42CB-B5C6-ABEBA3B16A0A}"/>
    <cellStyle name="Heading 3 4 3 3 5 2" xfId="6255" xr:uid="{428D0985-AFAD-49AE-A23B-3355D4D3E016}"/>
    <cellStyle name="Heading 3 4 3 3 6" xfId="6244" xr:uid="{8DCCD4C3-CFEF-4424-8267-167D25CD5078}"/>
    <cellStyle name="Heading 3 4 3 4" xfId="1306" xr:uid="{60F42EC5-5059-4F63-B461-6F43D1A576FA}"/>
    <cellStyle name="Heading 3 4 3 4 2" xfId="1307" xr:uid="{154EAE83-65FD-4D67-A103-25692E950675}"/>
    <cellStyle name="Heading 3 4 3 4 2 2" xfId="1308" xr:uid="{2EC7AB2B-4845-4CF1-AFA9-5322E314A18B}"/>
    <cellStyle name="Heading 3 4 3 4 2 2 2" xfId="6258" xr:uid="{25ED96D6-7030-4873-B1A3-E48CC6389F66}"/>
    <cellStyle name="Heading 3 4 3 4 2 3" xfId="1309" xr:uid="{BE079A47-FDB7-4B36-A43E-E38E8F2A7DB6}"/>
    <cellStyle name="Heading 3 4 3 4 2 3 2" xfId="6259" xr:uid="{D2DACC0C-8C5A-4577-B251-D3EB55AF2156}"/>
    <cellStyle name="Heading 3 4 3 4 2 4" xfId="6257" xr:uid="{C08CE09A-9CEF-4D9A-92B9-7A7B85952D49}"/>
    <cellStyle name="Heading 3 4 3 4 3" xfId="1310" xr:uid="{963B236D-B4FC-43EE-8936-80415FAAF4EE}"/>
    <cellStyle name="Heading 3 4 3 4 3 2" xfId="6260" xr:uid="{EBCA8861-3D33-42FC-B41F-62F7D292DFEB}"/>
    <cellStyle name="Heading 3 4 3 4 4" xfId="1311" xr:uid="{2A39F3E0-F630-4528-A61D-BFC2546D5911}"/>
    <cellStyle name="Heading 3 4 3 4 4 2" xfId="6261" xr:uid="{D141DCFA-05ED-4907-9FE6-048F222694EE}"/>
    <cellStyle name="Heading 3 4 3 4 5" xfId="6256" xr:uid="{213F9094-67AA-48C5-AFB0-4E8C53B71892}"/>
    <cellStyle name="Heading 3 4 3 5" xfId="1312" xr:uid="{CF148506-FA8D-4DEE-A2E5-7494C49DA21F}"/>
    <cellStyle name="Heading 3 4 3 5 2" xfId="1313" xr:uid="{D787768B-971A-4BF5-BCB2-DE354F3DA324}"/>
    <cellStyle name="Heading 3 4 3 5 2 2" xfId="6263" xr:uid="{5061DFCA-1652-407B-B27B-18D7FEA420D8}"/>
    <cellStyle name="Heading 3 4 3 5 3" xfId="1314" xr:uid="{954A78D1-44C5-4EA8-9A02-F29A8FB4C29E}"/>
    <cellStyle name="Heading 3 4 3 5 3 2" xfId="6264" xr:uid="{5D0A2F1E-7846-40D5-BA24-2E671CAE2750}"/>
    <cellStyle name="Heading 3 4 3 5 4" xfId="6262" xr:uid="{3C26C8BC-88F5-41FE-A7A5-E093AC1AEBD3}"/>
    <cellStyle name="Heading 3 4 3 6" xfId="1315" xr:uid="{6EF73213-E184-4E4E-A9B5-6F71E56CC501}"/>
    <cellStyle name="Heading 3 4 3 6 2" xfId="6265" xr:uid="{0A6B5A51-D6D0-4180-8FD6-EB08BF44C7CF}"/>
    <cellStyle name="Heading 3 4 3 7" xfId="6218" xr:uid="{C85D430F-922F-40F7-B837-D6B487057D3A}"/>
    <cellStyle name="Heading 3 4 4" xfId="1316" xr:uid="{1A55CB73-AD83-4CE7-B62D-E60680B8FF50}"/>
    <cellStyle name="Heading 3 4 4 2" xfId="1317" xr:uid="{A0794E2A-B3E0-42B2-ABC0-2B315887C4AF}"/>
    <cellStyle name="Heading 3 4 4 2 2" xfId="1318" xr:uid="{D85C1FC8-6DFD-4A82-956C-880FF12509EC}"/>
    <cellStyle name="Heading 3 4 4 2 2 2" xfId="1319" xr:uid="{15B39324-6AAF-40B3-A6E7-4FAE7FC67C9B}"/>
    <cellStyle name="Heading 3 4 4 2 2 2 2" xfId="1320" xr:uid="{1AF3CC18-CC15-400C-9F6F-A9ACE787FA14}"/>
    <cellStyle name="Heading 3 4 4 2 2 2 2 2" xfId="6270" xr:uid="{715E33A4-D099-4B74-B5D4-06249FBF1429}"/>
    <cellStyle name="Heading 3 4 4 2 2 2 3" xfId="1321" xr:uid="{2ECBE7E6-9CDE-4B52-876B-02CC2D886F39}"/>
    <cellStyle name="Heading 3 4 4 2 2 2 3 2" xfId="6271" xr:uid="{D52F3D7B-1485-45D8-9BF7-F7DDB7D84BD8}"/>
    <cellStyle name="Heading 3 4 4 2 2 2 4" xfId="6269" xr:uid="{8E0601B1-A6CC-43B5-B167-07D1ED026353}"/>
    <cellStyle name="Heading 3 4 4 2 2 3" xfId="1322" xr:uid="{A5336D7B-FD1A-4CE9-8E89-7317A4D946A3}"/>
    <cellStyle name="Heading 3 4 4 2 2 3 2" xfId="6272" xr:uid="{11B5FA92-D3D1-4598-82CE-EDC57237C0AF}"/>
    <cellStyle name="Heading 3 4 4 2 2 4" xfId="1323" xr:uid="{5CF23B98-DB5E-422E-BB32-16D73A2A04C7}"/>
    <cellStyle name="Heading 3 4 4 2 2 4 2" xfId="6273" xr:uid="{424B84DC-564E-4397-B986-443A32D6AB75}"/>
    <cellStyle name="Heading 3 4 4 2 2 5" xfId="6268" xr:uid="{60E2D06F-C1DF-40C5-9487-9D7FE2AE0564}"/>
    <cellStyle name="Heading 3 4 4 2 3" xfId="1324" xr:uid="{19C5E423-1981-422E-9C59-C810F7E2547C}"/>
    <cellStyle name="Heading 3 4 4 2 3 2" xfId="1325" xr:uid="{3224AC7B-EB1C-4B83-8222-A5A3DFE72510}"/>
    <cellStyle name="Heading 3 4 4 2 3 2 2" xfId="6275" xr:uid="{D6EB531E-43BE-4A16-8E4E-FC57D23158C1}"/>
    <cellStyle name="Heading 3 4 4 2 3 3" xfId="1326" xr:uid="{F8DF270A-F7A7-47C8-BFE5-E8BD10A32298}"/>
    <cellStyle name="Heading 3 4 4 2 3 3 2" xfId="6276" xr:uid="{44440131-0056-42DA-AF5B-11A8B08B0F53}"/>
    <cellStyle name="Heading 3 4 4 2 3 4" xfId="6274" xr:uid="{0D2C741F-9F82-4E79-85B6-08E7111C80D3}"/>
    <cellStyle name="Heading 3 4 4 2 4" xfId="1327" xr:uid="{AFEFDFDF-015E-476D-B611-9AE92E639E91}"/>
    <cellStyle name="Heading 3 4 4 2 4 2" xfId="6277" xr:uid="{88566FFF-FD01-4433-AB24-52F46C9893B3}"/>
    <cellStyle name="Heading 3 4 4 2 5" xfId="1328" xr:uid="{AF9AF7D2-949A-445C-9684-6FAE613E9DD1}"/>
    <cellStyle name="Heading 3 4 4 2 5 2" xfId="6278" xr:uid="{84FC506D-1718-48EF-8937-75F0C94BCBE6}"/>
    <cellStyle name="Heading 3 4 4 2 6" xfId="6267" xr:uid="{C39C95B9-E14F-46A8-A098-4B37D1077C6D}"/>
    <cellStyle name="Heading 3 4 4 3" xfId="1329" xr:uid="{F46BB097-9620-4EA9-9203-5F545F51055D}"/>
    <cellStyle name="Heading 3 4 4 3 2" xfId="1330" xr:uid="{CBC770EF-DB9C-47A5-B4BE-D3D9121DBD08}"/>
    <cellStyle name="Heading 3 4 4 3 2 2" xfId="1331" xr:uid="{BE061955-94FB-4898-85BD-E7A10266F7DC}"/>
    <cellStyle name="Heading 3 4 4 3 2 2 2" xfId="6281" xr:uid="{A4D4DF00-7BB6-4257-8FF0-3EC419702F93}"/>
    <cellStyle name="Heading 3 4 4 3 2 3" xfId="1332" xr:uid="{CFF3A0A2-1D2E-4776-AD90-0E8AD3580439}"/>
    <cellStyle name="Heading 3 4 4 3 2 3 2" xfId="6282" xr:uid="{00646AD7-2DC9-459D-B49D-4CE5B3116BE0}"/>
    <cellStyle name="Heading 3 4 4 3 2 4" xfId="6280" xr:uid="{E882EC77-CADC-4C1F-80ED-E6807E6E4CD5}"/>
    <cellStyle name="Heading 3 4 4 3 3" xfId="1333" xr:uid="{32662775-F389-4C64-AC2D-5C3A75D89D3F}"/>
    <cellStyle name="Heading 3 4 4 3 3 2" xfId="6283" xr:uid="{6DEBE8FB-60D6-4C35-AB1E-261A0E70DA9C}"/>
    <cellStyle name="Heading 3 4 4 3 4" xfId="1334" xr:uid="{8B6DDE28-EC89-465F-927E-058133A07C1C}"/>
    <cellStyle name="Heading 3 4 4 3 4 2" xfId="6284" xr:uid="{07B84115-F027-47BF-91CE-68ED40057872}"/>
    <cellStyle name="Heading 3 4 4 3 5" xfId="6279" xr:uid="{9545AA6B-75AB-4A10-83E2-1B35413B8A21}"/>
    <cellStyle name="Heading 3 4 4 4" xfId="1335" xr:uid="{07AF2B8E-B65D-449C-A77A-F5FCDB665AC5}"/>
    <cellStyle name="Heading 3 4 4 4 2" xfId="1336" xr:uid="{C4CFFBA1-675D-4016-A12B-E53057D706C8}"/>
    <cellStyle name="Heading 3 4 4 4 2 2" xfId="6286" xr:uid="{6C63EF9A-A5EB-4D56-B5C7-31D8D4A5A699}"/>
    <cellStyle name="Heading 3 4 4 4 3" xfId="1337" xr:uid="{D65D6A92-D699-41D9-8634-87F063100020}"/>
    <cellStyle name="Heading 3 4 4 4 3 2" xfId="6287" xr:uid="{FF84DF2F-12E1-427D-B490-C59FFA75C6EB}"/>
    <cellStyle name="Heading 3 4 4 4 4" xfId="6285" xr:uid="{1ABA899E-2920-4292-98B0-94988B4DA3A5}"/>
    <cellStyle name="Heading 3 4 4 5" xfId="1338" xr:uid="{4F7FEC18-26DF-46DC-866D-41D8C215D35A}"/>
    <cellStyle name="Heading 3 4 4 5 2" xfId="6288" xr:uid="{B28060C2-8952-49C3-A3D6-80A01571C4FB}"/>
    <cellStyle name="Heading 3 4 4 6" xfId="1339" xr:uid="{AB30C1F0-8DC6-44EC-8A85-A5719FF23388}"/>
    <cellStyle name="Heading 3 4 4 6 2" xfId="6289" xr:uid="{C71668E7-30E3-4DFF-A16B-C6A27BF22099}"/>
    <cellStyle name="Heading 3 4 4 7" xfId="1340" xr:uid="{41D64125-B9AE-4BA0-B8B0-09E1D1B0BC7E}"/>
    <cellStyle name="Heading 3 4 4 7 2" xfId="6290" xr:uid="{20BD8B23-9A40-45A5-9F22-3C56A4DFAFFA}"/>
    <cellStyle name="Heading 3 4 4 8" xfId="6266" xr:uid="{AAF00CC1-7683-4083-A82B-A0C784B67B4A}"/>
    <cellStyle name="Heading 3 4 5" xfId="1341" xr:uid="{D4D9DD1D-5AF2-4FE1-811A-E2458063CB32}"/>
    <cellStyle name="Heading 3 4 5 2" xfId="1342" xr:uid="{942B5AB1-566C-46D4-9D60-02818724908B}"/>
    <cellStyle name="Heading 3 4 5 2 2" xfId="1343" xr:uid="{9F1FED6E-D94E-4D2E-BF22-D5A66DF1BE71}"/>
    <cellStyle name="Heading 3 4 5 2 2 2" xfId="1344" xr:uid="{DCE86835-22E5-492E-BD27-18DDB4859BA2}"/>
    <cellStyle name="Heading 3 4 5 2 2 2 2" xfId="6294" xr:uid="{FA12D365-F790-4229-9BAC-F62E6C2162FA}"/>
    <cellStyle name="Heading 3 4 5 2 2 3" xfId="1345" xr:uid="{6F30559C-B178-40A1-8292-D9FBB3EDBB1B}"/>
    <cellStyle name="Heading 3 4 5 2 2 3 2" xfId="6295" xr:uid="{2754DA61-138D-4CE0-9F9D-D1E36D1806D6}"/>
    <cellStyle name="Heading 3 4 5 2 2 4" xfId="6293" xr:uid="{B129EC6A-5129-4954-9BC0-A2D07E0F0B0C}"/>
    <cellStyle name="Heading 3 4 5 2 3" xfId="1346" xr:uid="{0FA20F3A-8F0F-4D34-BACF-7FDB9482B8D0}"/>
    <cellStyle name="Heading 3 4 5 2 3 2" xfId="6296" xr:uid="{3469E2B7-7A5F-450F-9D77-980EDED37A02}"/>
    <cellStyle name="Heading 3 4 5 2 4" xfId="1347" xr:uid="{77ABACA5-0BF4-4759-848E-D8FDFA0F2401}"/>
    <cellStyle name="Heading 3 4 5 2 4 2" xfId="6297" xr:uid="{518D474B-FE3A-4535-AE96-8FA60A61968F}"/>
    <cellStyle name="Heading 3 4 5 2 5" xfId="6292" xr:uid="{3266C7DF-39AA-4A1F-8473-E0FAC091702A}"/>
    <cellStyle name="Heading 3 4 5 3" xfId="1348" xr:uid="{F140B8D1-EE8B-4895-BC8B-C6825494A9FB}"/>
    <cellStyle name="Heading 3 4 5 3 2" xfId="1349" xr:uid="{68C5455D-0DA5-497C-B051-8265585914EE}"/>
    <cellStyle name="Heading 3 4 5 3 2 2" xfId="6299" xr:uid="{06A0CB72-1A0F-48A2-ACA3-4AD9FA5A1525}"/>
    <cellStyle name="Heading 3 4 5 3 3" xfId="1350" xr:uid="{74D22009-168C-4560-89BE-686168E4A0D8}"/>
    <cellStyle name="Heading 3 4 5 3 3 2" xfId="6300" xr:uid="{FCD8CFEA-D9BA-4971-81F8-E200EF10930A}"/>
    <cellStyle name="Heading 3 4 5 3 4" xfId="6298" xr:uid="{94D42DCE-A6D5-4AC4-81D9-07F6B3D80B6C}"/>
    <cellStyle name="Heading 3 4 5 4" xfId="1351" xr:uid="{E30C8A4C-5DDA-4529-AC0A-3A1715D2F762}"/>
    <cellStyle name="Heading 3 4 5 4 2" xfId="6301" xr:uid="{6FEF50A2-09F7-4033-B792-9164513146E7}"/>
    <cellStyle name="Heading 3 4 5 5" xfId="1352" xr:uid="{94D3D413-56FB-4D65-A7D1-6F4E7209BFAA}"/>
    <cellStyle name="Heading 3 4 5 5 2" xfId="6302" xr:uid="{6DF8E022-0C10-4096-BD4D-4344450D9F96}"/>
    <cellStyle name="Heading 3 4 5 6" xfId="6291" xr:uid="{0BB0DD03-4B1B-4E76-84AF-FE26CFE2CD21}"/>
    <cellStyle name="Heading 3 4 6" xfId="1353" xr:uid="{E99FF7DA-A629-46FA-B431-A037E8CC661E}"/>
    <cellStyle name="Heading 3 4 6 2" xfId="1354" xr:uid="{AD8081AD-5622-43D9-8C63-DE6F7ED62D7A}"/>
    <cellStyle name="Heading 3 4 6 2 2" xfId="1355" xr:uid="{A8D952B9-4ECE-4312-9852-6D4065B70FC8}"/>
    <cellStyle name="Heading 3 4 6 2 2 2" xfId="6305" xr:uid="{AE370581-9961-4C71-8C01-BFDE13AB6B0B}"/>
    <cellStyle name="Heading 3 4 6 2 3" xfId="1356" xr:uid="{6393DC2A-30D8-40F0-AA09-66E775DF1CF9}"/>
    <cellStyle name="Heading 3 4 6 2 3 2" xfId="6306" xr:uid="{97A1BBEA-51F9-45BE-9668-A3D2D6F04393}"/>
    <cellStyle name="Heading 3 4 6 2 4" xfId="6304" xr:uid="{89FDB639-16DA-4251-B2B9-2BC82886BE85}"/>
    <cellStyle name="Heading 3 4 6 3" xfId="1357" xr:uid="{EC0AF1FC-0E6A-4FDB-A28A-C1953F064BA0}"/>
    <cellStyle name="Heading 3 4 6 3 2" xfId="6307" xr:uid="{11EDCB84-49D7-4413-9C5D-8A31A443C310}"/>
    <cellStyle name="Heading 3 4 6 4" xfId="1358" xr:uid="{2EC4C03C-4A1C-4E89-802B-E53716693376}"/>
    <cellStyle name="Heading 3 4 6 4 2" xfId="6308" xr:uid="{8BDA37F2-C2C6-4617-B407-ADC57BC12A26}"/>
    <cellStyle name="Heading 3 4 6 5" xfId="6303" xr:uid="{50FFC29D-1C6E-4843-84A4-1A69A1041A93}"/>
    <cellStyle name="Heading 3 4 7" xfId="1359" xr:uid="{5E2508B1-DB49-4F29-AA24-CD79D39D4641}"/>
    <cellStyle name="Heading 3 4 7 2" xfId="1360" xr:uid="{771D8B32-BB3C-4460-A01C-33CF8DDBEC43}"/>
    <cellStyle name="Heading 3 4 7 2 2" xfId="6310" xr:uid="{3181DE94-1E56-4DB1-BF4C-714BBC559E39}"/>
    <cellStyle name="Heading 3 4 7 3" xfId="1361" xr:uid="{68DBF808-EDAA-47EE-8DB8-31E95A876BC6}"/>
    <cellStyle name="Heading 3 4 7 3 2" xfId="6311" xr:uid="{53FC33DF-6983-44BD-B74A-7C0EFC38226E}"/>
    <cellStyle name="Heading 3 4 7 4" xfId="6309" xr:uid="{8CF09E9D-DD43-4CEF-97B0-27D23ECDC61F}"/>
    <cellStyle name="Heading 3 4 8" xfId="1362" xr:uid="{FAFB7DC4-4748-45F6-B158-4CD3BCDC3B71}"/>
    <cellStyle name="Heading 3 4 8 2" xfId="6312" xr:uid="{81C3F245-457B-4A5D-AACB-57973BB1D683}"/>
    <cellStyle name="Heading 3 4 9" xfId="6121" xr:uid="{60C7265E-006D-4A53-94A8-9FE3D8575989}"/>
    <cellStyle name="Heading 3 5" xfId="1363" xr:uid="{7FB24104-9CC2-4662-9242-858C4410189B}"/>
    <cellStyle name="Heading 3 5 2" xfId="1364" xr:uid="{FAB5231F-3E26-429E-A49A-54A24F78DF9A}"/>
    <cellStyle name="Heading 3 5 2 2" xfId="1365" xr:uid="{8DF3512F-0CA5-4251-A097-73CEB71FBEB5}"/>
    <cellStyle name="Heading 3 5 2 2 2" xfId="1366" xr:uid="{460283FD-F18D-4FE8-9FF1-83247D0DF2A6}"/>
    <cellStyle name="Heading 3 5 2 2 2 2" xfId="1367" xr:uid="{4FF8FA23-7AA5-40C9-84B7-53D447E66276}"/>
    <cellStyle name="Heading 3 5 2 2 2 2 2" xfId="1368" xr:uid="{046DA32A-D5DE-4DCD-861A-B46881BD72B3}"/>
    <cellStyle name="Heading 3 5 2 2 2 2 2 2" xfId="6318" xr:uid="{61CEC99A-2C2F-4E90-983D-1311D9CA9039}"/>
    <cellStyle name="Heading 3 5 2 2 2 2 3" xfId="1369" xr:uid="{38A99A9C-B088-4C2A-B41E-7DFABF1FEF7F}"/>
    <cellStyle name="Heading 3 5 2 2 2 2 3 2" xfId="6319" xr:uid="{740A28AB-932C-4630-858A-132C1A35358F}"/>
    <cellStyle name="Heading 3 5 2 2 2 2 4" xfId="6317" xr:uid="{76B5BAEA-857E-4ABC-884D-2FD22C1AD078}"/>
    <cellStyle name="Heading 3 5 2 2 2 3" xfId="1370" xr:uid="{2825F78F-01D5-4BEC-A6C3-8C15305A67AB}"/>
    <cellStyle name="Heading 3 5 2 2 2 3 2" xfId="6320" xr:uid="{40C4AB88-3F0B-4F58-86D4-24205B273199}"/>
    <cellStyle name="Heading 3 5 2 2 2 4" xfId="1371" xr:uid="{3CDA29FF-F58E-4A9D-9220-FCEAE9395564}"/>
    <cellStyle name="Heading 3 5 2 2 2 4 2" xfId="6321" xr:uid="{F1D7379C-8424-43ED-B77B-E62EFEC46F68}"/>
    <cellStyle name="Heading 3 5 2 2 2 5" xfId="6316" xr:uid="{56BE0F84-F4FA-4D00-9939-F99750876F9D}"/>
    <cellStyle name="Heading 3 5 2 2 3" xfId="1372" xr:uid="{6638A2D0-0015-44B6-93A9-AE8A7B666C4B}"/>
    <cellStyle name="Heading 3 5 2 2 3 2" xfId="1373" xr:uid="{385CFC7B-E507-4A46-9B77-257D48C99624}"/>
    <cellStyle name="Heading 3 5 2 2 3 2 2" xfId="6323" xr:uid="{DCE4FEFF-75CB-4B42-9AB4-E6204827F18B}"/>
    <cellStyle name="Heading 3 5 2 2 3 3" xfId="1374" xr:uid="{7A8D4590-0D64-4954-BC09-FC8654904A85}"/>
    <cellStyle name="Heading 3 5 2 2 3 3 2" xfId="6324" xr:uid="{77E0401A-C2DA-461E-8D30-B8CDB2922405}"/>
    <cellStyle name="Heading 3 5 2 2 3 4" xfId="6322" xr:uid="{0F9ED7D9-CD33-4914-9950-5EAD7BCF078D}"/>
    <cellStyle name="Heading 3 5 2 2 4" xfId="1375" xr:uid="{104E6DE4-CFA4-41E5-BD61-1F40D045D831}"/>
    <cellStyle name="Heading 3 5 2 2 4 2" xfId="6325" xr:uid="{092FC605-5B3F-4735-9609-918F6BE24842}"/>
    <cellStyle name="Heading 3 5 2 2 5" xfId="1376" xr:uid="{071FC289-5A44-4C3F-9B2E-EEEB5B5E92CC}"/>
    <cellStyle name="Heading 3 5 2 2 5 2" xfId="6326" xr:uid="{D1936F40-2392-4963-98D9-EF1B6214A702}"/>
    <cellStyle name="Heading 3 5 2 2 6" xfId="6315" xr:uid="{A2A79223-CFE4-4DD6-BCC1-5E5C3048E954}"/>
    <cellStyle name="Heading 3 5 2 3" xfId="1377" xr:uid="{BA45D29E-2236-44F2-9A15-61A99C3EDE65}"/>
    <cellStyle name="Heading 3 5 2 3 2" xfId="1378" xr:uid="{992F30BE-0D4D-4A43-B0DD-A32C8C2F1843}"/>
    <cellStyle name="Heading 3 5 2 3 2 2" xfId="1379" xr:uid="{26CFD2C1-DD35-4DC7-A379-EC951A057AB0}"/>
    <cellStyle name="Heading 3 5 2 3 2 2 2" xfId="6329" xr:uid="{D155B411-1FA5-46DB-944B-1F5DC1D804F8}"/>
    <cellStyle name="Heading 3 5 2 3 2 3" xfId="1380" xr:uid="{8F24F688-F5B6-48BD-A5D2-928ED005D423}"/>
    <cellStyle name="Heading 3 5 2 3 2 3 2" xfId="6330" xr:uid="{5880AD4C-9285-492B-86B3-CC94C2BC8628}"/>
    <cellStyle name="Heading 3 5 2 3 2 4" xfId="6328" xr:uid="{D76701B6-01BE-4D8E-BD07-E9FB59D54B00}"/>
    <cellStyle name="Heading 3 5 2 3 3" xfId="1381" xr:uid="{36976C04-7696-4C46-9F0C-8BBDD772B99C}"/>
    <cellStyle name="Heading 3 5 2 3 3 2" xfId="6331" xr:uid="{32084271-AB8F-4167-B3A5-33798E4FEE3E}"/>
    <cellStyle name="Heading 3 5 2 3 4" xfId="1382" xr:uid="{8E8A2576-10B7-468D-894D-DE6C76087255}"/>
    <cellStyle name="Heading 3 5 2 3 4 2" xfId="6332" xr:uid="{F8B2967B-13B1-4505-B056-91D949EA519D}"/>
    <cellStyle name="Heading 3 5 2 3 5" xfId="6327" xr:uid="{F95E254C-A621-404F-9A55-559ED99385FE}"/>
    <cellStyle name="Heading 3 5 2 4" xfId="1383" xr:uid="{4CB6FBB9-EBD9-43CE-9250-B10E6FA235BD}"/>
    <cellStyle name="Heading 3 5 2 4 2" xfId="1384" xr:uid="{257DA0F2-37A5-4DCC-AC42-B460B2725F01}"/>
    <cellStyle name="Heading 3 5 2 4 2 2" xfId="6334" xr:uid="{863CFEA2-C664-4CC2-BB85-3E0657FB490F}"/>
    <cellStyle name="Heading 3 5 2 4 3" xfId="1385" xr:uid="{43CC2E44-781D-4876-AC39-54A7F381450A}"/>
    <cellStyle name="Heading 3 5 2 4 3 2" xfId="6335" xr:uid="{8AF98AF5-699A-44F4-B83E-700F3CC86BF5}"/>
    <cellStyle name="Heading 3 5 2 4 4" xfId="6333" xr:uid="{6DEBA2F7-8164-4BA8-8BD2-056D68917387}"/>
    <cellStyle name="Heading 3 5 2 5" xfId="1386" xr:uid="{0BE38E96-1899-4BC7-B344-21EEF04090D4}"/>
    <cellStyle name="Heading 3 5 2 5 2" xfId="6336" xr:uid="{4FF51A7A-C378-47EE-A798-69E8AC3CC634}"/>
    <cellStyle name="Heading 3 5 2 6" xfId="1387" xr:uid="{5FB254A2-A4A6-4789-8D34-CEE4DB8D25DF}"/>
    <cellStyle name="Heading 3 5 2 6 2" xfId="6337" xr:uid="{70C8BEF1-380D-4CF5-8003-90CC6F7EA71E}"/>
    <cellStyle name="Heading 3 5 2 7" xfId="1388" xr:uid="{C75F7A76-D5C4-4904-99C3-B079A6A413E0}"/>
    <cellStyle name="Heading 3 5 2 7 2" xfId="6338" xr:uid="{05EDD59B-B410-4E09-A9B9-CFF5DEC000A1}"/>
    <cellStyle name="Heading 3 5 2 8" xfId="6314" xr:uid="{519AE490-7727-4733-95E7-98EF18EDD461}"/>
    <cellStyle name="Heading 3 5 3" xfId="1389" xr:uid="{456135E2-F6CB-4BED-914F-A472C532653C}"/>
    <cellStyle name="Heading 3 5 3 2" xfId="1390" xr:uid="{D36B5C9D-A525-483E-AC0F-643F7431D6F3}"/>
    <cellStyle name="Heading 3 5 3 2 2" xfId="1391" xr:uid="{EFB151EE-EC66-4A4F-8FF9-0DE8BE83F3AC}"/>
    <cellStyle name="Heading 3 5 3 2 2 2" xfId="1392" xr:uid="{419C32E2-4120-4B2B-9E8F-D869358CD090}"/>
    <cellStyle name="Heading 3 5 3 2 2 2 2" xfId="6342" xr:uid="{1089220C-088D-433E-9BAD-E2F21729BC3F}"/>
    <cellStyle name="Heading 3 5 3 2 2 3" xfId="1393" xr:uid="{91A108AB-5082-4F1B-8985-28B8EBFA168B}"/>
    <cellStyle name="Heading 3 5 3 2 2 3 2" xfId="6343" xr:uid="{3C1C83D7-645A-4C1E-8341-DEBD88A71B80}"/>
    <cellStyle name="Heading 3 5 3 2 2 4" xfId="6341" xr:uid="{DDE3F87E-F76E-4683-9D5A-DDD1F0F87CE8}"/>
    <cellStyle name="Heading 3 5 3 2 3" xfId="1394" xr:uid="{FA2FC92C-0ED3-46E7-9D7B-4B6FB2891B3E}"/>
    <cellStyle name="Heading 3 5 3 2 3 2" xfId="6344" xr:uid="{5D949903-FEC4-4EF9-A589-BAC9950A52D7}"/>
    <cellStyle name="Heading 3 5 3 2 4" xfId="1395" xr:uid="{8BE13A04-B978-449A-AC48-B5E40FC8E0E6}"/>
    <cellStyle name="Heading 3 5 3 2 4 2" xfId="6345" xr:uid="{46CF3D0A-C762-42D9-B11C-4189A5E6F6BF}"/>
    <cellStyle name="Heading 3 5 3 2 5" xfId="6340" xr:uid="{0E095DF8-C66E-4159-BB45-3369D4B2D65A}"/>
    <cellStyle name="Heading 3 5 3 3" xfId="1396" xr:uid="{FEFB8B27-CCB5-4F4B-A84D-5583A80165B6}"/>
    <cellStyle name="Heading 3 5 3 3 2" xfId="1397" xr:uid="{E1124C06-E0BF-4B1F-9891-F47C9A7DF3FC}"/>
    <cellStyle name="Heading 3 5 3 3 2 2" xfId="6347" xr:uid="{25A825A3-FD7A-4B13-9ED0-A4DA783457D0}"/>
    <cellStyle name="Heading 3 5 3 3 3" xfId="1398" xr:uid="{0F155C17-6BCA-4315-AA2C-067F8973ED56}"/>
    <cellStyle name="Heading 3 5 3 3 3 2" xfId="6348" xr:uid="{F19BD0B6-36D5-4277-9F21-CE2309DCDD72}"/>
    <cellStyle name="Heading 3 5 3 3 4" xfId="6346" xr:uid="{7CCD89A8-3E55-4300-A44D-967D2DAC16B4}"/>
    <cellStyle name="Heading 3 5 3 4" xfId="1399" xr:uid="{0BFCF4B2-5C88-49E7-996C-9B0A0D511387}"/>
    <cellStyle name="Heading 3 5 3 4 2" xfId="6349" xr:uid="{D8F50691-5F00-4554-8BE5-A328A2949406}"/>
    <cellStyle name="Heading 3 5 3 5" xfId="1400" xr:uid="{AE516C14-3B23-4460-BF36-1A5544E358BF}"/>
    <cellStyle name="Heading 3 5 3 5 2" xfId="6350" xr:uid="{06E42D15-3141-4B60-847D-9EE3A5EE0094}"/>
    <cellStyle name="Heading 3 5 3 6" xfId="6339" xr:uid="{EF5E344A-D7C3-476F-B3F0-5155C5A29FAE}"/>
    <cellStyle name="Heading 3 5 4" xfId="1401" xr:uid="{3900B9B3-AA9F-4002-8858-3492F46BF279}"/>
    <cellStyle name="Heading 3 5 4 2" xfId="1402" xr:uid="{2912FE3C-FB31-4060-8079-CB9EF5F7F60E}"/>
    <cellStyle name="Heading 3 5 4 2 2" xfId="1403" xr:uid="{CB05ABCA-96B5-43FC-943C-D53619A0664A}"/>
    <cellStyle name="Heading 3 5 4 2 2 2" xfId="6353" xr:uid="{FCCEFF8F-4B62-4C7E-BF8B-D048E1152174}"/>
    <cellStyle name="Heading 3 5 4 2 3" xfId="1404" xr:uid="{06AA2D0C-F383-4566-8ADB-7F4CF44E05A9}"/>
    <cellStyle name="Heading 3 5 4 2 3 2" xfId="6354" xr:uid="{D5D1854D-5270-47F9-8FD1-37F6B1B9AB79}"/>
    <cellStyle name="Heading 3 5 4 2 4" xfId="6352" xr:uid="{83B25463-C579-4A0F-91F7-5DC3334EC9EB}"/>
    <cellStyle name="Heading 3 5 4 3" xfId="1405" xr:uid="{8A5C6C62-A243-49FD-97FF-C6A047E5C13B}"/>
    <cellStyle name="Heading 3 5 4 3 2" xfId="6355" xr:uid="{E099E2BA-09DE-4EDE-BA61-5AE4E5718D0B}"/>
    <cellStyle name="Heading 3 5 4 4" xfId="1406" xr:uid="{5B108B31-AF56-4B2C-989F-80C566CF4047}"/>
    <cellStyle name="Heading 3 5 4 4 2" xfId="6356" xr:uid="{6943FA9D-EEE7-4513-8ABB-F48C99C63C3D}"/>
    <cellStyle name="Heading 3 5 4 5" xfId="6351" xr:uid="{7F027B60-DCF8-41F7-BCD7-FFC464DF7850}"/>
    <cellStyle name="Heading 3 5 5" xfId="1407" xr:uid="{7256D6C5-B082-452C-B71A-4D2C8F7C0813}"/>
    <cellStyle name="Heading 3 5 5 2" xfId="1408" xr:uid="{45EFC236-D6CA-40ED-BDEE-0CCC8DF82486}"/>
    <cellStyle name="Heading 3 5 5 2 2" xfId="6358" xr:uid="{3B23B3BF-BE7A-451C-AF00-D62560CB4E32}"/>
    <cellStyle name="Heading 3 5 5 3" xfId="1409" xr:uid="{C3621C29-0D4E-4850-8828-6FF8D51948BC}"/>
    <cellStyle name="Heading 3 5 5 3 2" xfId="6359" xr:uid="{89E1C304-1AB9-4341-BDA4-C4B28CA22830}"/>
    <cellStyle name="Heading 3 5 5 4" xfId="6357" xr:uid="{10E4B454-0E86-47FC-BA1A-76F794A8801A}"/>
    <cellStyle name="Heading 3 5 6" xfId="1410" xr:uid="{04033B6A-1FE7-4C15-9B03-7E78566FE4F3}"/>
    <cellStyle name="Heading 3 5 6 2" xfId="6360" xr:uid="{DC264B3B-EFC1-4566-B69B-0978B3C5B71E}"/>
    <cellStyle name="Heading 3 5 7" xfId="6313" xr:uid="{C133068F-0AD4-455F-AC04-8988B040C761}"/>
    <cellStyle name="Heading 3 6" xfId="1411" xr:uid="{CFD135BF-7545-4533-8895-55872C51ADA4}"/>
    <cellStyle name="Heading 3 6 2" xfId="1412" xr:uid="{B6441404-D0B2-4715-BF12-780C033E7AB3}"/>
    <cellStyle name="Heading 3 6 2 2" xfId="1413" xr:uid="{E4220D7E-ED4D-4199-84AF-F2EE25D6D760}"/>
    <cellStyle name="Heading 3 6 2 2 2" xfId="1414" xr:uid="{03E73120-6E9F-4C55-803D-3629E966DB51}"/>
    <cellStyle name="Heading 3 6 2 2 2 2" xfId="1415" xr:uid="{07A667D2-4C51-4166-912B-717EBF1DF73F}"/>
    <cellStyle name="Heading 3 6 2 2 2 2 2" xfId="1416" xr:uid="{3F6936E5-CA87-475B-87EF-FA1A67902C01}"/>
    <cellStyle name="Heading 3 6 2 2 2 2 2 2" xfId="6366" xr:uid="{4C632A9F-1E91-4672-91DD-93DE09B85C98}"/>
    <cellStyle name="Heading 3 6 2 2 2 2 3" xfId="1417" xr:uid="{21C0803E-2FEB-40D5-90B9-9014A8A31CCA}"/>
    <cellStyle name="Heading 3 6 2 2 2 2 3 2" xfId="6367" xr:uid="{9CD2906E-4C6E-4EEE-8847-B335BC2B43E6}"/>
    <cellStyle name="Heading 3 6 2 2 2 2 4" xfId="6365" xr:uid="{30DD3316-664C-40B1-A3DD-31E27FB19444}"/>
    <cellStyle name="Heading 3 6 2 2 2 3" xfId="1418" xr:uid="{02950D5C-53F7-415E-AE66-F8061B6A8B87}"/>
    <cellStyle name="Heading 3 6 2 2 2 3 2" xfId="6368" xr:uid="{EE99C022-F55D-470D-8C7E-D5BDD6C59BA3}"/>
    <cellStyle name="Heading 3 6 2 2 2 4" xfId="1419" xr:uid="{6F11EBCE-8A76-4252-AD42-D73D633A0E40}"/>
    <cellStyle name="Heading 3 6 2 2 2 4 2" xfId="6369" xr:uid="{4B84677E-4613-4B11-B15D-3C94219BE944}"/>
    <cellStyle name="Heading 3 6 2 2 2 5" xfId="6364" xr:uid="{CE45516F-D76E-4D2E-836D-9C6879C3070D}"/>
    <cellStyle name="Heading 3 6 2 2 3" xfId="1420" xr:uid="{840BFADA-775B-4CC8-82DD-2F37399BA6D2}"/>
    <cellStyle name="Heading 3 6 2 2 3 2" xfId="1421" xr:uid="{0BAE742E-56A3-4C7C-BE95-B3D5983F787C}"/>
    <cellStyle name="Heading 3 6 2 2 3 2 2" xfId="6371" xr:uid="{0C38911E-EEAE-475D-A043-79458E752CD0}"/>
    <cellStyle name="Heading 3 6 2 2 3 3" xfId="1422" xr:uid="{8E78B932-A32B-4D81-AA2B-4D7AE7C5B328}"/>
    <cellStyle name="Heading 3 6 2 2 3 3 2" xfId="6372" xr:uid="{3F99118D-67E1-46AF-BCEB-6F6A07EC6AAD}"/>
    <cellStyle name="Heading 3 6 2 2 3 4" xfId="6370" xr:uid="{F383BE13-D7F3-4318-9BEE-03C0CC4C46D8}"/>
    <cellStyle name="Heading 3 6 2 2 4" xfId="1423" xr:uid="{E20766C0-F221-491C-A383-01A80D738231}"/>
    <cellStyle name="Heading 3 6 2 2 4 2" xfId="6373" xr:uid="{BFB154E0-30C8-468B-880C-C9486655F20B}"/>
    <cellStyle name="Heading 3 6 2 2 5" xfId="1424" xr:uid="{4A70F691-F4C8-4D78-A393-5FFE45EFB60E}"/>
    <cellStyle name="Heading 3 6 2 2 5 2" xfId="6374" xr:uid="{945720AB-3545-4AA5-ADA9-8E59770088A3}"/>
    <cellStyle name="Heading 3 6 2 2 6" xfId="6363" xr:uid="{4F34F9D3-E783-4395-AA13-F6F8CEBF7C0E}"/>
    <cellStyle name="Heading 3 6 2 3" xfId="1425" xr:uid="{836D5638-890B-40E4-ABFF-6CD3C3D40934}"/>
    <cellStyle name="Heading 3 6 2 3 2" xfId="1426" xr:uid="{C240DC3F-0506-4FF4-8F15-AD94B66F0E2D}"/>
    <cellStyle name="Heading 3 6 2 3 2 2" xfId="1427" xr:uid="{F9D11408-141A-47ED-B6E8-C4447F3A8A5F}"/>
    <cellStyle name="Heading 3 6 2 3 2 2 2" xfId="6377" xr:uid="{63AFE8EC-24D2-46BC-A262-719D5A8B8877}"/>
    <cellStyle name="Heading 3 6 2 3 2 3" xfId="1428" xr:uid="{811B2FFE-4EEC-4A37-96F4-11D1BDC0C575}"/>
    <cellStyle name="Heading 3 6 2 3 2 3 2" xfId="6378" xr:uid="{8288E6F7-56CD-4BA1-9ABB-85933574C177}"/>
    <cellStyle name="Heading 3 6 2 3 2 4" xfId="6376" xr:uid="{81F24632-E2F3-41F4-9E26-119B4FAAA9EF}"/>
    <cellStyle name="Heading 3 6 2 3 3" xfId="1429" xr:uid="{228DC4FC-8696-4850-B2DA-ECD20F1138EF}"/>
    <cellStyle name="Heading 3 6 2 3 3 2" xfId="6379" xr:uid="{A42A8157-4078-4A47-B836-ADBD775F5574}"/>
    <cellStyle name="Heading 3 6 2 3 4" xfId="1430" xr:uid="{D79FF6E9-D910-41CB-BF93-96953002CF36}"/>
    <cellStyle name="Heading 3 6 2 3 4 2" xfId="6380" xr:uid="{09781D03-6046-40D7-97D4-A3E8ABAB8DC3}"/>
    <cellStyle name="Heading 3 6 2 3 5" xfId="6375" xr:uid="{19E95469-902C-4AD7-BE60-F03C286D9978}"/>
    <cellStyle name="Heading 3 6 2 4" xfId="1431" xr:uid="{E76804FB-EE33-4265-A8E2-508671D9DD28}"/>
    <cellStyle name="Heading 3 6 2 4 2" xfId="1432" xr:uid="{DF33844E-F7B6-4541-86AA-B1EB2A3A1EEA}"/>
    <cellStyle name="Heading 3 6 2 4 2 2" xfId="6382" xr:uid="{6D68BD57-D3D2-43F5-9299-DAA5FDB4146A}"/>
    <cellStyle name="Heading 3 6 2 4 3" xfId="1433" xr:uid="{7ADA569B-315F-4A91-AB65-3D72DA9BE2DB}"/>
    <cellStyle name="Heading 3 6 2 4 3 2" xfId="6383" xr:uid="{FFD3B36E-1DC5-4353-97C1-46016BCFF3F7}"/>
    <cellStyle name="Heading 3 6 2 4 4" xfId="6381" xr:uid="{108310C9-684D-4203-88E8-6ABFD49C23C5}"/>
    <cellStyle name="Heading 3 6 2 5" xfId="1434" xr:uid="{0EAA005D-BB0B-4988-8CB2-6F905FCF91ED}"/>
    <cellStyle name="Heading 3 6 2 5 2" xfId="6384" xr:uid="{6C4B1BA2-77C3-4DEB-839A-6C446D1EAAF4}"/>
    <cellStyle name="Heading 3 6 2 6" xfId="1435" xr:uid="{1C35D2BC-831A-4447-A8CD-718B5B17633F}"/>
    <cellStyle name="Heading 3 6 2 6 2" xfId="6385" xr:uid="{20584ABF-A609-426E-B264-396F5007AA90}"/>
    <cellStyle name="Heading 3 6 2 7" xfId="1436" xr:uid="{D5D9C715-EA20-490E-B559-AEEED97F07D8}"/>
    <cellStyle name="Heading 3 6 2 7 2" xfId="6386" xr:uid="{2207EA93-B41E-4A81-93D2-4B6F6B5ABE30}"/>
    <cellStyle name="Heading 3 6 2 8" xfId="6362" xr:uid="{11348970-FCA8-4CF6-A1B9-339317694FF8}"/>
    <cellStyle name="Heading 3 6 3" xfId="1437" xr:uid="{D060B10F-4D0A-4D44-AA9A-B21CA8CA0EC8}"/>
    <cellStyle name="Heading 3 6 3 2" xfId="1438" xr:uid="{EE9ADEAE-2A49-4526-9D70-5B3BB81BCC65}"/>
    <cellStyle name="Heading 3 6 3 2 2" xfId="1439" xr:uid="{317C8919-2BCB-47F3-B3D5-09F457976925}"/>
    <cellStyle name="Heading 3 6 3 2 2 2" xfId="1440" xr:uid="{112124E6-10B1-4D69-972C-C5B22A8D5E97}"/>
    <cellStyle name="Heading 3 6 3 2 2 2 2" xfId="6390" xr:uid="{8B1F1AE0-B651-4693-91FF-52EA2311DA49}"/>
    <cellStyle name="Heading 3 6 3 2 2 3" xfId="1441" xr:uid="{D78C6D71-E682-4122-85FE-F4604D7FDBE8}"/>
    <cellStyle name="Heading 3 6 3 2 2 3 2" xfId="6391" xr:uid="{44109F49-CF7F-4A98-BBCE-11B1C5B61A87}"/>
    <cellStyle name="Heading 3 6 3 2 2 4" xfId="6389" xr:uid="{8095FF8D-212D-4624-95BD-FF892FCDC330}"/>
    <cellStyle name="Heading 3 6 3 2 3" xfId="1442" xr:uid="{E2DE2653-21FB-4A4C-9702-C44C683A0551}"/>
    <cellStyle name="Heading 3 6 3 2 3 2" xfId="6392" xr:uid="{39A02915-781B-4A2E-8A6D-C1BBF7A2DD2A}"/>
    <cellStyle name="Heading 3 6 3 2 4" xfId="1443" xr:uid="{3DF46F20-876C-48BF-8D8D-4EA81FEBB148}"/>
    <cellStyle name="Heading 3 6 3 2 4 2" xfId="6393" xr:uid="{A99C14C3-ECB1-4C6F-807D-32046E0DC335}"/>
    <cellStyle name="Heading 3 6 3 2 5" xfId="6388" xr:uid="{95D8FEC4-4210-44FD-B92D-89F114A8B9C4}"/>
    <cellStyle name="Heading 3 6 3 3" xfId="1444" xr:uid="{29D624CF-0BE3-41AC-9E2A-4F62BEFACFA7}"/>
    <cellStyle name="Heading 3 6 3 3 2" xfId="1445" xr:uid="{D800CEA9-C210-492B-8639-8BCCAA00E82B}"/>
    <cellStyle name="Heading 3 6 3 3 2 2" xfId="6395" xr:uid="{DE0EC3D6-2CC1-4BB5-87D6-7FAF599B3FD3}"/>
    <cellStyle name="Heading 3 6 3 3 3" xfId="1446" xr:uid="{39A7CFC2-3D9F-4BB3-9EA2-90724BEBC930}"/>
    <cellStyle name="Heading 3 6 3 3 3 2" xfId="6396" xr:uid="{BE1B7DF9-5428-45B6-9A36-EECC0BDFFC40}"/>
    <cellStyle name="Heading 3 6 3 3 4" xfId="6394" xr:uid="{C6D38A80-EDEB-416C-B34A-C252AC20074E}"/>
    <cellStyle name="Heading 3 6 3 4" xfId="1447" xr:uid="{1C4BEA41-BC91-4E31-A2AC-41786BFE938D}"/>
    <cellStyle name="Heading 3 6 3 4 2" xfId="6397" xr:uid="{18646EE5-8B06-4D35-ADEA-9E43386CDE41}"/>
    <cellStyle name="Heading 3 6 3 5" xfId="1448" xr:uid="{6AB0687A-2301-492E-B525-EF9CB7CE6849}"/>
    <cellStyle name="Heading 3 6 3 5 2" xfId="6398" xr:uid="{584BC6CD-62F3-4FA1-8609-FD41E00B3F00}"/>
    <cellStyle name="Heading 3 6 3 6" xfId="6387" xr:uid="{401ECC06-5D0A-4782-9293-4A168618D820}"/>
    <cellStyle name="Heading 3 6 4" xfId="1449" xr:uid="{6B62E375-D9AB-492D-94EC-6570CA98F945}"/>
    <cellStyle name="Heading 3 6 4 2" xfId="1450" xr:uid="{2B1C2425-1C80-4485-BC66-64AEAEDA50FE}"/>
    <cellStyle name="Heading 3 6 4 2 2" xfId="1451" xr:uid="{B1D8DA9E-8E43-4D29-BD90-107CB2A7FA1C}"/>
    <cellStyle name="Heading 3 6 4 2 2 2" xfId="6401" xr:uid="{5A2755CB-2858-4A30-956D-D0E48D7A5F5E}"/>
    <cellStyle name="Heading 3 6 4 2 3" xfId="1452" xr:uid="{F303DC00-65AA-418A-8AE9-1E2343DD4E83}"/>
    <cellStyle name="Heading 3 6 4 2 3 2" xfId="6402" xr:uid="{0EBF1095-C828-4CAE-975B-0041CA14FAEA}"/>
    <cellStyle name="Heading 3 6 4 2 4" xfId="6400" xr:uid="{91BBDDF5-5250-4E5D-9886-1E5607282C1C}"/>
    <cellStyle name="Heading 3 6 4 3" xfId="1453" xr:uid="{8A8656C9-AD41-4E31-ADBA-1340681B0B3F}"/>
    <cellStyle name="Heading 3 6 4 3 2" xfId="6403" xr:uid="{03021D9A-9601-470F-ADC5-3420FBAE0A9B}"/>
    <cellStyle name="Heading 3 6 4 4" xfId="1454" xr:uid="{E284B5E2-013D-4098-ADF4-918A1A85E88F}"/>
    <cellStyle name="Heading 3 6 4 4 2" xfId="6404" xr:uid="{22F83FC9-2A50-4E45-A0E5-0FC90CCB038D}"/>
    <cellStyle name="Heading 3 6 4 5" xfId="6399" xr:uid="{4855B36F-72F6-4C9F-A2E0-4568D8EF265E}"/>
    <cellStyle name="Heading 3 6 5" xfId="1455" xr:uid="{946C2B94-7CB6-41E6-B19A-B7AC9D4FD6FA}"/>
    <cellStyle name="Heading 3 6 5 2" xfId="1456" xr:uid="{CD965F1C-4F67-449E-B2B1-0151A5F5C47E}"/>
    <cellStyle name="Heading 3 6 5 2 2" xfId="6406" xr:uid="{791E80E6-AB01-4BE6-9607-D3A03F522D09}"/>
    <cellStyle name="Heading 3 6 5 3" xfId="1457" xr:uid="{046A7858-D332-4072-861F-05F859B0DC8D}"/>
    <cellStyle name="Heading 3 6 5 3 2" xfId="6407" xr:uid="{E51967A0-2416-44D0-A1AE-FA773B92A314}"/>
    <cellStyle name="Heading 3 6 5 4" xfId="6405" xr:uid="{3D1498D3-0C23-4DE6-AB1E-347D1E30B08B}"/>
    <cellStyle name="Heading 3 6 6" xfId="1458" xr:uid="{48A424C1-DE96-486C-B181-A767058CB92C}"/>
    <cellStyle name="Heading 3 6 6 2" xfId="6408" xr:uid="{894EEAE4-B3B2-4002-B38C-F4E2D0647DFB}"/>
    <cellStyle name="Heading 3 6 7" xfId="6361" xr:uid="{DB5A7CAE-6D63-4AD9-8895-58AED5D2BC29}"/>
    <cellStyle name="Heading 3 7" xfId="1459" xr:uid="{65EA176B-7F30-4B27-9BD2-56BC647406BD}"/>
    <cellStyle name="Heading 3 7 2" xfId="1460" xr:uid="{3E89CA84-AD3F-4AE1-BD51-B57902A1120C}"/>
    <cellStyle name="Heading 3 7 2 2" xfId="1461" xr:uid="{A27E912A-57F8-4BDF-BD4A-2C5106D15614}"/>
    <cellStyle name="Heading 3 7 2 2 2" xfId="1462" xr:uid="{E882A6E8-636E-4ABD-8FC3-476D3AF4E69A}"/>
    <cellStyle name="Heading 3 7 2 2 2 2" xfId="1463" xr:uid="{10A60CA2-46ED-40EF-95FF-0681D61D30E1}"/>
    <cellStyle name="Heading 3 7 2 2 2 2 2" xfId="1464" xr:uid="{EF9218E2-17F0-48FC-83D3-4190E20798AB}"/>
    <cellStyle name="Heading 3 7 2 2 2 2 2 2" xfId="1465" xr:uid="{B7A1AFCE-7834-402C-8094-FD29C53A65BE}"/>
    <cellStyle name="Heading 3 7 2 2 2 2 2 2 2" xfId="6415" xr:uid="{60ED3FE1-8146-40FE-943E-E05DE5E27180}"/>
    <cellStyle name="Heading 3 7 2 2 2 2 2 3" xfId="1466" xr:uid="{812B28A6-B96B-429A-9DCE-1A846DB7D2E2}"/>
    <cellStyle name="Heading 3 7 2 2 2 2 2 3 2" xfId="6416" xr:uid="{CF552DCD-3D11-4721-AA2B-26D9ABD4E269}"/>
    <cellStyle name="Heading 3 7 2 2 2 2 2 4" xfId="6414" xr:uid="{25E0EBE5-9B8C-4C34-8D04-78EC721093B9}"/>
    <cellStyle name="Heading 3 7 2 2 2 2 3" xfId="1467" xr:uid="{D7E98ED6-A365-4F58-A1D2-C68BBFEF4848}"/>
    <cellStyle name="Heading 3 7 2 2 2 2 3 2" xfId="6417" xr:uid="{CE131191-8695-4C7F-B173-1489394370DE}"/>
    <cellStyle name="Heading 3 7 2 2 2 2 4" xfId="1468" xr:uid="{62EE92A6-0360-4EB4-8284-18F107AE0217}"/>
    <cellStyle name="Heading 3 7 2 2 2 2 4 2" xfId="6418" xr:uid="{2F91D2AD-CAB9-4B49-9100-9D7A73DB948F}"/>
    <cellStyle name="Heading 3 7 2 2 2 2 5" xfId="6413" xr:uid="{8AF9F3DC-915A-42B0-8AD6-E8D306F4CFA5}"/>
    <cellStyle name="Heading 3 7 2 2 2 3" xfId="1469" xr:uid="{E806EFD8-D55D-4582-B7A8-E04F0DE7E0FF}"/>
    <cellStyle name="Heading 3 7 2 2 2 3 2" xfId="1470" xr:uid="{D64BC895-B9F7-4B5E-BA00-47D3A27D50CB}"/>
    <cellStyle name="Heading 3 7 2 2 2 3 2 2" xfId="6420" xr:uid="{8373A22D-FC46-4A35-8E03-C3DFC0349229}"/>
    <cellStyle name="Heading 3 7 2 2 2 3 3" xfId="1471" xr:uid="{59BB4AE1-0588-4C2A-A342-D345E46775EE}"/>
    <cellStyle name="Heading 3 7 2 2 2 3 3 2" xfId="6421" xr:uid="{FB275A05-D46B-4E2F-9C4E-63BD7F958D3D}"/>
    <cellStyle name="Heading 3 7 2 2 2 3 4" xfId="6419" xr:uid="{30732E8A-364F-4394-A3AE-D1B63E5D9BF1}"/>
    <cellStyle name="Heading 3 7 2 2 2 4" xfId="1472" xr:uid="{B211AC44-FC65-4D8C-AB60-5EB676A42096}"/>
    <cellStyle name="Heading 3 7 2 2 2 4 2" xfId="6422" xr:uid="{680DE7A6-DC19-459F-8407-284C5142DE93}"/>
    <cellStyle name="Heading 3 7 2 2 2 5" xfId="1473" xr:uid="{FE0227FB-6AEF-43CB-BADE-26C04DD2113F}"/>
    <cellStyle name="Heading 3 7 2 2 2 5 2" xfId="6423" xr:uid="{A610E6CB-71C9-4D74-A9E3-A6A775116581}"/>
    <cellStyle name="Heading 3 7 2 2 2 6" xfId="6412" xr:uid="{8AECE033-1E23-4699-89B1-27460FD14C53}"/>
    <cellStyle name="Heading 3 7 2 2 3" xfId="1474" xr:uid="{D586E287-1417-413D-99FA-90AE2DD1D806}"/>
    <cellStyle name="Heading 3 7 2 2 3 2" xfId="1475" xr:uid="{15720127-A784-4061-B15C-E6127E6D972D}"/>
    <cellStyle name="Heading 3 7 2 2 3 2 2" xfId="1476" xr:uid="{86A34041-3122-4399-8CB2-947E3D11AD99}"/>
    <cellStyle name="Heading 3 7 2 2 3 2 2 2" xfId="6426" xr:uid="{AFD2AD2D-8A0E-479F-A47C-56AFC2284DEC}"/>
    <cellStyle name="Heading 3 7 2 2 3 2 3" xfId="1477" xr:uid="{7B98F8B4-7713-4022-802B-78966EAB0691}"/>
    <cellStyle name="Heading 3 7 2 2 3 2 3 2" xfId="6427" xr:uid="{215D079B-ACA4-4CC1-A314-575C26CBA3A2}"/>
    <cellStyle name="Heading 3 7 2 2 3 2 4" xfId="6425" xr:uid="{3F154B11-EB42-438F-9728-F6CCEE476107}"/>
    <cellStyle name="Heading 3 7 2 2 3 3" xfId="1478" xr:uid="{9E88AC81-6BE1-49C9-BD39-1D2B326B8C24}"/>
    <cellStyle name="Heading 3 7 2 2 3 3 2" xfId="6428" xr:uid="{66ED0CF8-2AB7-4211-A03E-4640ACCFAB11}"/>
    <cellStyle name="Heading 3 7 2 2 3 4" xfId="1479" xr:uid="{53E3C0E0-FE93-41F4-BA9F-47ADDA19C404}"/>
    <cellStyle name="Heading 3 7 2 2 3 4 2" xfId="6429" xr:uid="{30B3D767-003E-4F24-AB0D-6FECAC93245F}"/>
    <cellStyle name="Heading 3 7 2 2 3 5" xfId="6424" xr:uid="{AEDD0C66-8537-4EA6-9222-AE39E6D6BE8C}"/>
    <cellStyle name="Heading 3 7 2 2 4" xfId="1480" xr:uid="{1D2F1414-EF75-49BB-A234-F1C1D9EE5B82}"/>
    <cellStyle name="Heading 3 7 2 2 4 2" xfId="1481" xr:uid="{8AD75AD6-4602-47E0-A8A2-A979E38D3C28}"/>
    <cellStyle name="Heading 3 7 2 2 4 2 2" xfId="6431" xr:uid="{ACC454F6-3BB2-46F0-B639-85E81A20735C}"/>
    <cellStyle name="Heading 3 7 2 2 4 3" xfId="1482" xr:uid="{5C197769-EAD2-4A2B-AC89-7C1DDE07EF15}"/>
    <cellStyle name="Heading 3 7 2 2 4 3 2" xfId="6432" xr:uid="{FBF2634D-BBD6-4986-9C40-193BAF4BEF9D}"/>
    <cellStyle name="Heading 3 7 2 2 4 4" xfId="6430" xr:uid="{6835D172-18F4-4DEB-A5B2-1061E9579D46}"/>
    <cellStyle name="Heading 3 7 2 2 5" xfId="1483" xr:uid="{AE82F302-D542-4414-B7C2-82074F6DE15F}"/>
    <cellStyle name="Heading 3 7 2 2 5 2" xfId="6433" xr:uid="{9191594F-4BFC-444B-9E22-D58E71F95194}"/>
    <cellStyle name="Heading 3 7 2 2 6" xfId="1484" xr:uid="{A42D9F02-E553-493C-BC7C-730378EE268C}"/>
    <cellStyle name="Heading 3 7 2 2 6 2" xfId="6434" xr:uid="{6118C6E8-9006-4C21-B36D-AF72A824DE95}"/>
    <cellStyle name="Heading 3 7 2 2 7" xfId="1485" xr:uid="{870F3AF4-5359-40CB-A34A-981B0E5ACA2C}"/>
    <cellStyle name="Heading 3 7 2 2 7 2" xfId="6435" xr:uid="{E796AFA8-9806-4251-95D1-65E67932F7FD}"/>
    <cellStyle name="Heading 3 7 2 2 8" xfId="6411" xr:uid="{59BD8F49-36D6-480B-87DA-F3A42A70D597}"/>
    <cellStyle name="Heading 3 7 2 3" xfId="1486" xr:uid="{A0DD084F-6269-442B-9AA3-2A0498DA5110}"/>
    <cellStyle name="Heading 3 7 2 3 2" xfId="1487" xr:uid="{45D04547-27C4-4B86-BEC5-90966D68FE1F}"/>
    <cellStyle name="Heading 3 7 2 3 2 2" xfId="1488" xr:uid="{810F507D-09F7-4289-83BE-49CCA730456F}"/>
    <cellStyle name="Heading 3 7 2 3 2 2 2" xfId="1489" xr:uid="{3B3CA185-BA0C-47D0-8687-52257DF4712C}"/>
    <cellStyle name="Heading 3 7 2 3 2 2 2 2" xfId="6439" xr:uid="{068FDB53-E80C-46FA-B4F4-CB23E5B44746}"/>
    <cellStyle name="Heading 3 7 2 3 2 2 3" xfId="1490" xr:uid="{AAF569C7-11D1-4577-A092-F1FC23E12359}"/>
    <cellStyle name="Heading 3 7 2 3 2 2 3 2" xfId="6440" xr:uid="{968F34AA-615C-4089-93D5-ADA8E4A9DD0F}"/>
    <cellStyle name="Heading 3 7 2 3 2 2 4" xfId="6438" xr:uid="{C907E11E-B0C7-4F47-8CF5-6BCB5567D593}"/>
    <cellStyle name="Heading 3 7 2 3 2 3" xfId="1491" xr:uid="{B7EE42E0-6A94-4154-B1CF-664B6235399F}"/>
    <cellStyle name="Heading 3 7 2 3 2 3 2" xfId="6441" xr:uid="{B7CF5071-5F81-47A8-87E5-B6585E192E87}"/>
    <cellStyle name="Heading 3 7 2 3 2 4" xfId="1492" xr:uid="{FB8E757D-43F3-4762-8C59-A56D0C2B6128}"/>
    <cellStyle name="Heading 3 7 2 3 2 4 2" xfId="6442" xr:uid="{121C0AD3-A240-445A-9EC7-410443EAAFE8}"/>
    <cellStyle name="Heading 3 7 2 3 2 5" xfId="6437" xr:uid="{563088AF-C717-4A0D-8369-522183C3D7AF}"/>
    <cellStyle name="Heading 3 7 2 3 3" xfId="1493" xr:uid="{8298A737-D3D7-429D-9ACF-48A26576B953}"/>
    <cellStyle name="Heading 3 7 2 3 3 2" xfId="1494" xr:uid="{EE9DDA28-D339-4BCE-A46C-751CC6E31B6D}"/>
    <cellStyle name="Heading 3 7 2 3 3 2 2" xfId="6444" xr:uid="{2B1F444F-40ED-476E-9FE4-9A6133674FFD}"/>
    <cellStyle name="Heading 3 7 2 3 3 3" xfId="1495" xr:uid="{9A174FDF-2CBC-4B58-9A73-9B7DEBBC430B}"/>
    <cellStyle name="Heading 3 7 2 3 3 3 2" xfId="6445" xr:uid="{8C932E5A-83CF-44DB-B549-C2F146717E35}"/>
    <cellStyle name="Heading 3 7 2 3 3 4" xfId="6443" xr:uid="{FE4E83E5-9A53-492B-821B-E61F91762ABC}"/>
    <cellStyle name="Heading 3 7 2 3 4" xfId="1496" xr:uid="{006EE82D-F6A8-4A8B-890E-486839BF28F8}"/>
    <cellStyle name="Heading 3 7 2 3 4 2" xfId="6446" xr:uid="{51C6ABAA-517E-43A7-A61E-ACDB8A64A2BF}"/>
    <cellStyle name="Heading 3 7 2 3 5" xfId="1497" xr:uid="{72CDCDED-DD1B-4BEE-AB10-20490F2A2DE0}"/>
    <cellStyle name="Heading 3 7 2 3 5 2" xfId="6447" xr:uid="{4C64AB0A-19D7-4E49-9153-E84181558B1F}"/>
    <cellStyle name="Heading 3 7 2 3 6" xfId="6436" xr:uid="{7FAC84E1-0E83-41CA-89E7-9D355B1CA96C}"/>
    <cellStyle name="Heading 3 7 2 4" xfId="1498" xr:uid="{CDDE2835-65E3-48A0-A9FF-6BADF0845304}"/>
    <cellStyle name="Heading 3 7 2 4 2" xfId="1499" xr:uid="{3D1DC79A-D6C3-4B25-AFE8-31C33C95383D}"/>
    <cellStyle name="Heading 3 7 2 4 2 2" xfId="1500" xr:uid="{47882F98-3CAC-45E7-8DB9-23A806BE8F70}"/>
    <cellStyle name="Heading 3 7 2 4 2 2 2" xfId="6450" xr:uid="{E543217A-7F02-4283-91D3-21671ACA3FA7}"/>
    <cellStyle name="Heading 3 7 2 4 2 3" xfId="1501" xr:uid="{5474F2B6-4C39-4EE1-884D-8E0A35981BA1}"/>
    <cellStyle name="Heading 3 7 2 4 2 3 2" xfId="6451" xr:uid="{A6AC0AC1-ACC0-42AC-B8C9-1010A2B79C07}"/>
    <cellStyle name="Heading 3 7 2 4 2 4" xfId="6449" xr:uid="{DA60F5D8-CC89-4979-AE25-5929F6E3B3A9}"/>
    <cellStyle name="Heading 3 7 2 4 3" xfId="1502" xr:uid="{CE3C706F-82A9-4923-A67A-C2C917F68A1A}"/>
    <cellStyle name="Heading 3 7 2 4 3 2" xfId="6452" xr:uid="{9F675038-8239-4CB5-804A-F2F7C8F759A7}"/>
    <cellStyle name="Heading 3 7 2 4 4" xfId="1503" xr:uid="{8D30AA8D-90BF-4769-9DAD-185D917EE01C}"/>
    <cellStyle name="Heading 3 7 2 4 4 2" xfId="6453" xr:uid="{8BDE6ECC-5B6A-4E73-BF51-4538B54ED99C}"/>
    <cellStyle name="Heading 3 7 2 4 5" xfId="6448" xr:uid="{1646B365-B0FC-488E-9AB2-23FB802EAFF5}"/>
    <cellStyle name="Heading 3 7 2 5" xfId="1504" xr:uid="{9D03B8A7-D018-48E4-BB83-72F188F0E6C7}"/>
    <cellStyle name="Heading 3 7 2 5 2" xfId="1505" xr:uid="{0E4086FB-8879-4F9F-9A7B-9415EB9AD2D5}"/>
    <cellStyle name="Heading 3 7 2 5 2 2" xfId="6455" xr:uid="{E4FEC81C-F55D-4D27-9A32-E02FA81E745A}"/>
    <cellStyle name="Heading 3 7 2 5 3" xfId="1506" xr:uid="{4C405E64-10F2-41FB-9E2C-2AC67C8E30A4}"/>
    <cellStyle name="Heading 3 7 2 5 3 2" xfId="6456" xr:uid="{AE5829AC-2B7E-4C05-8F02-7349ED89C343}"/>
    <cellStyle name="Heading 3 7 2 5 4" xfId="6454" xr:uid="{A77D1F46-8CE9-4768-AE45-AAC4016D63B3}"/>
    <cellStyle name="Heading 3 7 2 6" xfId="1507" xr:uid="{379B56FC-2662-417E-8CB4-14AE5A96D41F}"/>
    <cellStyle name="Heading 3 7 2 6 2" xfId="6457" xr:uid="{8C10E566-C7C2-48A7-9F18-D6BB4098E70E}"/>
    <cellStyle name="Heading 3 7 2 7" xfId="6410" xr:uid="{54FA3AC9-3B93-4878-9C40-AA3A5E52E6E6}"/>
    <cellStyle name="Heading 3 7 3" xfId="1508" xr:uid="{FF5FC133-FC1D-43F5-9AE3-E09D709D64A9}"/>
    <cellStyle name="Heading 3 7 3 2" xfId="1509" xr:uid="{7C5E4C0F-0ECD-4074-9010-E8743E362080}"/>
    <cellStyle name="Heading 3 7 3 2 2" xfId="1510" xr:uid="{149B585B-BE1A-43D9-B470-661C2180FD46}"/>
    <cellStyle name="Heading 3 7 3 2 2 2" xfId="1511" xr:uid="{0613D345-1F34-4FF3-80A8-8AF9FC3DEBA0}"/>
    <cellStyle name="Heading 3 7 3 2 2 2 2" xfId="1512" xr:uid="{85630366-8907-462C-ABE1-77F1DE276B1D}"/>
    <cellStyle name="Heading 3 7 3 2 2 2 2 2" xfId="6462" xr:uid="{6C525B68-76DE-4637-9E2B-B0722C78DFFE}"/>
    <cellStyle name="Heading 3 7 3 2 2 2 3" xfId="1513" xr:uid="{4FBB6046-BB9C-4431-819B-5AB0F640669C}"/>
    <cellStyle name="Heading 3 7 3 2 2 2 3 2" xfId="6463" xr:uid="{7B669606-8506-4A46-BF04-BF8481B7FE76}"/>
    <cellStyle name="Heading 3 7 3 2 2 2 4" xfId="6461" xr:uid="{02C5B421-038A-48A0-8295-6E34095B5249}"/>
    <cellStyle name="Heading 3 7 3 2 2 3" xfId="1514" xr:uid="{D4C3FDB2-0CB4-44A8-AD58-867D7BE67421}"/>
    <cellStyle name="Heading 3 7 3 2 2 3 2" xfId="6464" xr:uid="{11C61CF4-1794-4246-855B-CD61FCC0EE87}"/>
    <cellStyle name="Heading 3 7 3 2 2 4" xfId="1515" xr:uid="{4A2163A0-DF85-453C-B949-5AE36CEAB2ED}"/>
    <cellStyle name="Heading 3 7 3 2 2 4 2" xfId="6465" xr:uid="{BAB34C0B-CBD3-4CC8-BADE-9C9EBB292AA5}"/>
    <cellStyle name="Heading 3 7 3 2 2 5" xfId="6460" xr:uid="{563A5C0D-C87F-4DB8-AFC4-7ABB12725F20}"/>
    <cellStyle name="Heading 3 7 3 2 3" xfId="1516" xr:uid="{9D7ECB1D-3820-4242-A0A0-91D4AB91AC66}"/>
    <cellStyle name="Heading 3 7 3 2 3 2" xfId="1517" xr:uid="{68DD9932-A6AD-40BF-BBD9-5296AA911BC0}"/>
    <cellStyle name="Heading 3 7 3 2 3 2 2" xfId="6467" xr:uid="{4DF600A0-6DB1-4665-8B56-C2C84190CCCC}"/>
    <cellStyle name="Heading 3 7 3 2 3 3" xfId="1518" xr:uid="{BD4A2E32-69F3-4149-86BF-D8CD57B4975E}"/>
    <cellStyle name="Heading 3 7 3 2 3 3 2" xfId="6468" xr:uid="{583A4E22-A574-46BB-919A-A038C4F5D1E8}"/>
    <cellStyle name="Heading 3 7 3 2 3 4" xfId="6466" xr:uid="{B08548E3-7C25-428C-9332-22FAA7029723}"/>
    <cellStyle name="Heading 3 7 3 2 4" xfId="1519" xr:uid="{C9F36D8E-9BAF-4DE2-A2BD-7492083B72F8}"/>
    <cellStyle name="Heading 3 7 3 2 4 2" xfId="6469" xr:uid="{75B3B8CF-A00C-42C4-ADA9-9E926B6FD38F}"/>
    <cellStyle name="Heading 3 7 3 2 5" xfId="1520" xr:uid="{BB5403E6-5674-485B-B3C7-C349579FAEEE}"/>
    <cellStyle name="Heading 3 7 3 2 5 2" xfId="6470" xr:uid="{236D2A1E-ED0F-451F-B1E4-C4DD119C8194}"/>
    <cellStyle name="Heading 3 7 3 2 6" xfId="6459" xr:uid="{2EB9A33C-20FB-4593-91CC-B1741882F780}"/>
    <cellStyle name="Heading 3 7 3 3" xfId="1521" xr:uid="{71710B1D-82A4-4EE7-9ACF-ACD80ABFD7C0}"/>
    <cellStyle name="Heading 3 7 3 3 2" xfId="1522" xr:uid="{220203AD-3376-4E5C-8BF5-919E75329E08}"/>
    <cellStyle name="Heading 3 7 3 3 2 2" xfId="1523" xr:uid="{203A96CA-4E3E-445C-B116-1BA750374251}"/>
    <cellStyle name="Heading 3 7 3 3 2 2 2" xfId="6473" xr:uid="{95925941-9B48-4FF9-A074-071BE3E68387}"/>
    <cellStyle name="Heading 3 7 3 3 2 3" xfId="1524" xr:uid="{6015DE16-DA03-4C5A-8EB3-43C544CEF7B4}"/>
    <cellStyle name="Heading 3 7 3 3 2 3 2" xfId="6474" xr:uid="{7CE3C5EB-B2E7-4EF4-9946-B4849A686216}"/>
    <cellStyle name="Heading 3 7 3 3 2 4" xfId="6472" xr:uid="{D0CE0D9C-2794-4140-8CFB-580994B50E4E}"/>
    <cellStyle name="Heading 3 7 3 3 3" xfId="1525" xr:uid="{45E21145-2C43-469E-B51F-F4CEEBECAC06}"/>
    <cellStyle name="Heading 3 7 3 3 3 2" xfId="6475" xr:uid="{7D2F8DAD-52F1-45BF-A275-4CAE593B1329}"/>
    <cellStyle name="Heading 3 7 3 3 4" xfId="1526" xr:uid="{0054F319-C9C9-4779-A2E3-1156DAF487F2}"/>
    <cellStyle name="Heading 3 7 3 3 4 2" xfId="6476" xr:uid="{BEDB2BAF-DA0F-4EB9-8FBC-D5CA5B43EC36}"/>
    <cellStyle name="Heading 3 7 3 3 5" xfId="6471" xr:uid="{464A0C45-DE47-488E-9DD0-5547315788AB}"/>
    <cellStyle name="Heading 3 7 3 4" xfId="1527" xr:uid="{0AA5D50C-E464-4DA8-AC1F-62124376F35F}"/>
    <cellStyle name="Heading 3 7 3 4 2" xfId="1528" xr:uid="{6BCA1A6A-5412-4C71-AA3B-F3CE6164051A}"/>
    <cellStyle name="Heading 3 7 3 4 2 2" xfId="6478" xr:uid="{0B0D5296-D0DC-417F-8928-0CC688F39A02}"/>
    <cellStyle name="Heading 3 7 3 4 3" xfId="1529" xr:uid="{180206FF-EE37-4637-A8B7-E842CF60438F}"/>
    <cellStyle name="Heading 3 7 3 4 3 2" xfId="6479" xr:uid="{30CA0E6D-3216-4A51-A5B7-0E2930A9F266}"/>
    <cellStyle name="Heading 3 7 3 4 4" xfId="6477" xr:uid="{B5D05F99-95E7-4B81-BD01-03776015790A}"/>
    <cellStyle name="Heading 3 7 3 5" xfId="1530" xr:uid="{6B394716-6DA1-4CB0-A65C-F7B2868B034E}"/>
    <cellStyle name="Heading 3 7 3 5 2" xfId="6480" xr:uid="{6C07A036-8A57-4114-A9F9-BDC4C7BCC9A0}"/>
    <cellStyle name="Heading 3 7 3 6" xfId="1531" xr:uid="{7DB25DB4-3902-4D52-899F-C5C127719240}"/>
    <cellStyle name="Heading 3 7 3 6 2" xfId="6481" xr:uid="{B9A3C257-74B9-4BE5-9749-665CA84A4C53}"/>
    <cellStyle name="Heading 3 7 3 7" xfId="1532" xr:uid="{B52625E0-62C5-48D4-9ED0-2047F571623E}"/>
    <cellStyle name="Heading 3 7 3 7 2" xfId="6482" xr:uid="{BBC6BF39-94B9-461D-983C-260A3869C334}"/>
    <cellStyle name="Heading 3 7 3 8" xfId="6458" xr:uid="{40FC87EB-8362-4911-94E9-B92A8B23764C}"/>
    <cellStyle name="Heading 3 7 4" xfId="1533" xr:uid="{13151AEB-16EE-4A2A-BD23-47D12601B73D}"/>
    <cellStyle name="Heading 3 7 4 2" xfId="1534" xr:uid="{CC77A130-A8A5-4D62-8D6D-9CD08E5989F8}"/>
    <cellStyle name="Heading 3 7 4 2 2" xfId="1535" xr:uid="{FA57BF16-232E-461F-9AF2-4DE51D548177}"/>
    <cellStyle name="Heading 3 7 4 2 2 2" xfId="1536" xr:uid="{5A19A92E-33EF-47DE-A258-B1B61D2DCA85}"/>
    <cellStyle name="Heading 3 7 4 2 2 2 2" xfId="6486" xr:uid="{01058205-B46E-4D8D-825B-3E9D8456C29C}"/>
    <cellStyle name="Heading 3 7 4 2 2 3" xfId="1537" xr:uid="{FAF1938C-4665-4EB3-BAD2-5E7A2BD61011}"/>
    <cellStyle name="Heading 3 7 4 2 2 3 2" xfId="6487" xr:uid="{0402DF8F-DB31-4EB5-A6E1-AB2105086022}"/>
    <cellStyle name="Heading 3 7 4 2 2 4" xfId="6485" xr:uid="{29F1AFDA-46E3-4E7D-8810-4AE39C3A4945}"/>
    <cellStyle name="Heading 3 7 4 2 3" xfId="1538" xr:uid="{9729133A-5475-4D26-B8AA-707B193ADE64}"/>
    <cellStyle name="Heading 3 7 4 2 3 2" xfId="6488" xr:uid="{93F55D4D-0A0E-4DF7-95BD-5C53F68EE7A5}"/>
    <cellStyle name="Heading 3 7 4 2 4" xfId="1539" xr:uid="{E642C0DF-E287-4127-A16C-138354ECFC20}"/>
    <cellStyle name="Heading 3 7 4 2 4 2" xfId="6489" xr:uid="{D0D7061F-E8A8-4C9B-A396-DE56575DD088}"/>
    <cellStyle name="Heading 3 7 4 2 5" xfId="6484" xr:uid="{4D00E3DB-C37F-4CE3-B445-6FD3C679A98E}"/>
    <cellStyle name="Heading 3 7 4 3" xfId="1540" xr:uid="{64417EFE-53B2-4D88-8435-214F58504432}"/>
    <cellStyle name="Heading 3 7 4 3 2" xfId="1541" xr:uid="{E2BE5488-8D6E-4B2A-9FE1-4E89180EF825}"/>
    <cellStyle name="Heading 3 7 4 3 2 2" xfId="6491" xr:uid="{6AE94377-7EB6-45C4-B7C6-AF7089286806}"/>
    <cellStyle name="Heading 3 7 4 3 3" xfId="1542" xr:uid="{0246230E-8547-44DA-8E8A-FDD4F768FC95}"/>
    <cellStyle name="Heading 3 7 4 3 3 2" xfId="6492" xr:uid="{23C95DAA-E60E-459A-BC07-9A843AA4417A}"/>
    <cellStyle name="Heading 3 7 4 3 4" xfId="6490" xr:uid="{B173C8EF-9461-416F-AEAD-45A0A755F7F2}"/>
    <cellStyle name="Heading 3 7 4 4" xfId="1543" xr:uid="{EEF42F5C-4350-478A-A8FB-6EB9B99BED33}"/>
    <cellStyle name="Heading 3 7 4 4 2" xfId="6493" xr:uid="{0CF35232-6412-4A61-A673-7C3A90F6ACDB}"/>
    <cellStyle name="Heading 3 7 4 5" xfId="1544" xr:uid="{9565B539-14F2-4606-A1AD-6F608270588B}"/>
    <cellStyle name="Heading 3 7 4 5 2" xfId="6494" xr:uid="{3518668F-3740-456F-BEBF-E3E92B2B4737}"/>
    <cellStyle name="Heading 3 7 4 6" xfId="6483" xr:uid="{51A3F953-3FC8-45C3-90AF-4502017CA47E}"/>
    <cellStyle name="Heading 3 7 5" xfId="1545" xr:uid="{33350616-6C5A-4A3A-B66A-678AE2C05612}"/>
    <cellStyle name="Heading 3 7 5 2" xfId="1546" xr:uid="{37089324-0B1A-45AB-A952-D63313AD5BA4}"/>
    <cellStyle name="Heading 3 7 5 2 2" xfId="1547" xr:uid="{0E46CF81-8325-4056-8881-926078F516D5}"/>
    <cellStyle name="Heading 3 7 5 2 2 2" xfId="6497" xr:uid="{680842C2-887B-452A-B5CC-60B5DDC55B54}"/>
    <cellStyle name="Heading 3 7 5 2 3" xfId="1548" xr:uid="{F019C0F6-3224-4A00-9B9B-241F555D034A}"/>
    <cellStyle name="Heading 3 7 5 2 3 2" xfId="6498" xr:uid="{CD4944DC-12C3-4D7B-B5D9-03664C8F9A83}"/>
    <cellStyle name="Heading 3 7 5 2 4" xfId="6496" xr:uid="{A28384CC-08F8-46F1-8C11-61E661F79ABF}"/>
    <cellStyle name="Heading 3 7 5 3" xfId="1549" xr:uid="{8DD4C51B-B9F0-4139-81D4-D230DE3B3E8D}"/>
    <cellStyle name="Heading 3 7 5 3 2" xfId="6499" xr:uid="{7B5E0D63-1233-4B09-99A3-17C1A4C4B140}"/>
    <cellStyle name="Heading 3 7 5 4" xfId="1550" xr:uid="{BE140533-1EB5-4214-9056-F0DA05EDD527}"/>
    <cellStyle name="Heading 3 7 5 4 2" xfId="6500" xr:uid="{4D7B0B99-17A0-40F6-AF2E-51468902DEC8}"/>
    <cellStyle name="Heading 3 7 5 5" xfId="6495" xr:uid="{0465CD53-87BC-44BA-ACFD-4B6B1DEA469E}"/>
    <cellStyle name="Heading 3 7 6" xfId="1551" xr:uid="{7E191BAB-B467-4AB0-B8BB-2B70DD5A9762}"/>
    <cellStyle name="Heading 3 7 6 2" xfId="1552" xr:uid="{968B9B10-4B0F-48A8-9076-3C2BDA2F1893}"/>
    <cellStyle name="Heading 3 7 6 2 2" xfId="6502" xr:uid="{2DE02405-2F11-432E-AEF1-A2874B98A446}"/>
    <cellStyle name="Heading 3 7 6 3" xfId="1553" xr:uid="{802D6589-5CAB-4630-A9A6-3A1F88F19099}"/>
    <cellStyle name="Heading 3 7 6 3 2" xfId="6503" xr:uid="{833D4435-1966-41E7-BE77-E30F5DDC3DC6}"/>
    <cellStyle name="Heading 3 7 6 4" xfId="6501" xr:uid="{1D34CC5B-90E9-414F-8129-1C54832C30AA}"/>
    <cellStyle name="Heading 3 7 7" xfId="1554" xr:uid="{0B15FFBD-3CDC-42BF-92D8-92D4A7B45A81}"/>
    <cellStyle name="Heading 3 7 7 2" xfId="6504" xr:uid="{BDC5471A-62C4-4743-BFCB-48BC2B703D33}"/>
    <cellStyle name="Heading 3 7 8" xfId="6409" xr:uid="{3EF96E67-6246-4D9D-AE23-623A5CBBD427}"/>
    <cellStyle name="Heading 3 8" xfId="1555" xr:uid="{1DF702DB-950A-4B99-A8B1-68F48B6F5489}"/>
    <cellStyle name="Heading 3 8 2" xfId="1556" xr:uid="{A1E7F52B-91B2-482D-A278-BB721CEA2957}"/>
    <cellStyle name="Heading 3 8 2 2" xfId="1557" xr:uid="{E82D5616-6573-4277-B129-4F52FF24E4BC}"/>
    <cellStyle name="Heading 3 8 2 2 2" xfId="1558" xr:uid="{CF7352FF-FD5A-4031-AE55-3D28832FE5E6}"/>
    <cellStyle name="Heading 3 8 2 2 2 2" xfId="1559" xr:uid="{5AF7E6F7-39BF-4A0A-8455-25578E8A6B5E}"/>
    <cellStyle name="Heading 3 8 2 2 2 2 2" xfId="6509" xr:uid="{48760179-43E8-4703-AD83-7AEA95577B87}"/>
    <cellStyle name="Heading 3 8 2 2 2 3" xfId="1560" xr:uid="{9CE62380-711D-46CF-A6BD-AF7F8A318290}"/>
    <cellStyle name="Heading 3 8 2 2 2 3 2" xfId="6510" xr:uid="{E27E46B9-E9AE-43BA-A92D-01409E084DEE}"/>
    <cellStyle name="Heading 3 8 2 2 2 4" xfId="6508" xr:uid="{D9829E28-3BD9-4331-9596-75AB15276553}"/>
    <cellStyle name="Heading 3 8 2 2 3" xfId="1561" xr:uid="{9CFB0E82-ADF6-4391-A5CA-5C9BD030F319}"/>
    <cellStyle name="Heading 3 8 2 2 3 2" xfId="6511" xr:uid="{31CC89B3-2724-4CAA-BFEE-DCD065EBDF4E}"/>
    <cellStyle name="Heading 3 8 2 2 4" xfId="1562" xr:uid="{DC9B89B8-47BD-4DE4-99B1-D0DD20EEF8A1}"/>
    <cellStyle name="Heading 3 8 2 2 4 2" xfId="6512" xr:uid="{C8B59C6F-C0AC-4CB4-918A-4CE1E619B078}"/>
    <cellStyle name="Heading 3 8 2 2 5" xfId="6507" xr:uid="{D7FB13CD-AA6D-48DE-957B-F2C796C3EC4F}"/>
    <cellStyle name="Heading 3 8 2 3" xfId="1563" xr:uid="{0AC055F6-2E87-400D-A06F-AC33B17B172E}"/>
    <cellStyle name="Heading 3 8 2 3 2" xfId="1564" xr:uid="{B218567E-F697-4019-BADF-54C4465A6112}"/>
    <cellStyle name="Heading 3 8 2 3 2 2" xfId="6514" xr:uid="{BAB2DF11-9551-432F-8010-748E0791DB83}"/>
    <cellStyle name="Heading 3 8 2 3 3" xfId="1565" xr:uid="{EB5637C6-474A-4FE0-80B1-B2EAF55AFBF0}"/>
    <cellStyle name="Heading 3 8 2 3 3 2" xfId="6515" xr:uid="{B413F5C0-8A65-4EC1-B0FA-7FE910D9470A}"/>
    <cellStyle name="Heading 3 8 2 3 4" xfId="6513" xr:uid="{099A4B36-8FCC-4C36-B5EA-3403E4D83682}"/>
    <cellStyle name="Heading 3 8 2 4" xfId="1566" xr:uid="{CD06BFA8-44C4-440F-B635-6267477F4322}"/>
    <cellStyle name="Heading 3 8 2 4 2" xfId="6516" xr:uid="{488868E4-0364-458A-BBDE-0D6A05A21E7F}"/>
    <cellStyle name="Heading 3 8 2 5" xfId="1567" xr:uid="{EA57CECF-1A9B-4D23-82E7-77CA9BAFA2EA}"/>
    <cellStyle name="Heading 3 8 2 5 2" xfId="6517" xr:uid="{B7967484-A80B-47AA-83CD-136EC0BDEB5E}"/>
    <cellStyle name="Heading 3 8 2 6" xfId="6506" xr:uid="{51014F0A-4D47-446F-9C57-C709ED6A9191}"/>
    <cellStyle name="Heading 3 8 3" xfId="1568" xr:uid="{B1A3D3FF-E45A-430F-8F17-8116FC88CD1A}"/>
    <cellStyle name="Heading 3 8 3 2" xfId="1569" xr:uid="{7360F56D-8EE8-40F0-B987-CC71CAFB0A7D}"/>
    <cellStyle name="Heading 3 8 3 2 2" xfId="1570" xr:uid="{A3A0F305-BF57-40F2-A502-605C987F538C}"/>
    <cellStyle name="Heading 3 8 3 2 2 2" xfId="6520" xr:uid="{979760C3-B627-4F52-8A53-D4EC94C4DBFB}"/>
    <cellStyle name="Heading 3 8 3 2 3" xfId="1571" xr:uid="{FC5494D9-929A-44BC-85C3-94E7863F2B16}"/>
    <cellStyle name="Heading 3 8 3 2 3 2" xfId="6521" xr:uid="{6DDB54F9-9CBC-419A-822F-61C7E6625EE7}"/>
    <cellStyle name="Heading 3 8 3 2 4" xfId="6519" xr:uid="{61437DC7-EFCA-439A-838D-AED2768AA7EE}"/>
    <cellStyle name="Heading 3 8 3 3" xfId="1572" xr:uid="{7D5DC5E2-D050-4ADC-8C3B-8C40D8CEEF34}"/>
    <cellStyle name="Heading 3 8 3 3 2" xfId="6522" xr:uid="{611FCB70-C384-4294-9003-EB18E4CC9743}"/>
    <cellStyle name="Heading 3 8 3 4" xfId="1573" xr:uid="{C46DA832-85E7-4734-BD14-D5ECD0BAECF7}"/>
    <cellStyle name="Heading 3 8 3 4 2" xfId="6523" xr:uid="{2EFF3C68-B6E0-47B5-AD46-5107326E3012}"/>
    <cellStyle name="Heading 3 8 3 5" xfId="6518" xr:uid="{30783FD8-493E-497E-88F6-B4B39CE8B9F3}"/>
    <cellStyle name="Heading 3 8 4" xfId="1574" xr:uid="{B5B9F301-F399-4675-9A79-BF74DCE8BC9B}"/>
    <cellStyle name="Heading 3 8 4 2" xfId="1575" xr:uid="{FA566A57-148C-445E-B23E-6FC88E9E8DA0}"/>
    <cellStyle name="Heading 3 8 4 2 2" xfId="6525" xr:uid="{F1B2DAC8-9EF0-463B-AA8F-F55F9F0C4B6E}"/>
    <cellStyle name="Heading 3 8 4 3" xfId="1576" xr:uid="{9EE67E7F-3169-42DC-9538-16846984960D}"/>
    <cellStyle name="Heading 3 8 4 3 2" xfId="6526" xr:uid="{D36D5F9F-951A-4CF6-8811-E3863FC9A61B}"/>
    <cellStyle name="Heading 3 8 4 4" xfId="6524" xr:uid="{16EDC121-E957-4DE2-9BD7-2D4F7C188683}"/>
    <cellStyle name="Heading 3 8 5" xfId="1577" xr:uid="{4EB763DC-C48F-4E0F-A0FD-264349313EFC}"/>
    <cellStyle name="Heading 3 8 5 2" xfId="6527" xr:uid="{9C533E79-75A3-4672-A83F-7AF2EF4EF92A}"/>
    <cellStyle name="Heading 3 8 6" xfId="1578" xr:uid="{3617BCCB-6304-47EA-B2B4-C9F5D48DD0BF}"/>
    <cellStyle name="Heading 3 8 6 2" xfId="6528" xr:uid="{68DDBC46-45B1-457C-8855-3DCAA8D9D9E3}"/>
    <cellStyle name="Heading 3 8 7" xfId="1579" xr:uid="{94F3ABEF-B60A-4E03-BBCE-E0EA434C181A}"/>
    <cellStyle name="Heading 3 8 7 2" xfId="6529" xr:uid="{772BC7AF-A19B-4170-90AF-9EC19C03D13D}"/>
    <cellStyle name="Heading 3 8 8" xfId="6505" xr:uid="{43E5A617-669C-4786-AC08-54A4F7458862}"/>
    <cellStyle name="Heading 3 9" xfId="1580" xr:uid="{5F6B8EE3-9A0C-4D71-BAD0-DC346BD194BD}"/>
    <cellStyle name="Heading 3 9 2" xfId="1581" xr:uid="{1E6144FC-7F7B-47B4-8708-4A2508487428}"/>
    <cellStyle name="Heading 3 9 2 2" xfId="1582" xr:uid="{BD08244C-FDAF-4FF4-95DD-EBBD8E4ABD4F}"/>
    <cellStyle name="Heading 3 9 2 2 2" xfId="1583" xr:uid="{466F50CC-65A7-411D-B5B7-EDB924FDD00A}"/>
    <cellStyle name="Heading 3 9 2 2 2 2" xfId="1584" xr:uid="{0EA4DFEF-8A05-4311-AD8F-7A107CF345A8}"/>
    <cellStyle name="Heading 3 9 2 2 2 2 2" xfId="6534" xr:uid="{9AA88A84-59BA-44B1-B027-0F15467D77FE}"/>
    <cellStyle name="Heading 3 9 2 2 2 3" xfId="1585" xr:uid="{D11DCEBB-C443-4AF1-BF15-BF3B2BE7F8EB}"/>
    <cellStyle name="Heading 3 9 2 2 2 3 2" xfId="6535" xr:uid="{147FB695-6279-45A6-ADAD-61DA3D239379}"/>
    <cellStyle name="Heading 3 9 2 2 2 4" xfId="6533" xr:uid="{057A9BED-2F51-4EC3-877D-5AF4244E3D1C}"/>
    <cellStyle name="Heading 3 9 2 2 3" xfId="1586" xr:uid="{9162FF18-D88D-4CE2-A89D-D973B6A488A1}"/>
    <cellStyle name="Heading 3 9 2 2 3 2" xfId="6536" xr:uid="{D2F77D91-C795-4B81-91D3-B286089996B4}"/>
    <cellStyle name="Heading 3 9 2 2 4" xfId="1587" xr:uid="{0B9E996C-6405-435E-9ED5-2A01A712F1ED}"/>
    <cellStyle name="Heading 3 9 2 2 4 2" xfId="6537" xr:uid="{441AD63E-2A77-439A-8663-76CB81636667}"/>
    <cellStyle name="Heading 3 9 2 2 5" xfId="6532" xr:uid="{23806873-D22F-4CEA-9FE2-B34D1546BEF2}"/>
    <cellStyle name="Heading 3 9 2 3" xfId="1588" xr:uid="{631A1BAE-D99E-4D22-9946-F22E57654D10}"/>
    <cellStyle name="Heading 3 9 2 3 2" xfId="1589" xr:uid="{F46B1EB4-8055-4DE9-B554-7713BB840513}"/>
    <cellStyle name="Heading 3 9 2 3 2 2" xfId="6539" xr:uid="{4FD02DD2-3F99-4F50-8E4A-D57EC4C474A9}"/>
    <cellStyle name="Heading 3 9 2 3 3" xfId="1590" xr:uid="{32C8FB9C-C227-43C0-97C6-219F76BFCA9B}"/>
    <cellStyle name="Heading 3 9 2 3 3 2" xfId="6540" xr:uid="{B7828DF2-9381-48EA-8819-EA596E5BC218}"/>
    <cellStyle name="Heading 3 9 2 3 4" xfId="6538" xr:uid="{00D39663-6C56-4F22-BC8F-EBBD18102103}"/>
    <cellStyle name="Heading 3 9 2 4" xfId="1591" xr:uid="{A05E8C39-C89C-4CB5-8E54-F7D4D7BC1083}"/>
    <cellStyle name="Heading 3 9 2 4 2" xfId="6541" xr:uid="{42268436-A648-4883-8BDD-106C8FA7EB1E}"/>
    <cellStyle name="Heading 3 9 2 5" xfId="1592" xr:uid="{4193E834-C546-470E-90EA-6EF40034017D}"/>
    <cellStyle name="Heading 3 9 2 5 2" xfId="6542" xr:uid="{071DF331-861E-47FB-97DC-C7636BE5FE5A}"/>
    <cellStyle name="Heading 3 9 2 6" xfId="6531" xr:uid="{C22454E1-09A2-4BA3-B8BD-60399A5C0E21}"/>
    <cellStyle name="Heading 3 9 3" xfId="1593" xr:uid="{D4925DEF-022C-4E75-AEFA-F74B13E6B0C1}"/>
    <cellStyle name="Heading 3 9 3 2" xfId="1594" xr:uid="{C32D1FED-3663-4B49-9B26-D71DF77F438B}"/>
    <cellStyle name="Heading 3 9 3 2 2" xfId="1595" xr:uid="{7AD3E3CC-B3A7-4898-BC3F-B97446F38EBE}"/>
    <cellStyle name="Heading 3 9 3 2 2 2" xfId="6545" xr:uid="{B59AB21E-1CE7-4A17-A918-2D0F4B4CD5D3}"/>
    <cellStyle name="Heading 3 9 3 2 3" xfId="1596" xr:uid="{F60D8C08-AE53-4BE8-BD6D-D066470C1831}"/>
    <cellStyle name="Heading 3 9 3 2 3 2" xfId="6546" xr:uid="{5642DBAD-D1AC-43D6-B34E-524BBD514479}"/>
    <cellStyle name="Heading 3 9 3 2 4" xfId="6544" xr:uid="{57FB7B5D-5D29-4D48-A8F9-21BDFCDF3CE5}"/>
    <cellStyle name="Heading 3 9 3 3" xfId="1597" xr:uid="{852DDE5B-4E11-4185-AA28-91C94077EB91}"/>
    <cellStyle name="Heading 3 9 3 3 2" xfId="6547" xr:uid="{60EA2CD3-4533-4F7B-9505-48A8734426E9}"/>
    <cellStyle name="Heading 3 9 3 4" xfId="1598" xr:uid="{1438139E-35C9-4A68-9E6C-A0487EC5A4B3}"/>
    <cellStyle name="Heading 3 9 3 4 2" xfId="6548" xr:uid="{651B16C6-51EB-4DCD-ADEC-7FA0F3296EFB}"/>
    <cellStyle name="Heading 3 9 3 5" xfId="6543" xr:uid="{154958A3-F17D-4D54-8FAD-423BE6A9BFAE}"/>
    <cellStyle name="Heading 3 9 4" xfId="1599" xr:uid="{A7D26A6D-6DEE-4D3A-9DD0-FEE2BCBA157E}"/>
    <cellStyle name="Heading 3 9 4 2" xfId="1600" xr:uid="{F9915B34-E1F8-4CF6-9526-658942434D21}"/>
    <cellStyle name="Heading 3 9 4 2 2" xfId="6550" xr:uid="{A3820568-5CB7-468E-8D2A-268FC72047CF}"/>
    <cellStyle name="Heading 3 9 4 3" xfId="1601" xr:uid="{3BE040F6-879A-41C3-8F92-E7DA8C55D22D}"/>
    <cellStyle name="Heading 3 9 4 3 2" xfId="6551" xr:uid="{5BABC441-92D1-4FB8-8D9D-7065A908C7BA}"/>
    <cellStyle name="Heading 3 9 4 4" xfId="6549" xr:uid="{996523C8-D72D-4402-91C9-821ECDA598F2}"/>
    <cellStyle name="Heading 3 9 5" xfId="1602" xr:uid="{1ECC080E-DD0A-4794-ACE3-E37E2991A971}"/>
    <cellStyle name="Heading 3 9 5 2" xfId="6552" xr:uid="{7D5E3883-7470-4F98-B7B8-FC6C061D2846}"/>
    <cellStyle name="Heading 3 9 6" xfId="1603" xr:uid="{06815070-B15E-4B28-BF06-D2F0E11F6599}"/>
    <cellStyle name="Heading 3 9 6 2" xfId="6553" xr:uid="{88368E93-1F98-46DC-928A-ADB719D5D30F}"/>
    <cellStyle name="Heading 3 9 7" xfId="1604" xr:uid="{DC65F6F2-7FEF-470A-B06B-5A322947D546}"/>
    <cellStyle name="Heading 3 9 7 2" xfId="6554" xr:uid="{7F76466D-A671-4790-A03C-91B6E1D956FC}"/>
    <cellStyle name="Heading 3 9 8" xfId="6530" xr:uid="{DDF1247E-D552-4EA7-B9B9-EEB33A7FDAF9}"/>
    <cellStyle name="Heading 4 2" xfId="1606" xr:uid="{611FEE59-2BDF-44F5-8F2A-835366AB015C}"/>
    <cellStyle name="Heading 4 2 2" xfId="1607" xr:uid="{3ADC4BF5-AE6B-45CD-BA22-A8C158991FFC}"/>
    <cellStyle name="Heading 4 3" xfId="1608" xr:uid="{19592507-EF3C-4E59-B70B-9CD7306DA40E}"/>
    <cellStyle name="Heading 4 3 2" xfId="1609" xr:uid="{4FB18D1B-5666-4F8F-889C-8FF209EA2EB8}"/>
    <cellStyle name="Heading 4 4" xfId="1605" xr:uid="{78D5E2B3-87A4-410A-A4B7-56689E2E45F5}"/>
    <cellStyle name="Hyperlink" xfId="6557" builtinId="8"/>
    <cellStyle name="Hyperlink 2" xfId="6562" xr:uid="{B88EDAC4-7EF7-434C-A370-C6D4CAA49C64}"/>
    <cellStyle name="Input 10" xfId="1611" xr:uid="{63219610-F62C-4127-8477-3D5527E4086E}"/>
    <cellStyle name="Input 11" xfId="1612" xr:uid="{C671641B-F5CD-41B6-8092-31E67BD533E4}"/>
    <cellStyle name="Input 12" xfId="1610" xr:uid="{7D9F4CE6-5A15-48DF-B55E-A5B4921FA111}"/>
    <cellStyle name="Input 2" xfId="1613" xr:uid="{C413EA36-C2A8-4180-BAB0-EFE9F5FBFBF7}"/>
    <cellStyle name="Input 2 2" xfId="1614" xr:uid="{60B2B9C8-FF82-4F8C-B8F4-5F0724442E0C}"/>
    <cellStyle name="Input 2 2 2" xfId="1615" xr:uid="{AA135767-D51C-42E9-B571-F854F7F07098}"/>
    <cellStyle name="Input 2 2 2 2" xfId="1616" xr:uid="{21A93467-E47D-4A21-82A4-886BC2962682}"/>
    <cellStyle name="Input 2 2 2 2 2" xfId="1617" xr:uid="{7CB3B718-D903-4A72-895D-8D6383A2A367}"/>
    <cellStyle name="Input 2 2 2 2 2 2" xfId="1618" xr:uid="{89D6FFFB-2254-4257-BF5D-F8B11A9078FE}"/>
    <cellStyle name="Input 2 2 2 2 2 2 2" xfId="1619" xr:uid="{EB6B42D8-CBE7-4763-B57E-67CCBB2DD15C}"/>
    <cellStyle name="Input 2 2 2 2 2 2 2 2" xfId="1620" xr:uid="{027FBB2C-3F7B-4A20-98C2-4A33AEF3EECD}"/>
    <cellStyle name="Input 2 2 2 2 2 2 2 3" xfId="1621" xr:uid="{F7F16B6E-3441-42A1-8D5D-D83E27704611}"/>
    <cellStyle name="Input 2 2 2 2 2 2 3" xfId="1622" xr:uid="{76D0E817-B027-412A-83F4-CDDE64F9DF67}"/>
    <cellStyle name="Input 2 2 2 2 2 2 4" xfId="1623" xr:uid="{3C816C2D-B681-47DA-AE41-6BBD351634EA}"/>
    <cellStyle name="Input 2 2 2 2 2 3" xfId="1624" xr:uid="{1572A027-1FDE-423B-95FE-BF0E39491B11}"/>
    <cellStyle name="Input 2 2 2 2 2 4" xfId="1625" xr:uid="{8F3D49F6-9623-494A-BF6D-EBF1CFB77B04}"/>
    <cellStyle name="Input 2 2 2 2 3" xfId="1626" xr:uid="{7E7FB014-4385-4811-B619-B09C210A7D98}"/>
    <cellStyle name="Input 2 2 2 2 4" xfId="1627" xr:uid="{5C971EEF-4777-4996-B3DF-716924F835D2}"/>
    <cellStyle name="Input 2 2 2 3" xfId="1628" xr:uid="{D9DF747D-2214-41F2-A2BF-38BD3A5F8AD3}"/>
    <cellStyle name="Input 2 2 2 3 2" xfId="1629" xr:uid="{7056CF7A-274A-44CE-BDD1-4A327E2B2633}"/>
    <cellStyle name="Input 2 2 2 3 2 2" xfId="1630" xr:uid="{538F07C2-4838-4F46-87B4-4C9AE6030712}"/>
    <cellStyle name="Input 2 2 2 3 2 2 2" xfId="1631" xr:uid="{7B48EFD0-07F2-4FBE-9AC4-B75E8D3B0E78}"/>
    <cellStyle name="Input 2 2 2 3 2 2 3" xfId="1632" xr:uid="{80F4B2BD-9624-4013-8A60-5F995976D607}"/>
    <cellStyle name="Input 2 2 2 3 2 3" xfId="1633" xr:uid="{53C44521-AA3A-417F-8377-186705CB284F}"/>
    <cellStyle name="Input 2 2 2 3 2 4" xfId="1634" xr:uid="{AC7CD2D8-7DB9-4CF3-9E45-DF1ECA5F298E}"/>
    <cellStyle name="Input 2 2 2 3 3" xfId="1635" xr:uid="{97324499-A8AB-4E8B-A6E1-54D5C0D0F320}"/>
    <cellStyle name="Input 2 2 2 3 4" xfId="1636" xr:uid="{BD61C831-998A-4D56-888B-4E8717BC3F33}"/>
    <cellStyle name="Input 2 2 2 4" xfId="1637" xr:uid="{83036813-E63C-4F7A-A4B6-7E2DC5F461AB}"/>
    <cellStyle name="Input 2 2 2 5" xfId="1638" xr:uid="{EDD530EC-DA94-4552-87D6-EC7566E00E2A}"/>
    <cellStyle name="Input 2 2 3" xfId="1639" xr:uid="{E2A57B0D-C49E-491C-B58F-41A42A951E86}"/>
    <cellStyle name="Input 2 2 3 2" xfId="1640" xr:uid="{24B68A76-D6D2-468A-95E9-A21B99445383}"/>
    <cellStyle name="Input 2 2 3 2 2" xfId="1641" xr:uid="{10F34F1B-7D9D-4EA5-819D-C26D0EF87E20}"/>
    <cellStyle name="Input 2 2 3 2 2 2" xfId="1642" xr:uid="{CD4BBF06-2393-4048-B8CA-74E184CC9357}"/>
    <cellStyle name="Input 2 2 3 2 2 2 2" xfId="1643" xr:uid="{993A01E3-7FAC-4FC8-9B33-86E15DE40FCC}"/>
    <cellStyle name="Input 2 2 3 2 2 2 3" xfId="1644" xr:uid="{7D241A4D-8373-49A2-93D1-FD9BEC2787BC}"/>
    <cellStyle name="Input 2 2 3 2 2 3" xfId="1645" xr:uid="{2935BC09-B02E-4B0A-9245-8CCCEA71EAB0}"/>
    <cellStyle name="Input 2 2 3 2 2 4" xfId="1646" xr:uid="{FA3F1442-824D-4648-A7E6-DDC52E146558}"/>
    <cellStyle name="Input 2 2 3 2 3" xfId="1647" xr:uid="{C7C93701-96EE-42EC-A330-DE07D16A73F6}"/>
    <cellStyle name="Input 2 2 3 2 4" xfId="1648" xr:uid="{DE50B9FD-3346-4562-9C5D-76FD89C997B7}"/>
    <cellStyle name="Input 2 2 3 3" xfId="1649" xr:uid="{8F87F003-ADAE-4524-BE13-3EF212032007}"/>
    <cellStyle name="Input 2 2 3 4" xfId="1650" xr:uid="{B0C5E8A0-CD9B-401E-B9C1-EF79C3CFD370}"/>
    <cellStyle name="Input 2 2 4" xfId="1651" xr:uid="{AC912F4C-775B-4AE0-8D7C-FD7C67623210}"/>
    <cellStyle name="Input 2 2 4 2" xfId="1652" xr:uid="{8319F7D6-3B6C-49E0-884D-67F25EA795DD}"/>
    <cellStyle name="Input 2 2 4 2 2" xfId="1653" xr:uid="{7C058595-AB22-4E15-8428-FBB487E67110}"/>
    <cellStyle name="Input 2 2 4 2 2 2" xfId="1654" xr:uid="{22A1277B-5E67-4C5B-BC73-418F6F41A14F}"/>
    <cellStyle name="Input 2 2 4 2 2 3" xfId="1655" xr:uid="{8D612EF0-C97A-462A-8B97-7DB5A804D6CF}"/>
    <cellStyle name="Input 2 2 4 2 3" xfId="1656" xr:uid="{6739422B-DB35-460A-98EC-E7C951A2F393}"/>
    <cellStyle name="Input 2 2 4 2 4" xfId="1657" xr:uid="{BE058BBF-4F1F-4D2D-B90B-8F8E4264A365}"/>
    <cellStyle name="Input 2 2 4 3" xfId="1658" xr:uid="{98991217-4F47-43AB-ABA7-FD08B54825A7}"/>
    <cellStyle name="Input 2 2 4 4" xfId="1659" xr:uid="{FDBE4CE6-EE45-4823-BCB3-F228744F952D}"/>
    <cellStyle name="Input 2 2 5" xfId="1660" xr:uid="{A874EC1E-B403-4148-9BC6-6F410990E2A7}"/>
    <cellStyle name="Input 2 2 6" xfId="1661" xr:uid="{6C96DFF3-700A-48B1-A808-76DF05B0CFBF}"/>
    <cellStyle name="Input 2 3" xfId="1662" xr:uid="{7EED3DBF-F981-4679-BB5F-3E3E0BBBD904}"/>
    <cellStyle name="Input 2 3 2" xfId="1663" xr:uid="{E0774825-CCEE-4C57-B05C-F5D65CFD2E23}"/>
    <cellStyle name="Input 2 3 2 2" xfId="1664" xr:uid="{C0FCFAB5-C06F-4B47-8EFA-5D23109194C5}"/>
    <cellStyle name="Input 2 3 2 2 2" xfId="1665" xr:uid="{2650E358-2B99-49C4-B9C7-7265546AC66B}"/>
    <cellStyle name="Input 2 3 2 2 2 2" xfId="1666" xr:uid="{2C458997-D70F-4A59-82F2-6D7E9A835362}"/>
    <cellStyle name="Input 2 3 2 2 2 3" xfId="1667" xr:uid="{8BEA22F9-59CF-4474-8BE9-660DC75AA3A9}"/>
    <cellStyle name="Input 2 3 2 2 3" xfId="1668" xr:uid="{39B63321-4448-44C9-8A96-A4225BDA556B}"/>
    <cellStyle name="Input 2 3 2 2 4" xfId="1669" xr:uid="{8744C30D-6694-4B81-A5A2-D4C8C04B56E7}"/>
    <cellStyle name="Input 2 3 2 3" xfId="1670" xr:uid="{EC57E144-FE9C-4D24-B000-826DC4EAD315}"/>
    <cellStyle name="Input 2 3 2 4" xfId="1671" xr:uid="{371406B2-B127-4D6C-8B0B-0539739D3152}"/>
    <cellStyle name="Input 2 3 3" xfId="1672" xr:uid="{C91153A5-6002-4ED7-BC99-9FEB804BB9DD}"/>
    <cellStyle name="Input 2 3 4" xfId="1673" xr:uid="{B05DD1D1-4968-4F79-8313-ADAB0F485EE3}"/>
    <cellStyle name="Input 2 4" xfId="1674" xr:uid="{B7CDFEF4-9899-487B-B077-B282FA7A7083}"/>
    <cellStyle name="Input 2 4 2" xfId="1675" xr:uid="{4D2EC94B-F6A8-47D1-BCB1-E26A22335E4D}"/>
    <cellStyle name="Input 2 4 2 2" xfId="1676" xr:uid="{2D2FB61B-0AA0-4CE2-AE29-04CBE1173367}"/>
    <cellStyle name="Input 2 4 2 2 2" xfId="1677" xr:uid="{EE844710-3C92-42F9-B8BA-43B18830EDF5}"/>
    <cellStyle name="Input 2 4 2 2 2 2" xfId="1678" xr:uid="{BA7E1967-587B-4340-8B08-F1C5AE85C173}"/>
    <cellStyle name="Input 2 4 2 2 2 3" xfId="1679" xr:uid="{FC620205-C0D7-49E3-B588-6471102BABA1}"/>
    <cellStyle name="Input 2 4 2 2 3" xfId="1680" xr:uid="{4A179390-731E-4572-97DB-3B5F2B833459}"/>
    <cellStyle name="Input 2 4 2 2 4" xfId="1681" xr:uid="{A2564C1D-175B-4347-8DC7-BE56AD29277E}"/>
    <cellStyle name="Input 2 4 2 3" xfId="1682" xr:uid="{E9EC70D6-6237-45FB-9FBF-CEC4DA541FEF}"/>
    <cellStyle name="Input 2 4 2 4" xfId="1683" xr:uid="{72E67943-697C-4A42-A650-8844AC17B45E}"/>
    <cellStyle name="Input 2 4 3" xfId="1684" xr:uid="{8AC1554D-36E8-48F4-8179-47D42FAD7CA3}"/>
    <cellStyle name="Input 2 4 3 2" xfId="1685" xr:uid="{006AEB2C-9AC7-4083-A69D-870F251F73DD}"/>
    <cellStyle name="Input 2 4 3 2 2" xfId="1686" xr:uid="{970D12B6-C5A6-4EBA-8FA8-500282F36494}"/>
    <cellStyle name="Input 2 4 3 2 3" xfId="1687" xr:uid="{76738108-DF12-4815-90D7-5F0A4A52F400}"/>
    <cellStyle name="Input 2 4 3 3" xfId="1688" xr:uid="{59993FC7-DC14-463C-80FA-85F192163F15}"/>
    <cellStyle name="Input 2 4 3 4" xfId="1689" xr:uid="{C2344B35-76F8-4D24-A4EF-95BB1331ED96}"/>
    <cellStyle name="Input 2 4 4" xfId="1690" xr:uid="{4253984A-E19F-4C9C-BFE1-33B6F5A0ABD7}"/>
    <cellStyle name="Input 2 4 5" xfId="1691" xr:uid="{0349CE90-C650-457E-8A0C-DFA4D67BC56E}"/>
    <cellStyle name="Input 2 5" xfId="1692" xr:uid="{9156B7AF-A1E9-458A-8041-25438FBD3B75}"/>
    <cellStyle name="Input 2 5 2" xfId="1693" xr:uid="{28C2152B-D1D3-4470-8383-18534CA663BE}"/>
    <cellStyle name="Input 2 5 2 2" xfId="1694" xr:uid="{8AA53099-2C69-42AE-AC9F-1BCB40D0A4DF}"/>
    <cellStyle name="Input 2 5 2 2 2" xfId="1695" xr:uid="{70183E7E-927E-49FB-8779-6002E6F874E2}"/>
    <cellStyle name="Input 2 5 2 2 3" xfId="1696" xr:uid="{06D534B1-71D6-44E3-B65F-BF074EC102F4}"/>
    <cellStyle name="Input 2 5 2 3" xfId="1697" xr:uid="{BF6BC4DF-95BB-4475-BCDB-981F6CBB946B}"/>
    <cellStyle name="Input 2 5 2 4" xfId="1698" xr:uid="{A9AFB40C-157E-47C8-910D-71A9F2B35D0E}"/>
    <cellStyle name="Input 2 5 3" xfId="1699" xr:uid="{D174D143-AD3A-48B7-9944-C4913FC1A15E}"/>
    <cellStyle name="Input 2 5 4" xfId="1700" xr:uid="{A90F3D68-42F4-4C9B-87C9-E4FDE2367774}"/>
    <cellStyle name="Input 2 6" xfId="1701" xr:uid="{8DE854D2-8107-4277-937C-89453C3873A9}"/>
    <cellStyle name="Input 2 7" xfId="1702" xr:uid="{54E55DD5-3F77-4C00-A8C0-164BDA160DA2}"/>
    <cellStyle name="Input 3" xfId="1703" xr:uid="{33ABD7A2-DEE4-4267-B0B2-845880D5DB0E}"/>
    <cellStyle name="Input 3 2" xfId="1704" xr:uid="{C2BC433B-97A6-4DAE-BC79-2AF776D4DFCE}"/>
    <cellStyle name="Input 3 2 2" xfId="1705" xr:uid="{CC2C3E1B-B82A-41C8-905B-A2B599E4C637}"/>
    <cellStyle name="Input 3 2 2 2" xfId="1706" xr:uid="{626A0646-DB4B-4E58-891F-87732EFEC4E5}"/>
    <cellStyle name="Input 3 2 2 2 2" xfId="1707" xr:uid="{F028246E-172A-4394-A375-F2BC44C26097}"/>
    <cellStyle name="Input 3 2 2 2 2 2" xfId="1708" xr:uid="{0D3F9D6D-A742-402D-98E4-0A753F46574B}"/>
    <cellStyle name="Input 3 2 2 2 2 2 2" xfId="1709" xr:uid="{16E9D94F-FC66-4B65-A60D-1895DAEAB618}"/>
    <cellStyle name="Input 3 2 2 2 2 2 3" xfId="1710" xr:uid="{1B63FD1A-AF10-4086-A369-5BC13BF55DB4}"/>
    <cellStyle name="Input 3 2 2 2 2 3" xfId="1711" xr:uid="{DAFD4D12-BD15-45BF-908B-935BE58DBFB5}"/>
    <cellStyle name="Input 3 2 2 2 2 4" xfId="1712" xr:uid="{4A7319E1-FB4B-4A01-9BC3-82EEBDEFB736}"/>
    <cellStyle name="Input 3 2 2 2 3" xfId="1713" xr:uid="{878A4173-49E1-42AA-9D3F-A30DE407083F}"/>
    <cellStyle name="Input 3 2 2 2 4" xfId="1714" xr:uid="{F6984463-B4A9-4D58-915D-EBF560182B62}"/>
    <cellStyle name="Input 3 2 2 3" xfId="1715" xr:uid="{D8A964BE-7778-4149-9C59-15C382B5B15F}"/>
    <cellStyle name="Input 3 2 2 4" xfId="1716" xr:uid="{4FFC764C-BFF1-4BBD-A5D5-3F9A0C3F015D}"/>
    <cellStyle name="Input 3 2 3" xfId="1717" xr:uid="{F94B695B-5264-4FE2-B06C-70BF373CB2AF}"/>
    <cellStyle name="Input 3 2 3 2" xfId="1718" xr:uid="{8388E5EC-4C2F-4D57-9069-1503B5677E61}"/>
    <cellStyle name="Input 3 2 3 2 2" xfId="1719" xr:uid="{B2D38305-2E2F-485F-A144-72E972B2496F}"/>
    <cellStyle name="Input 3 2 3 2 2 2" xfId="1720" xr:uid="{9B5AD2BB-4000-414D-B4A8-B41DD194BE7C}"/>
    <cellStyle name="Input 3 2 3 2 2 3" xfId="1721" xr:uid="{F8F1C216-DFA0-46CB-B070-56E0552ECDAE}"/>
    <cellStyle name="Input 3 2 3 2 3" xfId="1722" xr:uid="{4AE773D7-FEEF-4A0B-B945-422D3E1D0701}"/>
    <cellStyle name="Input 3 2 3 2 4" xfId="1723" xr:uid="{99CBB6B6-B4E2-4E75-B6EB-74E68ED77F98}"/>
    <cellStyle name="Input 3 2 3 3" xfId="1724" xr:uid="{C3CDE74F-0DC9-48F8-B13B-F81C52CED02A}"/>
    <cellStyle name="Input 3 2 3 4" xfId="1725" xr:uid="{B01D81D7-6B5C-43D5-A4AF-BD4783EBB371}"/>
    <cellStyle name="Input 3 2 4" xfId="1726" xr:uid="{A14E83B6-88E8-4263-A440-75573D40EDB4}"/>
    <cellStyle name="Input 3 2 5" xfId="1727" xr:uid="{298E06C1-CB9F-4FCC-A1E9-704AC1740C88}"/>
    <cellStyle name="Input 3 3" xfId="1728" xr:uid="{D7B2FDED-C629-4CBB-9A18-58911E6726F9}"/>
    <cellStyle name="Input 3 3 2" xfId="1729" xr:uid="{6B05B296-836D-4FD8-A5E8-7AA430ED2A4D}"/>
    <cellStyle name="Input 3 3 2 2" xfId="1730" xr:uid="{A62D5D60-1F28-49D8-A529-391065EE4986}"/>
    <cellStyle name="Input 3 3 2 2 2" xfId="1731" xr:uid="{74D9FAF7-690B-44FA-8D58-A75032775C35}"/>
    <cellStyle name="Input 3 3 2 2 2 2" xfId="1732" xr:uid="{9C82049A-4608-4CCB-9D15-C994F4C3BB2D}"/>
    <cellStyle name="Input 3 3 2 2 2 3" xfId="1733" xr:uid="{E0070C27-0A16-4B8A-84F6-18B4095759C5}"/>
    <cellStyle name="Input 3 3 2 2 3" xfId="1734" xr:uid="{5484B54C-02EA-4C38-8B29-C0C418908F4E}"/>
    <cellStyle name="Input 3 3 2 2 4" xfId="1735" xr:uid="{BD67A278-EC16-4B58-B1B4-CB6AD77C54B9}"/>
    <cellStyle name="Input 3 3 2 3" xfId="1736" xr:uid="{4DE40837-F360-40E7-9496-BBEB8AF0C5DF}"/>
    <cellStyle name="Input 3 3 2 4" xfId="1737" xr:uid="{A1E6C73F-5FAC-4DD9-9C9E-A6B8C99490A4}"/>
    <cellStyle name="Input 3 3 3" xfId="1738" xr:uid="{47D62C31-3F97-4252-ACF6-F75E37C58A87}"/>
    <cellStyle name="Input 3 3 4" xfId="1739" xr:uid="{DE5F8BDE-7A07-48BF-8280-BA6589459603}"/>
    <cellStyle name="Input 3 4" xfId="1740" xr:uid="{B79B74F5-09C6-4E2D-911D-61441FD6DAC9}"/>
    <cellStyle name="Input 3 4 2" xfId="1741" xr:uid="{2E3EECD8-5B7E-4682-97DE-C9D323140B4C}"/>
    <cellStyle name="Input 3 4 2 2" xfId="1742" xr:uid="{E64B5294-1D6C-46C4-A3BE-7EACB750868D}"/>
    <cellStyle name="Input 3 4 2 2 2" xfId="1743" xr:uid="{B0F051E7-783B-47E6-B1A8-56EA4230258D}"/>
    <cellStyle name="Input 3 4 2 2 3" xfId="1744" xr:uid="{5484E803-3EC5-4FC4-ADBA-BC228C775A2D}"/>
    <cellStyle name="Input 3 4 2 3" xfId="1745" xr:uid="{DC3A20C8-4B9C-48A2-92EE-A2D1A42823AB}"/>
    <cellStyle name="Input 3 4 2 4" xfId="1746" xr:uid="{5D137B75-6B86-4F3B-AC89-B33E883F543D}"/>
    <cellStyle name="Input 3 4 3" xfId="1747" xr:uid="{1EBE0DBF-E9C3-4BC0-8434-2ECF06DA00AC}"/>
    <cellStyle name="Input 3 4 4" xfId="1748" xr:uid="{CC8B30E9-8E91-43E0-90F2-3C0ED8B89751}"/>
    <cellStyle name="Input 3 5" xfId="1749" xr:uid="{D23C590D-BEAB-46A3-861E-BD86156022A9}"/>
    <cellStyle name="Input 3 6" xfId="1750" xr:uid="{C77C8C7C-3FC7-4DCF-801E-295FAB09A207}"/>
    <cellStyle name="Input 4" xfId="1751" xr:uid="{5A84D7B2-CFF1-45B4-B49B-746DC171836C}"/>
    <cellStyle name="Input 4 2" xfId="1752" xr:uid="{B492B902-BAD7-43B2-9868-B80DFA82EA3A}"/>
    <cellStyle name="Input 4 2 2" xfId="1753" xr:uid="{2011E86C-7966-46F2-B03B-46B9038B82E0}"/>
    <cellStyle name="Input 4 2 2 2" xfId="1754" xr:uid="{9968B879-147D-4387-9662-A3C0AC153700}"/>
    <cellStyle name="Input 4 2 2 2 2" xfId="1755" xr:uid="{38B1EA4E-4EC9-4EF8-AB40-FADBCF9172EA}"/>
    <cellStyle name="Input 4 2 2 2 3" xfId="1756" xr:uid="{781D4357-604D-4BF4-A819-7C8C3029FCD0}"/>
    <cellStyle name="Input 4 2 2 3" xfId="1757" xr:uid="{2FD744B8-48D9-478E-AE90-F894FA35E01A}"/>
    <cellStyle name="Input 4 2 2 4" xfId="1758" xr:uid="{6A6E03BA-024D-450E-ACC4-FB0A1AEB7BF4}"/>
    <cellStyle name="Input 4 2 3" xfId="1759" xr:uid="{2EBB431E-CFFF-4C3C-AD3C-7CB93F3FB0A6}"/>
    <cellStyle name="Input 4 2 4" xfId="1760" xr:uid="{DA0B5A24-B667-4039-AEBE-7448838E77F4}"/>
    <cellStyle name="Input 4 3" xfId="1761" xr:uid="{94A1BCA6-0F71-4FDC-A3CF-AD5E3D4B7247}"/>
    <cellStyle name="Input 4 4" xfId="1762" xr:uid="{C54924AD-39B0-437C-BC14-15EED55E3864}"/>
    <cellStyle name="Input 5" xfId="1763" xr:uid="{3D9760A5-52C8-4E94-9FF5-B2F0EBA71A7F}"/>
    <cellStyle name="Input 5 2" xfId="1764" xr:uid="{5315753B-5D1D-4DC2-B24B-3BB0372C2BDC}"/>
    <cellStyle name="Input 5 2 2" xfId="1765" xr:uid="{099E362E-380D-4A56-A92F-634C4A42C2EF}"/>
    <cellStyle name="Input 5 2 2 2" xfId="1766" xr:uid="{7540BB19-6C1D-48EE-B793-332301928EF8}"/>
    <cellStyle name="Input 5 2 2 2 2" xfId="1767" xr:uid="{5E4CD799-2967-40ED-A571-BBF31F09FC29}"/>
    <cellStyle name="Input 5 2 2 2 3" xfId="1768" xr:uid="{7D166E56-5993-4457-AD33-D271E2AE26BD}"/>
    <cellStyle name="Input 5 2 2 3" xfId="1769" xr:uid="{68AF49B4-6C77-4D5F-B972-AC3F89CC2617}"/>
    <cellStyle name="Input 5 2 2 4" xfId="1770" xr:uid="{4B6D586A-ACB2-45EC-B23B-97E15DED885A}"/>
    <cellStyle name="Input 5 2 3" xfId="1771" xr:uid="{86CCB9AF-7066-458F-A7BC-4D1185172F7E}"/>
    <cellStyle name="Input 5 2 4" xfId="1772" xr:uid="{3F55D2B1-95E5-44F5-984D-E2DFCEA38C69}"/>
    <cellStyle name="Input 5 3" xfId="1773" xr:uid="{FE83959F-612E-47EF-A0C0-DF7BBD28DC97}"/>
    <cellStyle name="Input 5 3 2" xfId="1774" xr:uid="{D73FF56D-F271-4B10-869E-26AA0F028D20}"/>
    <cellStyle name="Input 5 3 2 2" xfId="1775" xr:uid="{B63C5C8A-E579-4C45-8EF0-952DE6682132}"/>
    <cellStyle name="Input 5 3 2 3" xfId="1776" xr:uid="{E2468DE5-AEE0-4DC0-BA80-A812CA17679B}"/>
    <cellStyle name="Input 5 3 3" xfId="1777" xr:uid="{D0BCE4A8-CBB9-4DED-A9D1-74B51F2CBA91}"/>
    <cellStyle name="Input 5 3 4" xfId="1778" xr:uid="{6F18C676-68FB-45AD-B338-4AB48A9C537E}"/>
    <cellStyle name="Input 5 4" xfId="1779" xr:uid="{6A9080B4-774F-429D-8E67-CE696E7BCE9E}"/>
    <cellStyle name="Input 5 5" xfId="1780" xr:uid="{252E88DF-588F-4257-84DB-FDC3F30CD20F}"/>
    <cellStyle name="Input 6" xfId="1781" xr:uid="{937827AE-7DBC-4ECF-94B6-79FE1EC35B87}"/>
    <cellStyle name="Input 6 2" xfId="1782" xr:uid="{827E534B-AC2E-4C8B-A898-25D76E520884}"/>
    <cellStyle name="Input 6 2 2" xfId="1783" xr:uid="{493651AA-2B48-4CB7-ABD0-AD118FCEDF31}"/>
    <cellStyle name="Input 6 2 2 2" xfId="1784" xr:uid="{50C4218C-6DAC-4894-95AF-3EEF31A08B7C}"/>
    <cellStyle name="Input 6 2 2 3" xfId="1785" xr:uid="{10E749CC-AD7E-4AE9-8D23-00C1F72AEC64}"/>
    <cellStyle name="Input 6 2 3" xfId="1786" xr:uid="{90E2F9F0-C39F-4800-9C19-A151C6024047}"/>
    <cellStyle name="Input 6 2 4" xfId="1787" xr:uid="{E60BAF14-3A69-4433-8F23-4BB32923AD82}"/>
    <cellStyle name="Input 6 3" xfId="1788" xr:uid="{3F2120EA-AFCC-4226-BC63-A85E38B7E7F4}"/>
    <cellStyle name="Input 6 4" xfId="1789" xr:uid="{FEDF96A1-7F39-419D-ABF1-7DCF752D1139}"/>
    <cellStyle name="Input 7" xfId="1790" xr:uid="{490B38D8-2692-4091-A24A-8A2DFABD30B0}"/>
    <cellStyle name="Input 7 2" xfId="1791" xr:uid="{6AD1C15C-15C7-4392-B710-0F54DAA55E6B}"/>
    <cellStyle name="Input 7 2 2" xfId="1792" xr:uid="{13D17AEC-3953-451B-A9F4-E106ECC708F9}"/>
    <cellStyle name="Input 7 2 3" xfId="1793" xr:uid="{96E70672-0608-48C0-9DAF-6C6EED5D69C1}"/>
    <cellStyle name="Input 7 3" xfId="1794" xr:uid="{58EF6AD9-96E0-4DAF-B88C-AEF42D65CC34}"/>
    <cellStyle name="Input 7 4" xfId="1795" xr:uid="{768FE8B9-6EFF-4755-BF80-353C013C1DB5}"/>
    <cellStyle name="Input 8" xfId="1796" xr:uid="{5C748EBF-B773-4475-AB1A-227B3C649DA3}"/>
    <cellStyle name="Input 8 2" xfId="1797" xr:uid="{4748F981-DFB0-439B-80B2-A57C5C940749}"/>
    <cellStyle name="Input 8 3" xfId="1798" xr:uid="{003042D6-F130-4C32-9DAC-3372FEDCD7B7}"/>
    <cellStyle name="Input 9" xfId="1799" xr:uid="{5447CABD-0B7B-4C4D-B380-020FE232D370}"/>
    <cellStyle name="Input 9 2" xfId="1800" xr:uid="{42535E0E-EC0E-48E6-B9B1-06FBB98A52B9}"/>
    <cellStyle name="Linked Cell 2" xfId="1802" xr:uid="{633BBEF6-F6B3-46D8-942B-A69AAE773B66}"/>
    <cellStyle name="Linked Cell 2 2" xfId="1803" xr:uid="{246DECBA-44F5-46C6-BD8D-78DA08E0DE0C}"/>
    <cellStyle name="Linked Cell 3" xfId="1804" xr:uid="{B1E71BC5-54F3-4528-AB56-B4E2CB0E2E55}"/>
    <cellStyle name="Linked Cell 3 2" xfId="1805" xr:uid="{CF602B49-0016-453B-897B-DEB315EEEF55}"/>
    <cellStyle name="Linked Cell 4" xfId="1801" xr:uid="{B9220E02-0B7F-4F58-9E74-24018311DAE7}"/>
    <cellStyle name="Neutral 2" xfId="1807" xr:uid="{7ED6A279-E7C3-4E7B-9870-BA792A23DA2B}"/>
    <cellStyle name="Neutral 2 2" xfId="1808" xr:uid="{6BC676E4-F96C-4E0F-BDD4-841DA02CA908}"/>
    <cellStyle name="Neutral 3" xfId="1809" xr:uid="{99DCBE9B-8844-44F3-B5BB-753723679AA4}"/>
    <cellStyle name="Neutral 3 2" xfId="1810" xr:uid="{781C0CA4-49B9-46EA-A3B3-9D5A3BA04987}"/>
    <cellStyle name="Neutral 4" xfId="1806" xr:uid="{94113A9C-28E1-4147-BF5E-228126EDDBFA}"/>
    <cellStyle name="Normal" xfId="0" builtinId="0"/>
    <cellStyle name="Normal 2" xfId="3" xr:uid="{4A2D8A2D-CE6A-4D61-8DC2-1F9BCA6B30F8}"/>
    <cellStyle name="Normal 2 2" xfId="6561" xr:uid="{ADBB42BE-C929-46A7-89A6-BB21A8BBEE5B}"/>
    <cellStyle name="Normal 2 2 2" xfId="6569" xr:uid="{7C711BBF-B016-4955-BD08-4D3235DBEA67}"/>
    <cellStyle name="Normal 3" xfId="4" xr:uid="{E300B9EF-9445-4687-BC86-6A3F932AC1FC}"/>
    <cellStyle name="Normal 39" xfId="6556" xr:uid="{375902A6-5C86-4B83-84B1-4FF38B013917}"/>
    <cellStyle name="Normal 4" xfId="8" xr:uid="{29AD161C-3C84-49D1-BBC6-5E1344EEFB70}"/>
    <cellStyle name="Normal 4 2 2 2 4 2 2 2 2" xfId="6567" xr:uid="{21A5292A-0223-475C-9F77-2FD260EDD53D}"/>
    <cellStyle name="Normal 4 2 2 7 2 2 2 2" xfId="6564" xr:uid="{9681987C-710F-49E8-A2A5-EBF97D455E2B}"/>
    <cellStyle name="Normal 5" xfId="6558" xr:uid="{06E27868-D8EC-4199-8FD9-2A2ED27A5062}"/>
    <cellStyle name="Normal 5 2" xfId="6566" xr:uid="{48FB3626-5F7F-48E8-8380-A9785835EB57}"/>
    <cellStyle name="Normal 6" xfId="6565" xr:uid="{0CCB5CD0-AD9A-4603-8AAF-2EDB33E9C497}"/>
    <cellStyle name="Normal 79" xfId="6560" xr:uid="{7D796342-05D8-4233-8B48-9C224B600417}"/>
    <cellStyle name="Normal 9" xfId="13" xr:uid="{C934C6D6-176D-4CA5-BC33-9FF503BAD1B2}"/>
    <cellStyle name="Note 10" xfId="1812" xr:uid="{B0797835-4FFB-46EC-AA78-E557BCF83D29}"/>
    <cellStyle name="Note 11" xfId="1811" xr:uid="{670A156B-8954-4134-A5E8-981F46CA7AD2}"/>
    <cellStyle name="Note 2" xfId="1813" xr:uid="{331CAAD2-5266-4BB8-99A7-3C74B5E359EC}"/>
    <cellStyle name="Note 2 2" xfId="1814" xr:uid="{A4A3375D-D2C7-4E68-80C5-4387F48689B2}"/>
    <cellStyle name="Note 2 2 2" xfId="1815" xr:uid="{63931ADB-20D3-45F7-A0E1-9E21B9A7A286}"/>
    <cellStyle name="Note 2 2 2 2" xfId="1816" xr:uid="{189AEDBF-EE5D-4B40-9DA9-88643C1BA814}"/>
    <cellStyle name="Note 2 2 2 3" xfId="1817" xr:uid="{08AD414B-83FE-431E-9C26-3179CDFCC05E}"/>
    <cellStyle name="Note 2 2 3" xfId="1818" xr:uid="{BDF29AA9-F52D-476A-9C12-09054100AB3A}"/>
    <cellStyle name="Note 2 3" xfId="1819" xr:uid="{92D869E4-5B78-44B8-8772-2D9E5DBAC68E}"/>
    <cellStyle name="Note 2 3 2" xfId="1820" xr:uid="{93962215-4A91-4D8D-8922-14F5FDF5044D}"/>
    <cellStyle name="Note 2 3 2 2" xfId="1821" xr:uid="{ADD2C4F8-FADE-4082-A090-91734DC3B4C0}"/>
    <cellStyle name="Note 2 3 2 2 2" xfId="1822" xr:uid="{D9B597F3-3E44-4725-B481-321A0D06DF7B}"/>
    <cellStyle name="Note 2 3 2 2 3" xfId="1823" xr:uid="{E6E91A67-463E-44D6-8BD2-8DDBBE5A4085}"/>
    <cellStyle name="Note 2 3 2 3" xfId="1824" xr:uid="{7B95B836-DC30-4BD1-A5EC-27B45FC7A979}"/>
    <cellStyle name="Note 2 3 3" xfId="1825" xr:uid="{FDE6A6E2-4936-4DFD-8E33-A10FDA6D18BD}"/>
    <cellStyle name="Note 2 4" xfId="1826" xr:uid="{244A8051-D916-4C29-A619-607A34585127}"/>
    <cellStyle name="Note 3" xfId="1827" xr:uid="{7D069B4E-A6A8-47ED-93A7-8139A48A9937}"/>
    <cellStyle name="Note 3 2" xfId="1828" xr:uid="{AC4FA286-4126-4153-BF38-355F046ED9A4}"/>
    <cellStyle name="Note 3 2 2" xfId="1829" xr:uid="{F181CBDE-F35F-4304-B3E4-CDCAB6F1E28E}"/>
    <cellStyle name="Note 3 2 2 2" xfId="1830" xr:uid="{BE9D55D0-C593-48AF-95B9-79896B69F825}"/>
    <cellStyle name="Note 3 2 2 3" xfId="1831" xr:uid="{4548DED3-A611-4808-B214-4C7DDDD26CAC}"/>
    <cellStyle name="Note 3 2 3" xfId="1832" xr:uid="{6125A09B-14BF-4E93-A622-43696E0B0471}"/>
    <cellStyle name="Note 3 3" xfId="1833" xr:uid="{7D9CA7FE-E8AB-449D-AEA6-7D751F78E574}"/>
    <cellStyle name="Note 3 3 2" xfId="1834" xr:uid="{D52FD218-A610-4A98-8E09-D24173F12E0B}"/>
    <cellStyle name="Note 3 3 2 2" xfId="1835" xr:uid="{D153D3FC-A27F-47AF-93AA-7E805F19CFB2}"/>
    <cellStyle name="Note 3 3 2 2 2" xfId="1836" xr:uid="{F785A766-6F76-4E78-8775-3D5EF871E5CA}"/>
    <cellStyle name="Note 3 3 2 2 3" xfId="1837" xr:uid="{E76B873A-C680-47A9-B0F2-67A479432FFC}"/>
    <cellStyle name="Note 3 3 2 3" xfId="1838" xr:uid="{D10CE95D-D252-4AEF-9DF7-103F325B87FB}"/>
    <cellStyle name="Note 3 3 3" xfId="1839" xr:uid="{040D2FD8-D144-4B4F-A035-8DF891EDFFCB}"/>
    <cellStyle name="Note 3 4" xfId="1840" xr:uid="{5C7F3343-FCF0-4E00-B978-3226792D7404}"/>
    <cellStyle name="Note 4" xfId="1841" xr:uid="{CE552216-82A2-405E-9A53-5D5892BA43BF}"/>
    <cellStyle name="Note 4 2" xfId="1842" xr:uid="{9A23BF68-9217-4D5D-9C78-4D0A7FCEE641}"/>
    <cellStyle name="Note 4 2 2" xfId="1843" xr:uid="{B96F8737-853A-4172-A76D-9ADB0CBE1BE3}"/>
    <cellStyle name="Note 4 2 3" xfId="1844" xr:uid="{49F21072-75B3-46C2-A05C-C4BC84BDAD00}"/>
    <cellStyle name="Note 4 3" xfId="1845" xr:uid="{B954A82D-5631-47EC-9E55-5ABA19969A26}"/>
    <cellStyle name="Note 5" xfId="1846" xr:uid="{83431869-EA32-4F55-85E3-872E55EA6FB8}"/>
    <cellStyle name="Note 5 2" xfId="1847" xr:uid="{8EA2C942-DDC8-4A2C-86C7-BBC130E73899}"/>
    <cellStyle name="Note 5 2 2" xfId="1848" xr:uid="{971E7CDC-8E18-4FC3-BEBF-D70C5A7D0DE2}"/>
    <cellStyle name="Note 5 2 2 2" xfId="1849" xr:uid="{2F99D478-8D70-4B6F-8369-568CDC91F5EE}"/>
    <cellStyle name="Note 5 2 2 3" xfId="1850" xr:uid="{7E31EA93-EEE7-439F-88E0-6E08BD4ACFB0}"/>
    <cellStyle name="Note 5 2 3" xfId="1851" xr:uid="{3CEBD561-71E8-47CA-996A-FF8D8CA5F7DC}"/>
    <cellStyle name="Note 5 3" xfId="1852" xr:uid="{398B5CA1-F0B7-4CD7-A2D1-0D6CE5BF33FC}"/>
    <cellStyle name="Note 6" xfId="1853" xr:uid="{A7C7B509-0CFA-436A-BDBC-D12CCCB05168}"/>
    <cellStyle name="Note 6 2" xfId="1854" xr:uid="{4B462701-A5BC-478A-A907-C98BE7B5126A}"/>
    <cellStyle name="Note 6 2 2" xfId="1855" xr:uid="{97E762D7-955D-4E9D-AB2B-AFB85E620440}"/>
    <cellStyle name="Note 6 2 3" xfId="1856" xr:uid="{3DBD04BD-EF9A-41C6-AB83-EC941E05BCC2}"/>
    <cellStyle name="Note 6 3" xfId="1857" xr:uid="{E3B60134-29E1-4F0E-8890-EBE4E1E5751F}"/>
    <cellStyle name="Note 7" xfId="1858" xr:uid="{F7CEB1E6-E828-40B6-B332-696473A5F1D8}"/>
    <cellStyle name="Note 7 2" xfId="1859" xr:uid="{7EA7C7BF-CCE5-40A8-B097-07C47920B2B0}"/>
    <cellStyle name="Note 7 3" xfId="1860" xr:uid="{416E3724-1C4E-447F-A120-421AF148F2BF}"/>
    <cellStyle name="Note 8" xfId="1861" xr:uid="{58F88D6D-0E4C-4775-8D66-28BABFEAF654}"/>
    <cellStyle name="Note 8 2" xfId="1862" xr:uid="{A294257C-A89F-4246-BF06-34DC1ED1E20F}"/>
    <cellStyle name="Note 8 3" xfId="1863" xr:uid="{69C928CE-4F10-4520-87DB-DF45DFE7D815}"/>
    <cellStyle name="Note 9" xfId="1864" xr:uid="{68DF63CE-3821-4BE7-99BA-24744DE3AA10}"/>
    <cellStyle name="Output 10" xfId="1866" xr:uid="{F20321ED-3E2B-41AA-8490-5F81CF17D365}"/>
    <cellStyle name="Output 11" xfId="1867" xr:uid="{F4D3C017-78AB-42E4-8C94-8C7D9DF9A14A}"/>
    <cellStyle name="Output 12" xfId="1865" xr:uid="{BCC55537-6664-4937-A859-0E47933F9973}"/>
    <cellStyle name="Output 2" xfId="1868" xr:uid="{9704FF17-98CC-4796-B168-236B48E9BA56}"/>
    <cellStyle name="Output 2 2" xfId="1869" xr:uid="{FF99BE23-A777-4CDF-83EF-CFDD2F678FA2}"/>
    <cellStyle name="Output 2 2 2" xfId="1870" xr:uid="{A47FE359-AFE6-4048-9968-711972D742FD}"/>
    <cellStyle name="Output 2 2 2 2" xfId="1871" xr:uid="{5EB01794-EA32-438D-82C0-FDFA3CF33CF1}"/>
    <cellStyle name="Output 2 2 2 2 2" xfId="1872" xr:uid="{06FA401F-5F52-47CA-B593-A5B8F1213802}"/>
    <cellStyle name="Output 2 2 2 2 2 2" xfId="1873" xr:uid="{CA3E3C8A-27D5-4AFF-8D4D-CC3C551AA121}"/>
    <cellStyle name="Output 2 2 2 2 2 3" xfId="1874" xr:uid="{821AB1FF-38AF-4487-A497-F6E8E876722E}"/>
    <cellStyle name="Output 2 2 2 2 3" xfId="1875" xr:uid="{D1E17745-8012-4F01-AA76-3BAE985FCA4A}"/>
    <cellStyle name="Output 2 2 2 2 4" xfId="1876" xr:uid="{C08CBECF-CEB5-4CF9-9F1C-F6A948DC91BC}"/>
    <cellStyle name="Output 2 2 2 3" xfId="1877" xr:uid="{86276539-319F-4AD0-9B4D-5233617F5B8C}"/>
    <cellStyle name="Output 2 2 2 3 2" xfId="1878" xr:uid="{CFC596D6-7916-4FE4-91F6-A4C23C687071}"/>
    <cellStyle name="Output 2 2 2 3 3" xfId="1879" xr:uid="{3FC406C1-93C1-4839-A15A-93D1AF9E7840}"/>
    <cellStyle name="Output 2 2 2 4" xfId="1880" xr:uid="{6EB92E61-59E3-453A-A879-8A256C75AC89}"/>
    <cellStyle name="Output 2 2 2 5" xfId="1881" xr:uid="{6956498F-7CFE-4E79-BB52-D04E5878C8FF}"/>
    <cellStyle name="Output 2 2 3" xfId="1882" xr:uid="{2C837164-A5E5-4B9F-B14F-870D1A3A9C7F}"/>
    <cellStyle name="Output 2 2 3 2" xfId="1883" xr:uid="{54B2DEE6-12CF-4857-A9B0-02DA271B2AA4}"/>
    <cellStyle name="Output 2 2 3 2 2" xfId="1884" xr:uid="{0F56F391-BE95-4F90-8EAD-1E8827647FAC}"/>
    <cellStyle name="Output 2 2 3 2 3" xfId="1885" xr:uid="{5FFDCE22-FBD5-484A-99EA-F2C241C96C24}"/>
    <cellStyle name="Output 2 2 3 3" xfId="1886" xr:uid="{CF1F4C50-F0ED-4715-9607-288BB07C6CB6}"/>
    <cellStyle name="Output 2 2 3 4" xfId="1887" xr:uid="{81ECFA28-7D49-45A6-8CC1-CE8EDD81369D}"/>
    <cellStyle name="Output 2 2 4" xfId="1888" xr:uid="{0C0C15A6-35E1-4D40-A490-0E9E03F00AA0}"/>
    <cellStyle name="Output 2 2 4 2" xfId="1889" xr:uid="{8D753690-92ED-46BC-A53E-8AFED609BCF1}"/>
    <cellStyle name="Output 2 2 4 3" xfId="1890" xr:uid="{92837901-D6B7-4DBF-AEE0-E22C23583264}"/>
    <cellStyle name="Output 2 2 5" xfId="1891" xr:uid="{22A7DAE0-799C-40A6-A243-07B98712BD66}"/>
    <cellStyle name="Output 2 2 6" xfId="1892" xr:uid="{44FF8B10-79FF-43A0-AD8A-338B2D0F83BD}"/>
    <cellStyle name="Output 2 3" xfId="1893" xr:uid="{1FEC53BA-77E1-4E74-A4B6-B969FCE10553}"/>
    <cellStyle name="Output 2 3 2" xfId="1894" xr:uid="{3FD27982-8030-4D9C-8463-A4B55A77890F}"/>
    <cellStyle name="Output 2 3 2 2" xfId="1895" xr:uid="{7109612B-92E5-4C5B-8BF9-147EF07E2B95}"/>
    <cellStyle name="Output 2 3 2 3" xfId="1896" xr:uid="{9F2FB283-DA7B-4576-80DF-C6774E30D45F}"/>
    <cellStyle name="Output 2 3 3" xfId="1897" xr:uid="{05673F01-D822-4137-97B5-37A6FD253C7C}"/>
    <cellStyle name="Output 2 3 4" xfId="1898" xr:uid="{2003C9B3-CE0E-4C6B-B69D-6638E743A0A8}"/>
    <cellStyle name="Output 2 4" xfId="1899" xr:uid="{112AF9B2-A8F4-475F-A2D2-33213E3FBDC9}"/>
    <cellStyle name="Output 2 4 2" xfId="1900" xr:uid="{6089400B-F073-4EE8-8458-A9B72099B76A}"/>
    <cellStyle name="Output 2 4 2 2" xfId="1901" xr:uid="{C6639065-AB04-4379-9C6B-9F09C6FEC072}"/>
    <cellStyle name="Output 2 4 2 3" xfId="1902" xr:uid="{DB7C5727-6CB3-4046-9E28-0B16C2D8D303}"/>
    <cellStyle name="Output 2 4 3" xfId="1903" xr:uid="{A3D488CA-F7FC-4AD6-BF12-F7551CE9B567}"/>
    <cellStyle name="Output 2 4 4" xfId="1904" xr:uid="{FBAA384A-5D87-4A02-8E0B-36EB5DD8B5C6}"/>
    <cellStyle name="Output 2 5" xfId="1905" xr:uid="{5B533CF8-27AF-49BC-B87D-7E6ED108176F}"/>
    <cellStyle name="Output 2 5 2" xfId="1906" xr:uid="{D0831BB0-FBA7-4C0A-9770-5458B63FE612}"/>
    <cellStyle name="Output 2 5 3" xfId="1907" xr:uid="{79E7D07C-52BA-4CF1-BB1B-2E3FAB11E637}"/>
    <cellStyle name="Output 2 6" xfId="1908" xr:uid="{4E3CEC2A-F426-457B-A0F2-5FC1EAFA49EB}"/>
    <cellStyle name="Output 2 7" xfId="1909" xr:uid="{52B0BD4B-0A3A-4C55-8DCA-0DF452178732}"/>
    <cellStyle name="Output 3" xfId="1910" xr:uid="{3BF2F183-0752-4595-88C5-0B29AF25EC05}"/>
    <cellStyle name="Output 3 2" xfId="1911" xr:uid="{3EE02262-D071-43C3-9152-A367CCD99159}"/>
    <cellStyle name="Output 3 2 2" xfId="1912" xr:uid="{58EC3D5A-FE6A-4572-B70D-B24FCCB36761}"/>
    <cellStyle name="Output 3 2 2 2" xfId="1913" xr:uid="{E3C61E9A-C47D-4664-9082-418B2A32F34B}"/>
    <cellStyle name="Output 3 2 2 2 2" xfId="1914" xr:uid="{BB0CEC00-3C9A-4DC3-A923-D5D15B51E975}"/>
    <cellStyle name="Output 3 2 2 2 3" xfId="1915" xr:uid="{8CF46018-4A5D-4B79-9D81-D8052AE67FA2}"/>
    <cellStyle name="Output 3 2 2 3" xfId="1916" xr:uid="{ED839A5C-5D88-4F46-8F3B-0258D68783E2}"/>
    <cellStyle name="Output 3 2 2 4" xfId="1917" xr:uid="{A5F64FE0-9F90-4C74-9FAF-259D9BD4D6E4}"/>
    <cellStyle name="Output 3 2 3" xfId="1918" xr:uid="{01EF5CEA-82A6-42E3-A852-6490FB459035}"/>
    <cellStyle name="Output 3 2 3 2" xfId="1919" xr:uid="{651DFC1F-4617-4BB6-93F7-6AE69013CCCF}"/>
    <cellStyle name="Output 3 2 3 3" xfId="1920" xr:uid="{43FC1A61-AD13-4297-81A7-84D76A8595CD}"/>
    <cellStyle name="Output 3 2 4" xfId="1921" xr:uid="{19DB0059-F146-49AA-9F01-6B9001B7258B}"/>
    <cellStyle name="Output 3 2 5" xfId="1922" xr:uid="{6C857598-491C-445F-9EF6-95278AE11DD4}"/>
    <cellStyle name="Output 3 3" xfId="1923" xr:uid="{16A1F321-F0A1-4DF7-B948-66C9B7BA6837}"/>
    <cellStyle name="Output 3 3 2" xfId="1924" xr:uid="{EAA80986-D7C0-48E3-932E-DED8CC16F4C9}"/>
    <cellStyle name="Output 3 3 2 2" xfId="1925" xr:uid="{00F15EA9-DB49-4784-87E8-05673D344F45}"/>
    <cellStyle name="Output 3 3 2 3" xfId="1926" xr:uid="{2B0FD36F-C67F-4B63-BEE3-96DAA622BAD2}"/>
    <cellStyle name="Output 3 3 3" xfId="1927" xr:uid="{00D63871-FA04-472F-B9FC-30A672EC9757}"/>
    <cellStyle name="Output 3 3 4" xfId="1928" xr:uid="{4635992E-A187-4E20-A0DC-3FA7C34C4261}"/>
    <cellStyle name="Output 3 4" xfId="1929" xr:uid="{C2A978FB-5B12-4DCB-B7FA-DA0C1768360B}"/>
    <cellStyle name="Output 3 4 2" xfId="1930" xr:uid="{95D24B9D-38D3-4866-9032-6252982BEF60}"/>
    <cellStyle name="Output 3 4 3" xfId="1931" xr:uid="{07A38757-1632-48AF-B32E-C43F04DFA7B2}"/>
    <cellStyle name="Output 3 5" xfId="1932" xr:uid="{962E7E57-B329-440F-9112-8340B7368831}"/>
    <cellStyle name="Output 3 6" xfId="1933" xr:uid="{1FF439F5-D889-49AF-9DD7-A64E8E46654C}"/>
    <cellStyle name="Output 4" xfId="1934" xr:uid="{322B2809-88B2-40D7-BFDE-D79B8B0225FC}"/>
    <cellStyle name="Output 4 2" xfId="1935" xr:uid="{A1917102-9BCE-42D9-843E-7DD8697D1EDE}"/>
    <cellStyle name="Output 4 2 2" xfId="1936" xr:uid="{D87F22CC-1FC8-4E77-A356-D2C4BC0A412F}"/>
    <cellStyle name="Output 4 2 3" xfId="1937" xr:uid="{138D3EFD-4DE5-4A8F-9CA3-F7CD1DD21130}"/>
    <cellStyle name="Output 4 3" xfId="1938" xr:uid="{BAF4EAB7-0955-4199-9931-BEE1F173DE58}"/>
    <cellStyle name="Output 4 4" xfId="1939" xr:uid="{9F0A4BC4-94D3-40FB-93E6-2645E2B50430}"/>
    <cellStyle name="Output 5" xfId="1940" xr:uid="{E47D3A80-091D-4847-9954-2511DC2EF2DC}"/>
    <cellStyle name="Output 5 2" xfId="1941" xr:uid="{11E640F3-76D6-45BB-AF5F-110D487B9CF6}"/>
    <cellStyle name="Output 5 2 2" xfId="1942" xr:uid="{FD38FA82-C88B-4127-B0E9-57964645530F}"/>
    <cellStyle name="Output 5 2 3" xfId="1943" xr:uid="{84F5CC6B-2826-4C59-9047-3EA9DC74FF5A}"/>
    <cellStyle name="Output 5 3" xfId="1944" xr:uid="{03637FDB-ED19-4D9B-9D94-FFD12209CFF5}"/>
    <cellStyle name="Output 5 4" xfId="1945" xr:uid="{7B2FA84C-F77B-440D-9755-E8DFF93A1F9F}"/>
    <cellStyle name="Output 6" xfId="1946" xr:uid="{136A4C28-A142-4463-AC2D-09804B350B8C}"/>
    <cellStyle name="Output 6 2" xfId="1947" xr:uid="{E784FD1C-AF6E-4C1C-9CA1-44B9D6C03D67}"/>
    <cellStyle name="Output 6 3" xfId="1948" xr:uid="{09BF3EA5-E6F7-4A55-A85E-01AD18B73217}"/>
    <cellStyle name="Output 7" xfId="1949" xr:uid="{F81802C2-0A06-405C-A066-770A12E5D191}"/>
    <cellStyle name="Output 7 2" xfId="1950" xr:uid="{799E5C2A-E48D-4F34-A7AC-8B010994D989}"/>
    <cellStyle name="Output 7 3" xfId="1951" xr:uid="{6EA7B6B2-EF60-49D0-B9C1-5997AB3E6E40}"/>
    <cellStyle name="Output 8" xfId="1952" xr:uid="{A39D97A1-61AB-4B86-9F93-D005BADDAA7A}"/>
    <cellStyle name="Output 8 2" xfId="1953" xr:uid="{95057D32-8642-429E-AE01-18C053E2D579}"/>
    <cellStyle name="Output 8 3" xfId="1954" xr:uid="{7BE18AEB-88A5-42A8-BE4C-80C652E0C163}"/>
    <cellStyle name="Output 9" xfId="1955" xr:uid="{614A3D25-68DA-4691-943D-E9FE01CDB2A3}"/>
    <cellStyle name="Output 9 2" xfId="1956" xr:uid="{FF20138E-DE7E-41AF-9D86-0AE4B86685DF}"/>
    <cellStyle name="Percent" xfId="2" builtinId="5"/>
    <cellStyle name="Percent 2" xfId="6" xr:uid="{5139750D-3526-4F7B-9514-ABA414957180}"/>
    <cellStyle name="Title 2" xfId="1958" xr:uid="{CB27D4A7-11E4-48F2-A15A-266964B73B85}"/>
    <cellStyle name="Title 2 2" xfId="1959" xr:uid="{3A85DB2C-020E-4C98-A1E0-E004579BFFB0}"/>
    <cellStyle name="Title 3" xfId="1960" xr:uid="{A257E2BB-8A3B-4855-81A7-591D5270FCA6}"/>
    <cellStyle name="Title 3 2" xfId="1961" xr:uid="{2F6BD5EA-74A1-4C82-A573-7ADD92E4CAFF}"/>
    <cellStyle name="Title 4" xfId="1957" xr:uid="{495126D7-2550-43C6-9520-41ACF29341E6}"/>
    <cellStyle name="Total 10" xfId="1963" xr:uid="{6B3B9782-10A6-409F-BE09-281A89A32107}"/>
    <cellStyle name="Total 11" xfId="1964" xr:uid="{5C1A5EF3-21CD-498A-9784-F80579CFD903}"/>
    <cellStyle name="Total 12" xfId="1962" xr:uid="{652C6982-63A2-414B-915C-6B7EEB802791}"/>
    <cellStyle name="Total 2" xfId="1965" xr:uid="{9F31971F-7751-4D38-8B64-933E4B1E6787}"/>
    <cellStyle name="Total 2 2" xfId="1966" xr:uid="{45F374A3-E595-4672-9D21-3CC96F3CA053}"/>
    <cellStyle name="Total 2 2 2" xfId="1967" xr:uid="{3F361350-BD4A-4CA2-BDCA-A7B80FA18084}"/>
    <cellStyle name="Total 2 2 2 2" xfId="1968" xr:uid="{33BDC652-71E6-4900-AA83-61E720B0E311}"/>
    <cellStyle name="Total 2 2 2 2 2" xfId="1969" xr:uid="{B58D35D1-5F3E-480A-BC5C-8EAD33F04B06}"/>
    <cellStyle name="Total 2 2 2 2 2 2" xfId="1970" xr:uid="{8C52621E-E5C0-409C-884A-1D389263A6C8}"/>
    <cellStyle name="Total 2 2 2 2 2 2 2" xfId="1971" xr:uid="{21125480-F2C3-48A6-BCAC-A8A24459F980}"/>
    <cellStyle name="Total 2 2 2 2 2 2 2 2" xfId="1972" xr:uid="{F4BA529E-426B-4271-959B-5251CAEE1A0A}"/>
    <cellStyle name="Total 2 2 2 2 2 2 2 3" xfId="1973" xr:uid="{156925B4-9F19-4803-B7D4-BC610C1FB46C}"/>
    <cellStyle name="Total 2 2 2 2 2 2 3" xfId="1974" xr:uid="{AF7FE97E-F7A7-4F66-A65B-7218C3627BF3}"/>
    <cellStyle name="Total 2 2 2 2 2 2 4" xfId="1975" xr:uid="{31F60213-BAE6-4785-9483-48B3AB8737A9}"/>
    <cellStyle name="Total 2 2 2 2 2 3" xfId="1976" xr:uid="{5B66908F-C97C-41CF-ADC6-9D5B2162E313}"/>
    <cellStyle name="Total 2 2 2 2 2 4" xfId="1977" xr:uid="{98BC42A8-3DC9-411E-BA4A-C7229C871B44}"/>
    <cellStyle name="Total 2 2 2 2 3" xfId="1978" xr:uid="{4B3638BD-45F9-4CB6-A7A7-A8DA3A6CFBB9}"/>
    <cellStyle name="Total 2 2 2 2 4" xfId="1979" xr:uid="{E1C0306A-6F82-40F0-9B16-5B93FFA3CDD5}"/>
    <cellStyle name="Total 2 2 2 3" xfId="1980" xr:uid="{D5149901-E458-4236-9668-B4E8A52EB7E5}"/>
    <cellStyle name="Total 2 2 2 3 2" xfId="1981" xr:uid="{5813609A-4D29-4BF7-A8BA-C3525F3E97A3}"/>
    <cellStyle name="Total 2 2 2 3 2 2" xfId="1982" xr:uid="{47B1F784-5D29-4824-B30A-C59EAB6FBFA6}"/>
    <cellStyle name="Total 2 2 2 3 2 2 2" xfId="1983" xr:uid="{3A56A8CD-76FE-4435-9B81-011E8D1B395B}"/>
    <cellStyle name="Total 2 2 2 3 2 2 3" xfId="1984" xr:uid="{3C2EA3F0-DCBC-434F-BDF7-600EE0B5299E}"/>
    <cellStyle name="Total 2 2 2 3 2 3" xfId="1985" xr:uid="{7847419C-D6DC-4506-ABE4-352FB1473CC8}"/>
    <cellStyle name="Total 2 2 2 3 2 4" xfId="1986" xr:uid="{64AAB55F-E7E4-493C-95B0-36B705E5D2F8}"/>
    <cellStyle name="Total 2 2 2 3 3" xfId="1987" xr:uid="{1D8FC952-9637-48D0-B31B-9A75DBE88D8A}"/>
    <cellStyle name="Total 2 2 2 3 4" xfId="1988" xr:uid="{A4272CCE-BAA2-4477-BA9A-0BCBD30EBBED}"/>
    <cellStyle name="Total 2 2 2 4" xfId="1989" xr:uid="{FC266614-1755-4ACE-9CA1-62088E4927FC}"/>
    <cellStyle name="Total 2 2 2 5" xfId="1990" xr:uid="{624664AC-3850-49B7-9D16-7C8D78AACA3F}"/>
    <cellStyle name="Total 2 2 3" xfId="1991" xr:uid="{8190C275-8C40-4843-8260-3111549E4931}"/>
    <cellStyle name="Total 2 2 3 2" xfId="1992" xr:uid="{857B0951-5520-4428-A3F1-BBD3F90A67F2}"/>
    <cellStyle name="Total 2 2 3 2 2" xfId="1993" xr:uid="{3BED3103-5090-4D39-8AF4-8BDD6659EB27}"/>
    <cellStyle name="Total 2 2 3 2 2 2" xfId="1994" xr:uid="{67920117-0902-4568-85B8-D20C6581AFDA}"/>
    <cellStyle name="Total 2 2 3 2 2 2 2" xfId="1995" xr:uid="{DFDCA79C-BAA0-4A3F-A669-89262B9AD17C}"/>
    <cellStyle name="Total 2 2 3 2 2 2 3" xfId="1996" xr:uid="{45AA211D-EC9C-4809-887B-72586E382E24}"/>
    <cellStyle name="Total 2 2 3 2 2 3" xfId="1997" xr:uid="{C27A3925-C596-47FF-B68D-1C5E3CB21445}"/>
    <cellStyle name="Total 2 2 3 2 2 4" xfId="1998" xr:uid="{2CE7B09F-0DD3-4341-A4EF-2136D92F56F3}"/>
    <cellStyle name="Total 2 2 3 2 3" xfId="1999" xr:uid="{FD08C142-542E-454D-A49E-2107D04721AD}"/>
    <cellStyle name="Total 2 2 3 2 4" xfId="2000" xr:uid="{BC839108-E0E8-4C13-8950-E57DACD80613}"/>
    <cellStyle name="Total 2 2 3 3" xfId="2001" xr:uid="{1E555B82-735E-4620-BE4E-ED3556E9A75C}"/>
    <cellStyle name="Total 2 2 3 4" xfId="2002" xr:uid="{C8D54896-7C94-45CB-9E8C-998556749031}"/>
    <cellStyle name="Total 2 2 4" xfId="2003" xr:uid="{61DE9966-673C-4A17-812F-F7663F01DDDA}"/>
    <cellStyle name="Total 2 2 4 2" xfId="2004" xr:uid="{B9564DFB-743F-4470-8356-1508B62C9D8E}"/>
    <cellStyle name="Total 2 2 4 2 2" xfId="2005" xr:uid="{EDCA8852-26FA-4D25-B84C-8EA7882294AB}"/>
    <cellStyle name="Total 2 2 4 2 2 2" xfId="2006" xr:uid="{A7391EC2-AC67-4DE8-84DF-ABCA99EA5B42}"/>
    <cellStyle name="Total 2 2 4 2 2 3" xfId="2007" xr:uid="{E35BEB10-2D16-4D1A-9E9A-F830D84BD6A7}"/>
    <cellStyle name="Total 2 2 4 2 3" xfId="2008" xr:uid="{0247618B-E180-4992-9B82-AFF404FB2337}"/>
    <cellStyle name="Total 2 2 4 2 4" xfId="2009" xr:uid="{5520D8C3-4052-48C3-9DF3-C47DEF896BBE}"/>
    <cellStyle name="Total 2 2 4 3" xfId="2010" xr:uid="{2343BD35-59B1-49F8-B55A-9905B0B7CAC4}"/>
    <cellStyle name="Total 2 2 4 4" xfId="2011" xr:uid="{7C3C3B78-9FC1-4668-98A8-6707D3882C46}"/>
    <cellStyle name="Total 2 2 5" xfId="2012" xr:uid="{8C56AEAC-59FB-4CDA-83CF-7D5AEE000B45}"/>
    <cellStyle name="Total 2 2 6" xfId="2013" xr:uid="{6FF0D36A-9AE8-48B9-9F40-B1691534D84F}"/>
    <cellStyle name="Total 2 3" xfId="2014" xr:uid="{B2734955-FBFE-42FE-874A-9010A65835A8}"/>
    <cellStyle name="Total 2 3 2" xfId="2015" xr:uid="{F09CD4D6-F281-458E-B84B-C6FD6FD381E4}"/>
    <cellStyle name="Total 2 3 2 2" xfId="2016" xr:uid="{EF84F94B-6F8A-4155-8ABC-CE809D9158EF}"/>
    <cellStyle name="Total 2 3 2 2 2" xfId="2017" xr:uid="{6E48264F-23D3-4E2B-B100-360A72832185}"/>
    <cellStyle name="Total 2 3 2 2 2 2" xfId="2018" xr:uid="{16EE2E23-4899-475D-ABC8-237A69274231}"/>
    <cellStyle name="Total 2 3 2 2 2 3" xfId="2019" xr:uid="{DA110C5A-8BC0-4B8F-BC43-7FAAA4F2289D}"/>
    <cellStyle name="Total 2 3 2 2 3" xfId="2020" xr:uid="{F9534985-1E07-4D16-BFDA-9913BA89F343}"/>
    <cellStyle name="Total 2 3 2 2 4" xfId="2021" xr:uid="{971A58F1-1AE9-46B6-9255-41E060FA453E}"/>
    <cellStyle name="Total 2 3 2 3" xfId="2022" xr:uid="{5ED1AA3C-A5D6-4782-97B4-15800184DCBF}"/>
    <cellStyle name="Total 2 3 2 4" xfId="2023" xr:uid="{AB2B1A9F-E24A-472D-AA4B-D1D6A127D42D}"/>
    <cellStyle name="Total 2 3 3" xfId="2024" xr:uid="{0A90667B-558B-4D38-9984-F24251674A90}"/>
    <cellStyle name="Total 2 3 4" xfId="2025" xr:uid="{DCA9BBD7-FA7F-4218-AD9F-0CEADD8D8421}"/>
    <cellStyle name="Total 2 4" xfId="2026" xr:uid="{F56B39E6-AD3D-4DBF-9972-7870FED8B35C}"/>
    <cellStyle name="Total 2 4 2" xfId="2027" xr:uid="{0578A5E7-59EE-4834-B06F-62CAF102A477}"/>
    <cellStyle name="Total 2 4 2 2" xfId="2028" xr:uid="{F6FD5DE7-46AF-4965-A885-D22019762D59}"/>
    <cellStyle name="Total 2 4 2 2 2" xfId="2029" xr:uid="{0C29FE71-E72B-4AB5-B15A-6E1F03EFD7E9}"/>
    <cellStyle name="Total 2 4 2 2 2 2" xfId="2030" xr:uid="{8B669110-D8AD-4742-8FBF-F1636B823BE7}"/>
    <cellStyle name="Total 2 4 2 2 2 3" xfId="2031" xr:uid="{6D463F59-19FC-49F1-824A-3193C62B9F2C}"/>
    <cellStyle name="Total 2 4 2 2 3" xfId="2032" xr:uid="{0A2A9726-D8C7-4F22-A808-F922CF138D42}"/>
    <cellStyle name="Total 2 4 2 2 4" xfId="2033" xr:uid="{E3A853A7-3560-4F96-A918-748961E9CA22}"/>
    <cellStyle name="Total 2 4 2 3" xfId="2034" xr:uid="{FEBAD9B0-07D6-4A42-8A3E-6E764B4966C9}"/>
    <cellStyle name="Total 2 4 2 4" xfId="2035" xr:uid="{B9EF67E4-3B04-4709-8562-2B050EC7A404}"/>
    <cellStyle name="Total 2 4 3" xfId="2036" xr:uid="{4CB2F69B-BFCC-45C8-A56F-1DA32AED5660}"/>
    <cellStyle name="Total 2 4 3 2" xfId="2037" xr:uid="{1366A076-270A-4625-BCAE-9230D38EFA06}"/>
    <cellStyle name="Total 2 4 3 2 2" xfId="2038" xr:uid="{9483CB2F-E214-4C1A-B510-DE9DC9A500BC}"/>
    <cellStyle name="Total 2 4 3 2 3" xfId="2039" xr:uid="{0382C2D6-C136-4A33-A9CA-0A06E23CA497}"/>
    <cellStyle name="Total 2 4 3 3" xfId="2040" xr:uid="{1BFADA63-FB5B-467C-A6B6-DB0873E286C5}"/>
    <cellStyle name="Total 2 4 3 4" xfId="2041" xr:uid="{D355C6BC-91C5-450F-9EFC-4156028F57A8}"/>
    <cellStyle name="Total 2 4 4" xfId="2042" xr:uid="{D1B1399B-EFD1-4D46-BE2A-FF9986B59E24}"/>
    <cellStyle name="Total 2 4 5" xfId="2043" xr:uid="{5A7658C3-9AAA-4AC0-B32B-842E5A706D59}"/>
    <cellStyle name="Total 2 5" xfId="2044" xr:uid="{019A5D21-538D-44D6-A8FC-22A42650963E}"/>
    <cellStyle name="Total 2 5 2" xfId="2045" xr:uid="{2969A761-8296-456E-A80C-3177A9FFD4FF}"/>
    <cellStyle name="Total 2 5 2 2" xfId="2046" xr:uid="{975BCF0F-7269-44C5-9FA7-E8162F9EF9C5}"/>
    <cellStyle name="Total 2 5 2 2 2" xfId="2047" xr:uid="{3969C96A-39BC-4F81-861C-01B0C8420973}"/>
    <cellStyle name="Total 2 5 2 2 3" xfId="2048" xr:uid="{981B5C1D-66FE-4F63-9710-5441D10D8205}"/>
    <cellStyle name="Total 2 5 2 3" xfId="2049" xr:uid="{77B24C11-BC8D-4E26-ACF7-42DA9CCF68E5}"/>
    <cellStyle name="Total 2 5 2 4" xfId="2050" xr:uid="{F2F567D2-A5D0-4443-9080-FB2182CAC06C}"/>
    <cellStyle name="Total 2 5 3" xfId="2051" xr:uid="{80F7E8A2-DEA8-4A88-A6A6-D7B3EA838ADC}"/>
    <cellStyle name="Total 2 5 4" xfId="2052" xr:uid="{D64A29A8-A467-4473-8035-9572B576875F}"/>
    <cellStyle name="Total 2 6" xfId="2053" xr:uid="{03EB5DD9-F794-44F9-93F7-DEF94EC9F322}"/>
    <cellStyle name="Total 2 7" xfId="2054" xr:uid="{FA7009DB-A163-4957-95A1-4E51E3F1C551}"/>
    <cellStyle name="Total 3" xfId="2055" xr:uid="{5B1FC24D-2E7E-454C-9C11-05FBC4DAA877}"/>
    <cellStyle name="Total 3 2" xfId="2056" xr:uid="{61A24C34-B608-4EB8-84EF-690AA24D3B61}"/>
    <cellStyle name="Total 3 2 2" xfId="2057" xr:uid="{61552775-C024-4C04-9CA7-F8C68C88572F}"/>
    <cellStyle name="Total 3 2 2 2" xfId="2058" xr:uid="{22D35624-FC89-4AEC-A5A5-9697AC598586}"/>
    <cellStyle name="Total 3 2 2 2 2" xfId="2059" xr:uid="{16DB0AE6-6E9B-4311-9317-322EFF5DE60B}"/>
    <cellStyle name="Total 3 2 2 2 2 2" xfId="2060" xr:uid="{EAC4EC3F-9733-4F35-AEC1-3A030A91277D}"/>
    <cellStyle name="Total 3 2 2 2 2 2 2" xfId="2061" xr:uid="{559F7F2B-AD22-43DE-835C-B15945B51E14}"/>
    <cellStyle name="Total 3 2 2 2 2 2 3" xfId="2062" xr:uid="{2B97C351-9573-4A99-9D34-CEE3F865CC92}"/>
    <cellStyle name="Total 3 2 2 2 2 3" xfId="2063" xr:uid="{69179015-2776-4695-AEC3-892E6C79AEE4}"/>
    <cellStyle name="Total 3 2 2 2 2 4" xfId="2064" xr:uid="{FF58440C-F938-4F8D-850A-AFA320D7DCD3}"/>
    <cellStyle name="Total 3 2 2 2 3" xfId="2065" xr:uid="{37B223FB-409D-4326-8575-F198B2339A02}"/>
    <cellStyle name="Total 3 2 2 2 4" xfId="2066" xr:uid="{AA717B7E-1B3C-4E7E-B546-AD0830534846}"/>
    <cellStyle name="Total 3 2 2 3" xfId="2067" xr:uid="{6A2E85EF-AC51-43FF-89B0-F41750263F40}"/>
    <cellStyle name="Total 3 2 2 4" xfId="2068" xr:uid="{B01A501C-3738-4AB7-9A1C-E2CDBECDA58A}"/>
    <cellStyle name="Total 3 2 3" xfId="2069" xr:uid="{D5B95A20-FF66-4A8F-9C0A-15E77323921F}"/>
    <cellStyle name="Total 3 2 3 2" xfId="2070" xr:uid="{2AE70C91-75A3-48CF-B9C0-DF0CB1B65D54}"/>
    <cellStyle name="Total 3 2 3 2 2" xfId="2071" xr:uid="{6C11246C-4FF8-4253-A281-88598218AEAE}"/>
    <cellStyle name="Total 3 2 3 2 2 2" xfId="2072" xr:uid="{9CE82110-D770-46EF-A5C2-D9B927ABD649}"/>
    <cellStyle name="Total 3 2 3 2 2 3" xfId="2073" xr:uid="{5ED3E094-2B46-4C41-A55E-FBD5DE9481B6}"/>
    <cellStyle name="Total 3 2 3 2 3" xfId="2074" xr:uid="{413687EA-5537-4A44-B40B-AB203AF3D8DB}"/>
    <cellStyle name="Total 3 2 3 2 4" xfId="2075" xr:uid="{C4740978-1854-4C27-BA93-BC7B2BA5386F}"/>
    <cellStyle name="Total 3 2 3 3" xfId="2076" xr:uid="{468CD51F-1D22-4B18-B096-3EBD8B989D27}"/>
    <cellStyle name="Total 3 2 3 4" xfId="2077" xr:uid="{982A6C7A-A5E7-4C7C-8240-98B75B266691}"/>
    <cellStyle name="Total 3 2 4" xfId="2078" xr:uid="{3369E5E5-130F-4668-A299-EB312B20B8EE}"/>
    <cellStyle name="Total 3 2 5" xfId="2079" xr:uid="{AE77E86C-F092-4F27-9CC0-8BFC1B0C5C0B}"/>
    <cellStyle name="Total 3 3" xfId="2080" xr:uid="{3518A271-8307-49F3-8A79-6183A0B12FE3}"/>
    <cellStyle name="Total 3 3 2" xfId="2081" xr:uid="{E1E9769A-1763-459C-9532-CBCE4F74C81B}"/>
    <cellStyle name="Total 3 3 2 2" xfId="2082" xr:uid="{64BAA3A0-CD5C-4C70-925C-01AEDA520B6D}"/>
    <cellStyle name="Total 3 3 2 2 2" xfId="2083" xr:uid="{37B75C3F-24FC-46B3-AF3A-FEA4288DD5A2}"/>
    <cellStyle name="Total 3 3 2 2 2 2" xfId="2084" xr:uid="{7E87648F-0D78-4A9B-A91B-B7897B88BE6A}"/>
    <cellStyle name="Total 3 3 2 2 2 3" xfId="2085" xr:uid="{65C6341A-DFCA-4E4F-B1C5-6BCC802B4B52}"/>
    <cellStyle name="Total 3 3 2 2 3" xfId="2086" xr:uid="{58592862-54DE-4E73-BD99-7D3C348836BB}"/>
    <cellStyle name="Total 3 3 2 2 4" xfId="2087" xr:uid="{3933E546-1991-40CE-8BD0-CAA61F84CB99}"/>
    <cellStyle name="Total 3 3 2 3" xfId="2088" xr:uid="{88598CE4-8583-4C97-A3B8-49A86EE4386B}"/>
    <cellStyle name="Total 3 3 2 4" xfId="2089" xr:uid="{3F51FF6C-4289-4453-83A3-4A3237B82E72}"/>
    <cellStyle name="Total 3 3 3" xfId="2090" xr:uid="{51F5478F-5C67-4174-82F9-098651F32612}"/>
    <cellStyle name="Total 3 3 4" xfId="2091" xr:uid="{3A8D8F10-F613-48B8-A614-8EF3712E3184}"/>
    <cellStyle name="Total 3 4" xfId="2092" xr:uid="{9C6C846D-7A86-4F60-91A4-45176FD6263D}"/>
    <cellStyle name="Total 3 4 2" xfId="2093" xr:uid="{D45EC6D4-6B17-433B-96EF-044C97807AC1}"/>
    <cellStyle name="Total 3 4 2 2" xfId="2094" xr:uid="{94C4A314-2799-44BC-B91A-CF16505B3F16}"/>
    <cellStyle name="Total 3 4 2 2 2" xfId="2095" xr:uid="{C1BAEE47-652A-411A-9C73-01AC24D233C5}"/>
    <cellStyle name="Total 3 4 2 2 3" xfId="2096" xr:uid="{03693252-9161-4671-A4EB-14AF35691DC2}"/>
    <cellStyle name="Total 3 4 2 3" xfId="2097" xr:uid="{DA82A882-95D0-4E65-A6B9-E65A9FCF0348}"/>
    <cellStyle name="Total 3 4 2 4" xfId="2098" xr:uid="{C2E6BA03-DA7C-40AE-97A0-ECAEEE27EFA3}"/>
    <cellStyle name="Total 3 4 3" xfId="2099" xr:uid="{D70330F4-FBC3-40FD-8488-1F971862F84A}"/>
    <cellStyle name="Total 3 4 4" xfId="2100" xr:uid="{0FA8E342-F153-4D00-99BF-A995D2DFF874}"/>
    <cellStyle name="Total 3 5" xfId="2101" xr:uid="{0D71B8AD-F6C8-470F-A212-782B55C34B90}"/>
    <cellStyle name="Total 3 6" xfId="2102" xr:uid="{5E06C708-6DF0-490B-B32E-8CC99D07D1FE}"/>
    <cellStyle name="Total 4" xfId="2103" xr:uid="{73786E86-64AD-44A6-AAC8-D8ED160F7C8A}"/>
    <cellStyle name="Total 4 2" xfId="2104" xr:uid="{6879457E-6A2F-474A-A3ED-882AF29C6CDD}"/>
    <cellStyle name="Total 4 2 2" xfId="2105" xr:uid="{FD37AE46-BE7A-4DFD-B6F7-39B7AF42A373}"/>
    <cellStyle name="Total 4 2 2 2" xfId="2106" xr:uid="{D13FBF6C-34CF-4ED7-87A2-A78FF8710988}"/>
    <cellStyle name="Total 4 2 2 2 2" xfId="2107" xr:uid="{893AD99E-0685-4FB1-A15B-977DF2179A83}"/>
    <cellStyle name="Total 4 2 2 2 3" xfId="2108" xr:uid="{068903BD-C91A-4DE3-942C-8095BE60A802}"/>
    <cellStyle name="Total 4 2 2 3" xfId="2109" xr:uid="{ABE91476-04BB-4C03-946E-ED43B136A55D}"/>
    <cellStyle name="Total 4 2 2 4" xfId="2110" xr:uid="{5F54C0BE-5AC4-4F0E-AAC4-515064D9C6FA}"/>
    <cellStyle name="Total 4 2 3" xfId="2111" xr:uid="{C8830491-01BC-4403-BA37-11BC1F1D0BE3}"/>
    <cellStyle name="Total 4 2 4" xfId="2112" xr:uid="{EA5F14CB-6963-4CFD-A8E2-F75DBDC69402}"/>
    <cellStyle name="Total 4 3" xfId="2113" xr:uid="{6B884957-F502-4E30-A73E-A6B7D8805FEE}"/>
    <cellStyle name="Total 4 4" xfId="2114" xr:uid="{CB24741D-0FAE-4CAA-93DE-F948DB36F527}"/>
    <cellStyle name="Total 5" xfId="2115" xr:uid="{CBAAC945-6D88-4A1E-ABE4-A6B6326F1EB2}"/>
    <cellStyle name="Total 5 2" xfId="2116" xr:uid="{7C8296B9-9098-4325-B264-69318BC0E98A}"/>
    <cellStyle name="Total 5 2 2" xfId="2117" xr:uid="{4B9465FF-B317-48B1-BCC8-3508EE754A21}"/>
    <cellStyle name="Total 5 2 2 2" xfId="2118" xr:uid="{497D8EF2-487E-4A3C-A002-D4B44D2262E1}"/>
    <cellStyle name="Total 5 2 2 2 2" xfId="2119" xr:uid="{F72D2DD9-A8DB-49FC-A497-E85B7A1FC9A6}"/>
    <cellStyle name="Total 5 2 2 2 3" xfId="2120" xr:uid="{64AFB862-76E2-401D-B290-B3F2DE275BE9}"/>
    <cellStyle name="Total 5 2 2 3" xfId="2121" xr:uid="{911D9E68-5E42-49B6-9231-7416CA421719}"/>
    <cellStyle name="Total 5 2 2 4" xfId="2122" xr:uid="{52C408A8-F610-466C-9620-81AE4C3D9923}"/>
    <cellStyle name="Total 5 2 3" xfId="2123" xr:uid="{0FC6222C-77DF-4DC5-A7A3-BF7A6099EAFC}"/>
    <cellStyle name="Total 5 2 4" xfId="2124" xr:uid="{0137FA3B-A111-44DB-B991-0C2369A97D1B}"/>
    <cellStyle name="Total 5 3" xfId="2125" xr:uid="{EA66B5E7-03E9-4BEB-B355-4A75E9BD389A}"/>
    <cellStyle name="Total 5 3 2" xfId="2126" xr:uid="{2E55913B-52DB-496C-8B42-8F3CF7FB0CE8}"/>
    <cellStyle name="Total 5 3 2 2" xfId="2127" xr:uid="{F961AA31-FC8D-4D2A-BEA8-F24FCAA12B41}"/>
    <cellStyle name="Total 5 3 2 3" xfId="2128" xr:uid="{C731BFBD-4661-4A07-90D0-8D5A9BD0DD2D}"/>
    <cellStyle name="Total 5 3 3" xfId="2129" xr:uid="{6A41EFA4-E164-4E56-94A3-AB3C91C6CB10}"/>
    <cellStyle name="Total 5 3 4" xfId="2130" xr:uid="{10CA0D62-9218-4DFA-BB99-C4612BBCC0B0}"/>
    <cellStyle name="Total 5 4" xfId="2131" xr:uid="{0D900C93-0B6C-4DD0-92F8-0BA8AAD65E14}"/>
    <cellStyle name="Total 5 5" xfId="2132" xr:uid="{19709C89-3CA4-4530-B1BF-439DE31EF2C0}"/>
    <cellStyle name="Total 6" xfId="2133" xr:uid="{7D767A35-9AA1-4D17-9901-02C7A23916CE}"/>
    <cellStyle name="Total 6 2" xfId="2134" xr:uid="{D8F04201-387C-446E-9AAC-27809D7219AC}"/>
    <cellStyle name="Total 6 2 2" xfId="2135" xr:uid="{66A8433B-2069-4488-84F4-9B217D6FB98F}"/>
    <cellStyle name="Total 6 2 2 2" xfId="2136" xr:uid="{9D95A8D7-FBC3-4C55-9577-BF933AF1CAA0}"/>
    <cellStyle name="Total 6 2 2 3" xfId="2137" xr:uid="{3298C773-5FB6-4970-BBFB-B08A3595EDAB}"/>
    <cellStyle name="Total 6 2 3" xfId="2138" xr:uid="{52C35513-D554-4938-85B6-23E586F2E7F2}"/>
    <cellStyle name="Total 6 2 4" xfId="2139" xr:uid="{42D09525-C79C-4B8A-81CB-5D0C65D22B17}"/>
    <cellStyle name="Total 6 3" xfId="2140" xr:uid="{0DCF1895-C9B3-4E7B-A43E-485015030665}"/>
    <cellStyle name="Total 6 4" xfId="2141" xr:uid="{5583C5E3-D96B-4D0B-97DA-A5130F4D8225}"/>
    <cellStyle name="Total 7" xfId="2142" xr:uid="{69ED2663-1175-41A9-88B6-00DFB1CD86AA}"/>
    <cellStyle name="Total 7 2" xfId="2143" xr:uid="{DFFFF428-C93E-4E85-AB59-32781B41A749}"/>
    <cellStyle name="Total 7 2 2" xfId="2144" xr:uid="{123FD1BF-961E-4360-BA38-D9BB8C4823B6}"/>
    <cellStyle name="Total 7 2 3" xfId="2145" xr:uid="{B8599D79-1589-4E67-A174-309AABE44773}"/>
    <cellStyle name="Total 7 3" xfId="2146" xr:uid="{A5C9A176-F707-461B-8F62-AAC783A6F8FC}"/>
    <cellStyle name="Total 7 4" xfId="2147" xr:uid="{28DCD7AC-AF61-4BB2-AF25-F18FA4FA2EE0}"/>
    <cellStyle name="Total 8" xfId="2148" xr:uid="{7DEF12B5-34D7-40D1-B15A-3A6407741748}"/>
    <cellStyle name="Total 8 2" xfId="2149" xr:uid="{734903BF-231D-44C3-BB44-5392ABBDD443}"/>
    <cellStyle name="Total 8 3" xfId="2150" xr:uid="{5C830689-3FAD-426F-A17A-35E71DA2B9CA}"/>
    <cellStyle name="Total 9" xfId="2151" xr:uid="{C038EE07-1AAD-4F9E-A14C-AA745E5C9BC2}"/>
    <cellStyle name="Total 9 2" xfId="2152" xr:uid="{DA2F4827-768C-4E4F-AA51-275E027F2A53}"/>
    <cellStyle name="Warning Text 2" xfId="2154" xr:uid="{4E5E7885-13E3-43C6-AA79-EB429394F0D1}"/>
    <cellStyle name="Warning Text 2 2" xfId="2155" xr:uid="{6478457A-6026-4BD5-BF47-EAA3E0395A62}"/>
    <cellStyle name="Warning Text 3" xfId="2156" xr:uid="{9ED3B365-123A-4499-8233-8CAD7B209DB7}"/>
    <cellStyle name="Warning Text 3 2" xfId="2157" xr:uid="{21104B22-DFA6-4FC3-9614-A3CBC2103CC8}"/>
    <cellStyle name="Warning Text 4" xfId="2153" xr:uid="{05813F9F-6C07-4F5E-805E-91FDFA944B93}"/>
    <cellStyle name="千位分隔 10" xfId="5292" xr:uid="{8957CB1A-2FE4-4757-AC91-7C91323169F4}"/>
    <cellStyle name="千位分隔 11" xfId="5293" xr:uid="{4330C6BC-31E5-483B-B02C-8193FDE852BD}"/>
    <cellStyle name="千位分隔 12" xfId="5294" xr:uid="{8CB59835-E938-4DD5-B36E-56D497352D6C}"/>
    <cellStyle name="千位分隔 13" xfId="5295" xr:uid="{55F52FDE-2A6F-43AA-A288-609CD4B16A0C}"/>
    <cellStyle name="千位分隔 14" xfId="5296" xr:uid="{CBDBF9CD-F45B-4F42-B351-C56A0C2B2FB1}"/>
    <cellStyle name="千位分隔 15" xfId="5297" xr:uid="{7AA5C545-47FD-41BC-9558-A3641A186BCB}"/>
    <cellStyle name="千位分隔 16" xfId="5298" xr:uid="{56C52EBD-E83A-4C25-A22D-D0BFE9734967}"/>
    <cellStyle name="千位分隔 17" xfId="5299" xr:uid="{4797FD7E-DE5A-4E91-912D-A889445E952C}"/>
    <cellStyle name="千位分隔 18" xfId="5300" xr:uid="{C22DFB6B-BB5C-4EB9-A178-837B18F0D88C}"/>
    <cellStyle name="千位分隔 19" xfId="7" xr:uid="{A19D43BE-0C9F-4AFC-A366-8332402E11CC}"/>
    <cellStyle name="千位分隔 19 2" xfId="11" xr:uid="{7B6CFDEA-D5C1-48D6-983D-8BDA2B17D470}"/>
    <cellStyle name="千位分隔 2" xfId="5301" xr:uid="{C5730995-5CE4-40D4-BAE2-759AA3294CBA}"/>
    <cellStyle name="千位分隔 2 2" xfId="5302" xr:uid="{E4A89AEC-8336-4870-8E9E-F1C3C58625AB}"/>
    <cellStyle name="千位分隔 2_CCG fin plan (090525) (2)" xfId="5303" xr:uid="{534664B8-B29A-47A0-A8E3-0A5AC3DC9A57}"/>
    <cellStyle name="千位分隔 3" xfId="5304" xr:uid="{D2A3E138-E656-4FAE-949C-83BF307BFF48}"/>
    <cellStyle name="千位分隔 3 2" xfId="5305" xr:uid="{939D6D9B-B537-4007-998B-AC5D79F670FE}"/>
    <cellStyle name="千位分隔 3 2 2" xfId="5306" xr:uid="{0BB2A269-2505-46D6-A274-AA11E064B4F0}"/>
    <cellStyle name="千位分隔 3 2 3" xfId="5307" xr:uid="{FCAC5BD3-AF37-4940-B9D4-66614CD2F19C}"/>
    <cellStyle name="千位分隔 3 2 3 2" xfId="5308" xr:uid="{6BE13F36-51A4-4583-B5B5-B7033BBA0E33}"/>
    <cellStyle name="千位分隔 3 2 4" xfId="5309" xr:uid="{4C73C9D7-D22F-4869-846E-2971B553B35A}"/>
    <cellStyle name="千位分隔 3 2 5" xfId="5310" xr:uid="{6A47541E-6560-4231-8E02-843B38F0C1B2}"/>
    <cellStyle name="千位分隔 3 2 6" xfId="5311" xr:uid="{B3ED8889-7ABF-461E-A140-77B0C0901694}"/>
    <cellStyle name="千位分隔 3 2 7" xfId="5312" xr:uid="{9B3F1AA6-B9A9-4794-8719-C497D2E92031}"/>
    <cellStyle name="千位分隔 3 2 7 2" xfId="5313" xr:uid="{D326B691-F3EB-411B-A06E-BFD123AE4E58}"/>
    <cellStyle name="千位分隔 3 2 8" xfId="5314" xr:uid="{8FAD56B8-4EC9-4F21-989D-810DC91DA383}"/>
    <cellStyle name="千位分隔 3 3" xfId="5315" xr:uid="{F968F4B8-2153-4CB6-BCD8-72A274A97A53}"/>
    <cellStyle name="千位分隔 3 4" xfId="5316" xr:uid="{1F823020-57B8-4502-BB02-6894F48C6884}"/>
    <cellStyle name="千位分隔 3 4 2" xfId="5317" xr:uid="{605C0F08-10B9-4B0B-803E-0F3871A8153C}"/>
    <cellStyle name="千位分隔 3 5" xfId="5318" xr:uid="{4F660BEA-CB27-4315-9CEE-E732AA50F879}"/>
    <cellStyle name="千位分隔 3 6" xfId="5319" xr:uid="{0C2B1ADD-8708-45F7-82EF-4127E57E5EB1}"/>
    <cellStyle name="千位分隔 3 7" xfId="5320" xr:uid="{171868B5-6543-4032-856D-E7A21C5349A6}"/>
    <cellStyle name="千位分隔 3 8" xfId="5321" xr:uid="{FC41F272-1EE4-4426-818F-E9F13C6302E5}"/>
    <cellStyle name="千位分隔 3 8 2" xfId="5322" xr:uid="{5EC4865E-4F24-4BC2-8291-55AC9849D446}"/>
    <cellStyle name="千位分隔 3 9" xfId="5323" xr:uid="{00C5DEFF-EC33-4D99-9F77-DBD480467BB4}"/>
    <cellStyle name="千位分隔 4" xfId="5324" xr:uid="{C0A28C57-E5D1-4A21-A37F-229204B601B5}"/>
    <cellStyle name="千位分隔 4 2" xfId="5325" xr:uid="{22287C99-1F88-4154-9C2A-2ABD1D531ADE}"/>
    <cellStyle name="千位分隔 4 3" xfId="5326" xr:uid="{6C2FDFAF-B94A-442D-9CEE-50F7184AC36B}"/>
    <cellStyle name="千位分隔 4 4" xfId="5327" xr:uid="{39047457-2449-4C10-A12A-D7F0D3FF1F82}"/>
    <cellStyle name="千位分隔 4 5" xfId="5328" xr:uid="{46C7F0D2-6149-4BAA-8AAD-BCA4AE527279}"/>
    <cellStyle name="千位分隔 4 6" xfId="5329" xr:uid="{477503F5-2FCB-4FB3-A80D-EBE3BAB953E3}"/>
    <cellStyle name="千位分隔 4 7" xfId="5330" xr:uid="{EE1F7643-A92A-4865-A8FD-F62DEBC19C86}"/>
    <cellStyle name="千位分隔 4 7 2" xfId="5331" xr:uid="{3A1A5D59-7E34-4F77-9CD4-02F3347C710D}"/>
    <cellStyle name="千位分隔 4 7 2 2" xfId="5332" xr:uid="{7D4F25C1-4115-4A14-B761-2E3B19FAD8AE}"/>
    <cellStyle name="千位分隔 4 7 3" xfId="5333" xr:uid="{20C82396-6AB2-4576-888E-C17B7728FA46}"/>
    <cellStyle name="千位分隔 4 7 3 2" xfId="5334" xr:uid="{E85F57AD-4923-4100-B44F-3D07405F0615}"/>
    <cellStyle name="千位分隔 4 7 4" xfId="5335" xr:uid="{1ACB369D-B54F-4F25-B595-8B6F04779F76}"/>
    <cellStyle name="千位分隔 4 7 4 2" xfId="5336" xr:uid="{BAA9D0BE-1010-4FCA-8962-8F658FC7A597}"/>
    <cellStyle name="千位分隔 4 7 5" xfId="5337" xr:uid="{DFDF6E4D-494E-4CB0-86D4-6719AC7A09CD}"/>
    <cellStyle name="千位分隔 4 7 5 2" xfId="5338" xr:uid="{950BB4F6-86AE-41D3-9A8A-4E540DE14F63}"/>
    <cellStyle name="千位分隔 4 7 6" xfId="5339" xr:uid="{2892CDC0-BFAE-4424-BEC1-633EBC6C322F}"/>
    <cellStyle name="千位分隔 4 7 7" xfId="5340" xr:uid="{BDB70A88-796F-4792-AC0D-F6A45E3AB738}"/>
    <cellStyle name="千位分隔 4 7 8" xfId="5341" xr:uid="{C3401416-AF89-4D32-B35F-1A68DCF4F66D}"/>
    <cellStyle name="千位分隔 4 8" xfId="5342" xr:uid="{29089A2B-AC11-4E20-B1F1-BD39E765FA29}"/>
    <cellStyle name="千位分隔 5" xfId="5343" xr:uid="{BCDD3576-8F79-4A83-8750-2F26293990AB}"/>
    <cellStyle name="千位分隔 5 2" xfId="5344" xr:uid="{25A0899A-7776-4243-B221-EC971AEC7213}"/>
    <cellStyle name="千位分隔 5 2 2" xfId="5345" xr:uid="{AF4449D6-9D87-45C0-8928-8B566EFB27DA}"/>
    <cellStyle name="千位分隔 5 3" xfId="5346" xr:uid="{F8F045ED-53BC-4219-8159-6324AC604962}"/>
    <cellStyle name="千位分隔 5 3 2" xfId="5347" xr:uid="{AE75FA49-C6AD-42DD-8404-0E9D3505B707}"/>
    <cellStyle name="千位分隔 5 4" xfId="5348" xr:uid="{ED1565CE-879F-4C5E-AE4D-48D8AD01682F}"/>
    <cellStyle name="千位分隔 5 4 2" xfId="5349" xr:uid="{0E1D4AAD-AE21-44F8-8DE2-553B82BD053C}"/>
    <cellStyle name="千位分隔 5 5" xfId="5350" xr:uid="{9FCA4603-C94D-4BCB-BD94-D4E278CE740F}"/>
    <cellStyle name="千位分隔 5 5 2" xfId="5351" xr:uid="{95DF1B8C-4187-43CD-9EF5-DDC185407C17}"/>
    <cellStyle name="千位分隔 5 6" xfId="5352" xr:uid="{216466C3-605E-44DB-8621-322AAAAC6432}"/>
    <cellStyle name="千位分隔 5 7" xfId="5353" xr:uid="{BEEC9443-9816-41AF-85AF-3C2332827AAB}"/>
    <cellStyle name="千位分隔 5 8" xfId="5354" xr:uid="{2466F154-AAE4-4D1E-98BD-CD91AD83ED5D}"/>
    <cellStyle name="千位分隔 6" xfId="5355" xr:uid="{8FDCA9F4-FADE-434A-A4B3-486F8A4E455B}"/>
    <cellStyle name="千位分隔 7" xfId="5356" xr:uid="{380ADB35-96D0-4A74-8880-D2680A69EC1F}"/>
    <cellStyle name="千位分隔 8" xfId="5357" xr:uid="{9314B802-7E3E-4EA7-A9A4-53E7C7D82BF4}"/>
    <cellStyle name="千位分隔 9" xfId="5358" xr:uid="{CD3412D5-96DE-4DA6-ABEA-707B05254E25}"/>
    <cellStyle name="千位分隔[0] 2" xfId="5359" xr:uid="{5C8814E3-8D8B-4DF2-9FE9-22D7EC3A4EAA}"/>
    <cellStyle name="千位分隔[0] 2 2" xfId="5360" xr:uid="{62FC7924-412E-4D7F-995A-65D8CD0E589D}"/>
    <cellStyle name="千位分隔[0] 2 2 2" xfId="5361" xr:uid="{9A19064B-D43A-4D56-B699-2D74D34CADA2}"/>
    <cellStyle name="千位分隔[0] 2 3" xfId="5362" xr:uid="{0D313443-7C4D-4C54-92D5-2E0FFB535E85}"/>
    <cellStyle name="千位分隔[0] 2 3 2" xfId="5363" xr:uid="{1901FCED-6715-47DC-89C2-B6AB62B6982E}"/>
    <cellStyle name="千位分隔[0] 3" xfId="5364" xr:uid="{86E4E28C-3DB7-4F9C-84E1-F03ADD65B0D9}"/>
    <cellStyle name="千位分隔[0] 3 2" xfId="5365" xr:uid="{7463C486-29F2-48E9-B0CF-4537EA51A572}"/>
    <cellStyle name="千位分隔[0] 3 2 2" xfId="5366" xr:uid="{F8BB7136-D831-4C92-8797-DEA9694C0B7B}"/>
    <cellStyle name="千位分隔[0] 3 3" xfId="5367" xr:uid="{D9AEE93C-6062-4C74-9706-FC398E4EA0CF}"/>
    <cellStyle name="千位分隔[0] 3 3 2" xfId="5368" xr:uid="{506261A1-14AE-4453-B94B-569592CB6FFB}"/>
    <cellStyle name="千位分隔[0] 4" xfId="5369" xr:uid="{DA9FAE0B-0B43-44F7-A897-F1B68946C5A8}"/>
    <cellStyle name="千位分隔[0] 4 2" xfId="5370" xr:uid="{211A88CC-0B4D-48D5-B5AE-9F6E7BDB8E2F}"/>
    <cellStyle name="千位分隔[0] 4 2 2" xfId="5371" xr:uid="{754B9F15-3AE8-41B8-92BB-F7FE87BEF75B}"/>
    <cellStyle name="千位分隔[0] 4 3" xfId="5372" xr:uid="{29EF19BA-6634-4CE6-8CB3-C838D677C41D}"/>
    <cellStyle name="千位分隔[0] 4 3 2" xfId="5373" xr:uid="{1A717D18-616A-4742-8C71-39BFFE0733DE}"/>
    <cellStyle name="好_CCG fin plan May09" xfId="5174" xr:uid="{E57D7DB5-46D7-4C81-B75B-29E117A09221}"/>
    <cellStyle name="好_CCG fin plan May09 2" xfId="5175" xr:uid="{9B102FB4-932F-45F6-9478-FEE493DF5C72}"/>
    <cellStyle name="好_CCG fin plan May09 2 2" xfId="5176" xr:uid="{02709AD3-67D0-40A0-AF64-512F433AA172}"/>
    <cellStyle name="好_CCG fin plan May09 3" xfId="5177" xr:uid="{8B1D3978-82BC-46BA-B183-24E340E8EFDE}"/>
    <cellStyle name="好_CCG fin plan May09 3 2" xfId="5178" xr:uid="{345BE33A-9DFE-40B9-9713-FD9138D82C79}"/>
    <cellStyle name="好_CCG fin plan May09_CCG fin plan v5(090615)" xfId="5179" xr:uid="{E7B6DDB5-1417-48CA-B90A-01617ADE9A8E}"/>
    <cellStyle name="好_CCG fin plan May09_CCG fin plan v5(090615) (2)" xfId="5180" xr:uid="{99A904C7-88D7-4CE8-A1A9-F9ABC0220C61}"/>
    <cellStyle name="好_CCG fin plan May09_CCG fin plan v5(090615) (2) 2" xfId="5181" xr:uid="{D489E4E5-C33C-48A0-B3D9-A578C7EEE89E}"/>
    <cellStyle name="好_CCG fin plan May09_CCG fin plan v5(090615) (2) 2 2" xfId="5182" xr:uid="{CE17E162-94CC-44F6-BD33-264043142723}"/>
    <cellStyle name="好_CCG fin plan May09_CCG fin plan v5(090615) (2) 3" xfId="5183" xr:uid="{28F8C8A1-10A3-4BFC-83C4-DFD40EAA874C}"/>
    <cellStyle name="好_CCG fin plan May09_CCG fin plan v5(090615) (2) 3 2" xfId="5184" xr:uid="{A0959FA7-3543-4FDE-9DFA-9D5161070699}"/>
    <cellStyle name="好_CCG fin plan May09_CCG fin plan v5(090615) 2" xfId="5185" xr:uid="{CDEE4FEE-3E2C-4AB6-B88D-B077E72530C2}"/>
    <cellStyle name="好_CCG fin plan May09_CCG fin plan v5(090615) 2 2" xfId="5186" xr:uid="{E408261F-5A01-43E0-A6F0-F086BE21A87A}"/>
    <cellStyle name="好_CCG fin plan May09_CCG fin plan v5(090615) 3" xfId="5187" xr:uid="{B62F10E5-810F-45DA-A33F-04A45A40779F}"/>
    <cellStyle name="好_CCG fin plan May09_CCG fin plan v5(090615) 3 2" xfId="5188" xr:uid="{2F891BE3-E547-4987-A4D9-F69947C7AEDF}"/>
    <cellStyle name="好_CCG fin plan May09_CCG fin plan v5(090615) 4" xfId="5189" xr:uid="{127FCE5D-95CD-4C49-9707-DF91FB77F93E}"/>
    <cellStyle name="好_CCG fin plan May09_CCG fin plan v5(090615) 4 2" xfId="5190" xr:uid="{B521A3DB-1EDA-404D-8670-65F24A1171F1}"/>
    <cellStyle name="好_CCG fin plan May09_CCG fin plan v5(090616)" xfId="5191" xr:uid="{566A1C19-B27A-44E2-B91B-FF397643F7F7}"/>
    <cellStyle name="好_CCG fin plan May09_CCG fin plan v5(090616) 2" xfId="5192" xr:uid="{850276AC-773A-4923-80B7-46C51F39E04C}"/>
    <cellStyle name="好_CCG fin plan May09_CCG fin plan v5(090616) 2 2" xfId="5193" xr:uid="{497BEA29-3705-414F-A8AB-D04D5116F195}"/>
    <cellStyle name="好_CCG fin plan May09_CCG fin plan v5(090616) 3" xfId="5194" xr:uid="{A02FC55C-049B-48E8-80DA-199FF6558AC1}"/>
    <cellStyle name="好_CCG fin plan May09_CCG fin plan v5(090616) 3 2" xfId="5195" xr:uid="{C5075336-921E-4A1C-BC56-1E801F998F15}"/>
    <cellStyle name="好_CCG fin plan v5(090615)" xfId="5196" xr:uid="{15CC9DF1-F32E-4AD5-8C39-54336781CC42}"/>
    <cellStyle name="好_CCG fin plan v5(090615) (14)" xfId="5197" xr:uid="{E41D865E-AC14-4D6A-AB65-BFF067692F5B}"/>
    <cellStyle name="好_CCG fin plan v5(090615) (14) 2" xfId="5198" xr:uid="{1B2983AF-784F-4A6F-B921-F1F66E4D5A6D}"/>
    <cellStyle name="好_CCG fin plan v5(090615) (14) 2 2" xfId="5199" xr:uid="{D874C5BD-86DE-432B-8FDA-2146D9F048F9}"/>
    <cellStyle name="好_CCG fin plan v5(090615) (14) 3" xfId="5200" xr:uid="{5ED78EFA-25E4-4DA0-BEB5-E7CE860EA850}"/>
    <cellStyle name="好_CCG fin plan v5(090615) (14) 3 2" xfId="5201" xr:uid="{12E9AD2D-FC54-47DE-8C64-EE565FC903E3}"/>
    <cellStyle name="好_CCG fin plan v5(090615) (3)" xfId="5202" xr:uid="{ACEA728E-8652-4A55-9F36-06DBB667D070}"/>
    <cellStyle name="好_CCG fin plan v5(090615) (3) 2" xfId="5203" xr:uid="{2C683465-674A-4FD7-9F0E-6CF92F7C1210}"/>
    <cellStyle name="好_CCG fin plan v5(090615) (3) 2 2" xfId="5204" xr:uid="{5355541E-A86F-4F9A-A640-902ACA41AD05}"/>
    <cellStyle name="好_CCG fin plan v5(090615) (3) 3" xfId="5205" xr:uid="{E7B12F62-9B42-4733-A711-65E2A6B2F5D2}"/>
    <cellStyle name="好_CCG fin plan v5(090615) (3) 3 2" xfId="5206" xr:uid="{47A00371-C879-4157-B9C7-7008EFABCD0D}"/>
    <cellStyle name="好_CCG fin plan v5(090615) 2" xfId="5207" xr:uid="{7D9402E5-1931-45BE-B457-A21A10E731EB}"/>
    <cellStyle name="好_CCG fin plan v5(090615) 2 2" xfId="5208" xr:uid="{42FE4F52-0801-4660-BD3A-C0CEFE49678E}"/>
    <cellStyle name="好_CCG fin plan v5(090615) 3" xfId="5209" xr:uid="{B09524BA-8511-44BA-B682-AA686CA8323B}"/>
    <cellStyle name="好_CCG fin plan v5(090615) 3 2" xfId="5210" xr:uid="{B016E899-B8C0-48DD-A6A0-517239D4D8C9}"/>
    <cellStyle name="好_CCG fin plan v5(090615) 4" xfId="5211" xr:uid="{45DE82FA-DA7F-4123-AF85-ABDC230FD27F}"/>
    <cellStyle name="好_CCG fin plan v5(090615) 4 2" xfId="5212" xr:uid="{636166AC-EAA2-4B34-83F9-7E34A1BB3E12}"/>
    <cellStyle name="好_CCG fin plan v5(090617)" xfId="5213" xr:uid="{3CA1DFDF-4782-43AF-B459-92FF71593BF0}"/>
    <cellStyle name="好_CCG fin plan v5(090617) 2" xfId="5214" xr:uid="{1DD02B6C-7E64-4680-870D-35C7179291E6}"/>
    <cellStyle name="好_CCG fin plan v5(090617) 2 2" xfId="5215" xr:uid="{0F67ACDA-957F-4DF7-ADEA-42117703202B}"/>
    <cellStyle name="好_CCG fin plan v5(090617) 3" xfId="5216" xr:uid="{0445224D-D066-412D-8A0B-81D22227A79F}"/>
    <cellStyle name="好_CCG fin plan v5(090617) 3 2" xfId="5217" xr:uid="{599A5742-237D-437E-92CA-89169CB98887}"/>
    <cellStyle name="好_CCG fin plan v5(090618)" xfId="5218" xr:uid="{4E367D23-6B89-42C0-9630-8D9B71F835FB}"/>
    <cellStyle name="好_CCG fin plan v5(090618) 2" xfId="5219" xr:uid="{839ACF30-5A2F-44D0-8DAF-A8EC701C96C9}"/>
    <cellStyle name="好_CCG fin plan v5(090618) 2 2" xfId="5220" xr:uid="{50AE2502-AC45-4247-91F9-E3692FEE4736}"/>
    <cellStyle name="好_CCG fin plan v5(090618) 3" xfId="5221" xr:uid="{FF4D075D-BD1F-45D5-8247-40A862FE2DCB}"/>
    <cellStyle name="好_CCG fin plan v5(090618) 3 2" xfId="5222" xr:uid="{C1A77DF3-BD41-4357-9FA6-F1B08262A81E}"/>
    <cellStyle name="好_CCG fin plan v5(090619) (4)" xfId="5223" xr:uid="{BBE6C717-09C3-4CE0-A1B0-2DFFA3A096BC}"/>
    <cellStyle name="好_CCG fin plan v5(090619) (4) 2" xfId="5224" xr:uid="{9DE341A7-529F-4D26-AF2D-9AD130DD0ED1}"/>
    <cellStyle name="好_CCG fin plan v5(090619) (4) 2 2" xfId="5225" xr:uid="{DE899FD3-5AB8-4521-B818-F109F85EFD2A}"/>
    <cellStyle name="好_CCG fin plan v5(090619) (4) 3" xfId="5226" xr:uid="{48CF855A-843B-4256-AEC3-2721223E827E}"/>
    <cellStyle name="好_CCG fin plan v5(090619) (4) 3 2" xfId="5227" xr:uid="{979E3A74-B1FA-4EE8-8EBA-C16EE08D9744}"/>
    <cellStyle name="好_CCG financial plan (090611)" xfId="5228" xr:uid="{B749D0CD-DCD5-4C31-AA3D-9A6144801E11}"/>
    <cellStyle name="好_CCG financial plan (090611) 2" xfId="5229" xr:uid="{70500406-2C53-484C-98BF-26E6F08333DA}"/>
    <cellStyle name="好_CCG financial plan (090611) 2 2" xfId="5230" xr:uid="{C4B72571-EE62-4E90-BDB0-C542342BA89D}"/>
    <cellStyle name="好_CCG financial plan (090611) 3" xfId="5231" xr:uid="{31184AAF-903E-4F35-8056-73ADF6ED8AA9}"/>
    <cellStyle name="好_CCG financial plan (090611) 3 2" xfId="5232" xr:uid="{85FA187E-B485-416D-A1AD-E91BD1C3990C}"/>
    <cellStyle name="好_Plan vs actual-090618 支持文件" xfId="5233" xr:uid="{6093B042-944E-449F-8509-02169C187814}"/>
    <cellStyle name="好_Plan vs actual-090618 支持文件 2" xfId="5234" xr:uid="{B965CEDF-0051-4995-BE40-7AD7BF034881}"/>
    <cellStyle name="好_Plan vs actual-090618 支持文件 2 2" xfId="5235" xr:uid="{B8D3F58C-BD3E-42F6-89DE-E109A52B9EF2}"/>
    <cellStyle name="好_Plan vs actual-090618 支持文件 3" xfId="5236" xr:uid="{908EFABF-EFD1-4A70-9370-3A8A91E40DF6}"/>
    <cellStyle name="好_Plan vs actual-090618 支持文件 3 2" xfId="5237" xr:uid="{A5A5C5AC-38BE-44E4-B768-842FEF43695C}"/>
    <cellStyle name="好_Plan vs actual-090619 支持文件" xfId="5238" xr:uid="{F051C697-FE73-452B-982E-C3974AF2382A}"/>
    <cellStyle name="好_Plan vs actual-090619 支持文件 (2)" xfId="5239" xr:uid="{891A343D-BB52-401C-BD8D-C20393E663E5}"/>
    <cellStyle name="好_Plan vs actual-090619 支持文件 (2) 2" xfId="5240" xr:uid="{E2A23675-D23F-45B3-A3E8-6AEEE1C8C9B9}"/>
    <cellStyle name="好_Plan vs actual-090619 支持文件 (2) 2 2" xfId="5241" xr:uid="{363A2E90-465A-4E5B-A887-E64DC58C1F1B}"/>
    <cellStyle name="好_Plan vs actual-090619 支持文件 (2) 3" xfId="5242" xr:uid="{6B1A8BE8-08FA-4603-BEDB-63ECE579C1C6}"/>
    <cellStyle name="好_Plan vs actual-090619 支持文件 (2) 3 2" xfId="5243" xr:uid="{77309C0B-EDDF-4000-A0A8-E7A282ABEB49}"/>
    <cellStyle name="好_Plan vs actual-090619 支持文件 2" xfId="5244" xr:uid="{D6C360A5-61DC-43E5-B7E9-C614FD519FA5}"/>
    <cellStyle name="好_Plan vs actual-090619 支持文件 2 2" xfId="5245" xr:uid="{804516B5-5B26-4DAC-8469-8ECFD1FF5B73}"/>
    <cellStyle name="好_Plan vs actual-090619 支持文件 3" xfId="5246" xr:uid="{24BA347D-085C-4609-A78F-6839DA7D20D3}"/>
    <cellStyle name="好_Plan vs actual-090619 支持文件 3 2" xfId="5247" xr:uid="{89011F80-BD5E-4781-9C7C-B732B3587A72}"/>
    <cellStyle name="好_Plan vs actual-090619 支持文件 4" xfId="5248" xr:uid="{00C94D5B-864D-422D-AEF5-8081BC58D888}"/>
    <cellStyle name="好_Plan vs actual-090619 支持文件 4 2" xfId="5249" xr:uid="{38A8D20D-4830-4DDB-82C4-3CAFEB7EC886}"/>
    <cellStyle name="好_建议方案 CCG fin plan(090623) (3)" xfId="5257" xr:uid="{E1B0BA05-7E62-4A5C-A9F2-08BFA7770D85}"/>
    <cellStyle name="好_建议方案 CCG fin plan(090623) (3) 2" xfId="5258" xr:uid="{095375E3-FB21-4E2E-A3D0-041509CE35A1}"/>
    <cellStyle name="好_建议方案 CCG fin plan(090623) (3) 2 2" xfId="5259" xr:uid="{6A896050-069A-496C-A489-7780018A42EE}"/>
    <cellStyle name="好_建议方案 CCG fin plan(090623) (3) 3" xfId="5260" xr:uid="{EF21603D-2788-437D-8BDF-C789C81B61F2}"/>
    <cellStyle name="好_建议方案 CCG fin plan(090623) (3) 3 2" xfId="5261" xr:uid="{917767AF-FB8D-4676-888A-D5E664F6F77A}"/>
    <cellStyle name="好_建议方案 CCG fin plan(090626)" xfId="5262" xr:uid="{FE2B3B32-C2E8-429B-BB0B-C18FF34BC2CA}"/>
    <cellStyle name="好_建议方案 CCG fin plan(090626) 2" xfId="5263" xr:uid="{56B8DE87-F97B-4A14-9EB3-C2B3E5D2E0A2}"/>
    <cellStyle name="好_建议方案 CCG fin plan(090626) 2 2" xfId="5264" xr:uid="{95F6A5D9-2142-4086-8B3D-891FD8E8C0C7}"/>
    <cellStyle name="好_建议方案 CCG fin plan(090626) 3" xfId="5265" xr:uid="{9A3D3478-2AA4-49A4-9F7C-AFFD02C50469}"/>
    <cellStyle name="好_建议方案 CCG fin plan(090626) 3 2" xfId="5266" xr:uid="{F032564E-1D9D-41CF-ACC6-21A6327F546A}"/>
    <cellStyle name="好_调整后" xfId="5267" xr:uid="{249F8C28-BDEB-4267-BD91-8B905E894503}"/>
    <cellStyle name="好_调整后 2" xfId="5268" xr:uid="{BE1BCEFE-A343-4BDB-8F34-9A7D1DEBF628}"/>
    <cellStyle name="好_调整后 2 2" xfId="5269" xr:uid="{FAB969CB-5D2F-443B-AEE9-D41500096228}"/>
    <cellStyle name="好_调整后 3" xfId="5270" xr:uid="{8176D9F1-51DD-44B0-8EF8-F7B3DEAB2DBE}"/>
    <cellStyle name="好_调整后 3 2" xfId="5271" xr:uid="{00D0E61B-F049-4E04-9683-71D842C1EA99}"/>
    <cellStyle name="好_财务明细0906 (4)" xfId="5252" xr:uid="{F01D3A8A-2ADC-4D47-B60A-05544E4B1F05}"/>
    <cellStyle name="好_财务明细0906 (4) 2" xfId="5253" xr:uid="{AAF74FCA-74A3-4B25-BF1F-41C1D9754822}"/>
    <cellStyle name="好_财务明细0906 (4) 2 2" xfId="5254" xr:uid="{8B08812B-D335-401B-92B6-973CD20C00EB}"/>
    <cellStyle name="好_财务明细0906 (4) 3" xfId="5255" xr:uid="{15C1E5CF-39F3-4493-BEA9-4C680B1A68F0}"/>
    <cellStyle name="好_财务明细0906 (4) 3 2" xfId="5256" xr:uid="{EC36CED9-7957-4F66-A18D-D75F9C172D48}"/>
    <cellStyle name="好_财务汇总(周报)" xfId="5250" xr:uid="{8A4A6F95-5B5C-4E0A-9C96-D4DEEE4FC5A0}"/>
    <cellStyle name="好_财务汇总(周报)_1" xfId="5251" xr:uid="{0236DFE0-94C6-4E22-8CD4-AEED3CCECCF1}"/>
    <cellStyle name="差_CCG fin plan May09" xfId="2175" xr:uid="{A34C28AC-279F-42DA-9AA8-EFDCCFB522CB}"/>
    <cellStyle name="差_CCG fin plan May09 2" xfId="2176" xr:uid="{247B8F7A-CD5E-4457-A37D-2A0BBC2AEF74}"/>
    <cellStyle name="差_CCG fin plan May09 2 2" xfId="2177" xr:uid="{450B395D-0C4B-42A2-8210-E4AC9DC6C725}"/>
    <cellStyle name="差_CCG fin plan May09 3" xfId="2178" xr:uid="{C3643DC3-0D2B-4D6C-BCFD-98ACFE2AB87C}"/>
    <cellStyle name="差_CCG fin plan May09 3 2" xfId="2179" xr:uid="{3A681514-B750-4511-8D18-5E323E24C587}"/>
    <cellStyle name="差_CCG fin plan May09_CCG fin plan v5(090615)" xfId="2180" xr:uid="{E9C525A5-3276-4971-BDA3-D76E5E365825}"/>
    <cellStyle name="差_CCG fin plan May09_CCG fin plan v5(090615) (2)" xfId="2181" xr:uid="{3D3DC24A-E69C-4A28-891C-7AEF85126B45}"/>
    <cellStyle name="差_CCG fin plan May09_CCG fin plan v5(090615) (2) 2" xfId="2182" xr:uid="{B3E30951-439E-449B-96D7-BBB77B4C92AA}"/>
    <cellStyle name="差_CCG fin plan May09_CCG fin plan v5(090615) (2) 2 2" xfId="2183" xr:uid="{1B4BEC12-D94B-4697-B69B-BC7E977E0345}"/>
    <cellStyle name="差_CCG fin plan May09_CCG fin plan v5(090615) (2) 3" xfId="2184" xr:uid="{815D55D4-FCBA-4D17-A053-ACD9DA08DA2D}"/>
    <cellStyle name="差_CCG fin plan May09_CCG fin plan v5(090615) (2) 3 2" xfId="2185" xr:uid="{2E8D77AA-894C-4A2B-AAAC-95CDB567C26C}"/>
    <cellStyle name="差_CCG fin plan May09_CCG fin plan v5(090615) 2" xfId="2186" xr:uid="{F62C13DB-AB9A-40B9-9E90-5B69719B85B4}"/>
    <cellStyle name="差_CCG fin plan May09_CCG fin plan v5(090615) 2 2" xfId="2187" xr:uid="{7F7A6CCC-9943-4564-9F2A-DDE0C02C5400}"/>
    <cellStyle name="差_CCG fin plan May09_CCG fin plan v5(090615) 3" xfId="2188" xr:uid="{EA0B4B68-8044-4CC4-B68A-26577C43A997}"/>
    <cellStyle name="差_CCG fin plan May09_CCG fin plan v5(090615) 3 2" xfId="2189" xr:uid="{2590EAE6-DCFD-4576-BEA5-94335DCBF7D6}"/>
    <cellStyle name="差_CCG fin plan May09_CCG fin plan v5(090615) 4" xfId="2190" xr:uid="{B282F7ED-C21A-443C-B68E-DB3CDA24836A}"/>
    <cellStyle name="差_CCG fin plan May09_CCG fin plan v5(090615) 4 2" xfId="2191" xr:uid="{AF52D153-D3DB-4C27-BF7A-B4BF9C565B02}"/>
    <cellStyle name="差_CCG fin plan May09_CCG fin plan v5(090616)" xfId="2192" xr:uid="{08B29D9B-0BAA-46F8-8104-AC0BD2321622}"/>
    <cellStyle name="差_CCG fin plan May09_CCG fin plan v5(090616) 2" xfId="2193" xr:uid="{112F8D7B-B04B-4913-A312-9C07B2FB7E28}"/>
    <cellStyle name="差_CCG fin plan May09_CCG fin plan v5(090616) 2 2" xfId="2194" xr:uid="{C7554EF6-0AA5-4C56-8CAE-8916E03AE492}"/>
    <cellStyle name="差_CCG fin plan May09_CCG fin plan v5(090616) 3" xfId="2195" xr:uid="{7F604F7C-5506-4D94-A709-ABAA56C54835}"/>
    <cellStyle name="差_CCG fin plan May09_CCG fin plan v5(090616) 3 2" xfId="2196" xr:uid="{112CEA8E-AAF3-4108-9EF1-33FAC21B89FF}"/>
    <cellStyle name="差_CCG fin plan v5(090615)" xfId="2197" xr:uid="{0E8B086F-AC47-4B3C-ABFA-6E743FCF7811}"/>
    <cellStyle name="差_CCG fin plan v5(090615) (14)" xfId="2198" xr:uid="{D9A671DD-53C4-4C96-9500-44EA33F53396}"/>
    <cellStyle name="差_CCG fin plan v5(090615) (14) 2" xfId="2199" xr:uid="{1E102AAD-3BA7-490A-95D8-14A78FB83E2F}"/>
    <cellStyle name="差_CCG fin plan v5(090615) (14) 2 2" xfId="2200" xr:uid="{136C7AEC-0049-4370-BC87-066CC3D87269}"/>
    <cellStyle name="差_CCG fin plan v5(090615) (14) 3" xfId="2201" xr:uid="{D280FDC5-D78B-4224-8EFC-287F1BA61991}"/>
    <cellStyle name="差_CCG fin plan v5(090615) (14) 3 2" xfId="2202" xr:uid="{3B5BDA19-246A-44CF-9694-411E700EFDC7}"/>
    <cellStyle name="差_CCG fin plan v5(090615) (3)" xfId="2203" xr:uid="{79805557-DAE5-43EA-A0D2-EBF52052B1E3}"/>
    <cellStyle name="差_CCG fin plan v5(090615) (3) 2" xfId="2204" xr:uid="{2C944AEE-6CA0-42AC-B765-4B6960F7AB02}"/>
    <cellStyle name="差_CCG fin plan v5(090615) (3) 2 2" xfId="2205" xr:uid="{92F97F0D-F8C3-408D-8439-893D7474710E}"/>
    <cellStyle name="差_CCG fin plan v5(090615) (3) 3" xfId="2206" xr:uid="{AEDA6E71-B3AF-4915-9E40-E97B1DC790CA}"/>
    <cellStyle name="差_CCG fin plan v5(090615) (3) 3 2" xfId="2207" xr:uid="{7F0B4502-7DA6-4451-9715-F7F543958988}"/>
    <cellStyle name="差_CCG fin plan v5(090615) 2" xfId="2208" xr:uid="{BC28044D-94B4-437B-9DB6-BB3A472F200B}"/>
    <cellStyle name="差_CCG fin plan v5(090615) 2 2" xfId="2209" xr:uid="{C6CDEE45-A2F9-415F-94E1-7C690F83593F}"/>
    <cellStyle name="差_CCG fin plan v5(090615) 3" xfId="2210" xr:uid="{B66E4352-E831-42C5-A08C-6D2056A33768}"/>
    <cellStyle name="差_CCG fin plan v5(090615) 3 2" xfId="2211" xr:uid="{8A13855C-C922-4265-90CB-C276B7731C61}"/>
    <cellStyle name="差_CCG fin plan v5(090615) 4" xfId="2212" xr:uid="{05AB35E3-5629-407C-8E36-CE9AA38FAB81}"/>
    <cellStyle name="差_CCG fin plan v5(090615) 4 2" xfId="2213" xr:uid="{8CF1C953-B9D1-4BBA-AABA-74445B8D616D}"/>
    <cellStyle name="差_CCG fin plan v5(090617)" xfId="2214" xr:uid="{6F526A23-433A-40F2-BE8D-0920A62B0A8F}"/>
    <cellStyle name="差_CCG fin plan v5(090617) 2" xfId="2215" xr:uid="{5443C9DA-DAE2-4F72-997F-22197218A688}"/>
    <cellStyle name="差_CCG fin plan v5(090617) 2 2" xfId="2216" xr:uid="{4814CC91-3310-4AC9-83A0-EC312E92E194}"/>
    <cellStyle name="差_CCG fin plan v5(090617) 3" xfId="2217" xr:uid="{B97999A6-6EA8-4C59-BAFD-D174B698EAE2}"/>
    <cellStyle name="差_CCG fin plan v5(090617) 3 2" xfId="2218" xr:uid="{16BC55E8-DCCB-4868-8C73-B3F233A288D8}"/>
    <cellStyle name="差_CCG fin plan v5(090618)" xfId="2219" xr:uid="{FDDE03EA-1A4A-4DFC-A5B6-B239D039FE40}"/>
    <cellStyle name="差_CCG fin plan v5(090618) 2" xfId="2220" xr:uid="{E12311D3-0BE4-41F4-983A-585BBD7E04BA}"/>
    <cellStyle name="差_CCG fin plan v5(090618) 2 2" xfId="2221" xr:uid="{BF444F5D-EF32-429D-9CC5-FCEE0C7286EF}"/>
    <cellStyle name="差_CCG fin plan v5(090618) 3" xfId="2222" xr:uid="{5A07C848-8417-485E-BE13-D8863EF48276}"/>
    <cellStyle name="差_CCG fin plan v5(090618) 3 2" xfId="2223" xr:uid="{B4984A42-5584-4629-B272-5459EFD0E75B}"/>
    <cellStyle name="差_CCG fin plan v5(090619) (4)" xfId="2224" xr:uid="{C61144B7-1131-4B65-A8AE-96BC5970C432}"/>
    <cellStyle name="差_CCG fin plan v5(090619) (4) 2" xfId="2225" xr:uid="{349F5D4F-A201-4A4C-BD79-29A81C8E2B8B}"/>
    <cellStyle name="差_CCG fin plan v5(090619) (4) 2 2" xfId="2226" xr:uid="{EBF8D3B3-47D8-4963-9F3F-32AB4D6E3E76}"/>
    <cellStyle name="差_CCG fin plan v5(090619) (4) 3" xfId="2227" xr:uid="{A1505D93-3142-493A-B6A2-65E05A012C99}"/>
    <cellStyle name="差_CCG fin plan v5(090619) (4) 3 2" xfId="2228" xr:uid="{D351357D-065E-44D5-8A79-981138BDC5E7}"/>
    <cellStyle name="差_CCG financial plan (090611)" xfId="2229" xr:uid="{5616986D-7EEB-46A4-A29B-E678C91D4E11}"/>
    <cellStyle name="差_CCG financial plan (090611) 2" xfId="2230" xr:uid="{D5A4D4AD-642B-4AB8-A2C2-7983658EC883}"/>
    <cellStyle name="差_CCG financial plan (090611) 2 2" xfId="2231" xr:uid="{A834D4D3-D314-41C5-BF89-12B3B6383E67}"/>
    <cellStyle name="差_CCG financial plan (090611) 3" xfId="2232" xr:uid="{6917F463-5F59-4131-98CD-D8AB1349B105}"/>
    <cellStyle name="差_CCG financial plan (090611) 3 2" xfId="2233" xr:uid="{707EB8F5-6903-4EBD-A35C-E4342234CDB0}"/>
    <cellStyle name="差_Plan vs actual-090618 支持文件" xfId="2234" xr:uid="{D2B0EEF4-F4CF-4E9F-88D8-A6A2CBA75A4D}"/>
    <cellStyle name="差_Plan vs actual-090618 支持文件 2" xfId="2235" xr:uid="{7A78CC44-A73C-4864-8E4A-FC4A8807E8C7}"/>
    <cellStyle name="差_Plan vs actual-090618 支持文件 2 2" xfId="2236" xr:uid="{602F52E6-D014-40CD-8BD0-B0CB2809C284}"/>
    <cellStyle name="差_Plan vs actual-090618 支持文件 3" xfId="2237" xr:uid="{6CE3AF17-7619-42E7-868F-1E8620C2B9E0}"/>
    <cellStyle name="差_Plan vs actual-090618 支持文件 3 2" xfId="2238" xr:uid="{28CD448A-1BC2-46DB-A897-3BBE11AFAEC4}"/>
    <cellStyle name="差_Plan vs actual-090619 支持文件" xfId="2239" xr:uid="{2C1575DF-65D8-4BE9-97FD-D6BE36D918E4}"/>
    <cellStyle name="差_Plan vs actual-090619 支持文件 (2)" xfId="2240" xr:uid="{160012B4-B666-4CCA-B44B-A357FC74A044}"/>
    <cellStyle name="差_Plan vs actual-090619 支持文件 (2) 2" xfId="2241" xr:uid="{5D234542-9E43-46BA-87C1-A8F551CE8D05}"/>
    <cellStyle name="差_Plan vs actual-090619 支持文件 (2) 2 2" xfId="2242" xr:uid="{5CFD87A3-F538-40C6-A2AB-4D6426E8FB2A}"/>
    <cellStyle name="差_Plan vs actual-090619 支持文件 (2) 3" xfId="2243" xr:uid="{DABE45CB-6615-46C9-8241-834FB9C020E5}"/>
    <cellStyle name="差_Plan vs actual-090619 支持文件 (2) 3 2" xfId="2244" xr:uid="{2CFE102A-6E98-4ED9-928E-89BA97284C94}"/>
    <cellStyle name="差_Plan vs actual-090619 支持文件 2" xfId="2245" xr:uid="{4E0AC5E5-359D-4EB0-95F1-B417C979B822}"/>
    <cellStyle name="差_Plan vs actual-090619 支持文件 2 2" xfId="2246" xr:uid="{B804440B-20C1-48EB-87AA-BFE7B0154A2F}"/>
    <cellStyle name="差_Plan vs actual-090619 支持文件 3" xfId="2247" xr:uid="{E889D340-6CC1-47CE-92B7-26292F529871}"/>
    <cellStyle name="差_Plan vs actual-090619 支持文件 3 2" xfId="2248" xr:uid="{D6F0D6A3-3F44-4DFC-B4DA-E3E6739A037C}"/>
    <cellStyle name="差_Plan vs actual-090619 支持文件 4" xfId="2249" xr:uid="{514958EA-16A1-47FF-AA46-2B77BB2D361D}"/>
    <cellStyle name="差_Plan vs actual-090619 支持文件 4 2" xfId="2250" xr:uid="{86983EBC-89A7-429D-99E5-1E42924E2BD3}"/>
    <cellStyle name="差_建议方案 CCG fin plan(090623) (3)" xfId="2258" xr:uid="{4658B761-6A22-4453-AF08-C40670089DCF}"/>
    <cellStyle name="差_建议方案 CCG fin plan(090623) (3) 2" xfId="2259" xr:uid="{961C40F4-C29D-4F88-AB1C-934FE0E5CBDC}"/>
    <cellStyle name="差_建议方案 CCG fin plan(090623) (3) 2 2" xfId="2260" xr:uid="{7B2D7C69-446C-4E00-8DE6-367013ED1DBE}"/>
    <cellStyle name="差_建议方案 CCG fin plan(090623) (3) 3" xfId="2261" xr:uid="{F2EACE06-2542-4642-99C3-6C4C4ED8CF2F}"/>
    <cellStyle name="差_建议方案 CCG fin plan(090623) (3) 3 2" xfId="2262" xr:uid="{C20A1E12-CAAA-4A2B-8F9A-680C16824CED}"/>
    <cellStyle name="差_建议方案 CCG fin plan(090626)" xfId="2263" xr:uid="{B46CCBFC-19F4-4FA4-9E3B-FBBC95002C6D}"/>
    <cellStyle name="差_建议方案 CCG fin plan(090626) 2" xfId="2264" xr:uid="{B7B380DC-16EC-4C91-990D-A561BD0343B0}"/>
    <cellStyle name="差_建议方案 CCG fin plan(090626) 2 2" xfId="2265" xr:uid="{C1C0F3AA-54E7-4B86-8566-DFF562C48193}"/>
    <cellStyle name="差_建议方案 CCG fin plan(090626) 3" xfId="2266" xr:uid="{E9549D72-09B3-458E-8543-71345B28E9B6}"/>
    <cellStyle name="差_建议方案 CCG fin plan(090626) 3 2" xfId="2267" xr:uid="{81ED8DAB-9765-4DC4-95C1-0A66F4961D05}"/>
    <cellStyle name="差_调整后" xfId="2268" xr:uid="{659C3EC0-0489-4151-8B40-480E4D468AE3}"/>
    <cellStyle name="差_调整后 2" xfId="2269" xr:uid="{1613B641-E598-4385-B9EF-52855DC11AC0}"/>
    <cellStyle name="差_调整后 2 2" xfId="2270" xr:uid="{E0430A2E-3657-4FC1-AF50-D9CDCB56439C}"/>
    <cellStyle name="差_调整后 3" xfId="2271" xr:uid="{329653C1-166F-4A16-BD84-68E70D965222}"/>
    <cellStyle name="差_调整后 3 2" xfId="2272" xr:uid="{8652B170-6561-41BF-991C-1853A5385390}"/>
    <cellStyle name="差_财务明细0906 (4)" xfId="2253" xr:uid="{317BEEFA-A157-47FE-B031-5CF84E7674B9}"/>
    <cellStyle name="差_财务明细0906 (4) 2" xfId="2254" xr:uid="{86C52B5A-9642-4BCE-9D3E-4284959B4906}"/>
    <cellStyle name="差_财务明细0906 (4) 2 2" xfId="2255" xr:uid="{94291BD0-E222-4D2E-AC10-5057CD8A2A2C}"/>
    <cellStyle name="差_财务明细0906 (4) 3" xfId="2256" xr:uid="{21BD3C7A-BFE5-42AD-9047-EA331079892F}"/>
    <cellStyle name="差_财务明细0906 (4) 3 2" xfId="2257" xr:uid="{DCF42F64-67CB-43C1-AAB3-7494D4F650E9}"/>
    <cellStyle name="差_财务汇总(周报)" xfId="2251" xr:uid="{5AD6FB4D-A652-41B1-8DF8-089D09EE2BA7}"/>
    <cellStyle name="差_财务汇总(周报)_1" xfId="2252" xr:uid="{0DF50357-759E-456E-9031-BC8A1C09BFE8}"/>
    <cellStyle name="常规 10" xfId="2273" xr:uid="{54095D17-67A7-4DA1-B11A-060683839F11}"/>
    <cellStyle name="常规 11" xfId="2274" xr:uid="{344604D7-1465-497B-8C1F-5B486C2C3C60}"/>
    <cellStyle name="常规 12" xfId="2275" xr:uid="{3B7107B5-78ED-4C39-9D89-8702A16E940E}"/>
    <cellStyle name="常规 12 2" xfId="2276" xr:uid="{B14BF440-5656-47BA-8893-C9C7B5F3B34D}"/>
    <cellStyle name="常规 13" xfId="2277" xr:uid="{1E371C74-7DBA-403E-80E6-619C2872090F}"/>
    <cellStyle name="常规 14" xfId="2278" xr:uid="{E3E8AA78-4374-40B7-A85C-ED62B898AA29}"/>
    <cellStyle name="常规 15" xfId="2279" xr:uid="{32DD977E-1CF0-46EB-9116-4B0FAAADBB4C}"/>
    <cellStyle name="常规 16" xfId="2280" xr:uid="{52236209-3E8B-4692-97A5-3E797DF7A253}"/>
    <cellStyle name="常规 17" xfId="2281" xr:uid="{C8B464FB-195C-49A5-ACB1-4373082E3B64}"/>
    <cellStyle name="常规 18" xfId="2282" xr:uid="{32F4E946-E79E-4301-B233-08554A6CB231}"/>
    <cellStyle name="常规 19" xfId="2283" xr:uid="{E98BF21D-46BB-44F9-9BA0-2E21E7400B0D}"/>
    <cellStyle name="常规 19 10" xfId="2284" xr:uid="{2F244225-6666-4D8D-ADA9-AB7289E33A1C}"/>
    <cellStyle name="常规 19 2" xfId="2285" xr:uid="{018FA71E-CD10-485C-9A53-D8C722A4ECC0}"/>
    <cellStyle name="常规 19 2 2" xfId="2286" xr:uid="{B0653D22-0DE5-4423-ADAA-03F1D6A2F928}"/>
    <cellStyle name="常规 19 2 2 2" xfId="2287" xr:uid="{96F8CF65-E351-491D-B04B-28411B55181B}"/>
    <cellStyle name="常规 19 2 2 2 2" xfId="2288" xr:uid="{6CF91E41-225F-4D86-8269-6D1F2FDFB919}"/>
    <cellStyle name="常规 19 2 2 2 2 2" xfId="2289" xr:uid="{EDE72EDC-36F5-4756-8B06-7AB608CDF5C8}"/>
    <cellStyle name="常规 19 2 2 2 2 2 2" xfId="2290" xr:uid="{F5986DEF-FDA4-4872-A80B-351647D67129}"/>
    <cellStyle name="常规 19 2 2 2 2 2 2 2" xfId="2291" xr:uid="{FF74963A-1793-472E-860C-6A01E943B7C2}"/>
    <cellStyle name="常规 19 2 2 2 2 2 2 2 2" xfId="2292" xr:uid="{2D5CC3B8-1C22-4688-8415-285AB34B4061}"/>
    <cellStyle name="常规 19 2 2 2 2 2 2 2 2 2" xfId="2293" xr:uid="{05E309EA-8FC4-4DC9-8F97-D5A04B7F338C}"/>
    <cellStyle name="常规 19 2 2 2 2 2 2 2 3" xfId="2294" xr:uid="{E1C8D66A-5499-40CD-9BCC-53521A4E5311}"/>
    <cellStyle name="常规 19 2 2 2 2 2 2 3" xfId="2295" xr:uid="{C908E84C-90F2-4400-8874-EF2EB5B77B0A}"/>
    <cellStyle name="常规 19 2 2 2 2 2 2 3 2" xfId="2296" xr:uid="{2C48AC8A-834B-4CCA-88B6-7DEC3574B4ED}"/>
    <cellStyle name="常规 19 2 2 2 2 2 2 4" xfId="2297" xr:uid="{54EFB826-0895-4F68-9D2A-301864DF05BF}"/>
    <cellStyle name="常规 19 2 2 2 2 2 3" xfId="2298" xr:uid="{C2ACDE90-DCBE-464F-A320-1C25B3C93CD6}"/>
    <cellStyle name="常规 19 2 2 2 2 2 3 2" xfId="2299" xr:uid="{39D8487D-BE96-44F8-A6EC-276E16C7B1B3}"/>
    <cellStyle name="常规 19 2 2 2 2 2 3 2 2" xfId="2300" xr:uid="{2E39110A-16F0-4209-BE8B-188C4046926E}"/>
    <cellStyle name="常规 19 2 2 2 2 2 3 3" xfId="2301" xr:uid="{69092C60-B3FA-418B-BEA3-6ADF2F2B0244}"/>
    <cellStyle name="常规 19 2 2 2 2 2 4" xfId="2302" xr:uid="{93DBB6F0-EB0E-4C24-A6F9-50E7F1AF8A16}"/>
    <cellStyle name="常规 19 2 2 2 2 2 4 2" xfId="2303" xr:uid="{10C90C91-3544-44A8-9854-8C69843467F2}"/>
    <cellStyle name="常规 19 2 2 2 2 2 5" xfId="2304" xr:uid="{D13059AB-2379-49F7-B19E-228A51C55FDE}"/>
    <cellStyle name="常规 19 2 2 2 2 3" xfId="2305" xr:uid="{221F2271-B7A6-40B9-BB4C-622AB169A5BF}"/>
    <cellStyle name="常规 19 2 2 2 2 3 2" xfId="2306" xr:uid="{17CAF892-23B0-4315-ADF5-111BD76BCBBA}"/>
    <cellStyle name="常规 19 2 2 2 2 3 2 2" xfId="2307" xr:uid="{D9C7B2A9-1D64-4704-B5B4-3C2007A8A131}"/>
    <cellStyle name="常规 19 2 2 2 2 3 2 2 2" xfId="2308" xr:uid="{5EF84783-A03A-4C56-93DE-3042E8D17B1C}"/>
    <cellStyle name="常规 19 2 2 2 2 3 2 3" xfId="2309" xr:uid="{58594F53-D288-4ECB-A8C5-5F4667E5F3B7}"/>
    <cellStyle name="常规 19 2 2 2 2 3 3" xfId="2310" xr:uid="{8D4B551E-A42E-4D4B-BB90-D344CC2A93CD}"/>
    <cellStyle name="常规 19 2 2 2 2 3 3 2" xfId="2311" xr:uid="{B605B490-A4E1-473E-AEE1-74B6397839C0}"/>
    <cellStyle name="常规 19 2 2 2 2 3 4" xfId="2312" xr:uid="{BF9CA4CC-05B8-45FB-A817-956FF764C01F}"/>
    <cellStyle name="常规 19 2 2 2 2 4" xfId="2313" xr:uid="{24A110E1-480F-4B05-9712-659C5905DC5F}"/>
    <cellStyle name="常规 19 2 2 2 2 4 2" xfId="2314" xr:uid="{27B4EEFB-3589-4052-9C30-4EAF8B0BF294}"/>
    <cellStyle name="常规 19 2 2 2 2 4 2 2" xfId="2315" xr:uid="{0888C591-7D0A-4E29-B4DF-42A4EF3369CC}"/>
    <cellStyle name="常规 19 2 2 2 2 4 3" xfId="2316" xr:uid="{2B16833B-73FA-4F19-AB7F-3112FA18A90F}"/>
    <cellStyle name="常规 19 2 2 2 2 5" xfId="2317" xr:uid="{06747422-E4E0-4EEC-988F-FFF2581039AC}"/>
    <cellStyle name="常规 19 2 2 2 2 5 2" xfId="2318" xr:uid="{433833BA-F58B-436A-9F0B-ADE812219EA4}"/>
    <cellStyle name="常规 19 2 2 2 2 6" xfId="2319" xr:uid="{B1DBF586-5F63-49D1-B267-439B5F8D2BA3}"/>
    <cellStyle name="常规 19 2 2 2 3" xfId="2320" xr:uid="{3D0B44F9-6542-4EEF-A877-F3A38CC82C63}"/>
    <cellStyle name="常规 19 2 2 2 3 2" xfId="2321" xr:uid="{2D8DF6FD-9E72-46EF-88DF-E6CDACA71DB2}"/>
    <cellStyle name="常规 19 2 2 2 3 2 2" xfId="2322" xr:uid="{A37AB881-97DB-4DB1-8B67-5D143B71A712}"/>
    <cellStyle name="常规 19 2 2 2 3 2 2 2" xfId="2323" xr:uid="{D7D910A0-C816-4280-AE6D-325CB48ADA2F}"/>
    <cellStyle name="常规 19 2 2 2 3 2 2 2 2" xfId="2324" xr:uid="{26FF3292-78B5-476C-B52A-18AD56D62E13}"/>
    <cellStyle name="常规 19 2 2 2 3 2 2 3" xfId="2325" xr:uid="{0562E139-38CF-409A-8C06-93C19756194F}"/>
    <cellStyle name="常规 19 2 2 2 3 2 3" xfId="2326" xr:uid="{0A36FE60-4ADF-4B70-9827-5E4B06175827}"/>
    <cellStyle name="常规 19 2 2 2 3 2 3 2" xfId="2327" xr:uid="{39977513-B635-4E04-A723-F8B3A2A42A09}"/>
    <cellStyle name="常规 19 2 2 2 3 2 4" xfId="2328" xr:uid="{FF73284A-D1CE-4B42-B0EF-58188D4A0DF6}"/>
    <cellStyle name="常规 19 2 2 2 3 3" xfId="2329" xr:uid="{12B33FFC-BB7E-4CDC-864D-73F19238E596}"/>
    <cellStyle name="常规 19 2 2 2 3 3 2" xfId="2330" xr:uid="{C681F8C9-5CA5-4510-8014-7A26662D6DD3}"/>
    <cellStyle name="常规 19 2 2 2 3 3 2 2" xfId="2331" xr:uid="{B18227E8-0307-45EB-B9CD-8ADA18E9DF3D}"/>
    <cellStyle name="常规 19 2 2 2 3 3 3" xfId="2332" xr:uid="{E1AA7030-2CBC-4780-BB5E-6B854AFB3D85}"/>
    <cellStyle name="常规 19 2 2 2 3 4" xfId="2333" xr:uid="{165CE6D7-1B69-486B-9B4B-88391AF29787}"/>
    <cellStyle name="常规 19 2 2 2 3 4 2" xfId="2334" xr:uid="{2D1F3F6F-26A5-4821-AC23-A03368CAD3A6}"/>
    <cellStyle name="常规 19 2 2 2 3 5" xfId="2335" xr:uid="{4688242B-11E3-4BC8-8B81-D4AA8C7D919E}"/>
    <cellStyle name="常规 19 2 2 2 4" xfId="2336" xr:uid="{B7EF9E4F-0E1B-4CA1-9688-DA2D05D33462}"/>
    <cellStyle name="常规 19 2 2 2 4 2" xfId="2337" xr:uid="{894A47F0-4396-4A27-B113-B58A5B71580F}"/>
    <cellStyle name="常规 19 2 2 2 4 2 2" xfId="2338" xr:uid="{3A85C750-70C7-4EA3-8C75-DC50971AE1CD}"/>
    <cellStyle name="常规 19 2 2 2 4 2 2 2" xfId="2339" xr:uid="{66626C2D-17E3-4F4D-A65D-6B5C4C2C588F}"/>
    <cellStyle name="常规 19 2 2 2 4 2 3" xfId="2340" xr:uid="{99BAE08B-7640-4FEB-942B-044FBE1F0209}"/>
    <cellStyle name="常规 19 2 2 2 4 3" xfId="2341" xr:uid="{13682D2F-AA2A-4C9B-9846-0D1B3445FA80}"/>
    <cellStyle name="常规 19 2 2 2 4 3 2" xfId="2342" xr:uid="{11785FCA-7709-4BF0-9B11-DA261A78991A}"/>
    <cellStyle name="常规 19 2 2 2 4 4" xfId="2343" xr:uid="{7A8DFB5E-AE6B-4C3E-9898-6400BAC08657}"/>
    <cellStyle name="常规 19 2 2 2 5" xfId="2344" xr:uid="{B8F777E0-93FB-4FDA-B674-CAF4781937CD}"/>
    <cellStyle name="常规 19 2 2 2 5 2" xfId="2345" xr:uid="{8A6C951D-86E0-4748-A30E-94E48FA922F9}"/>
    <cellStyle name="常规 19 2 2 2 5 2 2" xfId="2346" xr:uid="{A0985901-7683-44D4-B359-057FE82D9C08}"/>
    <cellStyle name="常规 19 2 2 2 5 3" xfId="2347" xr:uid="{043B099A-33A4-4DDF-A766-789617CD3459}"/>
    <cellStyle name="常规 19 2 2 2 6" xfId="2348" xr:uid="{4CAB7365-000B-4FC5-9398-852662CFF80D}"/>
    <cellStyle name="常规 19 2 2 2 6 2" xfId="2349" xr:uid="{96F98CDF-2AF0-41F9-AA39-55A26577E91E}"/>
    <cellStyle name="常规 19 2 2 2 7" xfId="2350" xr:uid="{6B389909-541C-4464-8F71-D855245C62BB}"/>
    <cellStyle name="常规 19 2 2 3" xfId="2351" xr:uid="{5380C178-42E5-482C-817F-4CC898708E1B}"/>
    <cellStyle name="常规 19 2 2 3 2" xfId="2352" xr:uid="{542EED83-FDF5-4F00-9D12-D9F7A5589B4D}"/>
    <cellStyle name="常规 19 2 2 3 2 2" xfId="2353" xr:uid="{DBDA7223-EFC6-43BA-BA09-CC1B705B6693}"/>
    <cellStyle name="常规 19 2 2 3 2 2 2" xfId="2354" xr:uid="{561D3FF4-38A9-4DC7-BE3F-EC98B25C90E9}"/>
    <cellStyle name="常规 19 2 2 3 2 2 2 2" xfId="2355" xr:uid="{BC81D9E5-5F0B-4D0D-84ED-3846FE04CE25}"/>
    <cellStyle name="常规 19 2 2 3 2 2 2 2 2" xfId="2356" xr:uid="{A7558140-6850-4616-8D95-5060DB5F2469}"/>
    <cellStyle name="常规 19 2 2 3 2 2 2 3" xfId="2357" xr:uid="{A17C49BB-439E-4F0F-9EFE-52B9E22D3B43}"/>
    <cellStyle name="常规 19 2 2 3 2 2 3" xfId="2358" xr:uid="{161FD4F9-C5B9-40F9-9F27-F269D3C024CE}"/>
    <cellStyle name="常规 19 2 2 3 2 2 3 2" xfId="2359" xr:uid="{FFBA897F-8D33-45C5-9284-2EE357351ED6}"/>
    <cellStyle name="常规 19 2 2 3 2 2 4" xfId="2360" xr:uid="{FEF0C334-105C-4220-8FCB-269BB0E425E3}"/>
    <cellStyle name="常规 19 2 2 3 2 3" xfId="2361" xr:uid="{7F8FE216-6A2A-485F-97C8-044420F496B3}"/>
    <cellStyle name="常规 19 2 2 3 2 3 2" xfId="2362" xr:uid="{7ED836BC-A1C2-4621-9F88-CFD30720E457}"/>
    <cellStyle name="常规 19 2 2 3 2 3 2 2" xfId="2363" xr:uid="{590CC39C-9AC6-4E69-AB10-E07EB60940CD}"/>
    <cellStyle name="常规 19 2 2 3 2 3 3" xfId="2364" xr:uid="{D9241A4D-A2C1-4D46-B133-4F3A40F9BFEE}"/>
    <cellStyle name="常规 19 2 2 3 2 4" xfId="2365" xr:uid="{97C6ADC3-0AD3-40A6-9381-A555F081E6D8}"/>
    <cellStyle name="常规 19 2 2 3 2 4 2" xfId="2366" xr:uid="{834F78E8-AED0-45DE-89DC-3392F54C2D8E}"/>
    <cellStyle name="常规 19 2 2 3 2 5" xfId="2367" xr:uid="{EB37BC37-8811-4E18-A397-E6D924330EA1}"/>
    <cellStyle name="常规 19 2 2 3 3" xfId="2368" xr:uid="{FBED5A28-8921-4E64-8DA1-F9BD9037D21A}"/>
    <cellStyle name="常规 19 2 2 3 3 2" xfId="2369" xr:uid="{CFA5059C-7579-420D-9865-19B27531E49F}"/>
    <cellStyle name="常规 19 2 2 3 3 2 2" xfId="2370" xr:uid="{0E0B8FB4-843E-450D-9534-924CF910A1A3}"/>
    <cellStyle name="常规 19 2 2 3 3 2 2 2" xfId="2371" xr:uid="{85892D26-9C85-4E21-BECA-C1AACAB7FE80}"/>
    <cellStyle name="常规 19 2 2 3 3 2 3" xfId="2372" xr:uid="{8E7E8678-4BC5-4FD4-81E4-FAFF742077A5}"/>
    <cellStyle name="常规 19 2 2 3 3 3" xfId="2373" xr:uid="{C6491272-1B01-4DED-A34B-CF9432D987E2}"/>
    <cellStyle name="常规 19 2 2 3 3 3 2" xfId="2374" xr:uid="{60FC9280-994B-4100-9E6D-2BAC9A94B66F}"/>
    <cellStyle name="常规 19 2 2 3 3 4" xfId="2375" xr:uid="{64DC8FFA-452E-43AD-A01D-64960695FAD6}"/>
    <cellStyle name="常规 19 2 2 3 4" xfId="2376" xr:uid="{1B4FBC07-DAA5-4DCB-A5C2-856E0D9CA930}"/>
    <cellStyle name="常规 19 2 2 3 4 2" xfId="2377" xr:uid="{B94158D1-3D5B-4EDE-B896-B3D866A46001}"/>
    <cellStyle name="常规 19 2 2 3 4 2 2" xfId="2378" xr:uid="{5BB459E9-2063-497B-BE62-819A6D8EBAC4}"/>
    <cellStyle name="常规 19 2 2 3 4 3" xfId="2379" xr:uid="{7C8993F7-6CFD-4ECE-B5E3-8105DDDA005C}"/>
    <cellStyle name="常规 19 2 2 3 5" xfId="2380" xr:uid="{141AA6A3-541A-4431-B377-AF8F31B1541F}"/>
    <cellStyle name="常规 19 2 2 3 5 2" xfId="2381" xr:uid="{643F5AE0-0F46-49D4-B445-96A3AEA4E781}"/>
    <cellStyle name="常规 19 2 2 3 6" xfId="2382" xr:uid="{F83BEE01-F762-4AE1-B8DE-DDDBF86D1F87}"/>
    <cellStyle name="常规 19 2 2 4" xfId="2383" xr:uid="{32BEED1B-F7FE-426F-94E8-DB4A86628C9A}"/>
    <cellStyle name="常规 19 2 2 4 2" xfId="2384" xr:uid="{D388E9D8-5B54-4D7F-AB9B-471DC868E3D2}"/>
    <cellStyle name="常规 19 2 2 4 2 2" xfId="2385" xr:uid="{33D80661-DC26-42BE-AA7C-EC9C49A0BCB1}"/>
    <cellStyle name="常规 19 2 2 4 2 2 2" xfId="2386" xr:uid="{2E3A3B2F-9D36-41AF-8D1E-E081BE4184F7}"/>
    <cellStyle name="常规 19 2 2 4 2 2 2 2" xfId="2387" xr:uid="{3644F00A-2452-43FF-89DB-F50AF85A52A4}"/>
    <cellStyle name="常规 19 2 2 4 2 2 3" xfId="2388" xr:uid="{B6375441-56EA-4760-B070-E07CFFFFD741}"/>
    <cellStyle name="常规 19 2 2 4 2 3" xfId="2389" xr:uid="{46BCE0F8-8928-421F-8F5B-A37B91AE5426}"/>
    <cellStyle name="常规 19 2 2 4 2 3 2" xfId="2390" xr:uid="{BD04CD34-4CA7-4CD8-AFAA-B4E8AE3D0274}"/>
    <cellStyle name="常规 19 2 2 4 2 4" xfId="2391" xr:uid="{D154C83B-CFC5-4BE9-A8B5-16744114FA73}"/>
    <cellStyle name="常规 19 2 2 4 3" xfId="2392" xr:uid="{DBF5B67E-039B-451F-827C-BCCE09BF5EB1}"/>
    <cellStyle name="常规 19 2 2 4 3 2" xfId="2393" xr:uid="{5E86B345-ACFF-4F69-8467-9733C8AC8D00}"/>
    <cellStyle name="常规 19 2 2 4 3 2 2" xfId="2394" xr:uid="{AD3CD1BF-1EF8-4831-ADB9-6A385DA7FCBC}"/>
    <cellStyle name="常规 19 2 2 4 3 3" xfId="2395" xr:uid="{84BEED8D-89AA-4E2B-A5B3-9BDDDA155C98}"/>
    <cellStyle name="常规 19 2 2 4 4" xfId="2396" xr:uid="{B0B8B74C-CC89-4BC4-B4C3-65C83E55E24F}"/>
    <cellStyle name="常规 19 2 2 4 4 2" xfId="2397" xr:uid="{74D7B91D-8A19-4276-A126-E9FF35D1AD40}"/>
    <cellStyle name="常规 19 2 2 4 5" xfId="2398" xr:uid="{F6250B6B-CBF5-4AA3-BA50-7148E4D47B38}"/>
    <cellStyle name="常规 19 2 2 5" xfId="2399" xr:uid="{AE785A7B-D4F5-4950-9A77-AD72BE7C3926}"/>
    <cellStyle name="常规 19 2 2 5 2" xfId="2400" xr:uid="{0E52E002-A678-4C15-B78C-33E8D48FA6C0}"/>
    <cellStyle name="常规 19 2 2 5 2 2" xfId="2401" xr:uid="{408BA336-E3E3-41EA-8415-08F7F2DE97F9}"/>
    <cellStyle name="常规 19 2 2 5 2 2 2" xfId="2402" xr:uid="{3CC29111-69F5-4A17-B31B-A35DC63BCA28}"/>
    <cellStyle name="常规 19 2 2 5 2 3" xfId="2403" xr:uid="{35632B58-E897-43AE-B8A5-063D0A73A344}"/>
    <cellStyle name="常规 19 2 2 5 3" xfId="2404" xr:uid="{46D50F80-529B-4B61-B2C5-1FE817E77214}"/>
    <cellStyle name="常规 19 2 2 5 3 2" xfId="2405" xr:uid="{DC79933D-AB92-4642-A805-98FCCE130577}"/>
    <cellStyle name="常规 19 2 2 5 4" xfId="2406" xr:uid="{49ED09AE-9987-4670-90CE-8D7DE716891E}"/>
    <cellStyle name="常规 19 2 2 6" xfId="2407" xr:uid="{08733E64-7AE7-46A9-A297-2A698C76C36E}"/>
    <cellStyle name="常规 19 2 2 6 2" xfId="2408" xr:uid="{5B4E7501-41EE-455E-AC9E-DD4CFDF6FDCF}"/>
    <cellStyle name="常规 19 2 2 6 2 2" xfId="2409" xr:uid="{313EB4CE-E719-4CFE-B1EE-0AD41561B580}"/>
    <cellStyle name="常规 19 2 2 6 3" xfId="2410" xr:uid="{D46C165B-3599-4D84-8E07-75EE14A43106}"/>
    <cellStyle name="常规 19 2 2 7" xfId="2411" xr:uid="{BF2E0C83-42C3-4A05-BC25-B5EE714D3965}"/>
    <cellStyle name="常规 19 2 2 7 2" xfId="2412" xr:uid="{69A740A3-25B2-40C0-A3AC-623AD4A6F4BA}"/>
    <cellStyle name="常规 19 2 2 8" xfId="2413" xr:uid="{1D9F333A-A75E-44F8-BE9A-73D08E5A4B03}"/>
    <cellStyle name="常规 19 2 3" xfId="2414" xr:uid="{638AB913-7172-40FB-9B39-BB189A527095}"/>
    <cellStyle name="常规 19 2 3 2" xfId="2415" xr:uid="{AC943350-06B7-4374-A0E8-D05F41800355}"/>
    <cellStyle name="常规 19 2 3 2 2" xfId="2416" xr:uid="{FCCA2132-382D-4AC3-A9CD-D0744413BBB5}"/>
    <cellStyle name="常规 19 2 3 2 2 2" xfId="2417" xr:uid="{258AB9B8-1B4C-46B4-9440-177952B7E340}"/>
    <cellStyle name="常规 19 2 3 2 2 2 2" xfId="2418" xr:uid="{6874AD87-369B-4FB5-8AF1-1DBDAB5364FF}"/>
    <cellStyle name="常规 19 2 3 2 2 2 2 2" xfId="2419" xr:uid="{AF0AA7BA-1129-4CE6-AEF4-953D2CC9A5F4}"/>
    <cellStyle name="常规 19 2 3 2 2 2 2 2 2" xfId="2420" xr:uid="{3CEB7163-F42B-460C-BCB8-57207CF00381}"/>
    <cellStyle name="常规 19 2 3 2 2 2 2 3" xfId="2421" xr:uid="{C82F50F6-F5C9-4F54-93E1-C0EC46590A71}"/>
    <cellStyle name="常规 19 2 3 2 2 2 3" xfId="2422" xr:uid="{A6F1104D-0CFA-4B2F-B4B8-2BAC8655FF5B}"/>
    <cellStyle name="常规 19 2 3 2 2 2 3 2" xfId="2423" xr:uid="{C52EBBC4-C740-43C0-8FF5-13BE31EF7966}"/>
    <cellStyle name="常规 19 2 3 2 2 2 4" xfId="2424" xr:uid="{F5960EE5-376F-405B-B3A0-B33F81512237}"/>
    <cellStyle name="常规 19 2 3 2 2 3" xfId="2425" xr:uid="{2282FACA-90CF-45DF-BC80-0172AB63B937}"/>
    <cellStyle name="常规 19 2 3 2 2 3 2" xfId="2426" xr:uid="{B9122F44-E267-4D36-877F-95C2A8F52946}"/>
    <cellStyle name="常规 19 2 3 2 2 3 2 2" xfId="2427" xr:uid="{49F1B3C0-F51B-47C1-A8C1-5ACF64577577}"/>
    <cellStyle name="常规 19 2 3 2 2 3 3" xfId="2428" xr:uid="{819E25CA-214A-4BF1-959F-15CE0A5274EF}"/>
    <cellStyle name="常规 19 2 3 2 2 4" xfId="2429" xr:uid="{FAA34BCB-4E74-461A-AA59-C22C72FA0954}"/>
    <cellStyle name="常规 19 2 3 2 2 4 2" xfId="2430" xr:uid="{5D4039E2-5634-4461-87DB-86442E557C05}"/>
    <cellStyle name="常规 19 2 3 2 2 5" xfId="2431" xr:uid="{0259BE73-E188-4603-8975-D65931D50E8B}"/>
    <cellStyle name="常规 19 2 3 2 3" xfId="2432" xr:uid="{072D9DDE-84D8-4763-96D7-482D968AB8FD}"/>
    <cellStyle name="常规 19 2 3 2 3 2" xfId="2433" xr:uid="{097A99AC-D492-4F1B-848A-CDCEB51F1881}"/>
    <cellStyle name="常规 19 2 3 2 3 2 2" xfId="2434" xr:uid="{0AD0B1E5-4AD1-42EC-8795-A02FFC300F2E}"/>
    <cellStyle name="常规 19 2 3 2 3 2 2 2" xfId="2435" xr:uid="{764C2CA0-22AE-446A-A197-BAE91D5334C0}"/>
    <cellStyle name="常规 19 2 3 2 3 2 3" xfId="2436" xr:uid="{D39F6BC8-C0BB-4E86-B4DB-AE59AE7089BF}"/>
    <cellStyle name="常规 19 2 3 2 3 3" xfId="2437" xr:uid="{F488236D-41DE-45F2-A831-F358A0F7393B}"/>
    <cellStyle name="常规 19 2 3 2 3 3 2" xfId="2438" xr:uid="{E101DE10-25F1-4D54-AB78-5745236B7814}"/>
    <cellStyle name="常规 19 2 3 2 3 4" xfId="2439" xr:uid="{279B4BDE-AD6F-4650-9535-1AF7E6CA74C9}"/>
    <cellStyle name="常规 19 2 3 2 4" xfId="2440" xr:uid="{BD8441B4-30EC-4571-8358-A03328D7292A}"/>
    <cellStyle name="常规 19 2 3 2 4 2" xfId="2441" xr:uid="{CE0B5307-F953-4813-8ED9-4B7759588436}"/>
    <cellStyle name="常规 19 2 3 2 4 2 2" xfId="2442" xr:uid="{B7647139-23E4-4B8F-A26E-1B62D3683C0C}"/>
    <cellStyle name="常规 19 2 3 2 4 3" xfId="2443" xr:uid="{EBF8C954-DAF6-43F8-AB74-06C58C40C44A}"/>
    <cellStyle name="常规 19 2 3 2 5" xfId="2444" xr:uid="{AEF7D2AC-EDAE-40CE-8415-16C706BCB80B}"/>
    <cellStyle name="常规 19 2 3 2 5 2" xfId="2445" xr:uid="{F0301FBA-3D1E-423F-8389-90892D7747F9}"/>
    <cellStyle name="常规 19 2 3 2 6" xfId="2446" xr:uid="{5CAC0402-D3C1-4BBC-932C-EB7A4ED8E56C}"/>
    <cellStyle name="常规 19 2 3 3" xfId="2447" xr:uid="{263A6E4F-1E0D-4CFB-A95A-CEC07110F6A2}"/>
    <cellStyle name="常规 19 2 3 3 2" xfId="2448" xr:uid="{4CFC868D-02CC-4E69-A2AC-3DA054EB2709}"/>
    <cellStyle name="常规 19 2 3 3 2 2" xfId="2449" xr:uid="{4459EE53-2352-4ADC-B12D-42B9EE65D22B}"/>
    <cellStyle name="常规 19 2 3 3 2 2 2" xfId="2450" xr:uid="{8AC54436-65B4-4D4E-8D6C-1012A5A4D255}"/>
    <cellStyle name="常规 19 2 3 3 2 2 2 2" xfId="2451" xr:uid="{FB2A6872-A48F-45F7-9D0F-47DB6D1F2033}"/>
    <cellStyle name="常规 19 2 3 3 2 2 3" xfId="2452" xr:uid="{A9E805D6-009B-42CE-8BD7-ADC27F3CC186}"/>
    <cellStyle name="常规 19 2 3 3 2 3" xfId="2453" xr:uid="{9A09D425-F87C-435E-932F-FB950300090D}"/>
    <cellStyle name="常规 19 2 3 3 2 3 2" xfId="2454" xr:uid="{9C5DE7BB-3EDA-4590-BA03-EB26C136CD7D}"/>
    <cellStyle name="常规 19 2 3 3 2 4" xfId="2455" xr:uid="{87756587-B5F3-425D-A0C0-ED17CE1403F8}"/>
    <cellStyle name="常规 19 2 3 3 3" xfId="2456" xr:uid="{1B5E3D0C-6B45-4A04-9044-2B263BB4E7B3}"/>
    <cellStyle name="常规 19 2 3 3 3 2" xfId="2457" xr:uid="{57153B51-5F3E-4B3B-BA04-BBA3AF0F44D0}"/>
    <cellStyle name="常规 19 2 3 3 3 2 2" xfId="2458" xr:uid="{D0C8C59D-35DF-43F3-B151-4CE8F7E8E0A2}"/>
    <cellStyle name="常规 19 2 3 3 3 3" xfId="2459" xr:uid="{F9EA0871-B004-46C7-BAA4-9E121080E9A7}"/>
    <cellStyle name="常规 19 2 3 3 4" xfId="2460" xr:uid="{BC522856-1D26-4A1E-9E38-61526EFEE2E1}"/>
    <cellStyle name="常规 19 2 3 3 4 2" xfId="2461" xr:uid="{B13C4168-07AE-4D56-AFA8-6BECE0324C91}"/>
    <cellStyle name="常规 19 2 3 3 5" xfId="2462" xr:uid="{9E8387F3-BE77-41F2-9DEF-4219E26BD07E}"/>
    <cellStyle name="常规 19 2 3 4" xfId="2463" xr:uid="{1E9D929F-D6B8-410A-A50F-A12BDF552AD6}"/>
    <cellStyle name="常规 19 2 3 4 2" xfId="2464" xr:uid="{2FEC1D08-F08E-46F5-B31D-B37E7C5DF070}"/>
    <cellStyle name="常规 19 2 3 4 2 2" xfId="2465" xr:uid="{22586B13-3EF1-4B44-B2BF-EC53BE448CBD}"/>
    <cellStyle name="常规 19 2 3 4 2 2 2" xfId="2466" xr:uid="{AD07A8A4-593F-4845-AD21-DD66B486F29F}"/>
    <cellStyle name="常规 19 2 3 4 2 3" xfId="2467" xr:uid="{5193681E-1C21-44C8-BC05-BBE4D45C766D}"/>
    <cellStyle name="常规 19 2 3 4 3" xfId="2468" xr:uid="{5D9F1F50-54CA-4C15-B843-013118B67E87}"/>
    <cellStyle name="常规 19 2 3 4 3 2" xfId="2469" xr:uid="{00412E2C-B223-415E-AD07-044B928E6011}"/>
    <cellStyle name="常规 19 2 3 4 4" xfId="2470" xr:uid="{ED6A36AC-48E4-474C-9472-107C51193A17}"/>
    <cellStyle name="常规 19 2 3 5" xfId="2471" xr:uid="{D15B1C80-5FF2-4799-8BB7-D08BFBAE28BE}"/>
    <cellStyle name="常规 19 2 3 5 2" xfId="2472" xr:uid="{8E85E04F-9DFB-4260-93F5-7F5A8DEBEE81}"/>
    <cellStyle name="常规 19 2 3 5 2 2" xfId="2473" xr:uid="{C9B1033A-B4CF-4F4F-A03E-F0AEF568675A}"/>
    <cellStyle name="常规 19 2 3 5 3" xfId="2474" xr:uid="{AE6B7736-16C4-4456-9477-5C8AC3D3C09C}"/>
    <cellStyle name="常规 19 2 3 6" xfId="2475" xr:uid="{CADA36C4-3EE9-43AB-A296-E372D3EBAE15}"/>
    <cellStyle name="常规 19 2 3 6 2" xfId="2476" xr:uid="{F3BFB4BC-F8FF-41C0-921E-9B2779F94DE2}"/>
    <cellStyle name="常规 19 2 3 7" xfId="2477" xr:uid="{9D6CBF12-D7BD-4001-8C57-5EAE9969B00F}"/>
    <cellStyle name="常规 19 2 4" xfId="2478" xr:uid="{65FA0789-257A-4FBC-85E3-204C8178E0DC}"/>
    <cellStyle name="常规 19 2 4 2" xfId="2479" xr:uid="{0A73FFC3-AE3B-4612-9AF1-9ADAF49A83F2}"/>
    <cellStyle name="常规 19 2 4 2 2" xfId="2480" xr:uid="{56E1F70A-75D7-49AA-9CB1-ED4F226E9809}"/>
    <cellStyle name="常规 19 2 4 2 2 2" xfId="2481" xr:uid="{AA6C9608-754B-4B62-A51E-08ABEA9D4537}"/>
    <cellStyle name="常规 19 2 4 2 2 2 2" xfId="2482" xr:uid="{FCAB17C5-F58F-4714-8081-AB33DFD43883}"/>
    <cellStyle name="常规 19 2 4 2 2 2 2 2" xfId="2483" xr:uid="{584DA502-174B-415D-977B-6585F4E02182}"/>
    <cellStyle name="常规 19 2 4 2 2 2 3" xfId="2484" xr:uid="{D69566A0-1021-476E-B213-00655DC61BCA}"/>
    <cellStyle name="常规 19 2 4 2 2 3" xfId="2485" xr:uid="{F58B0B51-F167-4ECE-BEAB-6FF888B0191D}"/>
    <cellStyle name="常规 19 2 4 2 2 3 2" xfId="2486" xr:uid="{524914F7-6321-4DD9-8CA5-625604363A95}"/>
    <cellStyle name="常规 19 2 4 2 2 4" xfId="2487" xr:uid="{7BC3A987-1B86-4AF2-B2AB-81A49A8EBE32}"/>
    <cellStyle name="常规 19 2 4 2 3" xfId="2488" xr:uid="{39A2F97B-948F-4B1F-853E-E8533E042A04}"/>
    <cellStyle name="常规 19 2 4 2 3 2" xfId="2489" xr:uid="{B3B24DB1-62B1-4F87-A30E-276FD422F89C}"/>
    <cellStyle name="常规 19 2 4 2 3 2 2" xfId="2490" xr:uid="{D29AA71C-CF1E-49D6-8D94-25696E3796ED}"/>
    <cellStyle name="常规 19 2 4 2 3 3" xfId="2491" xr:uid="{CA4800F9-0146-44C7-ACFD-13DB988E6EAF}"/>
    <cellStyle name="常规 19 2 4 2 4" xfId="2492" xr:uid="{B716C471-87AD-49B1-BDDD-A7896F1550D0}"/>
    <cellStyle name="常规 19 2 4 2 4 2" xfId="2493" xr:uid="{15D22796-8658-4AFE-9964-1B0B626A57FF}"/>
    <cellStyle name="常规 19 2 4 2 5" xfId="2494" xr:uid="{A7B1155B-4EE3-49E9-94C5-F860264E3FC8}"/>
    <cellStyle name="常规 19 2 4 3" xfId="2495" xr:uid="{BEBDE39E-010C-4548-967E-B6E33763806E}"/>
    <cellStyle name="常规 19 2 4 3 2" xfId="2496" xr:uid="{B7FC2518-D15B-42CB-9577-FA31372D470E}"/>
    <cellStyle name="常规 19 2 4 3 2 2" xfId="2497" xr:uid="{E9348D8A-AEB1-4EF9-A5ED-04D203C848B4}"/>
    <cellStyle name="常规 19 2 4 3 2 2 2" xfId="2498" xr:uid="{22392390-FB26-4E20-84E4-666A14F03601}"/>
    <cellStyle name="常规 19 2 4 3 2 3" xfId="2499" xr:uid="{F7110A24-93AF-499A-AD09-519907053FAA}"/>
    <cellStyle name="常规 19 2 4 3 3" xfId="2500" xr:uid="{FB2F4A28-D7D6-48B6-94B5-D27F42BBA759}"/>
    <cellStyle name="常规 19 2 4 3 3 2" xfId="2501" xr:uid="{55E83DAB-B488-4DAE-B0F1-A2A52755EF94}"/>
    <cellStyle name="常规 19 2 4 3 4" xfId="2502" xr:uid="{FCE3F4EF-EF8D-4F3E-BCDA-C227F381D1CF}"/>
    <cellStyle name="常规 19 2 4 4" xfId="2503" xr:uid="{93E225F3-8E2B-488B-AE1D-75B7B551D28E}"/>
    <cellStyle name="常规 19 2 4 4 2" xfId="2504" xr:uid="{00FCCB04-6580-4CA0-AA1E-EF4C236B52C1}"/>
    <cellStyle name="常规 19 2 4 4 2 2" xfId="2505" xr:uid="{FDB2732B-BED9-475D-A4FF-CFB5EC327C06}"/>
    <cellStyle name="常规 19 2 4 4 3" xfId="2506" xr:uid="{2DBB216C-5AF5-403D-9949-5257154D3C7C}"/>
    <cellStyle name="常规 19 2 4 5" xfId="2507" xr:uid="{7E81B71B-6BD7-4DBE-ADDC-D1C4A0A2DAAE}"/>
    <cellStyle name="常规 19 2 4 5 2" xfId="2508" xr:uid="{795402EA-C918-4E66-A417-E9FED4BE2A7D}"/>
    <cellStyle name="常规 19 2 4 6" xfId="2509" xr:uid="{6902A0DD-D0DC-4BB6-B3E7-F92B038038E9}"/>
    <cellStyle name="常规 19 2 5" xfId="2510" xr:uid="{FA4430FA-4F22-4F8F-886B-11B0CF3BD121}"/>
    <cellStyle name="常规 19 2 5 2" xfId="2511" xr:uid="{3F5F2631-11B4-4676-9CC8-3A0E50041392}"/>
    <cellStyle name="常规 19 2 5 2 2" xfId="2512" xr:uid="{6C0A55E0-C960-48BB-B3DD-C78E8E79B083}"/>
    <cellStyle name="常规 19 2 5 2 2 2" xfId="2513" xr:uid="{D453A148-0587-4BE6-A6AC-9158C280CBE8}"/>
    <cellStyle name="常规 19 2 5 2 2 2 2" xfId="2514" xr:uid="{5DF3E8D0-0ACF-42D6-B48A-5DE99A5E278D}"/>
    <cellStyle name="常规 19 2 5 2 2 3" xfId="2515" xr:uid="{EDE8D350-7FB1-4704-9E49-D8739D55F6AC}"/>
    <cellStyle name="常规 19 2 5 2 3" xfId="2516" xr:uid="{6B3C6D0F-A740-4A22-8AC4-4FC35CD59103}"/>
    <cellStyle name="常规 19 2 5 2 3 2" xfId="2517" xr:uid="{5C49563D-D579-4E8D-88A3-FB45B807E9FA}"/>
    <cellStyle name="常规 19 2 5 2 4" xfId="2518" xr:uid="{F75F59AB-C85A-439F-B3F2-7190BA372D72}"/>
    <cellStyle name="常规 19 2 5 3" xfId="2519" xr:uid="{5C4CF440-608D-4122-9C91-E1A35D630F17}"/>
    <cellStyle name="常规 19 2 5 3 2" xfId="2520" xr:uid="{2627F4BD-911E-4460-B9BB-C287CC4B4486}"/>
    <cellStyle name="常规 19 2 5 3 2 2" xfId="2521" xr:uid="{36C24E01-050F-404B-B59E-9619996AFDBE}"/>
    <cellStyle name="常规 19 2 5 3 3" xfId="2522" xr:uid="{E5E3EFCC-7153-4BBA-BC61-EDD84CE94624}"/>
    <cellStyle name="常规 19 2 5 4" xfId="2523" xr:uid="{481C15F6-21C3-4D50-8F4B-20C5204482C1}"/>
    <cellStyle name="常规 19 2 5 4 2" xfId="2524" xr:uid="{1B03D2F0-1B32-459F-BA61-663FD0531517}"/>
    <cellStyle name="常规 19 2 5 5" xfId="2525" xr:uid="{C5C1A5D0-B3EA-4062-80D9-66B5E099A400}"/>
    <cellStyle name="常规 19 2 6" xfId="2526" xr:uid="{CC660EB2-15FF-43F8-9AE7-85B143218ADA}"/>
    <cellStyle name="常规 19 2 6 2" xfId="2527" xr:uid="{C3F16F4D-CEE6-4A54-B8AB-E6C4209293D8}"/>
    <cellStyle name="常规 19 2 6 2 2" xfId="2528" xr:uid="{072FC5CA-ED06-47C3-B400-144B608D7975}"/>
    <cellStyle name="常规 19 2 6 2 2 2" xfId="2529" xr:uid="{B30FC644-0522-45C5-B4B3-0E757D910D5A}"/>
    <cellStyle name="常规 19 2 6 2 3" xfId="2530" xr:uid="{7EDFE9F8-4A25-42FC-8CB3-F201E9AA2650}"/>
    <cellStyle name="常规 19 2 6 3" xfId="2531" xr:uid="{144D645D-D21E-40AF-9A28-2655F9D3016B}"/>
    <cellStyle name="常规 19 2 6 3 2" xfId="2532" xr:uid="{C78F8CC8-CECF-4B75-B7B6-9897578019AA}"/>
    <cellStyle name="常规 19 2 6 4" xfId="2533" xr:uid="{3BF63D91-82C7-4C79-85F6-1DA417EA9013}"/>
    <cellStyle name="常规 19 2 7" xfId="2534" xr:uid="{86AFFB6F-42DF-4C35-B341-794CD6D21AD3}"/>
    <cellStyle name="常规 19 2 7 2" xfId="2535" xr:uid="{214392A4-A24B-432A-83DE-0E83D678B1DF}"/>
    <cellStyle name="常规 19 2 7 2 2" xfId="2536" xr:uid="{AF092614-4EEE-47B6-A866-071DAC722576}"/>
    <cellStyle name="常规 19 2 7 3" xfId="2537" xr:uid="{E083A06E-CA51-4609-81A1-61695A1C7EC8}"/>
    <cellStyle name="常规 19 2 8" xfId="2538" xr:uid="{0E34B344-5942-40A6-85EE-B6B44126F906}"/>
    <cellStyle name="常规 19 2 8 2" xfId="2539" xr:uid="{F4859A54-5A7D-4488-A66C-1C172E773CA6}"/>
    <cellStyle name="常规 19 2 9" xfId="2540" xr:uid="{7E5C8228-CF59-495B-9656-7E31166D2FBC}"/>
    <cellStyle name="常规 19 3" xfId="2541" xr:uid="{1866B763-FB07-4F66-8CED-6454D38F096E}"/>
    <cellStyle name="常规 19 3 2" xfId="2542" xr:uid="{A7CFDF31-4AE9-4584-A7DD-854733486724}"/>
    <cellStyle name="常规 19 3 2 2" xfId="2543" xr:uid="{B84C5EDD-C8E3-4C94-BE6D-D7906466EE3D}"/>
    <cellStyle name="常规 19 3 2 2 2" xfId="2544" xr:uid="{7B34FF51-D709-4425-867E-5A95D82F40E8}"/>
    <cellStyle name="常规 19 3 2 2 2 2" xfId="2545" xr:uid="{2DA412F8-0ED3-4B04-A0E2-DFBCA5C002D5}"/>
    <cellStyle name="常规 19 3 2 2 2 2 2" xfId="2546" xr:uid="{9032C010-DCD4-49EC-9D6E-A3D50F7A5DC4}"/>
    <cellStyle name="常规 19 3 2 2 2 2 2 2" xfId="2547" xr:uid="{DF128D45-6854-4AFB-B8E9-D837E51E1C22}"/>
    <cellStyle name="常规 19 3 2 2 2 2 2 2 2" xfId="2548" xr:uid="{7D91C410-5E10-4EB3-83E2-A4754C959638}"/>
    <cellStyle name="常规 19 3 2 2 2 2 2 3" xfId="2549" xr:uid="{AC9EE4C5-125B-4014-908A-0B01C0566FCA}"/>
    <cellStyle name="常规 19 3 2 2 2 2 3" xfId="2550" xr:uid="{951D20CD-E5F7-4E2C-A491-1E0C6F175118}"/>
    <cellStyle name="常规 19 3 2 2 2 2 3 2" xfId="2551" xr:uid="{FEB9CFCA-C843-44E3-B2EC-F841C0FC01BC}"/>
    <cellStyle name="常规 19 3 2 2 2 2 4" xfId="2552" xr:uid="{9E252DF3-AD5B-44A9-942F-84E040A1376D}"/>
    <cellStyle name="常规 19 3 2 2 2 3" xfId="2553" xr:uid="{F1A8EA83-0854-45A7-805A-BA43C6A2082B}"/>
    <cellStyle name="常规 19 3 2 2 2 3 2" xfId="2554" xr:uid="{CA25A917-55B4-4336-94A5-D97FE4D636EC}"/>
    <cellStyle name="常规 19 3 2 2 2 3 2 2" xfId="2555" xr:uid="{9F13D02F-AF35-4449-A1D1-7019ACD6DE2B}"/>
    <cellStyle name="常规 19 3 2 2 2 3 3" xfId="2556" xr:uid="{BA32AB37-6C86-41DB-BBF5-508DA3121B4D}"/>
    <cellStyle name="常规 19 3 2 2 2 4" xfId="2557" xr:uid="{5730452A-B60D-45E4-8D73-0DD149BB977F}"/>
    <cellStyle name="常规 19 3 2 2 2 4 2" xfId="2558" xr:uid="{0C649B50-A83D-4BCC-A186-53C71F4A9814}"/>
    <cellStyle name="常规 19 3 2 2 2 5" xfId="2559" xr:uid="{6296CA52-9858-4156-82BF-E368B7739A7C}"/>
    <cellStyle name="常规 19 3 2 2 3" xfId="2560" xr:uid="{9216EAB6-73B3-4311-9D8E-889ADEFF96BC}"/>
    <cellStyle name="常规 19 3 2 2 3 2" xfId="2561" xr:uid="{6029F14A-0141-460E-A038-4715B8869FAD}"/>
    <cellStyle name="常规 19 3 2 2 3 2 2" xfId="2562" xr:uid="{CF819780-9E9C-4622-A2A4-0C912C19854C}"/>
    <cellStyle name="常规 19 3 2 2 3 2 2 2" xfId="2563" xr:uid="{D6CA079F-46F7-4A7A-9068-97415A2A2410}"/>
    <cellStyle name="常规 19 3 2 2 3 2 3" xfId="2564" xr:uid="{B7BF7DF3-C263-46BF-A696-D57E84F9FB8E}"/>
    <cellStyle name="常规 19 3 2 2 3 3" xfId="2565" xr:uid="{AE925BF9-7CFB-46CC-8B0D-AE193FBE2B5E}"/>
    <cellStyle name="常规 19 3 2 2 3 3 2" xfId="2566" xr:uid="{9EE13DE7-6CC9-4B45-B238-B4426A3D51DD}"/>
    <cellStyle name="常规 19 3 2 2 3 4" xfId="2567" xr:uid="{90512AEF-24F7-49CB-BBB6-58907F5B1D81}"/>
    <cellStyle name="常规 19 3 2 2 4" xfId="2568" xr:uid="{3AB17248-E1D8-4D3D-B655-4A7A57D222E9}"/>
    <cellStyle name="常规 19 3 2 2 4 2" xfId="2569" xr:uid="{1F4843F6-D5F2-4B99-9EBF-9AD7B508BD59}"/>
    <cellStyle name="常规 19 3 2 2 4 2 2" xfId="2570" xr:uid="{F7280C12-ED4E-44E9-910A-A513F4522DB9}"/>
    <cellStyle name="常规 19 3 2 2 4 3" xfId="2571" xr:uid="{4D40BBE3-4686-4BFB-9C83-8DDBBA01107B}"/>
    <cellStyle name="常规 19 3 2 2 5" xfId="2572" xr:uid="{36DF0D5A-9BD6-4074-94A1-CDF65CC9E5E2}"/>
    <cellStyle name="常规 19 3 2 2 5 2" xfId="2573" xr:uid="{DD002C69-4394-4F0C-80C6-882D6AE32F42}"/>
    <cellStyle name="常规 19 3 2 2 6" xfId="2574" xr:uid="{518245DA-C7C4-4EA0-A54D-2652A87B6702}"/>
    <cellStyle name="常规 19 3 2 3" xfId="2575" xr:uid="{8D20B6D5-7758-4E84-9C31-AE5417B89C49}"/>
    <cellStyle name="常规 19 3 2 3 2" xfId="2576" xr:uid="{3DCB1699-9259-42C8-B7A1-33F616AD5C1A}"/>
    <cellStyle name="常规 19 3 2 3 2 2" xfId="2577" xr:uid="{B9400774-1E49-4976-B28F-A19F3BE0A545}"/>
    <cellStyle name="常规 19 3 2 3 2 2 2" xfId="2578" xr:uid="{764C1CC0-93AB-4CD4-985A-54DFED884FB2}"/>
    <cellStyle name="常规 19 3 2 3 2 2 2 2" xfId="2579" xr:uid="{61EF1D9C-C6DA-4845-B2D9-24BA956134C1}"/>
    <cellStyle name="常规 19 3 2 3 2 2 3" xfId="2580" xr:uid="{B0BFCCD2-5652-4B71-846E-C12F2DB9C394}"/>
    <cellStyle name="常规 19 3 2 3 2 3" xfId="2581" xr:uid="{68C5F0E7-FC4A-489E-8C52-4C67D50693D3}"/>
    <cellStyle name="常规 19 3 2 3 2 3 2" xfId="2582" xr:uid="{2FCACA80-51A0-469E-8232-F5EC02F44F12}"/>
    <cellStyle name="常规 19 3 2 3 2 4" xfId="2583" xr:uid="{32E72142-735A-4EC9-A97A-B6FBAC3DEAF5}"/>
    <cellStyle name="常规 19 3 2 3 3" xfId="2584" xr:uid="{17E16084-014A-491D-8122-044943BAA4F0}"/>
    <cellStyle name="常规 19 3 2 3 3 2" xfId="2585" xr:uid="{DEEB267A-8EE1-49E0-927A-0820E88B4F1B}"/>
    <cellStyle name="常规 19 3 2 3 3 2 2" xfId="2586" xr:uid="{1015EEC2-BFAC-46E5-B674-5407787FB6CF}"/>
    <cellStyle name="常规 19 3 2 3 3 3" xfId="2587" xr:uid="{C05C89A0-D808-4A7B-A550-17A7A80A2B89}"/>
    <cellStyle name="常规 19 3 2 3 4" xfId="2588" xr:uid="{1E94D363-2D1D-48CF-B7A9-5313BF90C850}"/>
    <cellStyle name="常规 19 3 2 3 4 2" xfId="2589" xr:uid="{14EF41D5-D7CB-4197-A93D-385840E36E53}"/>
    <cellStyle name="常规 19 3 2 3 5" xfId="2590" xr:uid="{615CB5E8-0D12-40C2-8C2B-50AB616E21EB}"/>
    <cellStyle name="常规 19 3 2 4" xfId="2591" xr:uid="{D580BFEE-A29D-4B12-85A0-2F9DFF2C3AEB}"/>
    <cellStyle name="常规 19 3 2 4 2" xfId="2592" xr:uid="{44350335-0D52-4F57-B391-7E984B4242BD}"/>
    <cellStyle name="常规 19 3 2 4 2 2" xfId="2593" xr:uid="{305DE415-7EDB-4C72-B8EE-D28E8268106C}"/>
    <cellStyle name="常规 19 3 2 4 2 2 2" xfId="2594" xr:uid="{3B62AC80-4983-40BE-9180-BF6538EC88BE}"/>
    <cellStyle name="常规 19 3 2 4 2 3" xfId="2595" xr:uid="{5758C0AB-D350-45B5-8842-BCAF481EED66}"/>
    <cellStyle name="常规 19 3 2 4 3" xfId="2596" xr:uid="{9D7FC4DD-B605-403A-A2DF-0D0582ECA446}"/>
    <cellStyle name="常规 19 3 2 4 3 2" xfId="2597" xr:uid="{56C265EF-B428-4956-9060-CBA08B4F5A69}"/>
    <cellStyle name="常规 19 3 2 4 4" xfId="2598" xr:uid="{F1235E85-803B-47D3-A123-BA2942E78288}"/>
    <cellStyle name="常规 19 3 2 5" xfId="2599" xr:uid="{C8FDC1A8-34C9-49B5-8C95-247B7E7C6051}"/>
    <cellStyle name="常规 19 3 2 5 2" xfId="2600" xr:uid="{01E87CDE-D925-4DD6-B011-E26B3C73EDD1}"/>
    <cellStyle name="常规 19 3 2 5 2 2" xfId="2601" xr:uid="{7029AECA-4C7E-45A5-B06A-D3BA033068FA}"/>
    <cellStyle name="常规 19 3 2 5 3" xfId="2602" xr:uid="{3B068F9E-073E-4F40-BC98-77C5893154CA}"/>
    <cellStyle name="常规 19 3 2 6" xfId="2603" xr:uid="{328DA262-BD4B-4D3B-AF2B-3E138E1A1E88}"/>
    <cellStyle name="常规 19 3 2 6 2" xfId="2604" xr:uid="{4A587295-860D-4762-BCA7-1734AA0D95D2}"/>
    <cellStyle name="常规 19 3 2 7" xfId="2605" xr:uid="{BF4C0017-C581-409E-A7DF-72F969531D39}"/>
    <cellStyle name="常规 19 3 3" xfId="2606" xr:uid="{BCFE0B22-7148-4AB3-8EDD-EF1CA30E0D03}"/>
    <cellStyle name="常规 19 3 3 2" xfId="2607" xr:uid="{1B4135B9-DDBC-4921-A1BB-17C2CE2A559D}"/>
    <cellStyle name="常规 19 3 3 2 2" xfId="2608" xr:uid="{EA49BFA8-BE28-436C-BC88-526AA66655DC}"/>
    <cellStyle name="常规 19 3 3 2 2 2" xfId="2609" xr:uid="{69D22A51-DADA-41A5-A638-DA8D9354A72C}"/>
    <cellStyle name="常规 19 3 3 2 2 2 2" xfId="2610" xr:uid="{FAC368A9-6C81-4B6C-A5C0-E0175661E64F}"/>
    <cellStyle name="常规 19 3 3 2 2 2 2 2" xfId="2611" xr:uid="{AD1EEC14-A8D4-4E21-B4DC-3FA51F01310E}"/>
    <cellStyle name="常规 19 3 3 2 2 2 3" xfId="2612" xr:uid="{A7680D8B-0C10-4D0C-8968-E2D4D92B6799}"/>
    <cellStyle name="常规 19 3 3 2 2 3" xfId="2613" xr:uid="{7D8AFD8B-462F-49D5-BD70-F5E20D055989}"/>
    <cellStyle name="常规 19 3 3 2 2 3 2" xfId="2614" xr:uid="{40114EC6-D05B-41A0-95D6-7FAB7FDC8599}"/>
    <cellStyle name="常规 19 3 3 2 2 4" xfId="2615" xr:uid="{E6B649E5-BF77-4273-BFA4-14E1490BD0D1}"/>
    <cellStyle name="常规 19 3 3 2 3" xfId="2616" xr:uid="{392F7FB1-5D27-41ED-943E-FB21674A3F0D}"/>
    <cellStyle name="常规 19 3 3 2 3 2" xfId="2617" xr:uid="{A1EF91DE-A2C6-460C-A505-06305ADD88A9}"/>
    <cellStyle name="常规 19 3 3 2 3 2 2" xfId="2618" xr:uid="{31A38913-2B53-45EA-8156-6203A003C351}"/>
    <cellStyle name="常规 19 3 3 2 3 3" xfId="2619" xr:uid="{FE114DDA-476D-4C61-AD66-606784C0D3EF}"/>
    <cellStyle name="常规 19 3 3 2 4" xfId="2620" xr:uid="{AAB619A5-BD31-4D17-AFEA-91418811C01B}"/>
    <cellStyle name="常规 19 3 3 2 4 2" xfId="2621" xr:uid="{26481192-3119-4DC5-967D-41FB671EE366}"/>
    <cellStyle name="常规 19 3 3 2 5" xfId="2622" xr:uid="{B32D818B-8A97-4254-AF4E-0D8B8366423F}"/>
    <cellStyle name="常规 19 3 3 3" xfId="2623" xr:uid="{8A39DE13-5958-425B-8840-8E6A1053FE3D}"/>
    <cellStyle name="常规 19 3 3 3 2" xfId="2624" xr:uid="{F065785A-36E2-4E2E-9954-744415DB30DC}"/>
    <cellStyle name="常规 19 3 3 3 2 2" xfId="2625" xr:uid="{6445D401-FE52-4A8D-AE71-9E0E602F7357}"/>
    <cellStyle name="常规 19 3 3 3 2 2 2" xfId="2626" xr:uid="{E71AD5D9-0E92-492E-B8C4-9048D1A4B5BE}"/>
    <cellStyle name="常规 19 3 3 3 2 3" xfId="2627" xr:uid="{4D9AFD59-9256-4FB7-A2F7-AB375C189160}"/>
    <cellStyle name="常规 19 3 3 3 3" xfId="2628" xr:uid="{8D87C2EB-1D7A-456D-BF8A-E0B281443D21}"/>
    <cellStyle name="常规 19 3 3 3 3 2" xfId="2629" xr:uid="{53FCB15D-24BB-4966-8DFD-C98770322A6B}"/>
    <cellStyle name="常规 19 3 3 3 4" xfId="2630" xr:uid="{3230EEE5-2651-4179-98A9-27109AA6BE65}"/>
    <cellStyle name="常规 19 3 3 4" xfId="2631" xr:uid="{E8EC2A24-934A-42F5-84DA-B792DBD3EAFF}"/>
    <cellStyle name="常规 19 3 3 4 2" xfId="2632" xr:uid="{227BD5A6-16FE-4EAA-B42E-CD92D917E464}"/>
    <cellStyle name="常规 19 3 3 4 2 2" xfId="2633" xr:uid="{1E99AD14-BA5A-45D2-A3AF-DB7B105D6E0E}"/>
    <cellStyle name="常规 19 3 3 4 3" xfId="2634" xr:uid="{B84AB4C1-81E2-4D8E-88FC-01BA250EA613}"/>
    <cellStyle name="常规 19 3 3 5" xfId="2635" xr:uid="{331B3E32-67BA-4ACD-85FF-F9202159CBCE}"/>
    <cellStyle name="常规 19 3 3 5 2" xfId="2636" xr:uid="{2DA9A7D7-D0BF-427A-8276-DADC7E5A1FAB}"/>
    <cellStyle name="常规 19 3 3 6" xfId="2637" xr:uid="{AF8A2FDA-616A-4B9B-AFD3-8AD27F9061D5}"/>
    <cellStyle name="常规 19 3 4" xfId="2638" xr:uid="{7F7C4A2E-AEF0-48D0-A71C-A0CB1D2242EB}"/>
    <cellStyle name="常规 19 3 4 2" xfId="2639" xr:uid="{F03077C8-6B25-468A-B5E0-337CBDF853D0}"/>
    <cellStyle name="常规 19 3 4 2 2" xfId="2640" xr:uid="{14B36E0F-ECB0-4E31-A40C-0DD1688DEB66}"/>
    <cellStyle name="常规 19 3 4 2 2 2" xfId="2641" xr:uid="{79DF160D-5768-401E-8F99-E58123AE4BEE}"/>
    <cellStyle name="常规 19 3 4 2 2 2 2" xfId="2642" xr:uid="{86C2AE61-A871-493D-91E0-1ADEF48AFCFA}"/>
    <cellStyle name="常规 19 3 4 2 2 3" xfId="2643" xr:uid="{39E205CD-FA2F-4925-8192-8BE2EE0979E2}"/>
    <cellStyle name="常规 19 3 4 2 3" xfId="2644" xr:uid="{DDE2F338-9ACC-4A95-855E-9121B35B710D}"/>
    <cellStyle name="常规 19 3 4 2 3 2" xfId="2645" xr:uid="{70B75999-E775-422C-9818-2D054683BA36}"/>
    <cellStyle name="常规 19 3 4 2 4" xfId="2646" xr:uid="{9C9A1B6B-01D2-4D8D-A220-D528110DA576}"/>
    <cellStyle name="常规 19 3 4 3" xfId="2647" xr:uid="{B0E3D10E-B8F4-47A1-8A37-38ECC3543FB8}"/>
    <cellStyle name="常规 19 3 4 3 2" xfId="2648" xr:uid="{C5D71680-7B75-4614-B968-2BDF636227CB}"/>
    <cellStyle name="常规 19 3 4 3 2 2" xfId="2649" xr:uid="{36F6BFD1-693A-4F82-ABCE-69D6F40F505D}"/>
    <cellStyle name="常规 19 3 4 3 3" xfId="2650" xr:uid="{145F6A35-C812-47E9-8EE5-5D2D4AAC148C}"/>
    <cellStyle name="常规 19 3 4 4" xfId="2651" xr:uid="{050B6EF8-4ECD-4432-90B7-5E494B6CEF84}"/>
    <cellStyle name="常规 19 3 4 4 2" xfId="2652" xr:uid="{712CB763-B65C-4092-9727-7F87EA92F663}"/>
    <cellStyle name="常规 19 3 4 5" xfId="2653" xr:uid="{20540CF0-317C-447F-9873-A6E815E622FE}"/>
    <cellStyle name="常规 19 3 5" xfId="2654" xr:uid="{3AE25773-99E9-45D1-A515-B194CEA42B7C}"/>
    <cellStyle name="常规 19 3 5 2" xfId="2655" xr:uid="{E651D4DF-615A-4C2F-9276-2829CA1B577A}"/>
    <cellStyle name="常规 19 3 5 2 2" xfId="2656" xr:uid="{C1B88F4E-D636-43E4-8A22-052C65B18E26}"/>
    <cellStyle name="常规 19 3 5 2 2 2" xfId="2657" xr:uid="{023A481E-1857-4B61-9BDB-97323AEF1351}"/>
    <cellStyle name="常规 19 3 5 2 3" xfId="2658" xr:uid="{1C96200A-3B01-42C8-A8AB-44D7D5BE0942}"/>
    <cellStyle name="常规 19 3 5 3" xfId="2659" xr:uid="{B4201B6B-063E-4D76-8FE5-E18E6A932A3F}"/>
    <cellStyle name="常规 19 3 5 3 2" xfId="2660" xr:uid="{3D1A15CF-DEE0-4288-94EA-63C92CA4420E}"/>
    <cellStyle name="常规 19 3 5 4" xfId="2661" xr:uid="{FEEF4678-08A2-4DFC-BB11-15E339061863}"/>
    <cellStyle name="常规 19 3 6" xfId="2662" xr:uid="{D9723C7D-DF72-48A6-9F87-CC37A0E5EA8B}"/>
    <cellStyle name="常规 19 3 6 2" xfId="2663" xr:uid="{388E9C1C-1F4E-4BB8-8F3A-B6A11D3A5707}"/>
    <cellStyle name="常规 19 3 6 2 2" xfId="2664" xr:uid="{E447B699-6B2D-4867-B1C0-E565C178C71D}"/>
    <cellStyle name="常规 19 3 6 3" xfId="2665" xr:uid="{62D4D6E4-04D2-40CC-B187-9876D7383269}"/>
    <cellStyle name="常规 19 3 7" xfId="2666" xr:uid="{A190047A-AA8D-425B-814B-5D798FAF2FDF}"/>
    <cellStyle name="常规 19 3 7 2" xfId="2667" xr:uid="{F46754A0-25FE-493A-8CB4-9C1272EC3165}"/>
    <cellStyle name="常规 19 3 8" xfId="2668" xr:uid="{72EBB260-4C16-4818-AF4E-BF9690A5EA56}"/>
    <cellStyle name="常规 19 4" xfId="2669" xr:uid="{4F1A7129-6FBA-41AB-8F45-A674F93E879B}"/>
    <cellStyle name="常规 19 4 2" xfId="2670" xr:uid="{EC3AEC1E-907B-4EF0-A5FD-E481CC0B0688}"/>
    <cellStyle name="常规 19 4 2 2" xfId="2671" xr:uid="{E82285ED-86BF-44E1-A91F-D61E64EB3516}"/>
    <cellStyle name="常规 19 4 2 2 2" xfId="2672" xr:uid="{17FDCECA-AB13-412A-9C07-AF906D25C9D5}"/>
    <cellStyle name="常规 19 4 2 2 2 2" xfId="2673" xr:uid="{E8A123F1-5409-48F4-A05A-A122E7763476}"/>
    <cellStyle name="常规 19 4 2 2 2 2 2" xfId="2674" xr:uid="{2E410EC9-E5C6-4401-8C21-44DF3677BB85}"/>
    <cellStyle name="常规 19 4 2 2 2 2 2 2" xfId="2675" xr:uid="{9289D2B8-EE96-4052-8662-C1F96AF3D72F}"/>
    <cellStyle name="常规 19 4 2 2 2 2 3" xfId="2676" xr:uid="{955280AB-01DE-4164-950D-2361EE934263}"/>
    <cellStyle name="常规 19 4 2 2 2 3" xfId="2677" xr:uid="{64DCA001-EAFB-4EAC-8A5F-EF1D1A57E901}"/>
    <cellStyle name="常规 19 4 2 2 2 3 2" xfId="2678" xr:uid="{0D37C1B5-DFCC-43B6-9745-37EC2127CD1B}"/>
    <cellStyle name="常规 19 4 2 2 2 4" xfId="2679" xr:uid="{4CACAF51-DB48-45E3-AC53-51A27521A964}"/>
    <cellStyle name="常规 19 4 2 2 3" xfId="2680" xr:uid="{D3705A11-5C23-48D4-A9B0-706F719DE844}"/>
    <cellStyle name="常规 19 4 2 2 3 2" xfId="2681" xr:uid="{365383EB-C7EB-4EFE-8D0A-906E97D606AE}"/>
    <cellStyle name="常规 19 4 2 2 3 2 2" xfId="2682" xr:uid="{E616F5B9-94DC-4F75-883B-556AA4869A43}"/>
    <cellStyle name="常规 19 4 2 2 3 3" xfId="2683" xr:uid="{3E0AFD35-3125-483D-B556-3B682E59A6A1}"/>
    <cellStyle name="常规 19 4 2 2 4" xfId="2684" xr:uid="{C346E107-39A8-49A4-AD42-81A73B8BA8C4}"/>
    <cellStyle name="常规 19 4 2 2 4 2" xfId="2685" xr:uid="{CAD1D7E3-81BE-4DA1-8B2A-B05FFE718C35}"/>
    <cellStyle name="常规 19 4 2 2 5" xfId="2686" xr:uid="{C201A9DE-F3FD-4FA4-8700-0E7455E45B98}"/>
    <cellStyle name="常规 19 4 2 3" xfId="2687" xr:uid="{E827BB98-3DC5-4B4C-9CBA-6D7766760881}"/>
    <cellStyle name="常规 19 4 2 3 2" xfId="2688" xr:uid="{8F3199B4-C7E5-4F69-A879-C65E8D2EA925}"/>
    <cellStyle name="常规 19 4 2 3 2 2" xfId="2689" xr:uid="{47A205BD-7AEF-4A9B-B07C-AE4EACA7A6E4}"/>
    <cellStyle name="常规 19 4 2 3 2 2 2" xfId="2690" xr:uid="{DF84A4F5-4769-4189-BB37-5835834F3C64}"/>
    <cellStyle name="常规 19 4 2 3 2 3" xfId="2691" xr:uid="{32E0A7A3-4DCC-4B83-BB61-FF7D876D706F}"/>
    <cellStyle name="常规 19 4 2 3 3" xfId="2692" xr:uid="{30A459C2-C800-4883-92C7-77316760DE22}"/>
    <cellStyle name="常规 19 4 2 3 3 2" xfId="2693" xr:uid="{58B677A3-801B-44BF-87AC-DA23BCFA282B}"/>
    <cellStyle name="常规 19 4 2 3 4" xfId="2694" xr:uid="{68B88BEA-2033-4929-9FB6-686958204E78}"/>
    <cellStyle name="常规 19 4 2 4" xfId="2695" xr:uid="{6A207F0B-22F2-425E-93F6-8B4C7B283C59}"/>
    <cellStyle name="常规 19 4 2 4 2" xfId="2696" xr:uid="{8E08B3AE-A9E6-4B68-AFC3-4B3ED2D241B7}"/>
    <cellStyle name="常规 19 4 2 4 2 2" xfId="2697" xr:uid="{81196E05-3C4C-4CFF-8B8A-7FFBA1A2D012}"/>
    <cellStyle name="常规 19 4 2 4 3" xfId="2698" xr:uid="{09C08A93-A583-4B06-9B0D-6E4AE6C39FDB}"/>
    <cellStyle name="常规 19 4 2 5" xfId="2699" xr:uid="{38DC3BA4-7D18-442F-BCA6-C080021C415A}"/>
    <cellStyle name="常规 19 4 2 5 2" xfId="2700" xr:uid="{CAA49D67-5008-4035-9725-E0C492B77370}"/>
    <cellStyle name="常规 19 4 2 6" xfId="2701" xr:uid="{556D01D5-1F2D-4107-BC44-6837228161CB}"/>
    <cellStyle name="常规 19 4 3" xfId="2702" xr:uid="{8726001A-66C9-455C-AFEA-D2CDCACCDB0C}"/>
    <cellStyle name="常规 19 4 3 2" xfId="2703" xr:uid="{3042DB6C-C493-4946-B461-4AF4DBFD30EC}"/>
    <cellStyle name="常规 19 4 3 2 2" xfId="2704" xr:uid="{1177BBD1-2AF6-473E-A29A-E79CE862C235}"/>
    <cellStyle name="常规 19 4 3 2 2 2" xfId="2705" xr:uid="{74818F4C-1BAB-44E9-AD33-F08519B5E3AE}"/>
    <cellStyle name="常规 19 4 3 2 2 2 2" xfId="2706" xr:uid="{7E88ACB6-C1A4-4EAD-AE27-697CEA0511CD}"/>
    <cellStyle name="常规 19 4 3 2 2 3" xfId="2707" xr:uid="{B98B471D-8F37-4971-8E3D-D4EE53F5C061}"/>
    <cellStyle name="常规 19 4 3 2 3" xfId="2708" xr:uid="{D4E5F04C-35D8-483C-9B74-23DC159A29F1}"/>
    <cellStyle name="常规 19 4 3 2 3 2" xfId="2709" xr:uid="{7E42DA58-57EE-4AA3-BCB4-496E1150DBAE}"/>
    <cellStyle name="常规 19 4 3 2 4" xfId="2710" xr:uid="{8E2132C3-C20A-477E-8B95-E5408F89807C}"/>
    <cellStyle name="常规 19 4 3 3" xfId="2711" xr:uid="{EA037D46-6E43-46F0-834A-0F7DEC6CFB23}"/>
    <cellStyle name="常规 19 4 3 3 2" xfId="2712" xr:uid="{D912BE02-BBF6-463C-BE9E-901B9CD81831}"/>
    <cellStyle name="常规 19 4 3 3 2 2" xfId="2713" xr:uid="{FDFDD9B6-9942-4269-8D4F-7576C73C7D62}"/>
    <cellStyle name="常规 19 4 3 3 3" xfId="2714" xr:uid="{34DAF5C8-DF1C-4943-8B18-AE702C53D1B2}"/>
    <cellStyle name="常规 19 4 3 4" xfId="2715" xr:uid="{083B2998-57AC-4E59-88B2-E66041E19738}"/>
    <cellStyle name="常规 19 4 3 4 2" xfId="2716" xr:uid="{E3AAD78F-20FE-47D1-B26E-75A0A07BEC17}"/>
    <cellStyle name="常规 19 4 3 5" xfId="2717" xr:uid="{6EBFABBE-FC33-4298-ACEE-B41D0D7D3D4E}"/>
    <cellStyle name="常规 19 4 4" xfId="2718" xr:uid="{5FB2562F-4889-42B5-BE50-9E2201EB2D8A}"/>
    <cellStyle name="常规 19 4 4 2" xfId="2719" xr:uid="{EB2E9BB0-2EBA-4F90-800C-2ACE656BB605}"/>
    <cellStyle name="常规 19 4 4 2 2" xfId="2720" xr:uid="{D9529267-8C83-402D-9994-EDC69FAB9B39}"/>
    <cellStyle name="常规 19 4 4 2 2 2" xfId="2721" xr:uid="{FC4F86C8-303D-4CEB-AF3F-661142453BF0}"/>
    <cellStyle name="常规 19 4 4 2 3" xfId="2722" xr:uid="{3A228A66-B0CC-4643-9FB2-B6B5139E1D32}"/>
    <cellStyle name="常规 19 4 4 3" xfId="2723" xr:uid="{C66FF904-DFB6-4E0E-8E6E-B3CB374FF2B4}"/>
    <cellStyle name="常规 19 4 4 3 2" xfId="2724" xr:uid="{6F986FBD-A10F-4E49-8384-4354E61DF5F4}"/>
    <cellStyle name="常规 19 4 4 4" xfId="2725" xr:uid="{01C1CC71-A903-4727-AEEF-86950931C29C}"/>
    <cellStyle name="常规 19 4 5" xfId="2726" xr:uid="{32835AA3-6918-471A-9B16-0EA20E08DEFB}"/>
    <cellStyle name="常规 19 4 5 2" xfId="2727" xr:uid="{69D1351E-A998-44EF-859A-957C4320C2B7}"/>
    <cellStyle name="常规 19 4 5 2 2" xfId="2728" xr:uid="{39365457-FB29-4FD8-B4F3-B13A9008FAAA}"/>
    <cellStyle name="常规 19 4 5 3" xfId="2729" xr:uid="{D3F9C07E-4267-4B82-B155-1E077FBA8041}"/>
    <cellStyle name="常规 19 4 6" xfId="2730" xr:uid="{9520605D-78AC-4795-982F-35CD9C608D1B}"/>
    <cellStyle name="常规 19 4 6 2" xfId="2731" xr:uid="{D39E9B7E-78EA-4169-B5DF-D191C9E17E54}"/>
    <cellStyle name="常规 19 4 7" xfId="2732" xr:uid="{442CB7B1-A2B7-427C-80C4-C0F3E4894381}"/>
    <cellStyle name="常规 19 5" xfId="2733" xr:uid="{6C11660D-81C7-4157-BEFD-E10D36F92885}"/>
    <cellStyle name="常规 19 5 2" xfId="2734" xr:uid="{1750CB04-DD4B-4A2F-8E40-66BCE972E1AA}"/>
    <cellStyle name="常规 19 5 2 2" xfId="2735" xr:uid="{EFB6551F-C5C8-44B8-9BBC-78B9115F20BE}"/>
    <cellStyle name="常规 19 5 2 2 2" xfId="2736" xr:uid="{760513E9-3BCF-40D8-A991-D0466043CE28}"/>
    <cellStyle name="常规 19 5 2 2 2 2" xfId="2737" xr:uid="{00C00E07-850D-45DB-8B66-9C97A7EEC9DC}"/>
    <cellStyle name="常规 19 5 2 2 2 2 2" xfId="2738" xr:uid="{17BA63A5-A6EE-4432-955E-DBAF899C7AB6}"/>
    <cellStyle name="常规 19 5 2 2 2 3" xfId="2739" xr:uid="{35800944-34B4-4211-B6B2-2B852A2B57E2}"/>
    <cellStyle name="常规 19 5 2 2 3" xfId="2740" xr:uid="{ACEB68AC-95E6-408A-B324-902E30373D05}"/>
    <cellStyle name="常规 19 5 2 2 3 2" xfId="2741" xr:uid="{F537DFF7-3C09-4E56-A10C-8BDF5B1FDCD6}"/>
    <cellStyle name="常规 19 5 2 2 4" xfId="2742" xr:uid="{4D621A1F-F853-44B3-9737-0F8337DC63E0}"/>
    <cellStyle name="常规 19 5 2 3" xfId="2743" xr:uid="{DB92F02D-306B-4DB6-A172-6F9D1903C2DD}"/>
    <cellStyle name="常规 19 5 2 3 2" xfId="2744" xr:uid="{7D67DAC0-4ABB-48C5-B082-8E2DA4419E09}"/>
    <cellStyle name="常规 19 5 2 3 2 2" xfId="2745" xr:uid="{6C95508F-8C5C-44CD-882F-A74D50DE43FE}"/>
    <cellStyle name="常规 19 5 2 3 3" xfId="2746" xr:uid="{38983554-15E6-4005-875A-3CF95ACE7791}"/>
    <cellStyle name="常规 19 5 2 4" xfId="2747" xr:uid="{1AF2DC3A-4391-4E14-9A9A-C18B93EC7E4D}"/>
    <cellStyle name="常规 19 5 2 4 2" xfId="2748" xr:uid="{8679295A-F252-4C92-9CA7-FE19EDC7950B}"/>
    <cellStyle name="常规 19 5 2 5" xfId="2749" xr:uid="{B5E7DFF1-64E3-4CD3-8A33-BD0EE5B74F3D}"/>
    <cellStyle name="常规 19 5 3" xfId="2750" xr:uid="{0CB6BE83-2DA8-4AAE-8B81-E5FA039FD045}"/>
    <cellStyle name="常规 19 5 3 2" xfId="2751" xr:uid="{307AB408-DFB6-41BA-A6D6-BCB1E877DE43}"/>
    <cellStyle name="常规 19 5 3 2 2" xfId="2752" xr:uid="{FCE2D14C-CEBF-4D53-9C6A-080F15FBBEF7}"/>
    <cellStyle name="常规 19 5 3 2 2 2" xfId="2753" xr:uid="{E09095D2-8EFB-426D-80CB-DD74827E1A98}"/>
    <cellStyle name="常规 19 5 3 2 3" xfId="2754" xr:uid="{D2D5EAA3-3EEB-4FD4-8ECE-93FD17E84709}"/>
    <cellStyle name="常规 19 5 3 3" xfId="2755" xr:uid="{835AF03D-6201-41AC-8A80-F7DB8B5C2DD3}"/>
    <cellStyle name="常规 19 5 3 3 2" xfId="2756" xr:uid="{793F04EF-CFAF-4B9A-BF54-209816DE4703}"/>
    <cellStyle name="常规 19 5 3 4" xfId="2757" xr:uid="{DA78A796-4579-432C-889D-9CA464AC108F}"/>
    <cellStyle name="常规 19 5 4" xfId="2758" xr:uid="{4DD98313-6962-4CEE-B25C-13EABB1B4DBF}"/>
    <cellStyle name="常规 19 5 4 2" xfId="2759" xr:uid="{DB8BC50F-BF59-4DBD-A68E-1A80084DAF05}"/>
    <cellStyle name="常规 19 5 4 2 2" xfId="2760" xr:uid="{5F53DCBA-25F5-4155-B2A2-BBB2E92A59C7}"/>
    <cellStyle name="常规 19 5 4 3" xfId="2761" xr:uid="{E031BC08-233B-4024-8C35-29011AE2A5DF}"/>
    <cellStyle name="常规 19 5 5" xfId="2762" xr:uid="{E3749633-04EA-45D8-BE97-1A38A4641823}"/>
    <cellStyle name="常规 19 5 5 2" xfId="2763" xr:uid="{0248FB58-F7F5-44D0-80F4-1D059F8FA6EE}"/>
    <cellStyle name="常规 19 5 6" xfId="2764" xr:uid="{38A51BEA-D324-43DC-BFE1-7ED8818297D5}"/>
    <cellStyle name="常规 19 6" xfId="2765" xr:uid="{7FC16ACC-E4CF-42CE-88B8-4130F330C65C}"/>
    <cellStyle name="常规 19 6 2" xfId="2766" xr:uid="{9B62327D-44EA-470C-92DC-CFDF04C89F62}"/>
    <cellStyle name="常规 19 6 2 2" xfId="2767" xr:uid="{D5DC53D3-7BCC-4367-8956-60AEF2B6D7E3}"/>
    <cellStyle name="常规 19 6 2 2 2" xfId="2768" xr:uid="{2A93AB38-6EFC-4BC4-925E-D7EB68449F30}"/>
    <cellStyle name="常规 19 6 2 2 2 2" xfId="2769" xr:uid="{204EADE4-3DBE-4886-A1B3-6375EE329631}"/>
    <cellStyle name="常规 19 6 2 2 3" xfId="2770" xr:uid="{510CE642-9793-47D6-AA5B-B2A1E19BE911}"/>
    <cellStyle name="常规 19 6 2 3" xfId="2771" xr:uid="{33AB30D5-9F2F-414F-8F0E-1ECB5564F995}"/>
    <cellStyle name="常规 19 6 2 3 2" xfId="2772" xr:uid="{95D43221-DE6F-4B13-9828-0056217234E8}"/>
    <cellStyle name="常规 19 6 2 4" xfId="2773" xr:uid="{3590A02E-2C40-4DB0-B5B7-0FEF8DE7CE2B}"/>
    <cellStyle name="常规 19 6 3" xfId="2774" xr:uid="{9A484D20-5443-4A6C-BDB9-F9E327ABA1BA}"/>
    <cellStyle name="常规 19 6 3 2" xfId="2775" xr:uid="{8D22A51D-F7FC-4819-92A9-29195B96FD8B}"/>
    <cellStyle name="常规 19 6 3 2 2" xfId="2776" xr:uid="{15299587-ACB6-4120-951A-2194C5AA5D31}"/>
    <cellStyle name="常规 19 6 3 3" xfId="2777" xr:uid="{9A8D577B-AE00-4B64-A28E-4B0E5DE453CD}"/>
    <cellStyle name="常规 19 6 4" xfId="2778" xr:uid="{465D2C2B-8614-4085-9D9A-3496003A9D57}"/>
    <cellStyle name="常规 19 6 4 2" xfId="2779" xr:uid="{419B08A3-B3AC-4545-8036-86D86DD37EE0}"/>
    <cellStyle name="常规 19 6 5" xfId="2780" xr:uid="{B07105F5-0529-40CB-8CED-D1EBC2FC14F6}"/>
    <cellStyle name="常规 19 7" xfId="2781" xr:uid="{F63E4963-B8EF-4614-BB24-0B300D295918}"/>
    <cellStyle name="常规 19 7 2" xfId="2782" xr:uid="{3584DA75-E5EF-4BED-B595-60E6305CB953}"/>
    <cellStyle name="常规 19 7 2 2" xfId="2783" xr:uid="{866A734B-0973-46EE-A531-B4848B3ECD74}"/>
    <cellStyle name="常规 19 7 2 2 2" xfId="2784" xr:uid="{57B89D79-8E30-4499-9897-2E2D008909DB}"/>
    <cellStyle name="常规 19 7 2 3" xfId="2785" xr:uid="{2A4044CA-50A1-4B79-846D-6D2663DADC22}"/>
    <cellStyle name="常规 19 7 3" xfId="2786" xr:uid="{5D1C98AE-9824-4BDE-BBB3-B9487A0BD653}"/>
    <cellStyle name="常规 19 7 3 2" xfId="2787" xr:uid="{7E05624C-54C7-4540-B520-CD7497B9E892}"/>
    <cellStyle name="常规 19 7 4" xfId="2788" xr:uid="{08975CF6-E276-48E9-BD6A-ADE5F135E0CE}"/>
    <cellStyle name="常规 19 8" xfId="2789" xr:uid="{78783DDA-4AFB-4385-813C-7D2DE1E37AB2}"/>
    <cellStyle name="常规 19 8 2" xfId="2790" xr:uid="{EFB2EC81-CE6C-44A7-A4A7-D7406152D442}"/>
    <cellStyle name="常规 19 8 2 2" xfId="2791" xr:uid="{FC9EF78F-A52A-43B1-8A27-2AA60E91676F}"/>
    <cellStyle name="常规 19 8 3" xfId="2792" xr:uid="{6FC65EC8-5D27-4AFA-BB07-8D64603CCDF2}"/>
    <cellStyle name="常规 19 9" xfId="2793" xr:uid="{E9819317-D2EB-4217-A2B9-4279C26219D4}"/>
    <cellStyle name="常规 19 9 2" xfId="2794" xr:uid="{ACC14D58-45F8-400E-B2A3-A90E27F8C38C}"/>
    <cellStyle name="常规 2" xfId="2795" xr:uid="{0EF600B7-F47C-493A-A558-BF92E78BF101}"/>
    <cellStyle name="常规 2 2" xfId="2796" xr:uid="{BBCC0009-6C68-4C98-B644-EFFEFD53D218}"/>
    <cellStyle name="常规 2 2 2 2" xfId="2797" xr:uid="{8A9E0FAC-5A40-467B-BEC7-9C5FD529B1D7}"/>
    <cellStyle name="常规 2 2 2 2 2" xfId="2798" xr:uid="{5566E181-450B-4C3C-9EBE-C026E12F1810}"/>
    <cellStyle name="常规 2_Xl0000072" xfId="2799" xr:uid="{C1FF7F88-11DF-4385-A934-05959486A05D}"/>
    <cellStyle name="常规 20" xfId="2800" xr:uid="{3AA93F80-F509-4592-93DF-87D5CFE65BF6}"/>
    <cellStyle name="常规 20 10" xfId="2801" xr:uid="{98DE5914-14C2-4849-BD5E-447086B408D2}"/>
    <cellStyle name="常规 20 2" xfId="2802" xr:uid="{7E1DA8BE-410C-47BF-96B5-91C3717D2AA1}"/>
    <cellStyle name="常规 20 2 2" xfId="2803" xr:uid="{0744C49B-3D9A-45DD-A020-56573EFAAEFD}"/>
    <cellStyle name="常规 20 2 2 2" xfId="2804" xr:uid="{A3C6F6DF-9DDD-4149-B564-F9C41CF0EE86}"/>
    <cellStyle name="常规 20 2 2 2 2" xfId="2805" xr:uid="{1C779DCB-DB85-48C1-9BC5-81F1294774AA}"/>
    <cellStyle name="常规 20 2 2 2 2 2" xfId="2806" xr:uid="{8C5D66A2-178D-424E-ADED-8C0E574C2453}"/>
    <cellStyle name="常规 20 2 2 2 2 2 2" xfId="2807" xr:uid="{D24A5651-FD3F-4BB3-9263-DE59601F9172}"/>
    <cellStyle name="常规 20 2 2 2 2 2 2 2" xfId="2808" xr:uid="{8CEC373A-5067-4751-9F36-46D083056F6A}"/>
    <cellStyle name="常规 20 2 2 2 2 2 2 2 2" xfId="2809" xr:uid="{5E6F3918-67C9-4CCD-88FF-7AA09BE5A49F}"/>
    <cellStyle name="常规 20 2 2 2 2 2 2 2 2 2" xfId="2810" xr:uid="{7DFE8E1B-2E65-4BF0-93AF-A131736AD89C}"/>
    <cellStyle name="常规 20 2 2 2 2 2 2 2 3" xfId="2811" xr:uid="{6DA25375-5CC3-4947-ABB2-ACB5DF545D10}"/>
    <cellStyle name="常规 20 2 2 2 2 2 2 3" xfId="2812" xr:uid="{8AEFC37E-D21B-476C-B8B6-6D700235EE20}"/>
    <cellStyle name="常规 20 2 2 2 2 2 2 3 2" xfId="2813" xr:uid="{9AE1CB2C-1D29-4265-811C-A7062A188FA9}"/>
    <cellStyle name="常规 20 2 2 2 2 2 2 4" xfId="2814" xr:uid="{C68C99A9-7143-4D16-B021-15435C551690}"/>
    <cellStyle name="常规 20 2 2 2 2 2 3" xfId="2815" xr:uid="{F6E99C86-7543-4BF3-A06E-2B335DA30C51}"/>
    <cellStyle name="常规 20 2 2 2 2 2 3 2" xfId="2816" xr:uid="{66D27ECF-B6CC-429B-8C2C-8811B52C8580}"/>
    <cellStyle name="常规 20 2 2 2 2 2 3 2 2" xfId="2817" xr:uid="{F032BBEA-4073-4E77-AA8A-0F67CCBA2444}"/>
    <cellStyle name="常规 20 2 2 2 2 2 3 3" xfId="2818" xr:uid="{CF9AB126-3575-4011-B9D6-EE9135345FFF}"/>
    <cellStyle name="常规 20 2 2 2 2 2 4" xfId="2819" xr:uid="{18B1094B-6943-497A-8BC9-411DDCCDFC3B}"/>
    <cellStyle name="常规 20 2 2 2 2 2 4 2" xfId="2820" xr:uid="{1627DF69-5422-43B2-B95F-6C31FC62219C}"/>
    <cellStyle name="常规 20 2 2 2 2 2 5" xfId="2821" xr:uid="{3348616B-BD21-4F6B-AC84-17E025B66B1F}"/>
    <cellStyle name="常规 20 2 2 2 2 3" xfId="2822" xr:uid="{1FBE4FC1-0243-448A-B66F-22C7215855CA}"/>
    <cellStyle name="常规 20 2 2 2 2 3 2" xfId="2823" xr:uid="{F959B4F4-2742-4BE6-A2DD-1D2DDD364166}"/>
    <cellStyle name="常规 20 2 2 2 2 3 2 2" xfId="2824" xr:uid="{BBEAD7B7-0281-4588-8FF5-4EB7F449D941}"/>
    <cellStyle name="常规 20 2 2 2 2 3 2 2 2" xfId="2825" xr:uid="{878C74DF-DA70-48CF-A3A2-9BA8C2B0F1D9}"/>
    <cellStyle name="常规 20 2 2 2 2 3 2 3" xfId="2826" xr:uid="{2F90F2B7-5FB1-4351-BE46-F284E3DAA321}"/>
    <cellStyle name="常规 20 2 2 2 2 3 3" xfId="2827" xr:uid="{937E7194-E610-4FB5-969F-8F9B4E41C543}"/>
    <cellStyle name="常规 20 2 2 2 2 3 3 2" xfId="2828" xr:uid="{3A04E5D1-9095-4F98-946D-7B594C91B809}"/>
    <cellStyle name="常规 20 2 2 2 2 3 4" xfId="2829" xr:uid="{8BC406D9-FC4A-457A-942E-A9CC1AC9B7F7}"/>
    <cellStyle name="常规 20 2 2 2 2 4" xfId="2830" xr:uid="{0E239A5B-9752-4096-9C1E-1D3DFEFDA155}"/>
    <cellStyle name="常规 20 2 2 2 2 4 2" xfId="2831" xr:uid="{C0B5D7AF-8D08-48EF-BB70-AB4FEB24050F}"/>
    <cellStyle name="常规 20 2 2 2 2 4 2 2" xfId="2832" xr:uid="{8116FB64-838E-45A9-BBC3-AA8489093403}"/>
    <cellStyle name="常规 20 2 2 2 2 4 3" xfId="2833" xr:uid="{DA7AF7AE-82F8-4D87-83BB-DA75296FF7AD}"/>
    <cellStyle name="常规 20 2 2 2 2 5" xfId="2834" xr:uid="{0FCA90CB-27CA-47FA-BA4A-8C31696924B0}"/>
    <cellStyle name="常规 20 2 2 2 2 5 2" xfId="2835" xr:uid="{6426BE1A-CDB2-426F-9A5C-A378D49E5C3D}"/>
    <cellStyle name="常规 20 2 2 2 2 6" xfId="2836" xr:uid="{6C317536-013A-410F-8828-E00CCBF12AB4}"/>
    <cellStyle name="常规 20 2 2 2 3" xfId="2837" xr:uid="{73001354-6F77-4841-ADAC-5EAE6ADCAB09}"/>
    <cellStyle name="常规 20 2 2 2 3 2" xfId="2838" xr:uid="{7208B878-783A-486C-A8A3-7D4009E512DD}"/>
    <cellStyle name="常规 20 2 2 2 3 2 2" xfId="2839" xr:uid="{A7F97D96-0076-4995-9DB8-7097CCC177BE}"/>
    <cellStyle name="常规 20 2 2 2 3 2 2 2" xfId="2840" xr:uid="{51F3179B-1C26-4E8F-AF4F-61878EFDA7D6}"/>
    <cellStyle name="常规 20 2 2 2 3 2 2 2 2" xfId="2841" xr:uid="{1D044EF5-D4D1-4031-B357-2D8A8CFF5BD7}"/>
    <cellStyle name="常规 20 2 2 2 3 2 2 3" xfId="2842" xr:uid="{F0600420-0607-46A5-8338-76C674B62663}"/>
    <cellStyle name="常规 20 2 2 2 3 2 3" xfId="2843" xr:uid="{B0BE6F62-97D4-4DDF-A546-5C866CDB8385}"/>
    <cellStyle name="常规 20 2 2 2 3 2 3 2" xfId="2844" xr:uid="{433B5DE1-4053-40CC-AB6C-469C97DDD1BC}"/>
    <cellStyle name="常规 20 2 2 2 3 2 4" xfId="2845" xr:uid="{BBDB470B-94DD-41D4-B92A-E6B6526E7593}"/>
    <cellStyle name="常规 20 2 2 2 3 3" xfId="2846" xr:uid="{81C233F6-744F-4B0E-9E00-0A802379EBB3}"/>
    <cellStyle name="常规 20 2 2 2 3 3 2" xfId="2847" xr:uid="{D68DF83A-587C-4186-9ECF-452B8F117414}"/>
    <cellStyle name="常规 20 2 2 2 3 3 2 2" xfId="2848" xr:uid="{5F65C43C-F12C-4034-8B55-A97533546832}"/>
    <cellStyle name="常规 20 2 2 2 3 3 3" xfId="2849" xr:uid="{BF004E63-77CB-4334-B1B7-7BB674AB4BE0}"/>
    <cellStyle name="常规 20 2 2 2 3 4" xfId="2850" xr:uid="{F2E3AFE8-17C5-4E53-91F8-D9728418C590}"/>
    <cellStyle name="常规 20 2 2 2 3 4 2" xfId="2851" xr:uid="{8C454EEB-920A-4351-9D23-ADCF82BECA58}"/>
    <cellStyle name="常规 20 2 2 2 3 5" xfId="2852" xr:uid="{52E9D1E7-B0D1-4D9A-8E01-1D6672B2DD46}"/>
    <cellStyle name="常规 20 2 2 2 4" xfId="2853" xr:uid="{AD97A789-7149-465F-8F96-E22CD3CEB49A}"/>
    <cellStyle name="常规 20 2 2 2 4 2" xfId="2854" xr:uid="{EBE17525-8BC0-4EA8-8665-ED4B04B03430}"/>
    <cellStyle name="常规 20 2 2 2 4 2 2" xfId="2855" xr:uid="{58295BBB-A24D-41DF-B023-9DBB4239B22E}"/>
    <cellStyle name="常规 20 2 2 2 4 2 2 2" xfId="2856" xr:uid="{B2CDC333-9F4B-433B-BD99-C3F92518C132}"/>
    <cellStyle name="常规 20 2 2 2 4 2 3" xfId="2857" xr:uid="{EFE4D6A2-0333-4B5C-AE34-C602CACB189D}"/>
    <cellStyle name="常规 20 2 2 2 4 3" xfId="2858" xr:uid="{89B2C2D9-61B4-48EE-8F2C-6FE37853D7F5}"/>
    <cellStyle name="常规 20 2 2 2 4 3 2" xfId="2859" xr:uid="{FB132F2A-77EE-4730-B8E4-CE7342451769}"/>
    <cellStyle name="常规 20 2 2 2 4 4" xfId="2860" xr:uid="{3C3D0AFC-0487-4972-AA7A-7334FA69C280}"/>
    <cellStyle name="常规 20 2 2 2 5" xfId="2861" xr:uid="{46A8EC7A-0D30-45BE-876F-B750647576B6}"/>
    <cellStyle name="常规 20 2 2 2 5 2" xfId="2862" xr:uid="{8FA8B261-DAA3-469A-BE80-30C03EFE47BF}"/>
    <cellStyle name="常规 20 2 2 2 5 2 2" xfId="2863" xr:uid="{3D29A8AE-6C99-4D04-B825-38C8170D604F}"/>
    <cellStyle name="常规 20 2 2 2 5 3" xfId="2864" xr:uid="{D5F04558-686C-452A-A88E-C04B700CA614}"/>
    <cellStyle name="常规 20 2 2 2 6" xfId="2865" xr:uid="{74694A1B-6A3A-4262-9142-F45D64DE5F84}"/>
    <cellStyle name="常规 20 2 2 2 6 2" xfId="2866" xr:uid="{73C03FB2-F557-4F77-9513-EB369B4DC8DF}"/>
    <cellStyle name="常规 20 2 2 2 7" xfId="2867" xr:uid="{93F64B27-8723-43A2-8767-2DB094C0677F}"/>
    <cellStyle name="常规 20 2 2 3" xfId="2868" xr:uid="{12291950-C1EA-466C-A608-4ADC727D0915}"/>
    <cellStyle name="常规 20 2 2 3 2" xfId="2869" xr:uid="{9417A05A-6E83-4A0C-9832-F9DDA2DB1347}"/>
    <cellStyle name="常规 20 2 2 3 2 2" xfId="2870" xr:uid="{390F497A-2158-4D10-B429-930DFBEDBA5A}"/>
    <cellStyle name="常规 20 2 2 3 2 2 2" xfId="2871" xr:uid="{4F99833F-EE28-4D5F-BAE6-96C97F4883AC}"/>
    <cellStyle name="常规 20 2 2 3 2 2 2 2" xfId="2872" xr:uid="{F1EDDA45-8C5B-487B-A594-1562E2E91E0D}"/>
    <cellStyle name="常规 20 2 2 3 2 2 2 2 2" xfId="2873" xr:uid="{19337628-01B8-42E0-85EB-5F61EF8F11A0}"/>
    <cellStyle name="常规 20 2 2 3 2 2 2 3" xfId="2874" xr:uid="{DB976943-F5DD-4C84-BDF8-66487C2E80AE}"/>
    <cellStyle name="常规 20 2 2 3 2 2 3" xfId="2875" xr:uid="{541F1A75-99F3-4DC4-B22C-2C3631DDB2DB}"/>
    <cellStyle name="常规 20 2 2 3 2 2 3 2" xfId="2876" xr:uid="{4A8441DC-A3E5-4AA9-88C1-04D3B54D0A13}"/>
    <cellStyle name="常规 20 2 2 3 2 2 4" xfId="2877" xr:uid="{5B3620B9-45AE-481C-B1F2-1C01D9E4795C}"/>
    <cellStyle name="常规 20 2 2 3 2 3" xfId="2878" xr:uid="{619D7802-0210-4844-A825-169BE0292FE9}"/>
    <cellStyle name="常规 20 2 2 3 2 3 2" xfId="2879" xr:uid="{552F7B0A-B8FD-49D1-BB82-D378D8B04446}"/>
    <cellStyle name="常规 20 2 2 3 2 3 2 2" xfId="2880" xr:uid="{653D7C6F-5382-4A12-B05A-8A90F31DC95C}"/>
    <cellStyle name="常规 20 2 2 3 2 3 3" xfId="2881" xr:uid="{6BBCA795-2C07-4254-B97E-091B86790620}"/>
    <cellStyle name="常规 20 2 2 3 2 4" xfId="2882" xr:uid="{C6566D61-1FDE-4CDF-9CA6-25A01B7DD114}"/>
    <cellStyle name="常规 20 2 2 3 2 4 2" xfId="2883" xr:uid="{F16078E0-9EB5-4282-BC7C-AD082D300A01}"/>
    <cellStyle name="常规 20 2 2 3 2 5" xfId="2884" xr:uid="{1FC6CCAA-976F-4E98-8B03-A5FC416F84A2}"/>
    <cellStyle name="常规 20 2 2 3 3" xfId="2885" xr:uid="{1AEE6B83-3BAE-41C0-A08A-38796B8D083F}"/>
    <cellStyle name="常规 20 2 2 3 3 2" xfId="2886" xr:uid="{42182AB4-4118-4853-A37D-0089DEF41985}"/>
    <cellStyle name="常规 20 2 2 3 3 2 2" xfId="2887" xr:uid="{7360C5D7-043B-4E8F-B4E8-C5A4C81B0414}"/>
    <cellStyle name="常规 20 2 2 3 3 2 2 2" xfId="2888" xr:uid="{F6EDD84E-DCC6-4FE6-A324-6CFCF0CA5B33}"/>
    <cellStyle name="常规 20 2 2 3 3 2 3" xfId="2889" xr:uid="{FA99DC8A-C618-4DA7-8F53-E709718AD52A}"/>
    <cellStyle name="常规 20 2 2 3 3 3" xfId="2890" xr:uid="{2B537491-39BE-4096-948C-FCCCCA7BA0DC}"/>
    <cellStyle name="常规 20 2 2 3 3 3 2" xfId="2891" xr:uid="{DC5B87EF-03AD-4860-A9BA-04251499220E}"/>
    <cellStyle name="常规 20 2 2 3 3 4" xfId="2892" xr:uid="{A778E1CE-9E12-42EF-8289-2D20D5F3593B}"/>
    <cellStyle name="常规 20 2 2 3 4" xfId="2893" xr:uid="{E6EE2966-C5F4-45D4-A0E3-282472F44BA9}"/>
    <cellStyle name="常规 20 2 2 3 4 2" xfId="2894" xr:uid="{53F6681A-8B44-4B9E-8FA3-03F0D45F156A}"/>
    <cellStyle name="常规 20 2 2 3 4 2 2" xfId="2895" xr:uid="{5CC2F0CF-AC69-4FBB-B488-CFE280C686CA}"/>
    <cellStyle name="常规 20 2 2 3 4 3" xfId="2896" xr:uid="{856B5AB9-E241-47C3-8E00-E09B24431BEF}"/>
    <cellStyle name="常规 20 2 2 3 5" xfId="2897" xr:uid="{CF142705-47C6-4C39-972D-4C474D9F6F53}"/>
    <cellStyle name="常规 20 2 2 3 5 2" xfId="2898" xr:uid="{EAD72318-29D0-4AEF-BEC4-198444E2A9C6}"/>
    <cellStyle name="常规 20 2 2 3 6" xfId="2899" xr:uid="{EDDD0BD3-6611-4ABF-A597-3E2F7D662876}"/>
    <cellStyle name="常规 20 2 2 4" xfId="2900" xr:uid="{BA7EBA76-86EA-47D3-9A7C-4039BA4D6952}"/>
    <cellStyle name="常规 20 2 2 4 2" xfId="2901" xr:uid="{225F987A-8C10-40A9-9D89-D148F5D31778}"/>
    <cellStyle name="常规 20 2 2 4 2 2" xfId="2902" xr:uid="{59343B6D-A634-4269-ACD5-AB03A463BBFA}"/>
    <cellStyle name="常规 20 2 2 4 2 2 2" xfId="2903" xr:uid="{91416828-F3EA-455E-809D-7527647CE0B6}"/>
    <cellStyle name="常规 20 2 2 4 2 2 2 2" xfId="2904" xr:uid="{19334A1E-8BB5-4466-A970-A6C756270B0F}"/>
    <cellStyle name="常规 20 2 2 4 2 2 3" xfId="2905" xr:uid="{1C3CEFDF-D56B-47CF-B0AA-5D956FE20048}"/>
    <cellStyle name="常规 20 2 2 4 2 3" xfId="2906" xr:uid="{74108CCF-09BE-4803-A6F5-711909D2C575}"/>
    <cellStyle name="常规 20 2 2 4 2 3 2" xfId="2907" xr:uid="{CF04284D-4216-4909-AD40-4284C31DE417}"/>
    <cellStyle name="常规 20 2 2 4 2 4" xfId="2908" xr:uid="{F9896C22-5E2B-4797-81BE-E8F0CD9D5587}"/>
    <cellStyle name="常规 20 2 2 4 3" xfId="2909" xr:uid="{BAD931A4-E41C-4BA6-8900-D1AD31CD1B4B}"/>
    <cellStyle name="常规 20 2 2 4 3 2" xfId="2910" xr:uid="{214EBBBF-181A-4199-87C4-AF005D1593D7}"/>
    <cellStyle name="常规 20 2 2 4 3 2 2" xfId="2911" xr:uid="{A7FF8EB4-F15A-4EE2-AE8E-52D70AD6887F}"/>
    <cellStyle name="常规 20 2 2 4 3 3" xfId="2912" xr:uid="{843F4CE4-1DD5-4DE4-A3D3-4AF59D1F5162}"/>
    <cellStyle name="常规 20 2 2 4 4" xfId="2913" xr:uid="{99D37D10-EA67-45B7-88A0-4B0D1C27AA8C}"/>
    <cellStyle name="常规 20 2 2 4 4 2" xfId="2914" xr:uid="{B8670DB3-987C-4AB7-B31E-BC57F55E4D73}"/>
    <cellStyle name="常规 20 2 2 4 5" xfId="2915" xr:uid="{A3B23517-308D-4820-8471-3B8F154C18FB}"/>
    <cellStyle name="常规 20 2 2 5" xfId="2916" xr:uid="{22BDD0E1-D3F2-474F-89B3-13AE523A3B06}"/>
    <cellStyle name="常规 20 2 2 5 2" xfId="2917" xr:uid="{6125D3A8-8150-4838-A239-7E7776EBC7F0}"/>
    <cellStyle name="常规 20 2 2 5 2 2" xfId="2918" xr:uid="{136F0C97-72D3-4DCF-AFB0-1E3670A7D00F}"/>
    <cellStyle name="常规 20 2 2 5 2 2 2" xfId="2919" xr:uid="{13EC3869-A058-40A9-82C7-031E7ECBC3B4}"/>
    <cellStyle name="常规 20 2 2 5 2 3" xfId="2920" xr:uid="{DEBA0D49-9AEC-435A-904E-6A3359D314A3}"/>
    <cellStyle name="常规 20 2 2 5 3" xfId="2921" xr:uid="{64898D4E-E70E-47C3-9EE6-CA5260186436}"/>
    <cellStyle name="常规 20 2 2 5 3 2" xfId="2922" xr:uid="{D26BBA0E-58E1-4766-99E7-EF5F7402F1BE}"/>
    <cellStyle name="常规 20 2 2 5 4" xfId="2923" xr:uid="{0F96F592-1EFA-4BA8-BB33-3471E99B6843}"/>
    <cellStyle name="常规 20 2 2 6" xfId="2924" xr:uid="{161C2533-680E-4564-A587-80E2D9975904}"/>
    <cellStyle name="常规 20 2 2 6 2" xfId="2925" xr:uid="{2D158984-12BE-49BC-97DB-CB3503F699F0}"/>
    <cellStyle name="常规 20 2 2 6 2 2" xfId="2926" xr:uid="{2347657F-9B8D-4635-A790-5ABE74E98B9F}"/>
    <cellStyle name="常规 20 2 2 6 3" xfId="2927" xr:uid="{8392C36C-7755-4032-ADF3-AA6BB546EE30}"/>
    <cellStyle name="常规 20 2 2 7" xfId="2928" xr:uid="{6C88FB03-7820-4B0B-8D96-C2A8E1405559}"/>
    <cellStyle name="常规 20 2 2 7 2" xfId="2929" xr:uid="{6D845023-5F06-40F4-B370-9E4A85E64579}"/>
    <cellStyle name="常规 20 2 2 8" xfId="2930" xr:uid="{6812C9E8-6172-480A-816F-E47A2CE7BAD8}"/>
    <cellStyle name="常规 20 2 3" xfId="2931" xr:uid="{98C77877-F7DA-4E4F-BDD7-54762EE89FFF}"/>
    <cellStyle name="常规 20 2 3 2" xfId="2932" xr:uid="{0E48E1FE-BB4C-4E40-92DF-4808FA2DA0E0}"/>
    <cellStyle name="常规 20 2 3 2 2" xfId="2933" xr:uid="{052F7AD4-04DE-48F7-82A5-351CEFB5A7C3}"/>
    <cellStyle name="常规 20 2 3 2 2 2" xfId="2934" xr:uid="{E55089C1-58A7-41F9-B945-2C7F0CD368B0}"/>
    <cellStyle name="常规 20 2 3 2 2 2 2" xfId="2935" xr:uid="{673D6874-75FC-41A5-8D83-71FB98342E87}"/>
    <cellStyle name="常规 20 2 3 2 2 2 2 2" xfId="2936" xr:uid="{DB001D69-842D-46A2-A561-6B522B1A4170}"/>
    <cellStyle name="常规 20 2 3 2 2 2 2 2 2" xfId="2937" xr:uid="{57A88A3E-D02D-4B10-B760-F9BC310563B5}"/>
    <cellStyle name="常规 20 2 3 2 2 2 2 3" xfId="2938" xr:uid="{3587EECF-A8AA-44A3-AF92-A6DE3951063A}"/>
    <cellStyle name="常规 20 2 3 2 2 2 3" xfId="2939" xr:uid="{4DA4B1B3-B0D5-43C2-B9CA-66C8B2F2A0A7}"/>
    <cellStyle name="常规 20 2 3 2 2 2 3 2" xfId="2940" xr:uid="{8CF9BC8C-FE1D-44BC-8572-834416184552}"/>
    <cellStyle name="常规 20 2 3 2 2 2 4" xfId="2941" xr:uid="{030F72A6-3D8E-4BC0-9B2A-0899C19C320F}"/>
    <cellStyle name="常规 20 2 3 2 2 3" xfId="2942" xr:uid="{770D4BD7-C91B-449D-A0FD-C2D6EE320786}"/>
    <cellStyle name="常规 20 2 3 2 2 3 2" xfId="2943" xr:uid="{D9063729-17C9-4649-B17D-00F549F4C96A}"/>
    <cellStyle name="常规 20 2 3 2 2 3 2 2" xfId="2944" xr:uid="{AA7E4176-8F4C-42E0-892E-5CEB485652D2}"/>
    <cellStyle name="常规 20 2 3 2 2 3 3" xfId="2945" xr:uid="{E8988E20-37B7-45FA-9E17-A9A4D5AFD1FC}"/>
    <cellStyle name="常规 20 2 3 2 2 4" xfId="2946" xr:uid="{7D41F4E3-C35C-44C3-BF8C-D6FD6F90A3F1}"/>
    <cellStyle name="常规 20 2 3 2 2 4 2" xfId="2947" xr:uid="{163727FF-7FE0-4C25-B864-0A8FFEE21A71}"/>
    <cellStyle name="常规 20 2 3 2 2 5" xfId="2948" xr:uid="{4777D2C9-9914-4779-BEC3-AD4FDCD80559}"/>
    <cellStyle name="常规 20 2 3 2 3" xfId="2949" xr:uid="{7CF5250C-C536-4B56-B2A6-AA2C31913034}"/>
    <cellStyle name="常规 20 2 3 2 3 2" xfId="2950" xr:uid="{8692BB32-B73E-4BC1-BF9F-70C0444FDDC4}"/>
    <cellStyle name="常规 20 2 3 2 3 2 2" xfId="2951" xr:uid="{DC4B8F2B-A5CA-4F30-A596-C38DBC784312}"/>
    <cellStyle name="常规 20 2 3 2 3 2 2 2" xfId="2952" xr:uid="{2DF5A75E-1C1D-4A4D-8502-CE129DA233EB}"/>
    <cellStyle name="常规 20 2 3 2 3 2 3" xfId="2953" xr:uid="{0B81A38F-5EAD-4227-8672-130DA4430F97}"/>
    <cellStyle name="常规 20 2 3 2 3 3" xfId="2954" xr:uid="{53DE5222-70AF-4629-95A4-B91F5DC0650D}"/>
    <cellStyle name="常规 20 2 3 2 3 3 2" xfId="2955" xr:uid="{67010230-E555-4BFA-8933-32CD9A5A9CF3}"/>
    <cellStyle name="常规 20 2 3 2 3 4" xfId="2956" xr:uid="{78C327CA-784A-40A9-8D57-18DD9B959CE4}"/>
    <cellStyle name="常规 20 2 3 2 4" xfId="2957" xr:uid="{B878B6E6-BC5D-4497-9ED4-9410BF3381B1}"/>
    <cellStyle name="常规 20 2 3 2 4 2" xfId="2958" xr:uid="{03792F9B-A924-4164-B23D-6B752D17CCA8}"/>
    <cellStyle name="常规 20 2 3 2 4 2 2" xfId="2959" xr:uid="{F105E372-9255-4A0A-9A83-4960343B592E}"/>
    <cellStyle name="常规 20 2 3 2 4 3" xfId="2960" xr:uid="{7D3AE183-FD29-45F1-A2D8-0DBC7B795C28}"/>
    <cellStyle name="常规 20 2 3 2 5" xfId="2961" xr:uid="{71337138-0107-4D39-ADB5-40B6A2D86CFB}"/>
    <cellStyle name="常规 20 2 3 2 5 2" xfId="2962" xr:uid="{42DD23D4-A646-4D89-B2C9-8D87DF3B04CC}"/>
    <cellStyle name="常规 20 2 3 2 6" xfId="2963" xr:uid="{665C396E-D0D2-45CD-A93C-C01BAAC1410C}"/>
    <cellStyle name="常规 20 2 3 3" xfId="2964" xr:uid="{4A3AACC1-EAE6-493D-BA74-451D86F7821F}"/>
    <cellStyle name="常规 20 2 3 3 2" xfId="2965" xr:uid="{9ECA199E-0BA6-4283-879D-30BC95644614}"/>
    <cellStyle name="常规 20 2 3 3 2 2" xfId="2966" xr:uid="{7D04AB1C-658E-4246-9719-3C2D0A6AFE09}"/>
    <cellStyle name="常规 20 2 3 3 2 2 2" xfId="2967" xr:uid="{0147C3A2-F74F-4C78-89F2-8E6FD0320C8B}"/>
    <cellStyle name="常规 20 2 3 3 2 2 2 2" xfId="2968" xr:uid="{1CEA39F1-A5C1-4E06-BD06-6401D95CB50C}"/>
    <cellStyle name="常规 20 2 3 3 2 2 3" xfId="2969" xr:uid="{315A56BD-3018-42A9-A158-6FFC18DCEEE8}"/>
    <cellStyle name="常规 20 2 3 3 2 3" xfId="2970" xr:uid="{8BE18582-7249-4901-A314-FA47557F4A97}"/>
    <cellStyle name="常规 20 2 3 3 2 3 2" xfId="2971" xr:uid="{E2D03D7F-9D33-41AC-BAEB-05E641338FFA}"/>
    <cellStyle name="常规 20 2 3 3 2 4" xfId="2972" xr:uid="{4D56E5B2-8F7D-4103-9C96-9243BEE8223D}"/>
    <cellStyle name="常规 20 2 3 3 3" xfId="2973" xr:uid="{AC2DCA04-E055-41DB-8CA5-481B5AEEDECF}"/>
    <cellStyle name="常规 20 2 3 3 3 2" xfId="2974" xr:uid="{3B63F788-07AC-4EFF-97DE-C08962DACBB2}"/>
    <cellStyle name="常规 20 2 3 3 3 2 2" xfId="2975" xr:uid="{5CB74FCE-26C4-4300-8469-713A0791AAF5}"/>
    <cellStyle name="常规 20 2 3 3 3 3" xfId="2976" xr:uid="{53E17198-C59B-44AA-B750-A7F60563B869}"/>
    <cellStyle name="常规 20 2 3 3 4" xfId="2977" xr:uid="{E2166C74-794E-48BB-9FB7-F14403BD9E75}"/>
    <cellStyle name="常规 20 2 3 3 4 2" xfId="2978" xr:uid="{033DD567-578D-4FC6-AF29-5C3FCF8299C3}"/>
    <cellStyle name="常规 20 2 3 3 5" xfId="2979" xr:uid="{FED11074-AAB5-4DBA-8203-2BCA4DCF8C55}"/>
    <cellStyle name="常规 20 2 3 4" xfId="2980" xr:uid="{66AF9F0A-17E2-4E1E-B124-66260A5E13BD}"/>
    <cellStyle name="常规 20 2 3 4 2" xfId="2981" xr:uid="{50057EAB-C690-4264-85E0-51D444E1936F}"/>
    <cellStyle name="常规 20 2 3 4 2 2" xfId="2982" xr:uid="{DBDA2597-A269-40A9-8B9B-766B8051E828}"/>
    <cellStyle name="常规 20 2 3 4 2 2 2" xfId="2983" xr:uid="{09CD8FEC-209A-4355-B44E-F327AC9036F8}"/>
    <cellStyle name="常规 20 2 3 4 2 3" xfId="2984" xr:uid="{6F00E7E7-EE23-4009-B670-852A7C9DF7F5}"/>
    <cellStyle name="常规 20 2 3 4 3" xfId="2985" xr:uid="{06D4BBE7-5B0B-4BF3-BA0B-AE5BDDD6B527}"/>
    <cellStyle name="常规 20 2 3 4 3 2" xfId="2986" xr:uid="{8CBA9FDE-4CB7-4B37-80E6-4E0C48E01E14}"/>
    <cellStyle name="常规 20 2 3 4 4" xfId="2987" xr:uid="{D40B5608-E80B-45C2-85FB-18F4F5A26E0E}"/>
    <cellStyle name="常规 20 2 3 5" xfId="2988" xr:uid="{393320ED-46F8-4A0E-BD65-574CB1E58315}"/>
    <cellStyle name="常规 20 2 3 5 2" xfId="2989" xr:uid="{24C37F15-6A49-4E8B-9C2E-80503706F4CD}"/>
    <cellStyle name="常规 20 2 3 5 2 2" xfId="2990" xr:uid="{92B733CF-4FEE-4B5C-89EF-708B231475A0}"/>
    <cellStyle name="常规 20 2 3 5 3" xfId="2991" xr:uid="{0FBD99A4-209C-4B63-A5C6-59778608F8C6}"/>
    <cellStyle name="常规 20 2 3 6" xfId="2992" xr:uid="{77407BC6-E18B-4AE4-9C0C-C51996B91DAA}"/>
    <cellStyle name="常规 20 2 3 6 2" xfId="2993" xr:uid="{BA35D9F9-6108-453A-9AE2-32039D8BC367}"/>
    <cellStyle name="常规 20 2 3 7" xfId="2994" xr:uid="{C9F21C4E-666B-458B-812D-89B913AD98AA}"/>
    <cellStyle name="常规 20 2 4" xfId="2995" xr:uid="{6B000C92-8C2C-4089-9049-2C483B902B95}"/>
    <cellStyle name="常规 20 2 4 2" xfId="2996" xr:uid="{CE25D20A-552C-48A8-99A8-4EB51B9AC1C5}"/>
    <cellStyle name="常规 20 2 4 2 2" xfId="2997" xr:uid="{AD61B789-A6A1-465C-BD18-127D2041324D}"/>
    <cellStyle name="常规 20 2 4 2 2 2" xfId="2998" xr:uid="{8DF1DDA3-ED99-4D8A-B31C-59D68D7AC0A5}"/>
    <cellStyle name="常规 20 2 4 2 2 2 2" xfId="2999" xr:uid="{941DBA2D-90A7-4BC6-A3AE-9ABCF989CFAB}"/>
    <cellStyle name="常规 20 2 4 2 2 2 2 2" xfId="3000" xr:uid="{0F281CC4-6EC2-46C3-BEED-B50768A0377F}"/>
    <cellStyle name="常规 20 2 4 2 2 2 3" xfId="3001" xr:uid="{F3E49B00-72BE-4ED6-B89E-AF4AA06F9A90}"/>
    <cellStyle name="常规 20 2 4 2 2 3" xfId="3002" xr:uid="{0D9BC692-2AC3-415F-B0F3-442453AD323C}"/>
    <cellStyle name="常规 20 2 4 2 2 3 2" xfId="3003" xr:uid="{D6C5B90C-945C-4F2D-A2B7-D025806C71CE}"/>
    <cellStyle name="常规 20 2 4 2 2 4" xfId="3004" xr:uid="{506013A2-FB87-4A7C-9CB2-24DE5C3ED76A}"/>
    <cellStyle name="常规 20 2 4 2 3" xfId="3005" xr:uid="{50AD5E78-FFFD-4BD1-8C22-0F2567678496}"/>
    <cellStyle name="常规 20 2 4 2 3 2" xfId="3006" xr:uid="{510798D7-F377-46E3-B454-5AACFC143082}"/>
    <cellStyle name="常规 20 2 4 2 3 2 2" xfId="3007" xr:uid="{F9AE1C66-5AF6-4818-A0F0-29F9A584700F}"/>
    <cellStyle name="常规 20 2 4 2 3 3" xfId="3008" xr:uid="{7991841F-C697-408D-AA09-68EE48617C40}"/>
    <cellStyle name="常规 20 2 4 2 4" xfId="3009" xr:uid="{F4236DA3-5447-4F37-A9D7-BC877A7192A8}"/>
    <cellStyle name="常规 20 2 4 2 4 2" xfId="3010" xr:uid="{9EE50191-D5BA-40AE-8A2C-A96EDA8D0052}"/>
    <cellStyle name="常规 20 2 4 2 5" xfId="3011" xr:uid="{D171F11F-839D-41E1-B65B-A14402613507}"/>
    <cellStyle name="常规 20 2 4 3" xfId="3012" xr:uid="{75F1D4C2-158B-412B-9710-3FF794C6859E}"/>
    <cellStyle name="常规 20 2 4 3 2" xfId="3013" xr:uid="{69BA7CE6-EDF6-41E8-8C3E-4409A50299A1}"/>
    <cellStyle name="常规 20 2 4 3 2 2" xfId="3014" xr:uid="{95E9F514-E988-4AA5-8C3D-14249D5C9198}"/>
    <cellStyle name="常规 20 2 4 3 2 2 2" xfId="3015" xr:uid="{FAE99C67-72FB-430A-B0B8-373271D0E437}"/>
    <cellStyle name="常规 20 2 4 3 2 3" xfId="3016" xr:uid="{0D82D2A0-FDE2-46AC-8FED-98690253C828}"/>
    <cellStyle name="常规 20 2 4 3 3" xfId="3017" xr:uid="{FA1CC6CE-E69C-4AF7-8DEB-9D453D11203C}"/>
    <cellStyle name="常规 20 2 4 3 3 2" xfId="3018" xr:uid="{CA9E11BF-263D-4F75-B970-8D7C5033539C}"/>
    <cellStyle name="常规 20 2 4 3 4" xfId="3019" xr:uid="{E66D2183-B0F3-4F70-901C-79F80AF3A038}"/>
    <cellStyle name="常规 20 2 4 4" xfId="3020" xr:uid="{A642F9DC-7B55-42C6-89BB-4C2C3C83B58D}"/>
    <cellStyle name="常规 20 2 4 4 2" xfId="3021" xr:uid="{944AAFE9-3151-40DD-8CD0-8BF9A30BD331}"/>
    <cellStyle name="常规 20 2 4 4 2 2" xfId="3022" xr:uid="{24C0DB13-801C-4EB6-A8E7-1938875133E7}"/>
    <cellStyle name="常规 20 2 4 4 3" xfId="3023" xr:uid="{59FAC33C-B573-48DE-AB4B-40B56E6DCBFA}"/>
    <cellStyle name="常规 20 2 4 5" xfId="3024" xr:uid="{EA21EDE7-A112-4189-BA84-9E9B4AFF44C6}"/>
    <cellStyle name="常规 20 2 4 5 2" xfId="3025" xr:uid="{0BBA837F-3165-4B2B-8919-CA7C042D01C4}"/>
    <cellStyle name="常规 20 2 4 6" xfId="3026" xr:uid="{45C293CA-DD7A-42F0-AFBF-D796A1B63593}"/>
    <cellStyle name="常规 20 2 5" xfId="3027" xr:uid="{05E0865C-122D-45DD-B87B-2A0B12264B67}"/>
    <cellStyle name="常规 20 2 5 2" xfId="3028" xr:uid="{914F3CC9-00DF-4194-9D54-F2D11CDB099C}"/>
    <cellStyle name="常规 20 2 5 2 2" xfId="3029" xr:uid="{7876B837-61E3-4558-A3C4-073A09B91D7A}"/>
    <cellStyle name="常规 20 2 5 2 2 2" xfId="3030" xr:uid="{00A8BFBE-11A7-42C5-8B99-E5B9EDB58488}"/>
    <cellStyle name="常规 20 2 5 2 2 2 2" xfId="3031" xr:uid="{368F7738-A442-4CDE-86F4-44410C9BD5DC}"/>
    <cellStyle name="常规 20 2 5 2 2 3" xfId="3032" xr:uid="{E23AEF5C-63A8-40F8-9402-806F5FA2F15E}"/>
    <cellStyle name="常规 20 2 5 2 3" xfId="3033" xr:uid="{4569843E-DC5F-45B7-87BB-246EDDF92F0B}"/>
    <cellStyle name="常规 20 2 5 2 3 2" xfId="3034" xr:uid="{2226407A-F8F6-48DB-B3E1-EA3A648B8ACC}"/>
    <cellStyle name="常规 20 2 5 2 4" xfId="3035" xr:uid="{9F76E02A-0849-4BD3-AF17-6FC5C8C8457F}"/>
    <cellStyle name="常规 20 2 5 3" xfId="3036" xr:uid="{5B432640-5251-41E7-872F-1616F1E89BEA}"/>
    <cellStyle name="常规 20 2 5 3 2" xfId="3037" xr:uid="{AA590C99-557B-4A9A-9EE7-1A0522AD0CD5}"/>
    <cellStyle name="常规 20 2 5 3 2 2" xfId="3038" xr:uid="{3113B09B-CD53-4DA1-98DA-D8BBBD3D7CCC}"/>
    <cellStyle name="常规 20 2 5 3 3" xfId="3039" xr:uid="{5FE87F6E-766F-488B-9796-58F285F33B36}"/>
    <cellStyle name="常规 20 2 5 4" xfId="3040" xr:uid="{C923B968-D964-4B12-8FA7-02183117D536}"/>
    <cellStyle name="常规 20 2 5 4 2" xfId="3041" xr:uid="{0CB110DD-933D-4DA5-8701-F7D0C21B759B}"/>
    <cellStyle name="常规 20 2 5 5" xfId="3042" xr:uid="{AB81C9B3-8037-4FF3-9895-E0898370F523}"/>
    <cellStyle name="常规 20 2 6" xfId="3043" xr:uid="{C4208373-67F3-488F-9370-5D10104A2DDC}"/>
    <cellStyle name="常规 20 2 6 2" xfId="3044" xr:uid="{7B018883-7E94-4A38-95B2-92B55F3A50D7}"/>
    <cellStyle name="常规 20 2 6 2 2" xfId="3045" xr:uid="{B50048E3-E584-403B-8986-B746CBDDB41C}"/>
    <cellStyle name="常规 20 2 6 2 2 2" xfId="3046" xr:uid="{2793AFFB-50CC-4929-9C31-FEBEE8554C36}"/>
    <cellStyle name="常规 20 2 6 2 3" xfId="3047" xr:uid="{59019441-3C78-4A23-B2B1-C2B0CC59FC35}"/>
    <cellStyle name="常规 20 2 6 3" xfId="3048" xr:uid="{E1B78EA3-1103-40AB-8369-7EF52EFF8E49}"/>
    <cellStyle name="常规 20 2 6 3 2" xfId="3049" xr:uid="{897114C8-DDFD-42A5-8190-A7C5B4007F9B}"/>
    <cellStyle name="常规 20 2 6 4" xfId="3050" xr:uid="{F93DE8A1-24A3-4FA0-9954-E58EBD842A89}"/>
    <cellStyle name="常规 20 2 7" xfId="3051" xr:uid="{B86DD886-F5E6-46A2-9497-AE06281C9FE6}"/>
    <cellStyle name="常规 20 2 7 2" xfId="3052" xr:uid="{C46BDF58-81F8-4C1E-BE06-99E433101BDD}"/>
    <cellStyle name="常规 20 2 7 2 2" xfId="3053" xr:uid="{49B074A7-F01D-4718-B4DF-94E2AECC9DC8}"/>
    <cellStyle name="常规 20 2 7 3" xfId="3054" xr:uid="{BA3AB3A4-D8EE-428F-AD14-FFF1E430E0C8}"/>
    <cellStyle name="常规 20 2 8" xfId="3055" xr:uid="{73053D96-0008-45F9-823A-EFA4722BBBF6}"/>
    <cellStyle name="常规 20 2 8 2" xfId="3056" xr:uid="{FC988904-B5D0-4BF9-BC87-3F5CB2A65D58}"/>
    <cellStyle name="常规 20 2 9" xfId="3057" xr:uid="{660C25DB-2C52-4C41-98DE-89E26E9BFDD3}"/>
    <cellStyle name="常规 20 3" xfId="3058" xr:uid="{87E6D279-786A-4F94-884A-430C1EC73DEB}"/>
    <cellStyle name="常规 20 3 2" xfId="3059" xr:uid="{E322DE8A-20D6-4D88-908D-DE5C6847990E}"/>
    <cellStyle name="常规 20 3 2 2" xfId="3060" xr:uid="{C2F66E34-503E-450F-A7C6-44C537C53BF0}"/>
    <cellStyle name="常规 20 3 2 2 2" xfId="3061" xr:uid="{B06A19C9-71F3-4005-AF51-A8D117F73EBF}"/>
    <cellStyle name="常规 20 3 2 2 2 2" xfId="3062" xr:uid="{EDE20152-E5CC-4E57-B89E-EF3C6C00C6F1}"/>
    <cellStyle name="常规 20 3 2 2 2 2 2" xfId="3063" xr:uid="{AC7F63E4-3947-475E-B863-A3CAFDFF7DED}"/>
    <cellStyle name="常规 20 3 2 2 2 2 2 2" xfId="3064" xr:uid="{0F52AA04-157D-4FC7-8D16-59B79C927A8E}"/>
    <cellStyle name="常规 20 3 2 2 2 2 2 2 2" xfId="3065" xr:uid="{119BD7F1-FD8C-42AD-8900-582B5A419697}"/>
    <cellStyle name="常规 20 3 2 2 2 2 2 3" xfId="3066" xr:uid="{DA42D4F9-6557-4EBB-A451-A2E13B1F874B}"/>
    <cellStyle name="常规 20 3 2 2 2 2 3" xfId="3067" xr:uid="{B314E279-FFE0-439B-93D2-7E8696C8C0D1}"/>
    <cellStyle name="常规 20 3 2 2 2 2 3 2" xfId="3068" xr:uid="{614F26CA-CB53-4542-B23F-1F49C8384CAA}"/>
    <cellStyle name="常规 20 3 2 2 2 2 4" xfId="3069" xr:uid="{32F2FE73-F6E6-4401-9478-A7F38E8B4F2A}"/>
    <cellStyle name="常规 20 3 2 2 2 3" xfId="3070" xr:uid="{B64E7111-1C9E-4337-B2FE-47A214666A4B}"/>
    <cellStyle name="常规 20 3 2 2 2 3 2" xfId="3071" xr:uid="{AC50F93F-682A-47FA-ABF5-89908716F34F}"/>
    <cellStyle name="常规 20 3 2 2 2 3 2 2" xfId="3072" xr:uid="{5D83AA7F-D333-4A6D-8981-AA71117AFBD6}"/>
    <cellStyle name="常规 20 3 2 2 2 3 3" xfId="3073" xr:uid="{B9AB0B89-F62E-4458-AB21-ADF98FAAC4E2}"/>
    <cellStyle name="常规 20 3 2 2 2 4" xfId="3074" xr:uid="{DBF902D2-A6B6-45F1-91F1-582D388183F6}"/>
    <cellStyle name="常规 20 3 2 2 2 4 2" xfId="3075" xr:uid="{3C5E6741-FF6E-40C1-B5DA-55B2616300D6}"/>
    <cellStyle name="常规 20 3 2 2 2 5" xfId="3076" xr:uid="{D818C098-1361-44A6-B904-E83D02667C28}"/>
    <cellStyle name="常规 20 3 2 2 3" xfId="3077" xr:uid="{B56B930D-6AD5-4F5C-A321-D58EE5F7E730}"/>
    <cellStyle name="常规 20 3 2 2 3 2" xfId="3078" xr:uid="{66897F2B-A462-4534-8DB9-DA34B41B539B}"/>
    <cellStyle name="常规 20 3 2 2 3 2 2" xfId="3079" xr:uid="{8E729DA2-95B4-4447-A594-70E3BDADBD99}"/>
    <cellStyle name="常规 20 3 2 2 3 2 2 2" xfId="3080" xr:uid="{D0ED2F8C-913D-41A0-B691-476A47894648}"/>
    <cellStyle name="常规 20 3 2 2 3 2 3" xfId="3081" xr:uid="{1BE1396C-3FD5-443B-84B5-7B75B4F00815}"/>
    <cellStyle name="常规 20 3 2 2 3 3" xfId="3082" xr:uid="{BD7826A2-4F52-49D4-8D0D-232F35880ED6}"/>
    <cellStyle name="常规 20 3 2 2 3 3 2" xfId="3083" xr:uid="{0BCCF6A9-069A-4B34-9265-2F566B3FE1DF}"/>
    <cellStyle name="常规 20 3 2 2 3 4" xfId="3084" xr:uid="{5D07795D-DD70-4E5F-BA66-C4996AB040D3}"/>
    <cellStyle name="常规 20 3 2 2 4" xfId="3085" xr:uid="{E68051EB-E8EE-48A5-9504-E3A1065F7B4F}"/>
    <cellStyle name="常规 20 3 2 2 4 2" xfId="3086" xr:uid="{D79D92DF-AEFE-4042-B6B0-839ADB52E3F3}"/>
    <cellStyle name="常规 20 3 2 2 4 2 2" xfId="3087" xr:uid="{B19409DC-E43E-48C1-842D-8470EF5CD98C}"/>
    <cellStyle name="常规 20 3 2 2 4 3" xfId="3088" xr:uid="{179D8E65-F229-48EF-99A9-B35C64B8F610}"/>
    <cellStyle name="常规 20 3 2 2 5" xfId="3089" xr:uid="{62DE1BFE-E8F2-4F6A-9D49-A3AD2E529BBF}"/>
    <cellStyle name="常规 20 3 2 2 5 2" xfId="3090" xr:uid="{97EF2D39-3687-491A-9FF0-2A3C67DBBCC2}"/>
    <cellStyle name="常规 20 3 2 2 6" xfId="3091" xr:uid="{1414C5C9-9779-48D5-9A49-EA26BC1059AE}"/>
    <cellStyle name="常规 20 3 2 3" xfId="3092" xr:uid="{0E58DF04-4CC0-48ED-AB28-C44DDB9614B9}"/>
    <cellStyle name="常规 20 3 2 3 2" xfId="3093" xr:uid="{EDFC3F92-A4B2-4C09-8195-39EC9E7E4139}"/>
    <cellStyle name="常规 20 3 2 3 2 2" xfId="3094" xr:uid="{8502EF52-D616-488B-B972-86C6D201BF8B}"/>
    <cellStyle name="常规 20 3 2 3 2 2 2" xfId="3095" xr:uid="{B091F148-017A-4543-9640-769617EFE95F}"/>
    <cellStyle name="常规 20 3 2 3 2 2 2 2" xfId="3096" xr:uid="{FD6CEBDF-89A6-40F7-9EF2-55033F4E18EF}"/>
    <cellStyle name="常规 20 3 2 3 2 2 3" xfId="3097" xr:uid="{9DE12A64-EF34-440D-B93B-0AF5F9B81E27}"/>
    <cellStyle name="常规 20 3 2 3 2 3" xfId="3098" xr:uid="{19D90317-4F1E-470F-9F5D-BFA4CFB5D4E7}"/>
    <cellStyle name="常规 20 3 2 3 2 3 2" xfId="3099" xr:uid="{DB119BCC-9C51-4904-9F49-AE4AF3C6A0C7}"/>
    <cellStyle name="常规 20 3 2 3 2 4" xfId="3100" xr:uid="{AC375A7A-A7C1-4006-AD77-992C82930853}"/>
    <cellStyle name="常规 20 3 2 3 3" xfId="3101" xr:uid="{08E6910E-811C-4437-830A-7A905217A14B}"/>
    <cellStyle name="常规 20 3 2 3 3 2" xfId="3102" xr:uid="{8F50F3E6-F08E-41DB-82D1-31CD20AC5BAD}"/>
    <cellStyle name="常规 20 3 2 3 3 2 2" xfId="3103" xr:uid="{F09A1C90-C9B9-4F61-8A7E-E7A69FB2AF9C}"/>
    <cellStyle name="常规 20 3 2 3 3 3" xfId="3104" xr:uid="{60F2A35C-17E2-4EF1-801C-FEBB47B39F86}"/>
    <cellStyle name="常规 20 3 2 3 4" xfId="3105" xr:uid="{BA202656-4241-41BF-AC94-630E0B2B8CAA}"/>
    <cellStyle name="常规 20 3 2 3 4 2" xfId="3106" xr:uid="{49286F81-1E70-4426-85AA-EB3C2A9EAFA4}"/>
    <cellStyle name="常规 20 3 2 3 5" xfId="3107" xr:uid="{6315828F-D223-492A-ADB0-6886140D42F2}"/>
    <cellStyle name="常规 20 3 2 4" xfId="3108" xr:uid="{448D01AF-16BF-4EA8-8270-2294E876252B}"/>
    <cellStyle name="常规 20 3 2 4 2" xfId="3109" xr:uid="{E2D3FCCD-A496-463B-B0C6-2982484816E8}"/>
    <cellStyle name="常规 20 3 2 4 2 2" xfId="3110" xr:uid="{B802DB74-B549-4A68-BF8A-085E46409AAB}"/>
    <cellStyle name="常规 20 3 2 4 2 2 2" xfId="3111" xr:uid="{08021BD9-18B8-457B-BE6A-BC8020B39DA5}"/>
    <cellStyle name="常规 20 3 2 4 2 3" xfId="3112" xr:uid="{E53A599A-2557-4A96-8966-7991D7BEAB1B}"/>
    <cellStyle name="常规 20 3 2 4 3" xfId="3113" xr:uid="{33256245-464B-4BDD-9745-87FF6998F619}"/>
    <cellStyle name="常规 20 3 2 4 3 2" xfId="3114" xr:uid="{FAB846C3-60A7-48A7-9642-7ABCD3FF15E8}"/>
    <cellStyle name="常规 20 3 2 4 4" xfId="3115" xr:uid="{0A875A47-D121-4F97-93F2-5F86767DB399}"/>
    <cellStyle name="常规 20 3 2 5" xfId="3116" xr:uid="{271B0012-3AD7-471B-BE60-87581EF46AC9}"/>
    <cellStyle name="常规 20 3 2 5 2" xfId="3117" xr:uid="{2C795CA0-576B-4EDD-8703-727DD81FA37B}"/>
    <cellStyle name="常规 20 3 2 5 2 2" xfId="3118" xr:uid="{92A0A461-2A0B-4779-B6F2-396FD85EE346}"/>
    <cellStyle name="常规 20 3 2 5 3" xfId="3119" xr:uid="{D0094D4B-B784-4254-A711-EA43C1C8AE94}"/>
    <cellStyle name="常规 20 3 2 6" xfId="3120" xr:uid="{8ECCA891-80C6-4BB3-804C-E7C66A5737FF}"/>
    <cellStyle name="常规 20 3 2 6 2" xfId="3121" xr:uid="{A6D52373-BB6A-453C-B6AE-0ECE4EF851C8}"/>
    <cellStyle name="常规 20 3 2 7" xfId="3122" xr:uid="{9AB5E555-B991-4097-805E-B5E1B054ACBF}"/>
    <cellStyle name="常规 20 3 3" xfId="3123" xr:uid="{F51681E1-57EB-4528-8FEF-EE782F638C5E}"/>
    <cellStyle name="常规 20 3 3 2" xfId="3124" xr:uid="{2367052E-AFFF-440B-8201-53D7A63AF60F}"/>
    <cellStyle name="常规 20 3 3 2 2" xfId="3125" xr:uid="{90C74F06-6FDD-4B77-8782-180418FA24F5}"/>
    <cellStyle name="常规 20 3 3 2 2 2" xfId="3126" xr:uid="{F1156FF6-76C6-4E9A-B3AE-A27DC2106160}"/>
    <cellStyle name="常规 20 3 3 2 2 2 2" xfId="3127" xr:uid="{1A5B02EC-3BED-4F8D-B5F8-941EFAC8AC24}"/>
    <cellStyle name="常规 20 3 3 2 2 2 2 2" xfId="3128" xr:uid="{3EBC942B-3936-4D7D-9885-A374077DE576}"/>
    <cellStyle name="常规 20 3 3 2 2 2 3" xfId="3129" xr:uid="{7A469504-843C-485A-A0D6-FE11FC331622}"/>
    <cellStyle name="常规 20 3 3 2 2 3" xfId="3130" xr:uid="{A66A6E6E-69FB-4F49-993A-27E4C4F56AA2}"/>
    <cellStyle name="常规 20 3 3 2 2 3 2" xfId="3131" xr:uid="{338F6373-A8BB-43D8-A74C-4B1E07A6F0B3}"/>
    <cellStyle name="常规 20 3 3 2 2 4" xfId="3132" xr:uid="{A25A6E38-088A-4093-815A-69D03B0E24AA}"/>
    <cellStyle name="常规 20 3 3 2 3" xfId="3133" xr:uid="{CA066D9E-538D-4D16-B667-DE898A5BCF96}"/>
    <cellStyle name="常规 20 3 3 2 3 2" xfId="3134" xr:uid="{80CD81CF-A32E-4167-945C-1E2134775E7E}"/>
    <cellStyle name="常规 20 3 3 2 3 2 2" xfId="3135" xr:uid="{104EA467-AAEF-4FCC-8579-9B49E029A663}"/>
    <cellStyle name="常规 20 3 3 2 3 3" xfId="3136" xr:uid="{358C9C36-645D-4240-883A-FA4744FF7830}"/>
    <cellStyle name="常规 20 3 3 2 4" xfId="3137" xr:uid="{8542AFD2-051A-4962-A389-91872424EB52}"/>
    <cellStyle name="常规 20 3 3 2 4 2" xfId="3138" xr:uid="{36321FBB-8E59-40F8-B282-37724F95335B}"/>
    <cellStyle name="常规 20 3 3 2 5" xfId="3139" xr:uid="{3AED1AF2-148D-4614-829D-3FAA1468480E}"/>
    <cellStyle name="常规 20 3 3 3" xfId="3140" xr:uid="{996A2EF9-7124-4F3B-B9F7-0C39191ED471}"/>
    <cellStyle name="常规 20 3 3 3 2" xfId="3141" xr:uid="{B12071B4-DF24-43B7-B7D7-42180011EDFD}"/>
    <cellStyle name="常规 20 3 3 3 2 2" xfId="3142" xr:uid="{48ADB019-3EEA-4919-AF3A-62984CDBD01D}"/>
    <cellStyle name="常规 20 3 3 3 2 2 2" xfId="3143" xr:uid="{C49140AB-BB25-4ABC-AC48-E867053073CC}"/>
    <cellStyle name="常规 20 3 3 3 2 3" xfId="3144" xr:uid="{6521A4B9-FBC6-4527-BD21-9C9EECA8CA63}"/>
    <cellStyle name="常规 20 3 3 3 3" xfId="3145" xr:uid="{A31A77F2-1EE2-43BF-9AA0-8448AEEF6860}"/>
    <cellStyle name="常规 20 3 3 3 3 2" xfId="3146" xr:uid="{5A3C6701-AE21-429D-BF7B-0D80496D0176}"/>
    <cellStyle name="常规 20 3 3 3 4" xfId="3147" xr:uid="{B960D514-7581-4F19-AF9B-BFD06EDD061C}"/>
    <cellStyle name="常规 20 3 3 4" xfId="3148" xr:uid="{7D371698-375F-4310-8182-29B316D26A64}"/>
    <cellStyle name="常规 20 3 3 4 2" xfId="3149" xr:uid="{EC18A6C5-8EAF-423A-B416-2940A4214C00}"/>
    <cellStyle name="常规 20 3 3 4 2 2" xfId="3150" xr:uid="{9A42CE7B-D020-423B-83B5-89E447B8390A}"/>
    <cellStyle name="常规 20 3 3 4 3" xfId="3151" xr:uid="{CF7E6641-1E78-4227-9549-38F6D41583AA}"/>
    <cellStyle name="常规 20 3 3 5" xfId="3152" xr:uid="{F227D495-D026-4F49-8465-23ABE2638300}"/>
    <cellStyle name="常规 20 3 3 5 2" xfId="3153" xr:uid="{C980D65C-AB04-4879-96CF-CD48A190D7C0}"/>
    <cellStyle name="常规 20 3 3 6" xfId="3154" xr:uid="{7B89692D-3F57-4A61-9337-960622610174}"/>
    <cellStyle name="常规 20 3 4" xfId="3155" xr:uid="{B953941C-1870-4815-A47F-E67122D6BCD1}"/>
    <cellStyle name="常规 20 3 4 2" xfId="3156" xr:uid="{6890EB6C-3C5F-4EB1-84DC-ADE941EAB941}"/>
    <cellStyle name="常规 20 3 4 2 2" xfId="3157" xr:uid="{4F055439-F99B-4C2B-8FBE-B91A665564B4}"/>
    <cellStyle name="常规 20 3 4 2 2 2" xfId="3158" xr:uid="{ADB0DCAD-CEB7-4813-95AC-228C3F93CDD0}"/>
    <cellStyle name="常规 20 3 4 2 2 2 2" xfId="3159" xr:uid="{D0B7819D-0B90-4EE2-9713-3C61BB388A5C}"/>
    <cellStyle name="常规 20 3 4 2 2 3" xfId="3160" xr:uid="{D3508F98-A5C4-4A7F-A529-396CA86EFCBA}"/>
    <cellStyle name="常规 20 3 4 2 3" xfId="3161" xr:uid="{92C65C79-D1CC-477D-A794-D7528B522F5E}"/>
    <cellStyle name="常规 20 3 4 2 3 2" xfId="3162" xr:uid="{DA356460-3AB4-4E41-AEFB-78CCE8F5C005}"/>
    <cellStyle name="常规 20 3 4 2 4" xfId="3163" xr:uid="{D1E25D07-9A27-46E7-ACEF-DAD83B166D6E}"/>
    <cellStyle name="常规 20 3 4 3" xfId="3164" xr:uid="{5D96DBD5-378B-44FE-AA0E-4671B9E3CAAE}"/>
    <cellStyle name="常规 20 3 4 3 2" xfId="3165" xr:uid="{89C2B1C9-E217-40B0-8163-ACF200CAC0DB}"/>
    <cellStyle name="常规 20 3 4 3 2 2" xfId="3166" xr:uid="{C7413B70-94B1-4774-B23A-B548C05D319E}"/>
    <cellStyle name="常规 20 3 4 3 3" xfId="3167" xr:uid="{9A4ED4A2-FFB2-49ED-9938-27C8AB8FF113}"/>
    <cellStyle name="常规 20 3 4 4" xfId="3168" xr:uid="{64C58B47-F0C7-494B-9013-A675F7208961}"/>
    <cellStyle name="常规 20 3 4 4 2" xfId="3169" xr:uid="{AB5D2D0F-A150-47FA-A841-A39629FF5159}"/>
    <cellStyle name="常规 20 3 4 5" xfId="3170" xr:uid="{C25EFD2E-0AE7-4483-8C43-6AF640784279}"/>
    <cellStyle name="常规 20 3 5" xfId="3171" xr:uid="{84B8E7C1-427A-423A-BC66-9A5CCFE8B9E9}"/>
    <cellStyle name="常规 20 3 5 2" xfId="3172" xr:uid="{FDB6945A-F3E6-4F48-84E1-B8ABF4282A0F}"/>
    <cellStyle name="常规 20 3 5 2 2" xfId="3173" xr:uid="{BFB9E1E6-728A-432B-B06E-93D84F5F55D8}"/>
    <cellStyle name="常规 20 3 5 2 2 2" xfId="3174" xr:uid="{99AADE98-428E-4DF4-950F-E9FAE3C492D9}"/>
    <cellStyle name="常规 20 3 5 2 3" xfId="3175" xr:uid="{350C6986-433C-46BC-AB2D-83FCB475851F}"/>
    <cellStyle name="常规 20 3 5 3" xfId="3176" xr:uid="{9A9D7DE8-D607-4675-9FAC-0B6BF3D398BA}"/>
    <cellStyle name="常规 20 3 5 3 2" xfId="3177" xr:uid="{A26D602F-D045-452C-95F8-A700EAFF3CBB}"/>
    <cellStyle name="常规 20 3 5 4" xfId="3178" xr:uid="{17D1274D-378A-429E-8021-D8AA3FC3CDAF}"/>
    <cellStyle name="常规 20 3 6" xfId="3179" xr:uid="{8406CBE1-964B-4931-92A8-39B965B5817F}"/>
    <cellStyle name="常规 20 3 6 2" xfId="3180" xr:uid="{0C0BD2F2-C20F-4142-B0B0-107572185C4E}"/>
    <cellStyle name="常规 20 3 6 2 2" xfId="3181" xr:uid="{F8F9E1E7-A3EE-4F0C-AED7-018883A3EC7B}"/>
    <cellStyle name="常规 20 3 6 3" xfId="3182" xr:uid="{643776D3-E6A4-4816-BF40-D756CE4629E2}"/>
    <cellStyle name="常规 20 3 7" xfId="3183" xr:uid="{A44D1906-7F85-40D2-ADD5-041FDCDC6814}"/>
    <cellStyle name="常规 20 3 7 2" xfId="3184" xr:uid="{B4DC3222-65C5-490D-A5C3-C61638C8EA4E}"/>
    <cellStyle name="常规 20 3 8" xfId="3185" xr:uid="{A26FF3A8-3833-4B52-988B-92675C2FFCE1}"/>
    <cellStyle name="常规 20 4" xfId="3186" xr:uid="{B029C58F-FF66-40BD-A5E1-3F1754E4D015}"/>
    <cellStyle name="常规 20 4 2" xfId="3187" xr:uid="{1E34584E-164A-47D6-B579-0C4D3D2026E0}"/>
    <cellStyle name="常规 20 4 2 2" xfId="3188" xr:uid="{C154667E-E3BF-41E4-8193-95B51EF21EC9}"/>
    <cellStyle name="常规 20 4 2 2 2" xfId="3189" xr:uid="{90153F50-BDA6-4D3C-A2D2-C5C1D2D0161C}"/>
    <cellStyle name="常规 20 4 2 2 2 2" xfId="3190" xr:uid="{8FE77F96-8871-4CE1-A434-5AE3EEC0D95E}"/>
    <cellStyle name="常规 20 4 2 2 2 2 2" xfId="3191" xr:uid="{A80DFBCF-87B8-4B71-AD66-76EAE815AD72}"/>
    <cellStyle name="常规 20 4 2 2 2 2 2 2" xfId="3192" xr:uid="{D0C22E27-243E-4551-B83B-2CCB6CD7C9AA}"/>
    <cellStyle name="常规 20 4 2 2 2 2 3" xfId="3193" xr:uid="{E386AD48-336D-465A-9FCA-C4671E0E9227}"/>
    <cellStyle name="常规 20 4 2 2 2 3" xfId="3194" xr:uid="{62118831-A3C5-4A35-9C47-6B859570A0C0}"/>
    <cellStyle name="常规 20 4 2 2 2 3 2" xfId="3195" xr:uid="{EFBD55B4-81B5-465A-8650-9D06C97C4A01}"/>
    <cellStyle name="常规 20 4 2 2 2 4" xfId="3196" xr:uid="{5C896B29-DD5F-4473-AB46-25864ADAF6FA}"/>
    <cellStyle name="常规 20 4 2 2 3" xfId="3197" xr:uid="{004E67A7-CE35-4D75-BDCC-0754E91FE778}"/>
    <cellStyle name="常规 20 4 2 2 3 2" xfId="3198" xr:uid="{9D5E953D-55DE-406C-B7AD-619F04CE0E2D}"/>
    <cellStyle name="常规 20 4 2 2 3 2 2" xfId="3199" xr:uid="{9CBB4740-3E49-4E9B-8729-9A10F2597FE8}"/>
    <cellStyle name="常规 20 4 2 2 3 3" xfId="3200" xr:uid="{3EEEE642-89AA-4A92-A8C4-D6F86F445688}"/>
    <cellStyle name="常规 20 4 2 2 4" xfId="3201" xr:uid="{ED82F1F6-D5D5-40FA-BF79-F5CF33599A34}"/>
    <cellStyle name="常规 20 4 2 2 4 2" xfId="3202" xr:uid="{4C2C5E60-167A-48AB-9163-58C869E63345}"/>
    <cellStyle name="常规 20 4 2 2 5" xfId="3203" xr:uid="{663BF86F-E17D-434D-B806-555C47D2CD69}"/>
    <cellStyle name="常规 20 4 2 3" xfId="3204" xr:uid="{46EDAD2A-DB50-4EF7-A9F8-7D90CAF804AE}"/>
    <cellStyle name="常规 20 4 2 3 2" xfId="3205" xr:uid="{AA28A49E-4950-446B-92A1-71775519D3A4}"/>
    <cellStyle name="常规 20 4 2 3 2 2" xfId="3206" xr:uid="{6CB037D0-C3A7-47E8-965B-275E8F296C52}"/>
    <cellStyle name="常规 20 4 2 3 2 2 2" xfId="3207" xr:uid="{1ECF2846-EFCD-40A4-9755-32BB7B570F02}"/>
    <cellStyle name="常规 20 4 2 3 2 3" xfId="3208" xr:uid="{6897F904-0561-4698-BAF0-0FCCE4D82DB9}"/>
    <cellStyle name="常规 20 4 2 3 3" xfId="3209" xr:uid="{3707838C-EF4F-4215-BAD6-9BD59D70B1FF}"/>
    <cellStyle name="常规 20 4 2 3 3 2" xfId="3210" xr:uid="{A0DF0FC0-A742-49E9-9CE9-87B63CE582CD}"/>
    <cellStyle name="常规 20 4 2 3 4" xfId="3211" xr:uid="{1E3ECA63-8595-4324-B727-5298533F5CD1}"/>
    <cellStyle name="常规 20 4 2 4" xfId="3212" xr:uid="{E40DBAF7-2211-4ABD-8A4B-A138DF612561}"/>
    <cellStyle name="常规 20 4 2 4 2" xfId="3213" xr:uid="{8468B457-54C7-4442-B46A-8BE1819C2883}"/>
    <cellStyle name="常规 20 4 2 4 2 2" xfId="3214" xr:uid="{B494251A-515C-4B1B-8220-E3ECB8F07045}"/>
    <cellStyle name="常规 20 4 2 4 3" xfId="3215" xr:uid="{4349A2CB-750B-48B7-9412-3407358C29F9}"/>
    <cellStyle name="常规 20 4 2 5" xfId="3216" xr:uid="{A4F37772-F42F-44E3-AA23-3DCF9115B67A}"/>
    <cellStyle name="常规 20 4 2 5 2" xfId="3217" xr:uid="{D47765AC-3B10-4C3E-9697-B58E96869431}"/>
    <cellStyle name="常规 20 4 2 6" xfId="3218" xr:uid="{955AE4D6-5912-4D46-9CB4-7CE3686DA15D}"/>
    <cellStyle name="常规 20 4 3" xfId="3219" xr:uid="{DA18B8C8-6651-4592-975C-9DF037322C9C}"/>
    <cellStyle name="常规 20 4 3 2" xfId="3220" xr:uid="{162CA387-B58A-4FCC-BF2F-87D92719FAD5}"/>
    <cellStyle name="常规 20 4 3 2 2" xfId="3221" xr:uid="{C92EA236-176C-4D87-925A-D28551DA3BAA}"/>
    <cellStyle name="常规 20 4 3 2 2 2" xfId="3222" xr:uid="{E061982A-D3A4-4E00-A477-0D52D50DC95F}"/>
    <cellStyle name="常规 20 4 3 2 2 2 2" xfId="3223" xr:uid="{0A800F12-A0C7-4FDA-9AC3-8FB8965D4D9A}"/>
    <cellStyle name="常规 20 4 3 2 2 3" xfId="3224" xr:uid="{AF969D6C-B426-4096-8812-607EE57B246D}"/>
    <cellStyle name="常规 20 4 3 2 3" xfId="3225" xr:uid="{6B804C47-8112-4523-B9EE-CD2FA7AD0460}"/>
    <cellStyle name="常规 20 4 3 2 3 2" xfId="3226" xr:uid="{F8B28C9A-6F22-462D-BBCC-024035D957C5}"/>
    <cellStyle name="常规 20 4 3 2 4" xfId="3227" xr:uid="{83143902-7281-4497-9BF7-69A8E1F492A5}"/>
    <cellStyle name="常规 20 4 3 3" xfId="3228" xr:uid="{5435B261-17F2-4283-91A7-0170E55DCF79}"/>
    <cellStyle name="常规 20 4 3 3 2" xfId="3229" xr:uid="{2A177E3E-AF8E-4A5A-9C26-0FD092843B24}"/>
    <cellStyle name="常规 20 4 3 3 2 2" xfId="3230" xr:uid="{148240FB-3FC6-45C0-B7F9-C40A924E5AFF}"/>
    <cellStyle name="常规 20 4 3 3 3" xfId="3231" xr:uid="{26CE80DE-DFAA-48BF-A322-FA42BF16BFE5}"/>
    <cellStyle name="常规 20 4 3 4" xfId="3232" xr:uid="{B7A0640A-D3FE-49AC-A0D1-0E538030035A}"/>
    <cellStyle name="常规 20 4 3 4 2" xfId="3233" xr:uid="{7D98111F-4FB9-42F6-8829-F5DB9C2F21BA}"/>
    <cellStyle name="常规 20 4 3 5" xfId="3234" xr:uid="{FE95B4D9-8BC6-4A10-AF40-803AA040AC0A}"/>
    <cellStyle name="常规 20 4 4" xfId="3235" xr:uid="{B8DADC51-46BD-4E42-88E6-0D03C9236675}"/>
    <cellStyle name="常规 20 4 4 2" xfId="3236" xr:uid="{E76D25AD-4BA5-4D91-BB42-BE054275254A}"/>
    <cellStyle name="常规 20 4 4 2 2" xfId="3237" xr:uid="{B2B1E3EC-3ED3-4782-B0C5-01F9EAA889C3}"/>
    <cellStyle name="常规 20 4 4 2 2 2" xfId="3238" xr:uid="{9009CA68-23B5-4E1F-9C6B-4B17182F8F7E}"/>
    <cellStyle name="常规 20 4 4 2 3" xfId="3239" xr:uid="{1E95D90A-F21D-414D-8CE2-2B2782BAA3EB}"/>
    <cellStyle name="常规 20 4 4 3" xfId="3240" xr:uid="{B4D83C3F-1751-4CB1-9A43-D28F4973C22A}"/>
    <cellStyle name="常规 20 4 4 3 2" xfId="3241" xr:uid="{44D8D8EF-A22B-464B-9E51-F3505A108149}"/>
    <cellStyle name="常规 20 4 4 4" xfId="3242" xr:uid="{31AEA711-C078-48A6-9FCA-4A7B491655DD}"/>
    <cellStyle name="常规 20 4 5" xfId="3243" xr:uid="{74E9492F-BE9A-4123-86FA-311A6D342063}"/>
    <cellStyle name="常规 20 4 5 2" xfId="3244" xr:uid="{BBAABAA4-3499-4101-A129-7D71F04E1128}"/>
    <cellStyle name="常规 20 4 5 2 2" xfId="3245" xr:uid="{F1E9F3B9-C93A-4808-BE65-3EA14531CA31}"/>
    <cellStyle name="常规 20 4 5 3" xfId="3246" xr:uid="{287C6876-21B3-45DF-A855-81AD659F24A6}"/>
    <cellStyle name="常规 20 4 6" xfId="3247" xr:uid="{26657B88-957C-46A1-A601-A710390FC7F7}"/>
    <cellStyle name="常规 20 4 6 2" xfId="3248" xr:uid="{DA21791A-8021-406E-9435-37240A7DA9CD}"/>
    <cellStyle name="常规 20 4 7" xfId="3249" xr:uid="{BC4761B5-BE7C-4444-901D-A70700559EC1}"/>
    <cellStyle name="常规 20 5" xfId="3250" xr:uid="{529AFDA1-D95A-466D-B915-ED7C72090DD1}"/>
    <cellStyle name="常规 20 5 2" xfId="3251" xr:uid="{EFEE0237-6690-4E06-8EDB-7EC3DC27E341}"/>
    <cellStyle name="常规 20 5 2 2" xfId="3252" xr:uid="{58527658-211B-4E70-A6B1-16346593A9C3}"/>
    <cellStyle name="常规 20 5 2 2 2" xfId="3253" xr:uid="{F075ECF0-ACA8-423F-8BD9-9D4BC553A603}"/>
    <cellStyle name="常规 20 5 2 2 2 2" xfId="3254" xr:uid="{8C955A88-FE9C-4D10-999B-3743B4124DDD}"/>
    <cellStyle name="常规 20 5 2 2 2 2 2" xfId="3255" xr:uid="{5B0B7649-4633-4A60-99C5-F473488E27E6}"/>
    <cellStyle name="常规 20 5 2 2 2 3" xfId="3256" xr:uid="{3506DCEC-E81E-4AB1-9BDA-6B2147AA6B4E}"/>
    <cellStyle name="常规 20 5 2 2 3" xfId="3257" xr:uid="{B13B9952-F42E-4732-B9D0-BFBB878F639D}"/>
    <cellStyle name="常规 20 5 2 2 3 2" xfId="3258" xr:uid="{5F048793-CED1-46FE-9CB3-A3A35BEA2827}"/>
    <cellStyle name="常规 20 5 2 2 4" xfId="3259" xr:uid="{569EBEB0-0D4C-4A4B-9860-9430F4796802}"/>
    <cellStyle name="常规 20 5 2 3" xfId="3260" xr:uid="{02ED8BAD-5D09-43C6-A3B3-E5E2F0462F96}"/>
    <cellStyle name="常规 20 5 2 3 2" xfId="3261" xr:uid="{B52F0EC7-CF87-4BC9-B6F5-7977EEC5AF20}"/>
    <cellStyle name="常规 20 5 2 3 2 2" xfId="3262" xr:uid="{A5BA36E4-3C1B-4BD1-8A6D-C070F5B79280}"/>
    <cellStyle name="常规 20 5 2 3 3" xfId="3263" xr:uid="{E7E2E145-4829-4D71-82E0-CA45EEEE7AB5}"/>
    <cellStyle name="常规 20 5 2 4" xfId="3264" xr:uid="{0C314255-EF29-4506-B42E-F4A76B9C7A7D}"/>
    <cellStyle name="常规 20 5 2 4 2" xfId="3265" xr:uid="{EDA86CC7-1453-4013-BCC1-002458EF51F3}"/>
    <cellStyle name="常规 20 5 2 5" xfId="3266" xr:uid="{40511E24-AE8E-4EE2-ACF5-564B302A33E7}"/>
    <cellStyle name="常规 20 5 3" xfId="3267" xr:uid="{CBE70D4C-C896-4FC3-B35B-46AC8DAE4733}"/>
    <cellStyle name="常规 20 5 3 2" xfId="3268" xr:uid="{0507BF5D-6D2A-44F6-A77C-7CED6E1743D0}"/>
    <cellStyle name="常规 20 5 3 2 2" xfId="3269" xr:uid="{FBFA2F32-AD9B-41BA-ABBE-64126F2195B5}"/>
    <cellStyle name="常规 20 5 3 2 2 2" xfId="3270" xr:uid="{F0BEA7ED-DF78-45ED-BCD2-EB12151674F7}"/>
    <cellStyle name="常规 20 5 3 2 3" xfId="3271" xr:uid="{3EAB4D79-1FDB-4E77-B347-77FCBF855768}"/>
    <cellStyle name="常规 20 5 3 3" xfId="3272" xr:uid="{A13CEA18-6CA9-49E6-BE76-403C688AAD5F}"/>
    <cellStyle name="常规 20 5 3 3 2" xfId="3273" xr:uid="{3A93EE72-472E-491F-A374-071F758246F4}"/>
    <cellStyle name="常规 20 5 3 4" xfId="3274" xr:uid="{DE4C86F4-DD29-46BC-867B-E3FD9B9BB619}"/>
    <cellStyle name="常规 20 5 4" xfId="3275" xr:uid="{FE4C336F-3C17-4383-A2F5-D29AFE5A4A39}"/>
    <cellStyle name="常规 20 5 4 2" xfId="3276" xr:uid="{3D89260C-6C0D-4F57-B216-8AFADC6B6AA4}"/>
    <cellStyle name="常规 20 5 4 2 2" xfId="3277" xr:uid="{2391467F-EFAB-4C00-AF89-836B1E325D4E}"/>
    <cellStyle name="常规 20 5 4 3" xfId="3278" xr:uid="{3F6B65EB-8789-4DAA-9A7A-FD5C9C8D7F2B}"/>
    <cellStyle name="常规 20 5 5" xfId="3279" xr:uid="{D73BEF14-FEAF-4A85-8E1D-474DE142FEFE}"/>
    <cellStyle name="常规 20 5 5 2" xfId="3280" xr:uid="{AD44B117-225C-4226-A21D-24398EFF809A}"/>
    <cellStyle name="常规 20 5 6" xfId="3281" xr:uid="{D862EE24-126A-43CD-8801-CBCCB37584AC}"/>
    <cellStyle name="常规 20 6" xfId="3282" xr:uid="{80B622B4-17B4-4D81-9A96-38BD155DB530}"/>
    <cellStyle name="常规 20 6 2" xfId="3283" xr:uid="{2F264B09-4546-4CAC-A00B-91D601025CC7}"/>
    <cellStyle name="常规 20 6 2 2" xfId="3284" xr:uid="{A5C0D5BE-9DD1-4906-8D57-BBA4C348A21D}"/>
    <cellStyle name="常规 20 6 2 2 2" xfId="3285" xr:uid="{DC30C228-10FB-49CE-9827-2D6A80021890}"/>
    <cellStyle name="常规 20 6 2 2 2 2" xfId="3286" xr:uid="{2EBB299B-9C13-40F4-8A43-AA4A6D56AC46}"/>
    <cellStyle name="常规 20 6 2 2 3" xfId="3287" xr:uid="{56AD7492-663C-4510-8555-01F1E4E1AE4E}"/>
    <cellStyle name="常规 20 6 2 3" xfId="3288" xr:uid="{139CA5D0-B82E-4433-ACAA-4D3C1D14B7AB}"/>
    <cellStyle name="常规 20 6 2 3 2" xfId="3289" xr:uid="{B5CD134D-4539-4BFF-8D56-09EE7034593B}"/>
    <cellStyle name="常规 20 6 2 4" xfId="3290" xr:uid="{A78411F2-0C2A-4F2C-9F94-FACD83199005}"/>
    <cellStyle name="常规 20 6 3" xfId="3291" xr:uid="{D50E07D3-FC00-4195-B37C-5597A673DAC4}"/>
    <cellStyle name="常规 20 6 3 2" xfId="3292" xr:uid="{92F04B70-509B-4020-9B9C-801ECC0C0241}"/>
    <cellStyle name="常规 20 6 3 2 2" xfId="3293" xr:uid="{C38BA5BE-6A13-48A5-8377-D1732A2C8109}"/>
    <cellStyle name="常规 20 6 3 3" xfId="3294" xr:uid="{E12B8F62-CD11-4304-BC8F-E07CF99D5A01}"/>
    <cellStyle name="常规 20 6 4" xfId="3295" xr:uid="{5B2E51ED-9843-4335-BCB1-CDB4ECA9D9E1}"/>
    <cellStyle name="常规 20 6 4 2" xfId="3296" xr:uid="{F41DA3C9-290C-44E6-AA65-ED8C7ABCDEB0}"/>
    <cellStyle name="常规 20 6 5" xfId="3297" xr:uid="{5CE21FB2-DC37-4FF7-87F8-B388260B2040}"/>
    <cellStyle name="常规 20 7" xfId="3298" xr:uid="{BB723127-75DA-4A63-B062-7169377E98AF}"/>
    <cellStyle name="常规 20 7 2" xfId="3299" xr:uid="{48846262-A477-40CC-9441-0D080666E113}"/>
    <cellStyle name="常规 20 7 2 2" xfId="3300" xr:uid="{8AEB6599-2A17-4656-B301-2FE8DCB8F63B}"/>
    <cellStyle name="常规 20 7 2 2 2" xfId="3301" xr:uid="{179B1ED8-FD11-4E4D-BDAE-348169BFFAC0}"/>
    <cellStyle name="常规 20 7 2 3" xfId="3302" xr:uid="{B476683F-B6DE-49AD-B543-F6B0C58C5E81}"/>
    <cellStyle name="常规 20 7 3" xfId="3303" xr:uid="{9F212A71-C0D6-4E1B-9A88-49A375FFC0B2}"/>
    <cellStyle name="常规 20 7 3 2" xfId="3304" xr:uid="{56AB8F16-A78B-403D-B351-2C1291B5F52A}"/>
    <cellStyle name="常规 20 7 4" xfId="3305" xr:uid="{13724C3D-40C3-44F1-97CF-6094FBDEBEFE}"/>
    <cellStyle name="常规 20 8" xfId="3306" xr:uid="{F5E5A868-848B-45C9-AA2D-45AA15842C84}"/>
    <cellStyle name="常规 20 8 2" xfId="3307" xr:uid="{AA5567C5-078E-4444-BFF6-3F589DFD0C91}"/>
    <cellStyle name="常规 20 8 2 2" xfId="3308" xr:uid="{28225ACA-B5B6-4346-8FF1-E94FCDF55516}"/>
    <cellStyle name="常规 20 8 3" xfId="3309" xr:uid="{A07E3492-FF1A-4297-A6C1-4C07CB2552C7}"/>
    <cellStyle name="常规 20 9" xfId="3310" xr:uid="{09434F86-0600-4C99-8415-80D85F7A465F}"/>
    <cellStyle name="常规 20 9 2" xfId="3311" xr:uid="{34BE5587-1F29-480D-B05E-031D760E7C6B}"/>
    <cellStyle name="常规 21" xfId="3312" xr:uid="{843F5CB1-38BD-4B88-900D-2519E241BF57}"/>
    <cellStyle name="常规 21 10" xfId="3313" xr:uid="{9221C4A4-C35C-4E3D-A687-3E4A86D06917}"/>
    <cellStyle name="常规 21 2" xfId="3314" xr:uid="{7023C1BF-FEA7-4582-B261-970BE3C4E5A0}"/>
    <cellStyle name="常规 21 2 2" xfId="3315" xr:uid="{F0A7A771-072F-4B26-BEFF-DA6C9FA58F6F}"/>
    <cellStyle name="常规 21 2 2 2" xfId="3316" xr:uid="{8D5F11AE-5D78-4670-AB13-B9D65AF71895}"/>
    <cellStyle name="常规 21 2 2 2 2" xfId="3317" xr:uid="{611C43E8-0326-42AB-8372-18B318A6C0DC}"/>
    <cellStyle name="常规 21 2 2 2 2 2" xfId="3318" xr:uid="{F3766318-41A8-4589-ADCE-3874A67F8DA7}"/>
    <cellStyle name="常规 21 2 2 2 2 2 2" xfId="3319" xr:uid="{6D0E7F57-FA0D-4C58-84C6-9116DCDB891D}"/>
    <cellStyle name="常规 21 2 2 2 2 2 2 2" xfId="3320" xr:uid="{B52447BF-27ED-4839-8C3B-F4791AF3CEED}"/>
    <cellStyle name="常规 21 2 2 2 2 2 2 2 2" xfId="3321" xr:uid="{35A11DF5-4EA9-4495-8850-5BAB5FE4D135}"/>
    <cellStyle name="常规 21 2 2 2 2 2 2 2 2 2" xfId="3322" xr:uid="{1FF18294-D092-4C2E-BB29-A5A919ED2782}"/>
    <cellStyle name="常规 21 2 2 2 2 2 2 2 3" xfId="3323" xr:uid="{787DE3B5-943E-432C-88F9-6FAC39081E97}"/>
    <cellStyle name="常规 21 2 2 2 2 2 2 3" xfId="3324" xr:uid="{ECA86001-7A3A-44D5-B5E3-A85CB464F4C1}"/>
    <cellStyle name="常规 21 2 2 2 2 2 2 3 2" xfId="3325" xr:uid="{060737FC-720B-4475-B8E1-928A50558682}"/>
    <cellStyle name="常规 21 2 2 2 2 2 2 4" xfId="3326" xr:uid="{991BA79F-5D79-4B33-B7A2-AE67F2FBAAF5}"/>
    <cellStyle name="常规 21 2 2 2 2 2 3" xfId="3327" xr:uid="{E1B7B6BA-9EF7-4954-8DB6-9FA1A53557FA}"/>
    <cellStyle name="常规 21 2 2 2 2 2 3 2" xfId="3328" xr:uid="{FB0D83E1-D8ED-47B5-AA47-ED59AF33EB28}"/>
    <cellStyle name="常规 21 2 2 2 2 2 3 2 2" xfId="3329" xr:uid="{EA89B834-1861-453D-A495-3CC7157A8F09}"/>
    <cellStyle name="常规 21 2 2 2 2 2 3 3" xfId="3330" xr:uid="{92F90452-441A-4A1E-A45E-298BE2D4A93E}"/>
    <cellStyle name="常规 21 2 2 2 2 2 4" xfId="3331" xr:uid="{FDD77186-823B-408E-91D3-E2EC0D4D4444}"/>
    <cellStyle name="常规 21 2 2 2 2 2 4 2" xfId="3332" xr:uid="{E579D2E4-DAB9-48F4-B42D-FB7ECCDEB225}"/>
    <cellStyle name="常规 21 2 2 2 2 2 5" xfId="3333" xr:uid="{A1900C49-3431-4E7D-B0C5-7961336742DF}"/>
    <cellStyle name="常规 21 2 2 2 2 3" xfId="3334" xr:uid="{26AB3237-C4C0-4835-91DA-900AB4864675}"/>
    <cellStyle name="常规 21 2 2 2 2 3 2" xfId="3335" xr:uid="{A892AD36-5C0B-4C4F-B1B3-2C6DD07795CB}"/>
    <cellStyle name="常规 21 2 2 2 2 3 2 2" xfId="3336" xr:uid="{AF7D6485-1DE5-4F23-BB9A-EECAD1C23EA3}"/>
    <cellStyle name="常规 21 2 2 2 2 3 2 2 2" xfId="3337" xr:uid="{4AFE601C-B0DB-42EC-A862-08CE685612F2}"/>
    <cellStyle name="常规 21 2 2 2 2 3 2 3" xfId="3338" xr:uid="{C12CFDDD-8610-4566-96DB-FF564B7BBBCD}"/>
    <cellStyle name="常规 21 2 2 2 2 3 3" xfId="3339" xr:uid="{112A3489-603E-421A-B309-8931A01C7CF4}"/>
    <cellStyle name="常规 21 2 2 2 2 3 3 2" xfId="3340" xr:uid="{F0F6934B-050C-4168-8D7D-E2FEFCD34ADD}"/>
    <cellStyle name="常规 21 2 2 2 2 3 4" xfId="3341" xr:uid="{C0ECC5FB-6213-43F4-8C61-F9D4E5B5EB5E}"/>
    <cellStyle name="常规 21 2 2 2 2 4" xfId="3342" xr:uid="{0C48F285-5C12-49CC-9602-819A3086822B}"/>
    <cellStyle name="常规 21 2 2 2 2 4 2" xfId="3343" xr:uid="{E011D7EF-4A7B-4F9D-8F2A-0C5C50F8262D}"/>
    <cellStyle name="常规 21 2 2 2 2 4 2 2" xfId="3344" xr:uid="{7C7BAA83-5309-458F-B2CB-620A4697050B}"/>
    <cellStyle name="常规 21 2 2 2 2 4 3" xfId="3345" xr:uid="{2236F29A-0150-4746-BA4A-79F972BAC077}"/>
    <cellStyle name="常规 21 2 2 2 2 5" xfId="3346" xr:uid="{D8323A5C-441A-471E-AB00-64FD7D14155A}"/>
    <cellStyle name="常规 21 2 2 2 2 5 2" xfId="3347" xr:uid="{52DD3095-FFBB-4D00-AFCC-0E90C6BBFE10}"/>
    <cellStyle name="常规 21 2 2 2 2 6" xfId="3348" xr:uid="{9FD8D0F0-AE95-4251-92EF-1A053936D930}"/>
    <cellStyle name="常规 21 2 2 2 3" xfId="3349" xr:uid="{B95BADFF-0A3F-441A-9C87-20A025782587}"/>
    <cellStyle name="常规 21 2 2 2 3 2" xfId="3350" xr:uid="{E640D233-194F-4FC7-8497-34EEF4E460CA}"/>
    <cellStyle name="常规 21 2 2 2 3 2 2" xfId="3351" xr:uid="{F4E8B60F-D9E5-48F3-A6B5-29AAB1D672B6}"/>
    <cellStyle name="常规 21 2 2 2 3 2 2 2" xfId="3352" xr:uid="{162998CC-A8D4-4767-8D63-420AAC96C4F5}"/>
    <cellStyle name="常规 21 2 2 2 3 2 2 2 2" xfId="3353" xr:uid="{E9E06BBF-7DC7-42AE-86BF-A1A432C8089A}"/>
    <cellStyle name="常规 21 2 2 2 3 2 2 3" xfId="3354" xr:uid="{B56F6A52-6AB5-4B76-921A-134123D708B5}"/>
    <cellStyle name="常规 21 2 2 2 3 2 3" xfId="3355" xr:uid="{A14198CB-89FB-43C5-8034-99BC9B9058F1}"/>
    <cellStyle name="常规 21 2 2 2 3 2 3 2" xfId="3356" xr:uid="{233CC7EF-BF08-4AF9-A478-BBF9C82D8DF7}"/>
    <cellStyle name="常规 21 2 2 2 3 2 4" xfId="3357" xr:uid="{744FB3A4-ED1D-4C76-8D8F-11A1156F5C73}"/>
    <cellStyle name="常规 21 2 2 2 3 3" xfId="3358" xr:uid="{7BDB600D-BE9C-4D4E-BB0E-0FA53C122021}"/>
    <cellStyle name="常规 21 2 2 2 3 3 2" xfId="3359" xr:uid="{67E0B8AE-8C57-4519-8478-E89C2CED6405}"/>
    <cellStyle name="常规 21 2 2 2 3 3 2 2" xfId="3360" xr:uid="{B1C3A99F-E9BE-456A-9FAA-4FACBB3F1616}"/>
    <cellStyle name="常规 21 2 2 2 3 3 3" xfId="3361" xr:uid="{0BB4F7E1-00B8-4B99-BFC8-9300EB764CD6}"/>
    <cellStyle name="常规 21 2 2 2 3 4" xfId="3362" xr:uid="{C83CFD04-9D84-4DC0-9E5D-0332846D81BB}"/>
    <cellStyle name="常规 21 2 2 2 3 4 2" xfId="3363" xr:uid="{1FABF0C4-4FC1-4FA5-9139-ABC659DF0D57}"/>
    <cellStyle name="常规 21 2 2 2 3 5" xfId="3364" xr:uid="{47593767-6782-4D44-86BA-1101B87CCC66}"/>
    <cellStyle name="常规 21 2 2 2 4" xfId="3365" xr:uid="{9AED77FF-F5CC-4854-8542-834D29B2CFD5}"/>
    <cellStyle name="常规 21 2 2 2 4 2" xfId="3366" xr:uid="{9A48C20D-7E0C-4EE4-9BB5-6E4DE234B000}"/>
    <cellStyle name="常规 21 2 2 2 4 2 2" xfId="3367" xr:uid="{25A41FC9-22F6-4445-B2BE-E0919E33E666}"/>
    <cellStyle name="常规 21 2 2 2 4 2 2 2" xfId="3368" xr:uid="{C6FA078A-4118-49A3-8EC8-5177D8C55A04}"/>
    <cellStyle name="常规 21 2 2 2 4 2 3" xfId="3369" xr:uid="{D40B8592-3335-4B2B-B40D-08D1930237DC}"/>
    <cellStyle name="常规 21 2 2 2 4 3" xfId="3370" xr:uid="{445FEAC1-5167-4E97-B485-58ADF135529B}"/>
    <cellStyle name="常规 21 2 2 2 4 3 2" xfId="3371" xr:uid="{6E0E4748-7566-4BF9-9101-30DDE4167A27}"/>
    <cellStyle name="常规 21 2 2 2 4 4" xfId="3372" xr:uid="{829281D0-03EE-4CBE-AA0F-D70355B50469}"/>
    <cellStyle name="常规 21 2 2 2 5" xfId="3373" xr:uid="{F96D64FE-4F2A-45B4-B43E-53A7A133438F}"/>
    <cellStyle name="常规 21 2 2 2 5 2" xfId="3374" xr:uid="{D50AF83E-06CF-4A0B-91F4-FE191B9AA39E}"/>
    <cellStyle name="常规 21 2 2 2 5 2 2" xfId="3375" xr:uid="{3E90D43B-9DBD-4B88-800A-81602083764D}"/>
    <cellStyle name="常规 21 2 2 2 5 3" xfId="3376" xr:uid="{BC0A6C83-3115-4BC8-9BD1-9E59A760F7B6}"/>
    <cellStyle name="常规 21 2 2 2 6" xfId="3377" xr:uid="{FF93DFC4-4308-4A19-8374-800A27FC6F19}"/>
    <cellStyle name="常规 21 2 2 2 6 2" xfId="3378" xr:uid="{B3A939E1-715A-48C6-850C-724C96299236}"/>
    <cellStyle name="常规 21 2 2 2 7" xfId="3379" xr:uid="{F3204C4A-960F-4F61-821D-54C74F6AA4FD}"/>
    <cellStyle name="常规 21 2 2 3" xfId="3380" xr:uid="{4E430285-484C-44F6-A4FE-AD3F1C6D7D80}"/>
    <cellStyle name="常规 21 2 2 3 2" xfId="3381" xr:uid="{3CA6FD3B-6A84-437B-A471-FDD5287D2370}"/>
    <cellStyle name="常规 21 2 2 3 2 2" xfId="3382" xr:uid="{4A03E711-283B-4817-97B5-BECFA28B288D}"/>
    <cellStyle name="常规 21 2 2 3 2 2 2" xfId="3383" xr:uid="{E3A9DFFA-573A-4009-A0D1-13FEF17659FA}"/>
    <cellStyle name="常规 21 2 2 3 2 2 2 2" xfId="3384" xr:uid="{3E1A2E5B-00A3-4B96-817A-A111DADB4D9A}"/>
    <cellStyle name="常规 21 2 2 3 2 2 2 2 2" xfId="3385" xr:uid="{C62B6788-3035-444B-9BA5-54FD447505B0}"/>
    <cellStyle name="常规 21 2 2 3 2 2 2 3" xfId="3386" xr:uid="{8B5D6ECA-D562-4D60-893E-01FB8A453142}"/>
    <cellStyle name="常规 21 2 2 3 2 2 3" xfId="3387" xr:uid="{FE1B775F-290C-41D6-B1FC-EBF80811E381}"/>
    <cellStyle name="常规 21 2 2 3 2 2 3 2" xfId="3388" xr:uid="{1F40CA67-FD29-48C7-A9BA-7E478F16F2AD}"/>
    <cellStyle name="常规 21 2 2 3 2 2 4" xfId="3389" xr:uid="{6713B3BF-A187-440B-8EEE-024177084FAE}"/>
    <cellStyle name="常规 21 2 2 3 2 3" xfId="3390" xr:uid="{56657A11-D243-4784-9860-A3D5489C6760}"/>
    <cellStyle name="常规 21 2 2 3 2 3 2" xfId="3391" xr:uid="{3AAA946E-AA98-4A8A-9EBF-F39D1C14D5D5}"/>
    <cellStyle name="常规 21 2 2 3 2 3 2 2" xfId="3392" xr:uid="{521CE470-7752-431D-BA50-C92314713918}"/>
    <cellStyle name="常规 21 2 2 3 2 3 3" xfId="3393" xr:uid="{F759F9ED-A8DB-492C-8A7E-33A09759F1EF}"/>
    <cellStyle name="常规 21 2 2 3 2 4" xfId="3394" xr:uid="{9FE0C8E5-8AD4-44AC-9887-4E3D32D7DE6A}"/>
    <cellStyle name="常规 21 2 2 3 2 4 2" xfId="3395" xr:uid="{A9EC9237-FB9B-4EA0-B86A-384795290ADA}"/>
    <cellStyle name="常规 21 2 2 3 2 5" xfId="3396" xr:uid="{8B4A5677-23D8-4274-8409-FFEBF025C6EC}"/>
    <cellStyle name="常规 21 2 2 3 3" xfId="3397" xr:uid="{33E8B10A-E110-4B60-9D15-B867C0F4EB0F}"/>
    <cellStyle name="常规 21 2 2 3 3 2" xfId="3398" xr:uid="{FEC420B0-BEC9-441A-AEE8-1A1A50A31A7D}"/>
    <cellStyle name="常规 21 2 2 3 3 2 2" xfId="3399" xr:uid="{39118B38-3F80-4542-9856-85E2D1800ADA}"/>
    <cellStyle name="常规 21 2 2 3 3 2 2 2" xfId="3400" xr:uid="{1181A179-748E-41CA-B2DB-B53AADABF145}"/>
    <cellStyle name="常规 21 2 2 3 3 2 3" xfId="3401" xr:uid="{E113D052-054D-4607-8630-72DAEAF9BB38}"/>
    <cellStyle name="常规 21 2 2 3 3 3" xfId="3402" xr:uid="{7503EFAB-47E8-4753-9BE0-046BA14FEAFF}"/>
    <cellStyle name="常规 21 2 2 3 3 3 2" xfId="3403" xr:uid="{92618ECA-A429-435E-966F-E0B87FF42FA6}"/>
    <cellStyle name="常规 21 2 2 3 3 4" xfId="3404" xr:uid="{64CD955B-9048-48E4-935D-FD36A8FAFCB3}"/>
    <cellStyle name="常规 21 2 2 3 4" xfId="3405" xr:uid="{DAC23F19-50C2-40EF-B91F-C4F7D705CB08}"/>
    <cellStyle name="常规 21 2 2 3 4 2" xfId="3406" xr:uid="{A0BBDCB1-71BB-4BE7-81E4-941F28355837}"/>
    <cellStyle name="常规 21 2 2 3 4 2 2" xfId="3407" xr:uid="{BD48A4FE-C649-4697-9EC1-06AD84F125F5}"/>
    <cellStyle name="常规 21 2 2 3 4 3" xfId="3408" xr:uid="{E277B616-E974-4FEC-BB5B-07EE9BA9A9FF}"/>
    <cellStyle name="常规 21 2 2 3 5" xfId="3409" xr:uid="{DF38DD5A-B79D-4F69-912E-68710FA80F68}"/>
    <cellStyle name="常规 21 2 2 3 5 2" xfId="3410" xr:uid="{63AB6B5F-1B0B-492C-9430-D34A70335872}"/>
    <cellStyle name="常规 21 2 2 3 6" xfId="3411" xr:uid="{4D8C80D3-76C0-4E57-BD0F-B4F4F958DE0C}"/>
    <cellStyle name="常规 21 2 2 4" xfId="3412" xr:uid="{07021E3A-9D72-4630-BC57-B703A175B818}"/>
    <cellStyle name="常规 21 2 2 4 2" xfId="3413" xr:uid="{CC6F93F6-F035-412B-A6A8-47A57156DB56}"/>
    <cellStyle name="常规 21 2 2 4 2 2" xfId="3414" xr:uid="{65454D7E-2D26-423F-8E83-4CECDE90A144}"/>
    <cellStyle name="常规 21 2 2 4 2 2 2" xfId="3415" xr:uid="{150131AF-7EA4-4409-AF65-564112B0AD2D}"/>
    <cellStyle name="常规 21 2 2 4 2 2 2 2" xfId="3416" xr:uid="{92F5D294-F9CE-48A2-A4CD-F92FB8D6697F}"/>
    <cellStyle name="常规 21 2 2 4 2 2 3" xfId="3417" xr:uid="{AA5C9E50-28E2-4066-9573-DF3DAD073ECC}"/>
    <cellStyle name="常规 21 2 2 4 2 3" xfId="3418" xr:uid="{A1C8A868-AC51-4F71-8DA8-B7FE18A18080}"/>
    <cellStyle name="常规 21 2 2 4 2 3 2" xfId="3419" xr:uid="{C8212976-BB34-400F-A83C-D9F9C5B6CA3D}"/>
    <cellStyle name="常规 21 2 2 4 2 4" xfId="3420" xr:uid="{4525F3D8-817F-413A-A82A-FD0A19A92998}"/>
    <cellStyle name="常规 21 2 2 4 3" xfId="3421" xr:uid="{7F4267EE-544A-465D-8F62-C417284D0F2D}"/>
    <cellStyle name="常规 21 2 2 4 3 2" xfId="3422" xr:uid="{00800FB5-0724-4FAC-AF87-0062F9B88A4E}"/>
    <cellStyle name="常规 21 2 2 4 3 2 2" xfId="3423" xr:uid="{488A5777-A9C0-4509-AD35-E4248D01AF57}"/>
    <cellStyle name="常规 21 2 2 4 3 3" xfId="3424" xr:uid="{6CFF2119-B1A8-4047-B55E-D53FF96BB458}"/>
    <cellStyle name="常规 21 2 2 4 4" xfId="3425" xr:uid="{A37B6751-4763-4FA9-B79A-A04F950A40F4}"/>
    <cellStyle name="常规 21 2 2 4 4 2" xfId="3426" xr:uid="{49F94AA4-DFC9-4D37-B385-D6AC21627894}"/>
    <cellStyle name="常规 21 2 2 4 5" xfId="3427" xr:uid="{303D6824-DE6B-4761-A66E-BA457297F4A8}"/>
    <cellStyle name="常规 21 2 2 5" xfId="3428" xr:uid="{AF50B2A0-ACB1-47DA-B9E1-5DE00594F0C1}"/>
    <cellStyle name="常规 21 2 2 5 2" xfId="3429" xr:uid="{B95EE486-CAEF-4B23-8444-55489EA2EBF8}"/>
    <cellStyle name="常规 21 2 2 5 2 2" xfId="3430" xr:uid="{B33A4D52-9810-4515-9F85-1196FD4F4B83}"/>
    <cellStyle name="常规 21 2 2 5 2 2 2" xfId="3431" xr:uid="{93B1D6FE-757D-4C7F-B685-C50B913424DF}"/>
    <cellStyle name="常规 21 2 2 5 2 3" xfId="3432" xr:uid="{AE946A2B-1BF4-4CA0-B2FB-33FBFC1920A3}"/>
    <cellStyle name="常规 21 2 2 5 3" xfId="3433" xr:uid="{C74D95DD-B367-44E6-8364-C118D5D90A9F}"/>
    <cellStyle name="常规 21 2 2 5 3 2" xfId="3434" xr:uid="{6A692164-A834-4F01-BF14-2D798123AC41}"/>
    <cellStyle name="常规 21 2 2 5 4" xfId="3435" xr:uid="{86F316E0-F919-49E2-A4E8-44A7F8546DAA}"/>
    <cellStyle name="常规 21 2 2 6" xfId="3436" xr:uid="{F9DECCBE-8CA4-48FC-8DF7-5F85232196D3}"/>
    <cellStyle name="常规 21 2 2 6 2" xfId="3437" xr:uid="{8BD6C7B1-A387-4EF8-95FD-E2E15C0644B9}"/>
    <cellStyle name="常规 21 2 2 6 2 2" xfId="3438" xr:uid="{968E985F-4975-4736-932A-FF17311D976B}"/>
    <cellStyle name="常规 21 2 2 6 3" xfId="3439" xr:uid="{50488925-E24A-4078-90E0-43B03E83F8FD}"/>
    <cellStyle name="常规 21 2 2 7" xfId="3440" xr:uid="{15958CA2-44A3-4157-8411-5A340E8C27EE}"/>
    <cellStyle name="常规 21 2 2 7 2" xfId="3441" xr:uid="{927160E8-B126-437B-A8C2-FAF7DCAEFB8B}"/>
    <cellStyle name="常规 21 2 2 8" xfId="3442" xr:uid="{A525FCFA-D2F4-448F-9B4D-B12A61F8E2E4}"/>
    <cellStyle name="常规 21 2 3" xfId="3443" xr:uid="{3D3041F3-1319-4799-8BDA-782974ACC05D}"/>
    <cellStyle name="常规 21 2 3 2" xfId="3444" xr:uid="{F42EAE63-1410-4E0C-9D1A-2DA60E816B25}"/>
    <cellStyle name="常规 21 2 3 2 2" xfId="3445" xr:uid="{3E19DFAD-F655-4D4F-ACF0-DD8573C0EE4F}"/>
    <cellStyle name="常规 21 2 3 2 2 2" xfId="3446" xr:uid="{EEE5C824-CC47-4ADC-AEFD-0EFA3BC77A7C}"/>
    <cellStyle name="常规 21 2 3 2 2 2 2" xfId="3447" xr:uid="{138DB22C-38FC-4E93-B99C-468685DC9E72}"/>
    <cellStyle name="常规 21 2 3 2 2 2 2 2" xfId="3448" xr:uid="{0E12D48B-E737-41AA-8DE0-3EC780F908B5}"/>
    <cellStyle name="常规 21 2 3 2 2 2 2 2 2" xfId="3449" xr:uid="{86699894-CE37-4503-99BA-C20E75B33F6D}"/>
    <cellStyle name="常规 21 2 3 2 2 2 2 3" xfId="3450" xr:uid="{AFBB4DE6-1D2C-43F7-8463-2542DDF27F32}"/>
    <cellStyle name="常规 21 2 3 2 2 2 3" xfId="3451" xr:uid="{9CF81662-4CF4-4316-82DD-7BDF32DA2E78}"/>
    <cellStyle name="常规 21 2 3 2 2 2 3 2" xfId="3452" xr:uid="{15F6C66A-D946-40F4-A0CF-F1E16E7C0438}"/>
    <cellStyle name="常规 21 2 3 2 2 2 4" xfId="3453" xr:uid="{896FDD97-FD4A-4218-98D6-EB72C91285B5}"/>
    <cellStyle name="常规 21 2 3 2 2 3" xfId="3454" xr:uid="{D3FED14A-E96C-499C-AD9D-81A9079F7FBB}"/>
    <cellStyle name="常规 21 2 3 2 2 3 2" xfId="3455" xr:uid="{FF245F5C-8B95-446F-812E-7620187EBE5E}"/>
    <cellStyle name="常规 21 2 3 2 2 3 2 2" xfId="3456" xr:uid="{850B6057-7590-4340-B035-8FA48759A2CD}"/>
    <cellStyle name="常规 21 2 3 2 2 3 3" xfId="3457" xr:uid="{510595C3-D7EC-4A11-A44E-74C0EABB93FF}"/>
    <cellStyle name="常规 21 2 3 2 2 4" xfId="3458" xr:uid="{65F6F3DE-865A-4F58-AE4B-A5B9344D3342}"/>
    <cellStyle name="常规 21 2 3 2 2 4 2" xfId="3459" xr:uid="{C43F777F-9AD3-4652-92CF-6097E85DC994}"/>
    <cellStyle name="常规 21 2 3 2 2 5" xfId="3460" xr:uid="{7CD001F5-BB9A-4D03-A371-C54D14F3244B}"/>
    <cellStyle name="常规 21 2 3 2 3" xfId="3461" xr:uid="{19915115-28EF-436B-91F5-BE78F91B5835}"/>
    <cellStyle name="常规 21 2 3 2 3 2" xfId="3462" xr:uid="{F2C59B1E-26A0-4E6B-B8F5-7FEB06A59367}"/>
    <cellStyle name="常规 21 2 3 2 3 2 2" xfId="3463" xr:uid="{1A46DBD0-0066-4397-BB10-AF35152AB596}"/>
    <cellStyle name="常规 21 2 3 2 3 2 2 2" xfId="3464" xr:uid="{E63AB435-D2D4-4AB3-8259-C045EFE857E9}"/>
    <cellStyle name="常规 21 2 3 2 3 2 3" xfId="3465" xr:uid="{615BB771-E15B-4C21-AE21-7760849B4FB1}"/>
    <cellStyle name="常规 21 2 3 2 3 3" xfId="3466" xr:uid="{20CEB8B1-3B65-483A-814D-0191C803EA6F}"/>
    <cellStyle name="常规 21 2 3 2 3 3 2" xfId="3467" xr:uid="{3CB8C9BB-338B-4107-B362-2DB0777DF10B}"/>
    <cellStyle name="常规 21 2 3 2 3 4" xfId="3468" xr:uid="{85FCCF62-B9D9-4302-B472-CC625B303ECB}"/>
    <cellStyle name="常规 21 2 3 2 4" xfId="3469" xr:uid="{DE6C99A1-82C0-44E0-B1EC-90B95CDA9B74}"/>
    <cellStyle name="常规 21 2 3 2 4 2" xfId="3470" xr:uid="{3DD964AB-6310-4B66-BA5B-FA5BB64340E8}"/>
    <cellStyle name="常规 21 2 3 2 4 2 2" xfId="3471" xr:uid="{FDC381AA-9DE5-40A1-B4FC-809F5C3D7605}"/>
    <cellStyle name="常规 21 2 3 2 4 3" xfId="3472" xr:uid="{1E6B512C-C2A1-495B-B78D-9A815378FAB1}"/>
    <cellStyle name="常规 21 2 3 2 5" xfId="3473" xr:uid="{6AFFDB85-B058-4260-988D-8A4A4950941D}"/>
    <cellStyle name="常规 21 2 3 2 5 2" xfId="3474" xr:uid="{50821C0F-859E-4F03-9B3E-17DBD87B6CFF}"/>
    <cellStyle name="常规 21 2 3 2 6" xfId="3475" xr:uid="{3B24E2D4-4AE6-405E-AF30-C8FD565664F9}"/>
    <cellStyle name="常规 21 2 3 3" xfId="3476" xr:uid="{4E8BFC12-514A-4E85-9FAC-B806E14612C9}"/>
    <cellStyle name="常规 21 2 3 3 2" xfId="3477" xr:uid="{694CE571-EAA2-4161-8C44-F2D5D8B66B7E}"/>
    <cellStyle name="常规 21 2 3 3 2 2" xfId="3478" xr:uid="{3E1563A4-117D-4795-A6EE-E586F73A6B90}"/>
    <cellStyle name="常规 21 2 3 3 2 2 2" xfId="3479" xr:uid="{0CFD8977-DB00-47A0-B4F6-1E3B2A1B9A3C}"/>
    <cellStyle name="常规 21 2 3 3 2 2 2 2" xfId="3480" xr:uid="{64135711-169E-43DF-A026-3A2E4B102769}"/>
    <cellStyle name="常规 21 2 3 3 2 2 3" xfId="3481" xr:uid="{A35854DA-472C-40B9-855F-4F919F41D29D}"/>
    <cellStyle name="常规 21 2 3 3 2 3" xfId="3482" xr:uid="{37B6B9B6-FEDB-4CDC-A9D1-AAB5FD20E7C7}"/>
    <cellStyle name="常规 21 2 3 3 2 3 2" xfId="3483" xr:uid="{FDCC2B12-3D6B-4AF3-B34A-54C765A0EF77}"/>
    <cellStyle name="常规 21 2 3 3 2 4" xfId="3484" xr:uid="{99ADC039-7F6B-4890-BD54-86B5850986CC}"/>
    <cellStyle name="常规 21 2 3 3 3" xfId="3485" xr:uid="{964A29DD-4675-4413-87F8-173DB8B70EEA}"/>
    <cellStyle name="常规 21 2 3 3 3 2" xfId="3486" xr:uid="{EFCA4D18-273A-4E07-82F6-EC9584C1D506}"/>
    <cellStyle name="常规 21 2 3 3 3 2 2" xfId="3487" xr:uid="{142A966D-FD31-4141-93BB-50441B0D16B5}"/>
    <cellStyle name="常规 21 2 3 3 3 3" xfId="3488" xr:uid="{22305523-264E-47F9-83C3-FC539DFE4EF9}"/>
    <cellStyle name="常规 21 2 3 3 4" xfId="3489" xr:uid="{7F843AB7-449E-4D74-B90E-123C2C853C99}"/>
    <cellStyle name="常规 21 2 3 3 4 2" xfId="3490" xr:uid="{E7F57082-011C-4058-A8DA-995839224AB1}"/>
    <cellStyle name="常规 21 2 3 3 5" xfId="3491" xr:uid="{4FA0A161-398D-47FA-8D34-E0C4E107C864}"/>
    <cellStyle name="常规 21 2 3 4" xfId="3492" xr:uid="{2E58E298-2765-41F8-A407-19E2C5B8AEF4}"/>
    <cellStyle name="常规 21 2 3 4 2" xfId="3493" xr:uid="{A9A6D3EC-1660-44BF-82AF-77A8E53C283B}"/>
    <cellStyle name="常规 21 2 3 4 2 2" xfId="3494" xr:uid="{1F99D385-0DCD-4A63-98F4-DA3016CE3A37}"/>
    <cellStyle name="常规 21 2 3 4 2 2 2" xfId="3495" xr:uid="{BD3E1FB1-34DD-44FD-BBE7-C4D754E6760D}"/>
    <cellStyle name="常规 21 2 3 4 2 3" xfId="3496" xr:uid="{FDF3D61D-A86D-422F-A8E1-53E959232EAA}"/>
    <cellStyle name="常规 21 2 3 4 3" xfId="3497" xr:uid="{DDC7A45E-81E9-493B-B2CB-3092E8B9C6D3}"/>
    <cellStyle name="常规 21 2 3 4 3 2" xfId="3498" xr:uid="{E9ACDF15-E4DC-48C6-96BE-90BCC839641C}"/>
    <cellStyle name="常规 21 2 3 4 4" xfId="3499" xr:uid="{BAAE2D47-2E3F-4230-A070-A324738120E5}"/>
    <cellStyle name="常规 21 2 3 5" xfId="3500" xr:uid="{89F8FC89-AC4C-4890-9988-52F6E6F7AA3D}"/>
    <cellStyle name="常规 21 2 3 5 2" xfId="3501" xr:uid="{ADC6C0CD-ADAC-48B2-83E0-5586F9C824F4}"/>
    <cellStyle name="常规 21 2 3 5 2 2" xfId="3502" xr:uid="{E866F092-B6A8-4F9C-BF2B-5805DAE4D65A}"/>
    <cellStyle name="常规 21 2 3 5 3" xfId="3503" xr:uid="{F05B11FF-1700-4443-8E8C-ADB3447F3E12}"/>
    <cellStyle name="常规 21 2 3 6" xfId="3504" xr:uid="{8FF96216-C3DA-4239-AB30-63B93D29C440}"/>
    <cellStyle name="常规 21 2 3 6 2" xfId="3505" xr:uid="{BE6252B0-25BD-4847-A9CB-2E0281192D6F}"/>
    <cellStyle name="常规 21 2 3 7" xfId="3506" xr:uid="{AB3977F8-0572-47D8-B383-1FE4348A8C26}"/>
    <cellStyle name="常规 21 2 4" xfId="3507" xr:uid="{E06D945A-6612-42FA-812C-03CCB9797088}"/>
    <cellStyle name="常规 21 2 4 2" xfId="3508" xr:uid="{770988F4-5F31-492E-A000-A3F46DDE58D1}"/>
    <cellStyle name="常规 21 2 4 2 2" xfId="3509" xr:uid="{A26E4770-E42E-43C6-9C59-FD325BBFCBE7}"/>
    <cellStyle name="常规 21 2 4 2 2 2" xfId="3510" xr:uid="{175C6950-DF6B-4730-BD73-7BA1FD160CC6}"/>
    <cellStyle name="常规 21 2 4 2 2 2 2" xfId="3511" xr:uid="{6543E2B3-AF35-49D5-A03C-070D5BF2F018}"/>
    <cellStyle name="常规 21 2 4 2 2 2 2 2" xfId="3512" xr:uid="{84C6FB30-EC64-495A-819F-6164C09222B2}"/>
    <cellStyle name="常规 21 2 4 2 2 2 3" xfId="3513" xr:uid="{7C139F3C-D09D-428E-8020-AC28EA0FD0C6}"/>
    <cellStyle name="常规 21 2 4 2 2 3" xfId="3514" xr:uid="{E0C2A3DA-76CE-407C-B1EF-31535FEDD0EE}"/>
    <cellStyle name="常规 21 2 4 2 2 3 2" xfId="3515" xr:uid="{22176103-5F33-403B-B895-5B5BADB8EE1F}"/>
    <cellStyle name="常规 21 2 4 2 2 4" xfId="3516" xr:uid="{CC46E234-CB45-47DA-BF59-8BC1429E356D}"/>
    <cellStyle name="常规 21 2 4 2 3" xfId="3517" xr:uid="{A41E0CEC-7E0A-40E5-B67B-7177C0F55CAE}"/>
    <cellStyle name="常规 21 2 4 2 3 2" xfId="3518" xr:uid="{6D91A562-466A-4AEC-A03F-7BB6397E009B}"/>
    <cellStyle name="常规 21 2 4 2 3 2 2" xfId="3519" xr:uid="{6C734BAC-9820-402B-A347-C835CF59F6C5}"/>
    <cellStyle name="常规 21 2 4 2 3 3" xfId="3520" xr:uid="{97ECF4E3-0F46-4114-8530-B815BBC120D1}"/>
    <cellStyle name="常规 21 2 4 2 4" xfId="3521" xr:uid="{F871D423-4C23-4973-BF32-6F748D5B2295}"/>
    <cellStyle name="常规 21 2 4 2 4 2" xfId="3522" xr:uid="{D211ED9B-DC88-42F4-B3D8-620A85B07786}"/>
    <cellStyle name="常规 21 2 4 2 5" xfId="3523" xr:uid="{DCDEDCE3-485A-40A2-842E-5C7855386148}"/>
    <cellStyle name="常规 21 2 4 3" xfId="3524" xr:uid="{86514B50-9F96-4016-923E-989CC0347BC6}"/>
    <cellStyle name="常规 21 2 4 3 2" xfId="3525" xr:uid="{5A0C6CF3-9DBC-459A-A66B-860C8978BA9D}"/>
    <cellStyle name="常规 21 2 4 3 2 2" xfId="3526" xr:uid="{E6E5C908-7BF0-4D06-B03A-39154BDBE533}"/>
    <cellStyle name="常规 21 2 4 3 2 2 2" xfId="3527" xr:uid="{588F0941-446A-478F-B741-7C6FE12E3852}"/>
    <cellStyle name="常规 21 2 4 3 2 3" xfId="3528" xr:uid="{D27C931B-9370-4759-AE35-ED7CDBF1AED7}"/>
    <cellStyle name="常规 21 2 4 3 3" xfId="3529" xr:uid="{C410F415-D098-4F8C-9E51-74A153B3A10E}"/>
    <cellStyle name="常规 21 2 4 3 3 2" xfId="3530" xr:uid="{87EAB387-A323-4298-AB61-911493AF2F56}"/>
    <cellStyle name="常规 21 2 4 3 4" xfId="3531" xr:uid="{4BDA167D-0AA5-4676-AE77-75EE0525AE8F}"/>
    <cellStyle name="常规 21 2 4 4" xfId="3532" xr:uid="{110A9B92-9EF2-4F12-972F-BDD129B33F7A}"/>
    <cellStyle name="常规 21 2 4 4 2" xfId="3533" xr:uid="{03D650F7-2342-41FB-85AC-00A14FF3C680}"/>
    <cellStyle name="常规 21 2 4 4 2 2" xfId="3534" xr:uid="{B5C1E505-6B3A-4191-A94E-0B47D8BAF15A}"/>
    <cellStyle name="常规 21 2 4 4 3" xfId="3535" xr:uid="{04F1413B-B954-432C-911E-843472026602}"/>
    <cellStyle name="常规 21 2 4 5" xfId="3536" xr:uid="{180AB37F-5050-4613-A90B-D6F0D98F9833}"/>
    <cellStyle name="常规 21 2 4 5 2" xfId="3537" xr:uid="{55ADCCE5-D128-40F5-BFD5-98A600A2A258}"/>
    <cellStyle name="常规 21 2 4 6" xfId="3538" xr:uid="{6403403D-C2EC-448F-A69D-4C27E93D8068}"/>
    <cellStyle name="常规 21 2 5" xfId="3539" xr:uid="{C7132479-3651-449D-97DD-DBB4D76EA4FB}"/>
    <cellStyle name="常规 21 2 5 2" xfId="3540" xr:uid="{1A26B31B-F946-432B-A078-B4EAABF8DF02}"/>
    <cellStyle name="常规 21 2 5 2 2" xfId="3541" xr:uid="{E24D954E-3BE2-41EA-9367-FDE2C28FDE93}"/>
    <cellStyle name="常规 21 2 5 2 2 2" xfId="3542" xr:uid="{58A6772A-0663-435F-A38E-42FAA232A7B7}"/>
    <cellStyle name="常规 21 2 5 2 2 2 2" xfId="3543" xr:uid="{80D0DE83-DD2A-4D83-B6E7-14585AC489C6}"/>
    <cellStyle name="常规 21 2 5 2 2 3" xfId="3544" xr:uid="{E0640B5F-C761-4E6F-A86D-A5031FB6F91C}"/>
    <cellStyle name="常规 21 2 5 2 3" xfId="3545" xr:uid="{8C25C7A9-37EA-4904-9D13-8D66CE2F22C4}"/>
    <cellStyle name="常规 21 2 5 2 3 2" xfId="3546" xr:uid="{04BBD9D6-19E6-49B3-BE01-C6C79A7D39A4}"/>
    <cellStyle name="常规 21 2 5 2 4" xfId="3547" xr:uid="{FB1611D9-17B8-4A5B-AC8B-0C4F24CA7CCA}"/>
    <cellStyle name="常规 21 2 5 3" xfId="3548" xr:uid="{55B67446-5E3F-4FDC-93B1-AB4F92450EB6}"/>
    <cellStyle name="常规 21 2 5 3 2" xfId="3549" xr:uid="{BC0AB0CA-0E39-4358-8537-90A4BC2974A7}"/>
    <cellStyle name="常规 21 2 5 3 2 2" xfId="3550" xr:uid="{B1C42E03-6EC6-443B-AD31-5D9025684C18}"/>
    <cellStyle name="常规 21 2 5 3 3" xfId="3551" xr:uid="{48C187A3-264B-4A5E-93F6-097E9A18225C}"/>
    <cellStyle name="常规 21 2 5 4" xfId="3552" xr:uid="{594BB4E2-5079-43FC-A6CE-B88E84D48341}"/>
    <cellStyle name="常规 21 2 5 4 2" xfId="3553" xr:uid="{3E3E8CB9-CE5E-4B16-8F23-2B82DA94F11A}"/>
    <cellStyle name="常规 21 2 5 5" xfId="3554" xr:uid="{863BFCCE-F125-49F6-B3EE-6BAC9C0F0C26}"/>
    <cellStyle name="常规 21 2 6" xfId="3555" xr:uid="{08C4E270-B06B-4311-A684-249ABACC2CE4}"/>
    <cellStyle name="常规 21 2 6 2" xfId="3556" xr:uid="{52B4D1B1-27E6-4609-A01D-9AD40A4F9461}"/>
    <cellStyle name="常规 21 2 6 2 2" xfId="3557" xr:uid="{29A6876C-DB15-4597-B257-7E89464AE95B}"/>
    <cellStyle name="常规 21 2 6 2 2 2" xfId="3558" xr:uid="{EA03C346-99B4-4630-B0A0-67234020297E}"/>
    <cellStyle name="常规 21 2 6 2 3" xfId="3559" xr:uid="{DC41D64A-1937-4174-BAC9-A4F7BA8FBCBD}"/>
    <cellStyle name="常规 21 2 6 3" xfId="3560" xr:uid="{B387D681-98DF-4148-890A-DC396AB6134B}"/>
    <cellStyle name="常规 21 2 6 3 2" xfId="3561" xr:uid="{78DDBDB3-473F-477B-B6C0-9EDECE35570B}"/>
    <cellStyle name="常规 21 2 6 4" xfId="3562" xr:uid="{DAC489D5-358F-44DE-B784-A7457AED5F82}"/>
    <cellStyle name="常规 21 2 7" xfId="3563" xr:uid="{D8059AD9-690C-4194-B7A9-A71B8A24BB12}"/>
    <cellStyle name="常规 21 2 7 2" xfId="3564" xr:uid="{4C80BFA4-FD31-4442-9B7F-3DC86698E70D}"/>
    <cellStyle name="常规 21 2 7 2 2" xfId="3565" xr:uid="{1F068CD1-EAD7-4A32-8D4B-4B03C44EF87D}"/>
    <cellStyle name="常规 21 2 7 3" xfId="3566" xr:uid="{838398E6-DBEF-4C11-B96C-89F9885FB7B1}"/>
    <cellStyle name="常规 21 2 8" xfId="3567" xr:uid="{9D91B747-9E80-46BA-8927-92FAAEDCB319}"/>
    <cellStyle name="常规 21 2 8 2" xfId="3568" xr:uid="{D5B07DC8-20BD-4A45-A114-5BB1A173466D}"/>
    <cellStyle name="常规 21 2 9" xfId="3569" xr:uid="{F2DFF19E-F89A-4CF1-B0A3-3562D45BF832}"/>
    <cellStyle name="常规 21 3" xfId="3570" xr:uid="{457FE8CD-4760-4A06-83F3-D8DF667E2374}"/>
    <cellStyle name="常规 21 3 2" xfId="3571" xr:uid="{15B6FFAE-3581-478E-9718-B98DCB62A94A}"/>
    <cellStyle name="常规 21 3 2 2" xfId="3572" xr:uid="{5E79B233-6401-45DD-9487-69ED22BFDBCB}"/>
    <cellStyle name="常规 21 3 2 2 2" xfId="3573" xr:uid="{20E8F375-F43C-4B3D-A807-E39214FF8C80}"/>
    <cellStyle name="常规 21 3 2 2 2 2" xfId="3574" xr:uid="{C7165340-455D-48EF-A781-DE6C8814AC85}"/>
    <cellStyle name="常规 21 3 2 2 2 2 2" xfId="3575" xr:uid="{DC086AC7-B738-46D7-872A-9DA0718EF19E}"/>
    <cellStyle name="常规 21 3 2 2 2 2 2 2" xfId="3576" xr:uid="{C77F67DA-07A8-44F3-B426-65A16B60569D}"/>
    <cellStyle name="常规 21 3 2 2 2 2 2 2 2" xfId="3577" xr:uid="{5BED4A8C-C910-4BBF-940D-8800E86D897A}"/>
    <cellStyle name="常规 21 3 2 2 2 2 2 3" xfId="3578" xr:uid="{E7F4DA78-796A-4501-9233-A5E4B654072C}"/>
    <cellStyle name="常规 21 3 2 2 2 2 3" xfId="3579" xr:uid="{04B09FD7-B3A2-4B67-946E-6A9020DF4A09}"/>
    <cellStyle name="常规 21 3 2 2 2 2 3 2" xfId="3580" xr:uid="{6C6463DC-9F6D-4323-9C3B-C324A9A81305}"/>
    <cellStyle name="常规 21 3 2 2 2 2 4" xfId="3581" xr:uid="{01EB730F-AC84-48DD-A3BA-D371086318C0}"/>
    <cellStyle name="常规 21 3 2 2 2 3" xfId="3582" xr:uid="{58BF7376-95DF-4339-B8F8-380D1705C6EC}"/>
    <cellStyle name="常规 21 3 2 2 2 3 2" xfId="3583" xr:uid="{2F44CD1E-F888-473D-BB72-9CF6368F976E}"/>
    <cellStyle name="常规 21 3 2 2 2 3 2 2" xfId="3584" xr:uid="{A808FADA-406E-40B3-A1BF-B40A0FCF2BF3}"/>
    <cellStyle name="常规 21 3 2 2 2 3 3" xfId="3585" xr:uid="{B7015B8F-35D0-4DEA-9DC5-652E2EF2A28E}"/>
    <cellStyle name="常规 21 3 2 2 2 4" xfId="3586" xr:uid="{A4F11CA4-E4D3-40CA-9C64-348F7CD942E6}"/>
    <cellStyle name="常规 21 3 2 2 2 4 2" xfId="3587" xr:uid="{FA46C84A-C439-45EE-917D-7830729AA85E}"/>
    <cellStyle name="常规 21 3 2 2 2 5" xfId="3588" xr:uid="{F4020954-2798-4B68-9C4F-2EBAE04B8C0B}"/>
    <cellStyle name="常规 21 3 2 2 3" xfId="3589" xr:uid="{30D8102A-BF4E-479D-95E8-82679D004A2E}"/>
    <cellStyle name="常规 21 3 2 2 3 2" xfId="3590" xr:uid="{6E0D8919-0002-4165-9A2E-21B96BB6DA42}"/>
    <cellStyle name="常规 21 3 2 2 3 2 2" xfId="3591" xr:uid="{CFDA4F94-34F4-4319-936F-FF789223C826}"/>
    <cellStyle name="常规 21 3 2 2 3 2 2 2" xfId="3592" xr:uid="{23C21CF6-EFE0-4D0D-9F5D-70EF16BBCF08}"/>
    <cellStyle name="常规 21 3 2 2 3 2 3" xfId="3593" xr:uid="{662D94EF-D641-4D30-8E91-91517D709762}"/>
    <cellStyle name="常规 21 3 2 2 3 3" xfId="3594" xr:uid="{CF62848A-0290-48BA-B985-E507E6373E5C}"/>
    <cellStyle name="常规 21 3 2 2 3 3 2" xfId="3595" xr:uid="{BA5F7C58-12AA-45E6-AB14-53991E9BD7A3}"/>
    <cellStyle name="常规 21 3 2 2 3 4" xfId="3596" xr:uid="{DBA3CC77-F8BE-4197-AFB1-4137F5B32227}"/>
    <cellStyle name="常规 21 3 2 2 4" xfId="3597" xr:uid="{8013CBCF-DE03-4500-9C40-7B315B94A5EF}"/>
    <cellStyle name="常规 21 3 2 2 4 2" xfId="3598" xr:uid="{DC2BAEA8-C100-41D8-A43D-D8FA46BABF8A}"/>
    <cellStyle name="常规 21 3 2 2 4 2 2" xfId="3599" xr:uid="{7864B359-767E-4D60-9CCB-A57858B238F9}"/>
    <cellStyle name="常规 21 3 2 2 4 3" xfId="3600" xr:uid="{A3F0BA85-0BDB-43FB-BBF6-9EA2B37F7F11}"/>
    <cellStyle name="常规 21 3 2 2 5" xfId="3601" xr:uid="{B4589AE8-3699-4B9C-9EC1-5977E5601B2F}"/>
    <cellStyle name="常规 21 3 2 2 5 2" xfId="3602" xr:uid="{31F22497-9CA3-4D68-83B1-7D807A34C6F0}"/>
    <cellStyle name="常规 21 3 2 2 6" xfId="3603" xr:uid="{F9AACA0D-C930-4C9D-8CC9-2DAA95556570}"/>
    <cellStyle name="常规 21 3 2 3" xfId="3604" xr:uid="{6D495409-9314-4F7C-93D4-56FA062D800D}"/>
    <cellStyle name="常规 21 3 2 3 2" xfId="3605" xr:uid="{E274C257-14A1-425B-AC29-E3F9EC4F25FE}"/>
    <cellStyle name="常规 21 3 2 3 2 2" xfId="3606" xr:uid="{B8862D1C-69E7-4A84-B2F8-A5F1BCBCA409}"/>
    <cellStyle name="常规 21 3 2 3 2 2 2" xfId="3607" xr:uid="{F52D7FE7-D991-4B8B-BA37-2A04A3D68DFE}"/>
    <cellStyle name="常规 21 3 2 3 2 2 2 2" xfId="3608" xr:uid="{B6756585-70DC-4D2B-B08E-A7D8555547B2}"/>
    <cellStyle name="常规 21 3 2 3 2 2 3" xfId="3609" xr:uid="{F089946B-C2AE-4707-9D0F-FA4C3D8B9C4A}"/>
    <cellStyle name="常规 21 3 2 3 2 3" xfId="3610" xr:uid="{9C5A0275-7EA9-4B56-AE71-DFF35A42EB9D}"/>
    <cellStyle name="常规 21 3 2 3 2 3 2" xfId="3611" xr:uid="{B8EB093F-D77E-4E98-956C-30483EC98F9F}"/>
    <cellStyle name="常规 21 3 2 3 2 4" xfId="3612" xr:uid="{2358D276-4C7C-4CD7-B7DE-1980BBD23FF6}"/>
    <cellStyle name="常规 21 3 2 3 3" xfId="3613" xr:uid="{B7DDA788-2435-4000-8481-500848819FC6}"/>
    <cellStyle name="常规 21 3 2 3 3 2" xfId="3614" xr:uid="{3A639AAA-9294-4750-A150-63F3FD138161}"/>
    <cellStyle name="常规 21 3 2 3 3 2 2" xfId="3615" xr:uid="{E75A05C7-9457-4A3D-B572-B2F7676044CB}"/>
    <cellStyle name="常规 21 3 2 3 3 3" xfId="3616" xr:uid="{2C624E6E-CB4F-4343-A243-5CCC674ED191}"/>
    <cellStyle name="常规 21 3 2 3 4" xfId="3617" xr:uid="{AAFAAABA-4E35-41A6-A746-DA7B04E46197}"/>
    <cellStyle name="常规 21 3 2 3 4 2" xfId="3618" xr:uid="{AC09B591-A05B-49CB-A050-0AB819DA95B4}"/>
    <cellStyle name="常规 21 3 2 3 5" xfId="3619" xr:uid="{87370427-C740-4DDC-8B1D-3FCFC23B0812}"/>
    <cellStyle name="常规 21 3 2 4" xfId="3620" xr:uid="{5DE2B636-84FF-4F5D-958E-BDA52F072B73}"/>
    <cellStyle name="常规 21 3 2 4 2" xfId="3621" xr:uid="{B108DDCF-D55A-431D-9C6D-D1283518BEAC}"/>
    <cellStyle name="常规 21 3 2 4 2 2" xfId="3622" xr:uid="{F2205473-3F76-48C4-8F5A-A39140B4D546}"/>
    <cellStyle name="常规 21 3 2 4 2 2 2" xfId="3623" xr:uid="{5064C4AA-7669-410A-90D7-5CD34DA6C5A8}"/>
    <cellStyle name="常规 21 3 2 4 2 3" xfId="3624" xr:uid="{76471B18-C15A-4DFE-A9C3-B298A3FB2520}"/>
    <cellStyle name="常规 21 3 2 4 3" xfId="3625" xr:uid="{560D2008-FE13-4CCD-A2F7-69E9B3CF48A0}"/>
    <cellStyle name="常规 21 3 2 4 3 2" xfId="3626" xr:uid="{D67949F0-A9A2-440F-B49A-B923FA4B37D4}"/>
    <cellStyle name="常规 21 3 2 4 4" xfId="3627" xr:uid="{52872CCA-3375-4C0F-A2E4-275D2D879956}"/>
    <cellStyle name="常规 21 3 2 5" xfId="3628" xr:uid="{BF43F305-56A4-4994-A197-6AC9037E0492}"/>
    <cellStyle name="常规 21 3 2 5 2" xfId="3629" xr:uid="{E848365B-9BFF-42DA-95F5-77391670521D}"/>
    <cellStyle name="常规 21 3 2 5 2 2" xfId="3630" xr:uid="{697DECF3-F497-404C-99F6-B18DBFD64B60}"/>
    <cellStyle name="常规 21 3 2 5 3" xfId="3631" xr:uid="{A0CAD2F2-D38A-40CC-944E-FBB76419D51B}"/>
    <cellStyle name="常规 21 3 2 6" xfId="3632" xr:uid="{44DCD722-DB32-41E2-AD67-37FFB7C40E3E}"/>
    <cellStyle name="常规 21 3 2 6 2" xfId="3633" xr:uid="{AA190685-2925-4FF7-A5FF-F9F44EDDFEFF}"/>
    <cellStyle name="常规 21 3 2 7" xfId="3634" xr:uid="{9178A736-D3F3-482D-865E-B9CD6D2BC615}"/>
    <cellStyle name="常规 21 3 3" xfId="3635" xr:uid="{8EE53317-FFF5-4140-B7A8-54F36083D32A}"/>
    <cellStyle name="常规 21 3 3 2" xfId="3636" xr:uid="{54C003CB-E642-46FC-81F0-C9A33D715B9F}"/>
    <cellStyle name="常规 21 3 3 2 2" xfId="3637" xr:uid="{315BD4E4-9DEF-4C46-8F08-58A6B79313D2}"/>
    <cellStyle name="常规 21 3 3 2 2 2" xfId="3638" xr:uid="{0EE0A71D-A462-4556-AE2B-FBA32D9935D6}"/>
    <cellStyle name="常规 21 3 3 2 2 2 2" xfId="3639" xr:uid="{3B74F90A-6EFA-4958-866D-B2BB53E01E95}"/>
    <cellStyle name="常规 21 3 3 2 2 2 2 2" xfId="3640" xr:uid="{04531DE8-DAD7-4FD7-9CC3-800667333212}"/>
    <cellStyle name="常规 21 3 3 2 2 2 3" xfId="3641" xr:uid="{D13A18D1-33FC-495F-A144-5290C44E1D98}"/>
    <cellStyle name="常规 21 3 3 2 2 3" xfId="3642" xr:uid="{F439047F-A0C4-4DC0-B068-CC6034F672BE}"/>
    <cellStyle name="常规 21 3 3 2 2 3 2" xfId="3643" xr:uid="{F727CE18-6483-43BB-A66A-1327F6CB3C6E}"/>
    <cellStyle name="常规 21 3 3 2 2 4" xfId="3644" xr:uid="{1878C559-4A9F-4428-8763-27138C5F8990}"/>
    <cellStyle name="常规 21 3 3 2 3" xfId="3645" xr:uid="{8A4C8D79-9623-44A3-B83D-4B253936B2FD}"/>
    <cellStyle name="常规 21 3 3 2 3 2" xfId="3646" xr:uid="{C7D8E238-15DA-42B5-9F48-3E04E22A841B}"/>
    <cellStyle name="常规 21 3 3 2 3 2 2" xfId="3647" xr:uid="{A086F64A-7C50-4D42-B4F6-C7F87E6205C6}"/>
    <cellStyle name="常规 21 3 3 2 3 3" xfId="3648" xr:uid="{9025DF99-130A-41C8-AE90-6F00FFB33772}"/>
    <cellStyle name="常规 21 3 3 2 4" xfId="3649" xr:uid="{03FA31B1-96A4-4AEC-8B56-A195FF9C6979}"/>
    <cellStyle name="常规 21 3 3 2 4 2" xfId="3650" xr:uid="{038E217F-DEB4-4E67-9EB8-F6722F6DBA66}"/>
    <cellStyle name="常规 21 3 3 2 5" xfId="3651" xr:uid="{4F3DDC2E-47C2-44A8-9C56-D854F1302181}"/>
    <cellStyle name="常规 21 3 3 3" xfId="3652" xr:uid="{5DDDAA6D-D18B-4884-A575-9E60CD392945}"/>
    <cellStyle name="常规 21 3 3 3 2" xfId="3653" xr:uid="{E7549401-291C-4C76-BF2C-1B4F5C6FE7FD}"/>
    <cellStyle name="常规 21 3 3 3 2 2" xfId="3654" xr:uid="{91405976-38B8-4095-BA5C-752E9D95958A}"/>
    <cellStyle name="常规 21 3 3 3 2 2 2" xfId="3655" xr:uid="{3D287908-797A-4933-844C-647691B8C803}"/>
    <cellStyle name="常规 21 3 3 3 2 3" xfId="3656" xr:uid="{140D4722-067F-46F4-AE2C-6A1702B74B3B}"/>
    <cellStyle name="常规 21 3 3 3 3" xfId="3657" xr:uid="{412B5AE8-2938-4279-83A9-EE6AFA569208}"/>
    <cellStyle name="常规 21 3 3 3 3 2" xfId="3658" xr:uid="{FD08A798-4839-4282-A34D-782CB8866445}"/>
    <cellStyle name="常规 21 3 3 3 4" xfId="3659" xr:uid="{F83E11A6-B080-4E16-BA22-F0745C1FD21C}"/>
    <cellStyle name="常规 21 3 3 4" xfId="3660" xr:uid="{8D3C4ACE-D26D-461E-806C-B42FD238BD56}"/>
    <cellStyle name="常规 21 3 3 4 2" xfId="3661" xr:uid="{E0B52054-CEFE-44C3-AA54-429DEC38BA85}"/>
    <cellStyle name="常规 21 3 3 4 2 2" xfId="3662" xr:uid="{35A26656-A521-451E-AB52-22D718CCB18C}"/>
    <cellStyle name="常规 21 3 3 4 3" xfId="3663" xr:uid="{F041FD9E-D05C-4A38-8183-B797217881E6}"/>
    <cellStyle name="常规 21 3 3 5" xfId="3664" xr:uid="{30132DC4-D176-47CD-8691-10B9734A396F}"/>
    <cellStyle name="常规 21 3 3 5 2" xfId="3665" xr:uid="{74AE7265-582B-45A3-9CE5-90E268E9B737}"/>
    <cellStyle name="常规 21 3 3 6" xfId="3666" xr:uid="{213FAEF0-F1D1-4A77-8491-4F38E49208D1}"/>
    <cellStyle name="常规 21 3 4" xfId="3667" xr:uid="{A55B7E4D-4D6F-415F-B3E0-2B1D7A462EF0}"/>
    <cellStyle name="常规 21 3 4 2" xfId="3668" xr:uid="{148860C5-DB0B-4196-91A9-8067198DDAC8}"/>
    <cellStyle name="常规 21 3 4 2 2" xfId="3669" xr:uid="{57E48BF4-4394-494B-9D8D-91EF9928A473}"/>
    <cellStyle name="常规 21 3 4 2 2 2" xfId="3670" xr:uid="{E9032E8D-E693-4329-A4E3-B7934C59D522}"/>
    <cellStyle name="常规 21 3 4 2 2 2 2" xfId="3671" xr:uid="{B27B71F2-715E-4916-9E15-6CB66982FF6B}"/>
    <cellStyle name="常规 21 3 4 2 2 3" xfId="3672" xr:uid="{0D5C0336-B9EE-44AD-99AD-A28C1A30639D}"/>
    <cellStyle name="常规 21 3 4 2 3" xfId="3673" xr:uid="{BD75AF41-1026-48BA-AE70-6D5206A85CD1}"/>
    <cellStyle name="常规 21 3 4 2 3 2" xfId="3674" xr:uid="{17E49E7C-FF83-408D-BE2E-7F147E47CFE1}"/>
    <cellStyle name="常规 21 3 4 2 4" xfId="3675" xr:uid="{AD27B9A7-811A-43F4-998D-DF8FF64EF72D}"/>
    <cellStyle name="常规 21 3 4 3" xfId="3676" xr:uid="{1958FF1E-4E95-45E0-B55E-5DB94B49EC0C}"/>
    <cellStyle name="常规 21 3 4 3 2" xfId="3677" xr:uid="{6D3E30E2-121C-4957-B03E-827F66308CAD}"/>
    <cellStyle name="常规 21 3 4 3 2 2" xfId="3678" xr:uid="{1CB4AE08-E9EB-4F6F-A92C-A67857FACB2F}"/>
    <cellStyle name="常规 21 3 4 3 3" xfId="3679" xr:uid="{B8E49E74-D7AD-45D5-A0C7-8FD46D0D0EF6}"/>
    <cellStyle name="常规 21 3 4 4" xfId="3680" xr:uid="{8D00A9E6-E6E3-40C2-BDAC-D72642E6BA66}"/>
    <cellStyle name="常规 21 3 4 4 2" xfId="3681" xr:uid="{EA4F543A-2608-4FE4-BB37-5D5F2306FDB0}"/>
    <cellStyle name="常规 21 3 4 5" xfId="3682" xr:uid="{33149C31-7BB2-4DA1-B150-F87EAEDA965E}"/>
    <cellStyle name="常规 21 3 5" xfId="3683" xr:uid="{DD738622-9E79-4847-AF29-E26DBD549A4D}"/>
    <cellStyle name="常规 21 3 5 2" xfId="3684" xr:uid="{1B0B8E2B-20E1-4993-9962-90B7DBEC9E1C}"/>
    <cellStyle name="常规 21 3 5 2 2" xfId="3685" xr:uid="{83DF6729-CE90-4687-BFB2-275F324DD3D0}"/>
    <cellStyle name="常规 21 3 5 2 2 2" xfId="3686" xr:uid="{1D935D1E-85C2-40B9-874A-73E1DD82F97B}"/>
    <cellStyle name="常规 21 3 5 2 3" xfId="3687" xr:uid="{20D470AA-E980-4E5D-BC01-D71D18E488B0}"/>
    <cellStyle name="常规 21 3 5 3" xfId="3688" xr:uid="{69F1D5BC-FF61-4018-BF80-87E0050A2788}"/>
    <cellStyle name="常规 21 3 5 3 2" xfId="3689" xr:uid="{950B464D-1EF1-46A4-A7DB-6CB626FB2E87}"/>
    <cellStyle name="常规 21 3 5 4" xfId="3690" xr:uid="{9B91BAC6-9C12-428E-BC93-227A3A62F1CD}"/>
    <cellStyle name="常规 21 3 6" xfId="3691" xr:uid="{2B3BEB1C-3200-4EC1-BB0E-CA37E7254F2D}"/>
    <cellStyle name="常规 21 3 6 2" xfId="3692" xr:uid="{D006D60A-2DC9-4444-9AD0-AED1E45E35E1}"/>
    <cellStyle name="常规 21 3 6 2 2" xfId="3693" xr:uid="{02A5DC52-6504-4FB7-9300-4929598E6D78}"/>
    <cellStyle name="常规 21 3 6 3" xfId="3694" xr:uid="{622A43CD-56C8-4248-953C-80A6CF6524FB}"/>
    <cellStyle name="常规 21 3 7" xfId="3695" xr:uid="{3B3D8D69-100E-4635-8C18-496738C05EA4}"/>
    <cellStyle name="常规 21 3 7 2" xfId="3696" xr:uid="{E3824B82-AC52-46F9-B56F-8044CC37E940}"/>
    <cellStyle name="常规 21 3 8" xfId="3697" xr:uid="{7479D30A-35CC-44B8-B8CA-8449E8FBEB00}"/>
    <cellStyle name="常规 21 4" xfId="3698" xr:uid="{CCB4DB71-86DE-4011-A08F-FDEFC0B5A838}"/>
    <cellStyle name="常规 21 4 2" xfId="3699" xr:uid="{8C832C85-08A8-4E87-9A81-613C40E4AC8C}"/>
    <cellStyle name="常规 21 4 2 2" xfId="3700" xr:uid="{15C34D16-DB75-45C4-826F-6691874386EE}"/>
    <cellStyle name="常规 21 4 2 2 2" xfId="3701" xr:uid="{40707DE6-7BA4-40B9-8FDC-4FA4A91B7DEC}"/>
    <cellStyle name="常规 21 4 2 2 2 2" xfId="3702" xr:uid="{CC105EAF-1A33-475C-A6A3-8D431C66F38E}"/>
    <cellStyle name="常规 21 4 2 2 2 2 2" xfId="3703" xr:uid="{4B78426F-A8D9-49B5-AE0B-B233D3FE8374}"/>
    <cellStyle name="常规 21 4 2 2 2 2 2 2" xfId="3704" xr:uid="{756F2C8B-0644-482C-AD75-9C4BA38AFB2A}"/>
    <cellStyle name="常规 21 4 2 2 2 2 3" xfId="3705" xr:uid="{49C7527B-2F52-41AC-8609-7472385CA259}"/>
    <cellStyle name="常规 21 4 2 2 2 3" xfId="3706" xr:uid="{5DFEE7CA-11F6-41BF-8BD8-B6F1BE703F9B}"/>
    <cellStyle name="常规 21 4 2 2 2 3 2" xfId="3707" xr:uid="{9ED3817F-C013-4712-9AF4-CD3461F7E0FB}"/>
    <cellStyle name="常规 21 4 2 2 2 4" xfId="3708" xr:uid="{A1AD1ED1-6F4E-4F3D-BB28-C12B63255400}"/>
    <cellStyle name="常规 21 4 2 2 3" xfId="3709" xr:uid="{9B39925E-E65E-40EA-8A4C-B568B402A95D}"/>
    <cellStyle name="常规 21 4 2 2 3 2" xfId="3710" xr:uid="{9BED6BEE-5AA2-4A97-B7BE-988014D8B8A0}"/>
    <cellStyle name="常规 21 4 2 2 3 2 2" xfId="3711" xr:uid="{093DA737-FDC0-4DA3-AF28-59C44AFFC043}"/>
    <cellStyle name="常规 21 4 2 2 3 3" xfId="3712" xr:uid="{72D9A1D9-769D-4CE7-842D-CAFA4E6F118E}"/>
    <cellStyle name="常规 21 4 2 2 4" xfId="3713" xr:uid="{488D6750-AB19-465A-9F7B-E0BA491BA347}"/>
    <cellStyle name="常规 21 4 2 2 4 2" xfId="3714" xr:uid="{0B84486F-103B-4F47-841F-932F1B478921}"/>
    <cellStyle name="常规 21 4 2 2 5" xfId="3715" xr:uid="{82F375E0-AFCC-4E43-A924-DE17927D83B0}"/>
    <cellStyle name="常规 21 4 2 3" xfId="3716" xr:uid="{9619CFBA-3A3C-4641-A381-13AD26C7FBA9}"/>
    <cellStyle name="常规 21 4 2 3 2" xfId="3717" xr:uid="{D894EAE4-3D31-4259-B4E1-1C496A7A9123}"/>
    <cellStyle name="常规 21 4 2 3 2 2" xfId="3718" xr:uid="{BBE3290F-0080-4A1B-8ACC-9321BFCF2511}"/>
    <cellStyle name="常规 21 4 2 3 2 2 2" xfId="3719" xr:uid="{0844FDEC-D6C9-4C7F-AD4B-0B54E742FC44}"/>
    <cellStyle name="常规 21 4 2 3 2 3" xfId="3720" xr:uid="{9E4840EF-45D5-4458-BAE4-889433E7E04E}"/>
    <cellStyle name="常规 21 4 2 3 3" xfId="3721" xr:uid="{C1FC3936-8850-4DE0-BD90-FA5DA1E7264B}"/>
    <cellStyle name="常规 21 4 2 3 3 2" xfId="3722" xr:uid="{B9BB82BE-A4D6-4F27-A415-8B24B1851668}"/>
    <cellStyle name="常规 21 4 2 3 4" xfId="3723" xr:uid="{2F6A08F2-8D0D-4C4B-A1B8-6DB9E1295D3C}"/>
    <cellStyle name="常规 21 4 2 4" xfId="3724" xr:uid="{00E4BE38-6F97-4D85-8F0F-1F7FE521739A}"/>
    <cellStyle name="常规 21 4 2 4 2" xfId="3725" xr:uid="{0FF48C9C-F7E1-440F-9569-E72F225F51BA}"/>
    <cellStyle name="常规 21 4 2 4 2 2" xfId="3726" xr:uid="{59DC4E86-3313-4AA4-A861-B8A2ECAD5978}"/>
    <cellStyle name="常规 21 4 2 4 3" xfId="3727" xr:uid="{8320E07D-ED36-4B97-9086-559C198DF3C3}"/>
    <cellStyle name="常规 21 4 2 5" xfId="3728" xr:uid="{82669119-BA31-48BB-B4F6-5E1F36EC6E6D}"/>
    <cellStyle name="常规 21 4 2 5 2" xfId="3729" xr:uid="{07A8D896-ABF1-4A32-AECB-7E7C2191E4AE}"/>
    <cellStyle name="常规 21 4 2 6" xfId="3730" xr:uid="{9085C64E-37CD-4A3E-B112-A9666A4A477E}"/>
    <cellStyle name="常规 21 4 3" xfId="3731" xr:uid="{CA33E5B3-3880-4A28-9597-287685C05927}"/>
    <cellStyle name="常规 21 4 3 2" xfId="3732" xr:uid="{7B71C017-AD86-4E01-891E-6217CC8581E7}"/>
    <cellStyle name="常规 21 4 3 2 2" xfId="3733" xr:uid="{8C587BDA-4306-4D2A-8D9D-B3D0A1C064E1}"/>
    <cellStyle name="常规 21 4 3 2 2 2" xfId="3734" xr:uid="{23624DA0-95FF-49FD-9691-27533163513B}"/>
    <cellStyle name="常规 21 4 3 2 2 2 2" xfId="3735" xr:uid="{4F3A302C-5E52-4316-8698-0F905B641855}"/>
    <cellStyle name="常规 21 4 3 2 2 3" xfId="3736" xr:uid="{F0A6B412-2F63-4AED-B2FA-4E73086AF6BD}"/>
    <cellStyle name="常规 21 4 3 2 3" xfId="3737" xr:uid="{C3BD3CE6-B5BE-4F85-A394-C775CE6B558D}"/>
    <cellStyle name="常规 21 4 3 2 3 2" xfId="3738" xr:uid="{338D4E57-49DB-441D-BDCF-4E74C62938B7}"/>
    <cellStyle name="常规 21 4 3 2 4" xfId="3739" xr:uid="{3FB9C706-D0B4-4AC0-A5D6-268F15204BB6}"/>
    <cellStyle name="常规 21 4 3 3" xfId="3740" xr:uid="{5BF3BC17-EC52-42AD-BACF-24BDF5B64773}"/>
    <cellStyle name="常规 21 4 3 3 2" xfId="3741" xr:uid="{1C7E15D4-2BAD-47CA-A41C-2C5A8703E60A}"/>
    <cellStyle name="常规 21 4 3 3 2 2" xfId="3742" xr:uid="{719DFC99-E998-4A42-9065-2786DF784A7A}"/>
    <cellStyle name="常规 21 4 3 3 3" xfId="3743" xr:uid="{32A145F6-3489-4C8A-A9B1-7F44214E0261}"/>
    <cellStyle name="常规 21 4 3 4" xfId="3744" xr:uid="{B302BCAD-2B7A-4A60-965D-79D00D687FB9}"/>
    <cellStyle name="常规 21 4 3 4 2" xfId="3745" xr:uid="{C47473CD-713F-4ADA-835F-801D2163E7CD}"/>
    <cellStyle name="常规 21 4 3 5" xfId="3746" xr:uid="{19E72746-696A-437C-B048-75BA48DB74EC}"/>
    <cellStyle name="常规 21 4 4" xfId="3747" xr:uid="{BEE1BFFE-9AB3-4466-8B42-82ACCE69325E}"/>
    <cellStyle name="常规 21 4 4 2" xfId="3748" xr:uid="{9A7BCCCF-639A-43AB-BC38-7944F5346A67}"/>
    <cellStyle name="常规 21 4 4 2 2" xfId="3749" xr:uid="{51BF759B-22BE-4CE8-B397-EBDFABEF8B66}"/>
    <cellStyle name="常规 21 4 4 2 2 2" xfId="3750" xr:uid="{E5CFE07C-A644-4A2D-8917-5AEC9C7B0829}"/>
    <cellStyle name="常规 21 4 4 2 3" xfId="3751" xr:uid="{8000863D-05F4-438B-8E4C-1BB0B93E696D}"/>
    <cellStyle name="常规 21 4 4 3" xfId="3752" xr:uid="{D12AA650-14D4-4A04-A228-466B1CDD4D02}"/>
    <cellStyle name="常规 21 4 4 3 2" xfId="3753" xr:uid="{11AB8FDF-367C-4345-9428-489103ACA618}"/>
    <cellStyle name="常规 21 4 4 4" xfId="3754" xr:uid="{B5ED236E-1C5F-4A1B-816B-A7AE7E33181C}"/>
    <cellStyle name="常规 21 4 5" xfId="3755" xr:uid="{20D9055F-4761-41BF-8A1B-50F46CDE008D}"/>
    <cellStyle name="常规 21 4 5 2" xfId="3756" xr:uid="{5D096EEC-7910-4C3F-8B51-C98E059E8BB8}"/>
    <cellStyle name="常规 21 4 5 2 2" xfId="3757" xr:uid="{059D6D8E-AE4C-4802-95AA-3D88E995CAEF}"/>
    <cellStyle name="常规 21 4 5 3" xfId="3758" xr:uid="{2A9798AF-6736-45E4-8292-71B3E7E056F9}"/>
    <cellStyle name="常规 21 4 6" xfId="3759" xr:uid="{2738062B-BC37-48A6-A6F0-5A1DA78482C7}"/>
    <cellStyle name="常规 21 4 6 2" xfId="3760" xr:uid="{8EAE590B-A4D3-4B5A-ADFD-C2D882AAD02C}"/>
    <cellStyle name="常规 21 4 7" xfId="3761" xr:uid="{E82F0E96-95E4-4111-8C42-F17081A306FA}"/>
    <cellStyle name="常规 21 5" xfId="3762" xr:uid="{90B4B37A-88C0-4978-B568-06F27DEC6CA0}"/>
    <cellStyle name="常规 21 5 2" xfId="3763" xr:uid="{9AC08019-C714-458D-9A45-C1FE3FA62339}"/>
    <cellStyle name="常规 21 5 2 2" xfId="3764" xr:uid="{A1BEBFB3-84A1-4E00-A691-7408963EC003}"/>
    <cellStyle name="常规 21 5 2 2 2" xfId="3765" xr:uid="{43A514EB-4A0B-41A1-B31D-B3EB4F20E97F}"/>
    <cellStyle name="常规 21 5 2 2 2 2" xfId="3766" xr:uid="{C78F0F8A-2A36-4D39-BC4D-F0B8560E5053}"/>
    <cellStyle name="常规 21 5 2 2 2 2 2" xfId="3767" xr:uid="{DCDC8441-98B1-42BA-BD14-C3AA190AF07D}"/>
    <cellStyle name="常规 21 5 2 2 2 3" xfId="3768" xr:uid="{63ADCADE-07E4-4CDC-847F-F3933912DB40}"/>
    <cellStyle name="常规 21 5 2 2 3" xfId="3769" xr:uid="{BE43AC64-3C39-4645-A9EA-E9A617C4F0D5}"/>
    <cellStyle name="常规 21 5 2 2 3 2" xfId="3770" xr:uid="{46CA8C2A-20C5-44EE-B48D-DF8A34218AF5}"/>
    <cellStyle name="常规 21 5 2 2 4" xfId="3771" xr:uid="{05A73E54-FB46-4EFE-826F-087246AF6C54}"/>
    <cellStyle name="常规 21 5 2 3" xfId="3772" xr:uid="{4E08E5E0-606D-4B20-BFA7-F4A858B869D7}"/>
    <cellStyle name="常规 21 5 2 3 2" xfId="3773" xr:uid="{7A278819-4EF0-4AED-A188-9AE727D5E2F1}"/>
    <cellStyle name="常规 21 5 2 3 2 2" xfId="3774" xr:uid="{8B904B74-6D2A-4AFF-94FF-8E8E0A34AFC0}"/>
    <cellStyle name="常规 21 5 2 3 3" xfId="3775" xr:uid="{7F16FAA9-5FFD-4C8F-8290-6AC2210A60CB}"/>
    <cellStyle name="常规 21 5 2 4" xfId="3776" xr:uid="{22856876-43D0-49C0-B2B4-D2D69DB4C8FF}"/>
    <cellStyle name="常规 21 5 2 4 2" xfId="3777" xr:uid="{91BBBAFE-BD1E-46F3-A62F-C16EDEAD7BE0}"/>
    <cellStyle name="常规 21 5 2 5" xfId="3778" xr:uid="{28D15026-5B75-47F9-AF93-E477302A58A0}"/>
    <cellStyle name="常规 21 5 3" xfId="3779" xr:uid="{733C76BE-BE43-4244-BD8D-1363F3B80842}"/>
    <cellStyle name="常规 21 5 3 2" xfId="3780" xr:uid="{95B9472C-D016-47A3-81DC-309A31737CAA}"/>
    <cellStyle name="常规 21 5 3 2 2" xfId="3781" xr:uid="{4E3DCCEB-134C-4AAB-874B-F452B0DC5F7B}"/>
    <cellStyle name="常规 21 5 3 2 2 2" xfId="3782" xr:uid="{A6240A03-146D-4F9A-AE09-CAF5AF3E5934}"/>
    <cellStyle name="常规 21 5 3 2 3" xfId="3783" xr:uid="{C09C08F2-6CC2-4178-8D36-DE1BD9C85ED5}"/>
    <cellStyle name="常规 21 5 3 3" xfId="3784" xr:uid="{78220F54-266D-4C6C-BB8D-C7BC684BDD77}"/>
    <cellStyle name="常规 21 5 3 3 2" xfId="3785" xr:uid="{3D6DA282-51F9-473C-9675-95B9CCAA4933}"/>
    <cellStyle name="常规 21 5 3 4" xfId="3786" xr:uid="{B863D09D-14AD-48B7-8639-7E1B427C2E2D}"/>
    <cellStyle name="常规 21 5 4" xfId="3787" xr:uid="{94CCA894-1D2C-4202-8937-5BD2B2312AB2}"/>
    <cellStyle name="常规 21 5 4 2" xfId="3788" xr:uid="{D84DAD83-DC57-46C0-AF9B-8A592167FB44}"/>
    <cellStyle name="常规 21 5 4 2 2" xfId="3789" xr:uid="{431BA40F-CB6B-4E1D-A678-A03603F4735A}"/>
    <cellStyle name="常规 21 5 4 3" xfId="3790" xr:uid="{2D2E3501-34FA-4F55-BBC4-02502C29B3A0}"/>
    <cellStyle name="常规 21 5 5" xfId="3791" xr:uid="{2595C77E-DDB0-44B5-B6C5-71D4D513D168}"/>
    <cellStyle name="常规 21 5 5 2" xfId="3792" xr:uid="{506A2239-28F9-4F00-BDAE-BB04807732EA}"/>
    <cellStyle name="常规 21 5 6" xfId="3793" xr:uid="{B4D6A95A-F413-4464-B032-00BDA9036ACE}"/>
    <cellStyle name="常规 21 6" xfId="3794" xr:uid="{6E0F9F99-48F3-4EFE-9EE1-6474E81FE847}"/>
    <cellStyle name="常规 21 6 2" xfId="3795" xr:uid="{1F8D3569-9E92-4852-80D7-E81E07619D5D}"/>
    <cellStyle name="常规 21 6 2 2" xfId="3796" xr:uid="{1CE9B40C-6130-453E-80F5-3134DF1E7287}"/>
    <cellStyle name="常规 21 6 2 2 2" xfId="3797" xr:uid="{E5900051-230C-4AC1-B33A-5BA102836BB5}"/>
    <cellStyle name="常规 21 6 2 2 2 2" xfId="3798" xr:uid="{D10C01C5-6437-4D9F-890B-3AFAAAA7D78D}"/>
    <cellStyle name="常规 21 6 2 2 3" xfId="3799" xr:uid="{E6220688-514A-4AC0-B358-310BDAE70576}"/>
    <cellStyle name="常规 21 6 2 3" xfId="3800" xr:uid="{F32172A8-8C09-4AC4-85B9-8D0E2F8D4E23}"/>
    <cellStyle name="常规 21 6 2 3 2" xfId="3801" xr:uid="{DDCE0A42-0673-4984-A83E-68B2220F3D8C}"/>
    <cellStyle name="常规 21 6 2 4" xfId="3802" xr:uid="{7F065376-FAAB-4505-85AF-1AE8139821A9}"/>
    <cellStyle name="常规 21 6 3" xfId="3803" xr:uid="{E82357F0-9FD0-4C25-AF0F-82DA093298D7}"/>
    <cellStyle name="常规 21 6 3 2" xfId="3804" xr:uid="{DDBFC84A-31DE-40E3-878B-183F1FB54FB9}"/>
    <cellStyle name="常规 21 6 3 2 2" xfId="3805" xr:uid="{90D5EE46-3871-4D0B-9755-DF1599DADEC0}"/>
    <cellStyle name="常规 21 6 3 3" xfId="3806" xr:uid="{D377DFD6-FEBC-4815-AF31-9B8084468126}"/>
    <cellStyle name="常规 21 6 4" xfId="3807" xr:uid="{DDD0149B-46F2-45D1-B83D-B8663836231C}"/>
    <cellStyle name="常规 21 6 4 2" xfId="3808" xr:uid="{59E27C8C-2AEE-47E1-A10A-FBE28988EF90}"/>
    <cellStyle name="常规 21 6 5" xfId="3809" xr:uid="{7CFF8240-3F1C-421E-988C-9C9324172CDE}"/>
    <cellStyle name="常规 21 7" xfId="3810" xr:uid="{C56830EA-8611-41F6-BB47-DB6D5024528E}"/>
    <cellStyle name="常规 21 7 2" xfId="3811" xr:uid="{A5596A86-E5DD-4695-A190-00208257B046}"/>
    <cellStyle name="常规 21 7 2 2" xfId="3812" xr:uid="{8B26716A-00EF-48FB-B565-C1ECE4A3A1EA}"/>
    <cellStyle name="常规 21 7 2 2 2" xfId="3813" xr:uid="{9DD123EC-A46C-4B22-BEBD-C2611A6E120E}"/>
    <cellStyle name="常规 21 7 2 3" xfId="3814" xr:uid="{186678BC-2F7A-4D45-B88E-FA35AF6DBC94}"/>
    <cellStyle name="常规 21 7 3" xfId="3815" xr:uid="{0E8F4B50-BD5F-45A4-A4CC-45CBC9F8D2F0}"/>
    <cellStyle name="常规 21 7 3 2" xfId="3816" xr:uid="{67196D45-8F57-448E-8605-1BCB460D4EA8}"/>
    <cellStyle name="常规 21 7 4" xfId="3817" xr:uid="{DA5CDD3E-93DF-4AB7-B8D4-32206159C160}"/>
    <cellStyle name="常规 21 8" xfId="3818" xr:uid="{8F8E598E-C16D-43A8-A05F-09454C8CD841}"/>
    <cellStyle name="常规 21 8 2" xfId="3819" xr:uid="{CD897100-21F2-4F26-831A-F2268B35413A}"/>
    <cellStyle name="常规 21 8 2 2" xfId="3820" xr:uid="{4F2D1D9D-4349-47B7-B72A-810E1C3ABDFB}"/>
    <cellStyle name="常规 21 8 3" xfId="3821" xr:uid="{E0577C1B-26D7-4090-8D1F-EC61F43CBF24}"/>
    <cellStyle name="常规 21 9" xfId="3822" xr:uid="{14A6BE5D-5BD6-47BC-A6E8-1C90312E42EB}"/>
    <cellStyle name="常规 21 9 2" xfId="3823" xr:uid="{7DA3F25D-DE55-4C45-8314-823FEF9DA9C0}"/>
    <cellStyle name="常规 22" xfId="3824" xr:uid="{9F3E2D7C-8550-455E-B4D4-79346C0E3520}"/>
    <cellStyle name="常规 22 10" xfId="3825" xr:uid="{10EFE1CB-A98A-4C20-AE99-28FF98ABC184}"/>
    <cellStyle name="常规 22 2" xfId="3826" xr:uid="{C7E436FD-37BC-425F-8C69-BD377B815C61}"/>
    <cellStyle name="常规 22 2 2" xfId="3827" xr:uid="{6BED5A66-3537-4978-A39F-C977CE989228}"/>
    <cellStyle name="常规 22 2 2 2" xfId="3828" xr:uid="{999A8ED6-7866-439B-8150-224CB9DC9170}"/>
    <cellStyle name="常规 22 2 2 2 2" xfId="3829" xr:uid="{4B633981-7175-475F-8E3D-827D5763FE78}"/>
    <cellStyle name="常规 22 2 2 2 2 2" xfId="3830" xr:uid="{8B75F880-02FC-4998-85CA-E20A12C6AF90}"/>
    <cellStyle name="常规 22 2 2 2 2 2 2" xfId="3831" xr:uid="{9EE36461-E5E7-461F-8FBB-232773DC1E23}"/>
    <cellStyle name="常规 22 2 2 2 2 2 2 2" xfId="3832" xr:uid="{50D04497-DE26-4BDA-A523-F66E3315B271}"/>
    <cellStyle name="常规 22 2 2 2 2 2 2 2 2" xfId="3833" xr:uid="{771381E7-CAD5-4215-A338-F66A2C14845C}"/>
    <cellStyle name="常规 22 2 2 2 2 2 2 2 2 2" xfId="3834" xr:uid="{9EE71B36-D493-4816-BE52-723165187DE0}"/>
    <cellStyle name="常规 22 2 2 2 2 2 2 2 3" xfId="3835" xr:uid="{42C8CFA9-B39A-4D8A-8E8E-F449F69DF54F}"/>
    <cellStyle name="常规 22 2 2 2 2 2 2 3" xfId="3836" xr:uid="{31D65F09-39CE-4816-A247-0EE39A1F3A71}"/>
    <cellStyle name="常规 22 2 2 2 2 2 2 3 2" xfId="3837" xr:uid="{09E0E9B2-0F4F-4C46-97DE-A92C400D425D}"/>
    <cellStyle name="常规 22 2 2 2 2 2 2 4" xfId="3838" xr:uid="{2B0913CA-BB85-4C1F-9D22-BDC19ED9C670}"/>
    <cellStyle name="常规 22 2 2 2 2 2 3" xfId="3839" xr:uid="{A3631865-01D0-4FAB-8A1A-EEC0C778E099}"/>
    <cellStyle name="常规 22 2 2 2 2 2 3 2" xfId="3840" xr:uid="{EE9525F9-D158-4F9B-BFB6-229F99FE68FB}"/>
    <cellStyle name="常规 22 2 2 2 2 2 3 2 2" xfId="3841" xr:uid="{5007264B-F34E-4158-8E1A-1086FD76A2BC}"/>
    <cellStyle name="常规 22 2 2 2 2 2 3 3" xfId="3842" xr:uid="{7D6A5122-8E36-40E0-B04A-9A3E2BC904A2}"/>
    <cellStyle name="常规 22 2 2 2 2 2 4" xfId="3843" xr:uid="{949A4173-6D40-4508-ABAA-F9F67CB69140}"/>
    <cellStyle name="常规 22 2 2 2 2 2 4 2" xfId="3844" xr:uid="{1579AAD3-7845-491A-B8C4-81A8F1A42F7E}"/>
    <cellStyle name="常规 22 2 2 2 2 2 5" xfId="3845" xr:uid="{FEEEDE06-0F17-4FD3-85CC-6E57E1D93610}"/>
    <cellStyle name="常规 22 2 2 2 2 3" xfId="3846" xr:uid="{ED50AA34-8F60-4ECD-BC81-78E9DF3CF972}"/>
    <cellStyle name="常规 22 2 2 2 2 3 2" xfId="3847" xr:uid="{B8CE5493-6BD3-4137-B032-1FC779E1BDA3}"/>
    <cellStyle name="常规 22 2 2 2 2 3 2 2" xfId="3848" xr:uid="{597F87E2-AFEE-47BA-91B0-AA7E845A68FC}"/>
    <cellStyle name="常规 22 2 2 2 2 3 2 2 2" xfId="3849" xr:uid="{04C1AAF6-F34F-41AC-8566-29C7D11F7A00}"/>
    <cellStyle name="常规 22 2 2 2 2 3 2 3" xfId="3850" xr:uid="{65EF0775-A1A0-495C-9AE7-980A36F22220}"/>
    <cellStyle name="常规 22 2 2 2 2 3 3" xfId="3851" xr:uid="{337693FB-5E37-4E59-9BE0-68DD5D706DD9}"/>
    <cellStyle name="常规 22 2 2 2 2 3 3 2" xfId="3852" xr:uid="{10029DB1-F9B2-4D9A-BCB2-E68768E08C14}"/>
    <cellStyle name="常规 22 2 2 2 2 3 4" xfId="3853" xr:uid="{42DC5C9F-25DC-436F-A31F-3C7D5A45BCBA}"/>
    <cellStyle name="常规 22 2 2 2 2 4" xfId="3854" xr:uid="{06CE5F7D-DEA7-4478-8EFA-6E596794973E}"/>
    <cellStyle name="常规 22 2 2 2 2 4 2" xfId="3855" xr:uid="{0D276B42-8CFD-4A49-95B9-C137487ED59A}"/>
    <cellStyle name="常规 22 2 2 2 2 4 2 2" xfId="3856" xr:uid="{5FAE3373-9F18-44FB-8992-F1E84A8EFB41}"/>
    <cellStyle name="常规 22 2 2 2 2 4 3" xfId="3857" xr:uid="{7DA06249-8C51-47EC-B326-2B05705F42D0}"/>
    <cellStyle name="常规 22 2 2 2 2 5" xfId="3858" xr:uid="{D50F66B9-CC25-4497-B140-AC01705A7A97}"/>
    <cellStyle name="常规 22 2 2 2 2 5 2" xfId="3859" xr:uid="{552A7FA0-16F3-4956-B5EF-1042F4DD177A}"/>
    <cellStyle name="常规 22 2 2 2 2 6" xfId="3860" xr:uid="{8DE8037B-36D9-4B4C-8671-794AE7313245}"/>
    <cellStyle name="常规 22 2 2 2 3" xfId="3861" xr:uid="{787B82C9-70F6-46C6-8249-7D9EC7AB74BD}"/>
    <cellStyle name="常规 22 2 2 2 3 2" xfId="3862" xr:uid="{CEE6DC88-5818-46D2-AD94-2E9CF8A8165A}"/>
    <cellStyle name="常规 22 2 2 2 3 2 2" xfId="3863" xr:uid="{990B81C9-7531-4750-8F0B-59B521113166}"/>
    <cellStyle name="常规 22 2 2 2 3 2 2 2" xfId="3864" xr:uid="{8A7F30A2-569B-448E-8EDA-2232F14769FB}"/>
    <cellStyle name="常规 22 2 2 2 3 2 2 2 2" xfId="3865" xr:uid="{4F5F775F-26E0-4FC8-820C-C259C0761454}"/>
    <cellStyle name="常规 22 2 2 2 3 2 2 3" xfId="3866" xr:uid="{54D39B18-4FB5-474D-8FFC-E3D2A942555E}"/>
    <cellStyle name="常规 22 2 2 2 3 2 3" xfId="3867" xr:uid="{448CDABA-7B1A-41A2-9DAC-B630AC6D96CE}"/>
    <cellStyle name="常规 22 2 2 2 3 2 3 2" xfId="3868" xr:uid="{1D372E5C-0C25-49F1-A16B-5A815025A449}"/>
    <cellStyle name="常规 22 2 2 2 3 2 4" xfId="3869" xr:uid="{FCA2738C-D0CF-4BF1-BD88-CB885A86FF84}"/>
    <cellStyle name="常规 22 2 2 2 3 3" xfId="3870" xr:uid="{8AD095C2-87D4-4020-861A-4F3303425AEA}"/>
    <cellStyle name="常规 22 2 2 2 3 3 2" xfId="3871" xr:uid="{812792DB-77CC-4935-BC3A-051E63DE872C}"/>
    <cellStyle name="常规 22 2 2 2 3 3 2 2" xfId="3872" xr:uid="{38E428EA-7DA9-462D-B754-B1B8189B54FB}"/>
    <cellStyle name="常规 22 2 2 2 3 3 3" xfId="3873" xr:uid="{563CCC69-3528-4F8B-AD84-C6AC52291A1F}"/>
    <cellStyle name="常规 22 2 2 2 3 4" xfId="3874" xr:uid="{6894462F-82D4-4708-931E-2C1D36C6FC6C}"/>
    <cellStyle name="常规 22 2 2 2 3 4 2" xfId="3875" xr:uid="{84117106-FF47-4078-8657-24A01808DA67}"/>
    <cellStyle name="常规 22 2 2 2 3 5" xfId="3876" xr:uid="{09D87079-B760-4D61-888E-124B445008A8}"/>
    <cellStyle name="常规 22 2 2 2 4" xfId="3877" xr:uid="{A4CF37F1-8DA8-474C-89EE-E794F47749BC}"/>
    <cellStyle name="常规 22 2 2 2 4 2" xfId="3878" xr:uid="{E9CCF517-8E07-4A4B-A805-0AFA1CCC0E9F}"/>
    <cellStyle name="常规 22 2 2 2 4 2 2" xfId="3879" xr:uid="{47E7766C-8E9A-4BDE-A7AB-9A4AED00E7F9}"/>
    <cellStyle name="常规 22 2 2 2 4 2 2 2" xfId="3880" xr:uid="{911BDD85-528E-48CA-A590-4EA64BB9E61B}"/>
    <cellStyle name="常规 22 2 2 2 4 2 3" xfId="3881" xr:uid="{45088A94-E94B-452E-9CA9-67BE5C3CFAC0}"/>
    <cellStyle name="常规 22 2 2 2 4 3" xfId="3882" xr:uid="{DC7D09D5-B661-43D0-B321-2260085E5F84}"/>
    <cellStyle name="常规 22 2 2 2 4 3 2" xfId="3883" xr:uid="{3796E1FF-FD74-449A-8E63-DA9C8635341A}"/>
    <cellStyle name="常规 22 2 2 2 4 4" xfId="3884" xr:uid="{EA17F58F-F1CE-4684-B04C-65D86D2AB644}"/>
    <cellStyle name="常规 22 2 2 2 5" xfId="3885" xr:uid="{E5C339C8-65AA-4D5F-9D9C-3B19383F7CB9}"/>
    <cellStyle name="常规 22 2 2 2 5 2" xfId="3886" xr:uid="{9EF6680F-C947-4BA8-8B07-3D86648A0A50}"/>
    <cellStyle name="常规 22 2 2 2 5 2 2" xfId="3887" xr:uid="{BC70AAC4-80EC-4B16-BFE6-2AB0890C48B2}"/>
    <cellStyle name="常规 22 2 2 2 5 3" xfId="3888" xr:uid="{634A2AC7-CABA-4F42-B44F-556A3600A64C}"/>
    <cellStyle name="常规 22 2 2 2 6" xfId="3889" xr:uid="{D5AE7334-6035-4EBA-B4CE-1751C2198A65}"/>
    <cellStyle name="常规 22 2 2 2 6 2" xfId="3890" xr:uid="{54553F05-07A5-40EB-96FD-8D0B7AA568B3}"/>
    <cellStyle name="常规 22 2 2 2 7" xfId="3891" xr:uid="{02D49EFA-69AC-448B-8A72-B7E54DA493F8}"/>
    <cellStyle name="常规 22 2 2 3" xfId="3892" xr:uid="{047208C8-1492-4059-88FE-22A9E847E94A}"/>
    <cellStyle name="常规 22 2 2 3 2" xfId="3893" xr:uid="{16835D84-096B-46E4-AF7F-D4829768716E}"/>
    <cellStyle name="常规 22 2 2 3 2 2" xfId="3894" xr:uid="{71DA40C0-84AA-4DE8-AF02-7E4128173BCC}"/>
    <cellStyle name="常规 22 2 2 3 2 2 2" xfId="3895" xr:uid="{8A0246E5-8F5D-4C06-8777-6B7145970078}"/>
    <cellStyle name="常规 22 2 2 3 2 2 2 2" xfId="3896" xr:uid="{FCB3D753-0BE8-4F5F-B801-7632566A73C1}"/>
    <cellStyle name="常规 22 2 2 3 2 2 2 2 2" xfId="3897" xr:uid="{1F9D84DA-3CBC-474A-B599-4A81CAA1E77E}"/>
    <cellStyle name="常规 22 2 2 3 2 2 2 3" xfId="3898" xr:uid="{C5756078-6CE4-42DF-836F-8AF847F2BFF2}"/>
    <cellStyle name="常规 22 2 2 3 2 2 3" xfId="3899" xr:uid="{5DA333DB-764D-4F0C-A581-7D124136EF33}"/>
    <cellStyle name="常规 22 2 2 3 2 2 3 2" xfId="3900" xr:uid="{B5C51072-7254-48BD-B432-D6CCF620B664}"/>
    <cellStyle name="常规 22 2 2 3 2 2 4" xfId="3901" xr:uid="{0C02C845-58AA-466D-8412-FE937C89A874}"/>
    <cellStyle name="常规 22 2 2 3 2 3" xfId="3902" xr:uid="{100F50B7-A094-4644-8A17-473C32D1ECD7}"/>
    <cellStyle name="常规 22 2 2 3 2 3 2" xfId="3903" xr:uid="{D40CCD6A-5688-496B-A09F-8610AFA70CCE}"/>
    <cellStyle name="常规 22 2 2 3 2 3 2 2" xfId="3904" xr:uid="{0F4C1B3C-313E-482F-A91B-679F0D424B31}"/>
    <cellStyle name="常规 22 2 2 3 2 3 3" xfId="3905" xr:uid="{DB51CC41-B58E-4FBE-9090-4F03D0C05931}"/>
    <cellStyle name="常规 22 2 2 3 2 4" xfId="3906" xr:uid="{FFFA5886-BB50-4B7B-A517-A994AD6F9371}"/>
    <cellStyle name="常规 22 2 2 3 2 4 2" xfId="3907" xr:uid="{613F671C-C9AC-4F19-9B15-B54E7CE9E111}"/>
    <cellStyle name="常规 22 2 2 3 2 5" xfId="3908" xr:uid="{2334F4DE-8A5D-45DC-8284-658623A2A55D}"/>
    <cellStyle name="常规 22 2 2 3 3" xfId="3909" xr:uid="{9817955D-BD4C-45E4-9CAA-1D16B5AE1946}"/>
    <cellStyle name="常规 22 2 2 3 3 2" xfId="3910" xr:uid="{A119494D-6B5A-468E-9D96-9103FCA88ADF}"/>
    <cellStyle name="常规 22 2 2 3 3 2 2" xfId="3911" xr:uid="{248E5E90-69DF-451A-812F-C3809BFE240F}"/>
    <cellStyle name="常规 22 2 2 3 3 2 2 2" xfId="3912" xr:uid="{FE989182-69BD-43D2-9131-CFA628AEF31D}"/>
    <cellStyle name="常规 22 2 2 3 3 2 3" xfId="3913" xr:uid="{DDC748A7-8910-4595-97F2-5689BBBF5066}"/>
    <cellStyle name="常规 22 2 2 3 3 3" xfId="3914" xr:uid="{0480E69B-BB9A-4646-A827-286AE9DF5568}"/>
    <cellStyle name="常规 22 2 2 3 3 3 2" xfId="3915" xr:uid="{E056E90A-E090-4836-A9C4-B24ED34D6B6D}"/>
    <cellStyle name="常规 22 2 2 3 3 4" xfId="3916" xr:uid="{0E6A9CCF-15B3-40E7-B602-6FE40479CDBC}"/>
    <cellStyle name="常规 22 2 2 3 4" xfId="3917" xr:uid="{3B073464-5647-43DC-9AC9-FA5D285D7BE6}"/>
    <cellStyle name="常规 22 2 2 3 4 2" xfId="3918" xr:uid="{5CF635AA-1B59-4CC1-A66C-0DD0F97F7506}"/>
    <cellStyle name="常规 22 2 2 3 4 2 2" xfId="3919" xr:uid="{CDA8BB11-4980-4A86-A565-D6722C811A7E}"/>
    <cellStyle name="常规 22 2 2 3 4 3" xfId="3920" xr:uid="{B6EAB291-F9C8-42BA-B576-208C5D8C2B25}"/>
    <cellStyle name="常规 22 2 2 3 5" xfId="3921" xr:uid="{CA9D8FF9-43A1-4BF4-B2AE-C41871372F6A}"/>
    <cellStyle name="常规 22 2 2 3 5 2" xfId="3922" xr:uid="{494CD874-FDA9-4C2C-8F0D-4CF3D63AF5F6}"/>
    <cellStyle name="常规 22 2 2 3 6" xfId="3923" xr:uid="{69F44D36-97DA-4FCC-848B-53F7807E9D6F}"/>
    <cellStyle name="常规 22 2 2 4" xfId="3924" xr:uid="{F7A5CE07-E22C-455D-A543-E77D4F98E400}"/>
    <cellStyle name="常规 22 2 2 4 2" xfId="3925" xr:uid="{03DFC83A-1484-4E9D-BD49-9EF4CB08452C}"/>
    <cellStyle name="常规 22 2 2 4 2 2" xfId="3926" xr:uid="{3D48DD05-03F9-47ED-AA17-81AF4C77FC90}"/>
    <cellStyle name="常规 22 2 2 4 2 2 2" xfId="3927" xr:uid="{CD6DB084-B9A3-4409-BFC1-404533F19893}"/>
    <cellStyle name="常规 22 2 2 4 2 2 2 2" xfId="3928" xr:uid="{3130A659-F3C5-482A-93C8-D023E63CD75B}"/>
    <cellStyle name="常规 22 2 2 4 2 2 3" xfId="3929" xr:uid="{F031136F-6901-49CB-974F-FC38BF3CD069}"/>
    <cellStyle name="常规 22 2 2 4 2 3" xfId="3930" xr:uid="{F0E2C334-CA74-4092-95B8-CF9B36189EE3}"/>
    <cellStyle name="常规 22 2 2 4 2 3 2" xfId="3931" xr:uid="{C5EB80D8-6CCA-44FD-9AB9-6E1013B12352}"/>
    <cellStyle name="常规 22 2 2 4 2 4" xfId="3932" xr:uid="{CBF44F1A-5EAA-4DB0-8130-404B889CC0F3}"/>
    <cellStyle name="常规 22 2 2 4 3" xfId="3933" xr:uid="{FCCC369B-39AC-4960-AFAA-86CBC9742CF2}"/>
    <cellStyle name="常规 22 2 2 4 3 2" xfId="3934" xr:uid="{AAE6DAB1-490B-4F9B-86E4-446B6B408DA6}"/>
    <cellStyle name="常规 22 2 2 4 3 2 2" xfId="3935" xr:uid="{9B8EE1C8-9557-43A6-A56F-8E3FE3CA5794}"/>
    <cellStyle name="常规 22 2 2 4 3 3" xfId="3936" xr:uid="{E069E263-DCE2-440C-88B1-7E32DA1E677B}"/>
    <cellStyle name="常规 22 2 2 4 4" xfId="3937" xr:uid="{4A5B1EA0-B906-450F-8C19-15F4867A7947}"/>
    <cellStyle name="常规 22 2 2 4 4 2" xfId="3938" xr:uid="{CCAF9CF0-8CA7-48CD-A94D-47F9AB9A6675}"/>
    <cellStyle name="常规 22 2 2 4 5" xfId="3939" xr:uid="{9F9B19DE-8FDB-4FB9-8839-9E4610FA8346}"/>
    <cellStyle name="常规 22 2 2 5" xfId="3940" xr:uid="{BC81E543-D282-4C65-AFF7-8A6C01F65C31}"/>
    <cellStyle name="常规 22 2 2 5 2" xfId="3941" xr:uid="{CA54DE29-0880-48B4-961B-989D595E23B2}"/>
    <cellStyle name="常规 22 2 2 5 2 2" xfId="3942" xr:uid="{F16A9449-FDD9-4364-B174-56489A222744}"/>
    <cellStyle name="常规 22 2 2 5 2 2 2" xfId="3943" xr:uid="{A7DE421B-A9DE-4466-AFB5-F2E5A06B22B4}"/>
    <cellStyle name="常规 22 2 2 5 2 3" xfId="3944" xr:uid="{E6779409-70B2-494B-A227-9E811F453E03}"/>
    <cellStyle name="常规 22 2 2 5 3" xfId="3945" xr:uid="{D05D271C-8620-42A0-8E25-932A555577AF}"/>
    <cellStyle name="常规 22 2 2 5 3 2" xfId="3946" xr:uid="{1192D31E-A64B-456B-BC42-A823C311E097}"/>
    <cellStyle name="常规 22 2 2 5 4" xfId="3947" xr:uid="{FF1E5C02-F25C-422F-833A-D6A108309014}"/>
    <cellStyle name="常规 22 2 2 6" xfId="3948" xr:uid="{305554CA-3B4F-4655-99B3-8270B0548DD3}"/>
    <cellStyle name="常规 22 2 2 6 2" xfId="3949" xr:uid="{942E428F-6358-4229-81F8-21AEA077261B}"/>
    <cellStyle name="常规 22 2 2 6 2 2" xfId="3950" xr:uid="{A8CD6F6F-FDAC-478A-BCED-FED6494263C9}"/>
    <cellStyle name="常规 22 2 2 6 3" xfId="3951" xr:uid="{994D2AD7-BD54-4924-8D79-D4979DDA1DE1}"/>
    <cellStyle name="常规 22 2 2 7" xfId="3952" xr:uid="{73D1A656-9933-469F-837E-0138EAFF16BC}"/>
    <cellStyle name="常规 22 2 2 7 2" xfId="3953" xr:uid="{59FF3098-D060-4360-96BD-F62B6253A929}"/>
    <cellStyle name="常规 22 2 2 8" xfId="3954" xr:uid="{9C825469-0353-40E6-9515-FD555823F40B}"/>
    <cellStyle name="常规 22 2 3" xfId="3955" xr:uid="{40932165-858D-4F1F-B989-AF9F2E07E34A}"/>
    <cellStyle name="常规 22 2 3 2" xfId="3956" xr:uid="{C719D049-CFD8-47C1-BDD8-DB2F8CE46FAA}"/>
    <cellStyle name="常规 22 2 3 2 2" xfId="3957" xr:uid="{37000CE2-1A13-48D6-830F-4C081ED0E8CD}"/>
    <cellStyle name="常规 22 2 3 2 2 2" xfId="3958" xr:uid="{17BCB06E-2D31-4FB5-B7A7-5C30AC69A49A}"/>
    <cellStyle name="常规 22 2 3 2 2 2 2" xfId="3959" xr:uid="{8B12026F-C3AC-4AE2-9371-93CB442AF5D8}"/>
    <cellStyle name="常规 22 2 3 2 2 2 2 2" xfId="3960" xr:uid="{8AC655D8-20FC-4254-BA06-48FEDE756E8C}"/>
    <cellStyle name="常规 22 2 3 2 2 2 2 2 2" xfId="3961" xr:uid="{3C8518A0-A2DE-446B-986E-CA718F9985B6}"/>
    <cellStyle name="常规 22 2 3 2 2 2 2 3" xfId="3962" xr:uid="{8E999990-6A5E-4D38-A41A-4515F8F4E01F}"/>
    <cellStyle name="常规 22 2 3 2 2 2 3" xfId="3963" xr:uid="{E6679C21-724F-4683-90B2-CD28E24AE0FD}"/>
    <cellStyle name="常规 22 2 3 2 2 2 3 2" xfId="3964" xr:uid="{48DFBC57-E3EB-4FD3-80A1-36800DFFF461}"/>
    <cellStyle name="常规 22 2 3 2 2 2 4" xfId="3965" xr:uid="{970B309E-C79E-40B1-9AAD-43DCA91E6D00}"/>
    <cellStyle name="常规 22 2 3 2 2 3" xfId="3966" xr:uid="{310397A9-B2CA-46BD-B71C-C382D1B89760}"/>
    <cellStyle name="常规 22 2 3 2 2 3 2" xfId="3967" xr:uid="{D27222E4-8D1C-4884-848B-45BE4D2C2949}"/>
    <cellStyle name="常规 22 2 3 2 2 3 2 2" xfId="3968" xr:uid="{43D6EDA4-49A9-4C59-90B2-25782DBC50EC}"/>
    <cellStyle name="常规 22 2 3 2 2 3 3" xfId="3969" xr:uid="{4AF9FF9B-59C7-4ECB-88DA-01602CBC55E5}"/>
    <cellStyle name="常规 22 2 3 2 2 4" xfId="3970" xr:uid="{FBB49ED7-7623-4C34-AE8D-BFA69B070B79}"/>
    <cellStyle name="常规 22 2 3 2 2 4 2" xfId="3971" xr:uid="{A9FC82EC-855B-4E6B-8B44-3FDAF9D1EC6C}"/>
    <cellStyle name="常规 22 2 3 2 2 5" xfId="3972" xr:uid="{D8294755-45C5-4960-93DC-063C02A31E46}"/>
    <cellStyle name="常规 22 2 3 2 3" xfId="3973" xr:uid="{EC5A7E83-0C5C-4A43-9982-04A64AC6C339}"/>
    <cellStyle name="常规 22 2 3 2 3 2" xfId="3974" xr:uid="{0C687519-CACA-4EF0-81CE-7B0A41AC1D42}"/>
    <cellStyle name="常规 22 2 3 2 3 2 2" xfId="3975" xr:uid="{A9DE82C8-1056-47BA-ABEE-FC9FE9F6B0F3}"/>
    <cellStyle name="常规 22 2 3 2 3 2 2 2" xfId="3976" xr:uid="{498339C8-A126-4DB7-AED1-7893834DC126}"/>
    <cellStyle name="常规 22 2 3 2 3 2 3" xfId="3977" xr:uid="{A2F8E44B-FEDD-40A7-BA17-839B5C7C9BD2}"/>
    <cellStyle name="常规 22 2 3 2 3 3" xfId="3978" xr:uid="{730E04E9-9E02-4940-A693-D457C4F0878F}"/>
    <cellStyle name="常规 22 2 3 2 3 3 2" xfId="3979" xr:uid="{7533A5F0-7107-4E61-8C01-CA5E2D17D72E}"/>
    <cellStyle name="常规 22 2 3 2 3 4" xfId="3980" xr:uid="{C422C684-5699-4F67-984C-618445EC2BA0}"/>
    <cellStyle name="常规 22 2 3 2 4" xfId="3981" xr:uid="{EE27834C-D77F-4680-985D-48902B1CDD5C}"/>
    <cellStyle name="常规 22 2 3 2 4 2" xfId="3982" xr:uid="{FD59D042-7111-4A0E-9110-1FA92D79E795}"/>
    <cellStyle name="常规 22 2 3 2 4 2 2" xfId="3983" xr:uid="{5916B977-D501-47C5-8F5C-AFAA4F781411}"/>
    <cellStyle name="常规 22 2 3 2 4 3" xfId="3984" xr:uid="{E0E95AC9-EA1D-40C7-9006-A8AF28F799AF}"/>
    <cellStyle name="常规 22 2 3 2 5" xfId="3985" xr:uid="{4B61088F-3D6B-4593-8235-E2380F11A531}"/>
    <cellStyle name="常规 22 2 3 2 5 2" xfId="3986" xr:uid="{F818E690-5934-41A2-87B1-BA035641A05F}"/>
    <cellStyle name="常规 22 2 3 2 6" xfId="3987" xr:uid="{1F264575-CB27-4DE1-93FC-C68C469D5C77}"/>
    <cellStyle name="常规 22 2 3 3" xfId="3988" xr:uid="{E81BCAC8-8E5B-4DBF-84E1-DD3118874DA7}"/>
    <cellStyle name="常规 22 2 3 3 2" xfId="3989" xr:uid="{B417C2E6-89BF-47CD-9132-D4C425FB3D50}"/>
    <cellStyle name="常规 22 2 3 3 2 2" xfId="3990" xr:uid="{9F2C16D6-E950-415E-9D72-A78C1073260A}"/>
    <cellStyle name="常规 22 2 3 3 2 2 2" xfId="3991" xr:uid="{F92C563D-CDEF-486A-9CC8-9181607B0F6F}"/>
    <cellStyle name="常规 22 2 3 3 2 2 2 2" xfId="3992" xr:uid="{47DF9C53-0DB6-490A-8253-DD47E492CDA8}"/>
    <cellStyle name="常规 22 2 3 3 2 2 3" xfId="3993" xr:uid="{E9AC913B-FF2C-480A-A337-26EC6E481A3D}"/>
    <cellStyle name="常规 22 2 3 3 2 3" xfId="3994" xr:uid="{BCDF5A5E-6891-4BE8-8FCB-A586519B7662}"/>
    <cellStyle name="常规 22 2 3 3 2 3 2" xfId="3995" xr:uid="{02CD088A-15AB-422C-B5A4-7FEB08B9F570}"/>
    <cellStyle name="常规 22 2 3 3 2 4" xfId="3996" xr:uid="{9C524824-6C8C-4F2B-B396-581407A5D662}"/>
    <cellStyle name="常规 22 2 3 3 3" xfId="3997" xr:uid="{8486BBF9-9C15-4716-BDA1-1C69F7D6E15C}"/>
    <cellStyle name="常规 22 2 3 3 3 2" xfId="3998" xr:uid="{747F7736-878B-40C5-85C2-987D655BDAB0}"/>
    <cellStyle name="常规 22 2 3 3 3 2 2" xfId="3999" xr:uid="{A05E3075-B5EE-4327-AD75-22FFCFEF492D}"/>
    <cellStyle name="常规 22 2 3 3 3 3" xfId="4000" xr:uid="{EC9907FD-2CE4-4E12-9094-1C2FE8A70354}"/>
    <cellStyle name="常规 22 2 3 3 4" xfId="4001" xr:uid="{1857438B-77EF-473E-9A95-0E2049C315CC}"/>
    <cellStyle name="常规 22 2 3 3 4 2" xfId="4002" xr:uid="{7F6652B3-73D3-459D-BD74-4F8B5DC8D9EF}"/>
    <cellStyle name="常规 22 2 3 3 5" xfId="4003" xr:uid="{DF153590-69D1-4B81-89EA-6B5D8B63EABF}"/>
    <cellStyle name="常规 22 2 3 4" xfId="4004" xr:uid="{9C3A9A09-E0FD-4CFC-9C60-F583257C7634}"/>
    <cellStyle name="常规 22 2 3 4 2" xfId="4005" xr:uid="{714B2983-BC0E-4B38-AADA-9BE44FD6631A}"/>
    <cellStyle name="常规 22 2 3 4 2 2" xfId="4006" xr:uid="{F4E0B22D-347C-4A4B-8A13-5E731E463C3A}"/>
    <cellStyle name="常规 22 2 3 4 2 2 2" xfId="4007" xr:uid="{DF0D88A0-8313-4CC0-90FC-42A8C2104F2F}"/>
    <cellStyle name="常规 22 2 3 4 2 3" xfId="4008" xr:uid="{3393F3E6-C0C9-44EB-909C-0958657749CA}"/>
    <cellStyle name="常规 22 2 3 4 3" xfId="4009" xr:uid="{B40E2125-9DCE-48AD-8327-D4C8CC3CB329}"/>
    <cellStyle name="常规 22 2 3 4 3 2" xfId="4010" xr:uid="{46C8C6ED-35F4-4A1E-A474-646448691FDB}"/>
    <cellStyle name="常规 22 2 3 4 4" xfId="4011" xr:uid="{46FB62AE-109A-4B7A-AFE0-CDBB19EB8890}"/>
    <cellStyle name="常规 22 2 3 5" xfId="4012" xr:uid="{06644D60-E35A-410B-9CB0-9FB02295DF31}"/>
    <cellStyle name="常规 22 2 3 5 2" xfId="4013" xr:uid="{645EC7EC-28CC-4440-8B02-F7EBB5D4FDCD}"/>
    <cellStyle name="常规 22 2 3 5 2 2" xfId="4014" xr:uid="{DA0E55A5-96C8-4EF6-8A47-046E2F2D0848}"/>
    <cellStyle name="常规 22 2 3 5 3" xfId="4015" xr:uid="{30B099FA-B482-4D2D-96AD-A943B4A8D731}"/>
    <cellStyle name="常规 22 2 3 6" xfId="4016" xr:uid="{63CFE3D7-A35F-4140-80FD-6C6D820933DC}"/>
    <cellStyle name="常规 22 2 3 6 2" xfId="4017" xr:uid="{67C4CD1C-47BB-4E84-9E55-768998AC3C7B}"/>
    <cellStyle name="常规 22 2 3 7" xfId="4018" xr:uid="{803BD9EB-FD30-41C0-8924-0FBDB9E05A27}"/>
    <cellStyle name="常规 22 2 4" xfId="4019" xr:uid="{0D73EFFB-A75C-4D69-A5D9-CF7F6C309579}"/>
    <cellStyle name="常规 22 2 4 2" xfId="4020" xr:uid="{C5E73C97-C39D-4934-801B-E4D47187F8A0}"/>
    <cellStyle name="常规 22 2 4 2 2" xfId="4021" xr:uid="{0224E029-5880-4483-8117-C5EA29F20AC7}"/>
    <cellStyle name="常规 22 2 4 2 2 2" xfId="4022" xr:uid="{B7C94AFB-4C8D-488D-874D-401B9A214B3A}"/>
    <cellStyle name="常规 22 2 4 2 2 2 2" xfId="4023" xr:uid="{4CC11F6B-0B7A-473E-9DED-AC5CCE978A1C}"/>
    <cellStyle name="常规 22 2 4 2 2 2 2 2" xfId="4024" xr:uid="{12A814D2-F797-49DC-96D4-399C5ED44926}"/>
    <cellStyle name="常规 22 2 4 2 2 2 3" xfId="4025" xr:uid="{CE2B7168-1202-402D-8328-5EEE0A335187}"/>
    <cellStyle name="常规 22 2 4 2 2 3" xfId="4026" xr:uid="{8AAE4366-6D7B-4C9F-B922-C74972594075}"/>
    <cellStyle name="常规 22 2 4 2 2 3 2" xfId="4027" xr:uid="{57DF4A06-AEA3-4D7A-A878-CDF4B1C404AB}"/>
    <cellStyle name="常规 22 2 4 2 2 4" xfId="4028" xr:uid="{7C075C80-18BF-4F2C-B797-75B0181FC309}"/>
    <cellStyle name="常规 22 2 4 2 3" xfId="4029" xr:uid="{69EAECBE-EBC0-4E7A-9E30-A704F3157E93}"/>
    <cellStyle name="常规 22 2 4 2 3 2" xfId="4030" xr:uid="{2EB4CFF9-7C96-4383-B16D-9A8F1DFC783E}"/>
    <cellStyle name="常规 22 2 4 2 3 2 2" xfId="4031" xr:uid="{EEA7F77C-E625-404D-8AC2-F8592AAE4DE9}"/>
    <cellStyle name="常规 22 2 4 2 3 3" xfId="4032" xr:uid="{683D3FD7-043B-41B6-8A4A-8A720AB54CFA}"/>
    <cellStyle name="常规 22 2 4 2 4" xfId="4033" xr:uid="{2767C0B3-80DC-434F-ABA8-0975A57C9CF8}"/>
    <cellStyle name="常规 22 2 4 2 4 2" xfId="4034" xr:uid="{416C53FB-2FA8-42D0-97C6-BBC027D8E54D}"/>
    <cellStyle name="常规 22 2 4 2 5" xfId="4035" xr:uid="{2F17B7F9-0C62-44D6-B97F-0EEFD3E76FCF}"/>
    <cellStyle name="常规 22 2 4 3" xfId="4036" xr:uid="{CFE34F95-ED5B-40F6-8573-91AC70CAB6BC}"/>
    <cellStyle name="常规 22 2 4 3 2" xfId="4037" xr:uid="{0F362487-2FAA-4A9F-925A-199FD490215B}"/>
    <cellStyle name="常规 22 2 4 3 2 2" xfId="4038" xr:uid="{CCB5853D-519A-47D3-9878-5139E2832663}"/>
    <cellStyle name="常规 22 2 4 3 2 2 2" xfId="4039" xr:uid="{364435BB-974B-4DE5-96ED-D0453BEBC28E}"/>
    <cellStyle name="常规 22 2 4 3 2 3" xfId="4040" xr:uid="{E59A648C-6014-4649-A7D8-A23C37D81113}"/>
    <cellStyle name="常规 22 2 4 3 3" xfId="4041" xr:uid="{288801FA-7616-4A36-9432-E74E863D2124}"/>
    <cellStyle name="常规 22 2 4 3 3 2" xfId="4042" xr:uid="{05322345-1AC0-47F5-A91F-DA5D775690EB}"/>
    <cellStyle name="常规 22 2 4 3 4" xfId="4043" xr:uid="{48F6D4C4-104E-4686-A4D9-ECAA171F4D10}"/>
    <cellStyle name="常规 22 2 4 4" xfId="4044" xr:uid="{FC4FF2D6-1B73-4A8A-848F-3504185866FE}"/>
    <cellStyle name="常规 22 2 4 4 2" xfId="4045" xr:uid="{EFBC2744-6426-44E7-93F1-C2B56D0B07D8}"/>
    <cellStyle name="常规 22 2 4 4 2 2" xfId="4046" xr:uid="{001A4350-2325-42EA-A40E-C6C724376B21}"/>
    <cellStyle name="常规 22 2 4 4 3" xfId="4047" xr:uid="{C6DCC315-F35B-4F54-AF84-AA639B0A19A8}"/>
    <cellStyle name="常规 22 2 4 5" xfId="4048" xr:uid="{B2A62418-7E6A-4629-84B4-A52642EF2D09}"/>
    <cellStyle name="常规 22 2 4 5 2" xfId="4049" xr:uid="{4F50BB63-FA2E-4B47-ADB9-BCA51A6F89E7}"/>
    <cellStyle name="常规 22 2 4 6" xfId="4050" xr:uid="{781A8B9F-5F23-4B36-96A0-72A3EAC5FDB2}"/>
    <cellStyle name="常规 22 2 5" xfId="4051" xr:uid="{BA13BED0-B24A-46DF-9DC9-83F0142AF57A}"/>
    <cellStyle name="常规 22 2 5 2" xfId="4052" xr:uid="{3388A748-7E1F-45B2-ACA0-962B2B71900E}"/>
    <cellStyle name="常规 22 2 5 2 2" xfId="4053" xr:uid="{CFC8C72C-10A3-41C1-82DA-0C2710A29D87}"/>
    <cellStyle name="常规 22 2 5 2 2 2" xfId="4054" xr:uid="{3409EB65-3816-45AB-8C80-2938EBB3730E}"/>
    <cellStyle name="常规 22 2 5 2 2 2 2" xfId="4055" xr:uid="{2A23F07D-ED99-4158-9E38-073DBD93B33C}"/>
    <cellStyle name="常规 22 2 5 2 2 3" xfId="4056" xr:uid="{D8C704A0-D07E-4F41-9E51-F3A6AEBD7FA1}"/>
    <cellStyle name="常规 22 2 5 2 3" xfId="4057" xr:uid="{1CBA7FCC-D7D0-441A-81E5-F3B0717F56CF}"/>
    <cellStyle name="常规 22 2 5 2 3 2" xfId="4058" xr:uid="{32B99B34-0486-4635-B70A-5EB67204AF68}"/>
    <cellStyle name="常规 22 2 5 2 4" xfId="4059" xr:uid="{CD6DB759-2676-47A8-87BE-F27E7A3CC325}"/>
    <cellStyle name="常规 22 2 5 3" xfId="4060" xr:uid="{01D569A4-496F-4004-8F6B-98FB5DC56298}"/>
    <cellStyle name="常规 22 2 5 3 2" xfId="4061" xr:uid="{96DE4824-693B-4320-BADD-5FC18DE4BF71}"/>
    <cellStyle name="常规 22 2 5 3 2 2" xfId="4062" xr:uid="{F5113971-1CAB-4872-83E5-866E910C1551}"/>
    <cellStyle name="常规 22 2 5 3 3" xfId="4063" xr:uid="{507CA2EE-E94F-4965-8105-85A65DC7C8EE}"/>
    <cellStyle name="常规 22 2 5 4" xfId="4064" xr:uid="{56A7A629-D7DC-4505-AE6F-DF2589DD7C52}"/>
    <cellStyle name="常规 22 2 5 4 2" xfId="4065" xr:uid="{4D01A5A7-3CEB-40C1-AFC7-5FB1C9B5E42E}"/>
    <cellStyle name="常规 22 2 5 5" xfId="4066" xr:uid="{F54FF5CB-76EC-4977-A24B-9527B6537C17}"/>
    <cellStyle name="常规 22 2 6" xfId="4067" xr:uid="{C15194A5-2592-43C1-9BD2-176527D87389}"/>
    <cellStyle name="常规 22 2 6 2" xfId="4068" xr:uid="{F39E65AC-A744-41C3-9C6D-534F00E338CA}"/>
    <cellStyle name="常规 22 2 6 2 2" xfId="4069" xr:uid="{C6B46BFF-EC18-4255-9525-1D360D0D1A4E}"/>
    <cellStyle name="常规 22 2 6 2 2 2" xfId="4070" xr:uid="{83B77391-AEBB-4A65-A880-31E856084FBE}"/>
    <cellStyle name="常规 22 2 6 2 3" xfId="4071" xr:uid="{7D48F081-0F51-4505-9D79-C01B93EA3033}"/>
    <cellStyle name="常规 22 2 6 3" xfId="4072" xr:uid="{49CF47E6-BBAC-40AF-BF14-68C2610F50B3}"/>
    <cellStyle name="常规 22 2 6 3 2" xfId="4073" xr:uid="{8EDC7077-D466-401E-94FB-282C9BEBC820}"/>
    <cellStyle name="常规 22 2 6 4" xfId="4074" xr:uid="{1519FC3E-853B-4666-B9CF-BE980007B389}"/>
    <cellStyle name="常规 22 2 7" xfId="4075" xr:uid="{24FE378C-EB80-4332-922E-4BFB0D13BA34}"/>
    <cellStyle name="常规 22 2 7 2" xfId="4076" xr:uid="{2D3FE0EF-2879-4B3B-94CB-42E7BED73908}"/>
    <cellStyle name="常规 22 2 7 2 2" xfId="4077" xr:uid="{69B3D8C8-A985-437C-B0F2-0B5981FE7652}"/>
    <cellStyle name="常规 22 2 7 3" xfId="4078" xr:uid="{EBFC507F-14EF-48C6-BDB6-8E9413CA8EE9}"/>
    <cellStyle name="常规 22 2 8" xfId="4079" xr:uid="{1E164717-8C12-4515-9DC8-6B4E987A66ED}"/>
    <cellStyle name="常规 22 2 8 2" xfId="4080" xr:uid="{F24445FE-DC80-429D-AE01-B7D67A602F8D}"/>
    <cellStyle name="常规 22 2 9" xfId="4081" xr:uid="{5962AF86-3C4F-4229-BE73-241FD320A83F}"/>
    <cellStyle name="常规 22 3" xfId="4082" xr:uid="{61214368-A527-492C-B012-47AC0A5C3A84}"/>
    <cellStyle name="常规 22 3 2" xfId="4083" xr:uid="{A83DAB4B-692C-40D5-A7A5-E157DD4570DA}"/>
    <cellStyle name="常规 22 3 2 2" xfId="4084" xr:uid="{DE0A328E-F78E-4330-9D25-60C155E52118}"/>
    <cellStyle name="常规 22 3 2 2 2" xfId="4085" xr:uid="{8C94E3F6-C3FC-40A1-B219-E0B8A615AA05}"/>
    <cellStyle name="常规 22 3 2 2 2 2" xfId="4086" xr:uid="{14961A47-F1D0-43E9-B068-4AF85010949D}"/>
    <cellStyle name="常规 22 3 2 2 2 2 2" xfId="4087" xr:uid="{AD4D8CA1-0434-4016-B0FC-11E803FC1103}"/>
    <cellStyle name="常规 22 3 2 2 2 2 2 2" xfId="4088" xr:uid="{4E1AB8FA-C50A-424F-BC0C-4AAB29D174F0}"/>
    <cellStyle name="常规 22 3 2 2 2 2 2 2 2" xfId="4089" xr:uid="{2A36E956-2564-43B8-9D48-B738E8E8C38F}"/>
    <cellStyle name="常规 22 3 2 2 2 2 2 3" xfId="4090" xr:uid="{661618ED-733C-491F-A615-B2D9AA68893E}"/>
    <cellStyle name="常规 22 3 2 2 2 2 3" xfId="4091" xr:uid="{6ED084D0-9C29-4A92-A2AC-B441102C0038}"/>
    <cellStyle name="常规 22 3 2 2 2 2 3 2" xfId="4092" xr:uid="{5AAF7AD1-77D5-4CE9-BDE0-BF52BC5330E4}"/>
    <cellStyle name="常规 22 3 2 2 2 2 4" xfId="4093" xr:uid="{FA8BB680-00C0-4664-BD12-31627684A014}"/>
    <cellStyle name="常规 22 3 2 2 2 3" xfId="4094" xr:uid="{C7A8090D-4823-4F06-AFC3-284EF089F311}"/>
    <cellStyle name="常规 22 3 2 2 2 3 2" xfId="4095" xr:uid="{9010D960-4AFF-45AE-BF6B-9A2566656A29}"/>
    <cellStyle name="常规 22 3 2 2 2 3 2 2" xfId="4096" xr:uid="{58F25364-2BA5-47DD-9EF5-9FB8FB5EEE23}"/>
    <cellStyle name="常规 22 3 2 2 2 3 3" xfId="4097" xr:uid="{B8F03754-2463-4406-87C3-35B85A425056}"/>
    <cellStyle name="常规 22 3 2 2 2 4" xfId="4098" xr:uid="{20D2EA4B-FEA0-4F7C-84EF-94C3FD52F42A}"/>
    <cellStyle name="常规 22 3 2 2 2 4 2" xfId="4099" xr:uid="{0F54C9A9-2DC2-4609-ABCD-DD35995CD63B}"/>
    <cellStyle name="常规 22 3 2 2 2 5" xfId="4100" xr:uid="{E5696DA3-7D6E-4103-8971-B2E2712DDFCC}"/>
    <cellStyle name="常规 22 3 2 2 3" xfId="4101" xr:uid="{77045C12-4D2E-4112-9052-DF1FEE995765}"/>
    <cellStyle name="常规 22 3 2 2 3 2" xfId="4102" xr:uid="{1640557F-967B-48FD-88BF-2003A2C7CAFC}"/>
    <cellStyle name="常规 22 3 2 2 3 2 2" xfId="4103" xr:uid="{D17BD580-8267-40DE-A66D-6A696E9FF85A}"/>
    <cellStyle name="常规 22 3 2 2 3 2 2 2" xfId="4104" xr:uid="{640B775A-8C2B-4D71-8A3C-D1E2F99817D5}"/>
    <cellStyle name="常规 22 3 2 2 3 2 3" xfId="4105" xr:uid="{2C99C18F-4C66-4C6D-B67A-319DA6DAF940}"/>
    <cellStyle name="常规 22 3 2 2 3 3" xfId="4106" xr:uid="{E248D492-273A-44B2-AEDB-C4E2BF444376}"/>
    <cellStyle name="常规 22 3 2 2 3 3 2" xfId="4107" xr:uid="{B0FD889D-73B9-4A92-8B36-0820C2E0AE40}"/>
    <cellStyle name="常规 22 3 2 2 3 4" xfId="4108" xr:uid="{BDC0D532-FEB1-400C-A704-2619408F0FEF}"/>
    <cellStyle name="常规 22 3 2 2 4" xfId="4109" xr:uid="{45CFD9B7-11C6-4A52-AF8F-DC881F0BC21F}"/>
    <cellStyle name="常规 22 3 2 2 4 2" xfId="4110" xr:uid="{32FBA9C2-11B4-4904-8BC2-FAD5C59A9594}"/>
    <cellStyle name="常规 22 3 2 2 4 2 2" xfId="4111" xr:uid="{7001A16B-1BBC-4B6C-A46C-642A5B1881ED}"/>
    <cellStyle name="常规 22 3 2 2 4 3" xfId="4112" xr:uid="{BACCB051-881C-446A-9E12-85C0A85A85A8}"/>
    <cellStyle name="常规 22 3 2 2 5" xfId="4113" xr:uid="{AED2ADE9-69DA-466E-8A81-DACA9615B3D0}"/>
    <cellStyle name="常规 22 3 2 2 5 2" xfId="4114" xr:uid="{9A09ECC0-2EFD-427B-888C-5B529537CBD8}"/>
    <cellStyle name="常规 22 3 2 2 6" xfId="4115" xr:uid="{EFA6BAF6-20D3-48EC-A002-31748DF9B7A9}"/>
    <cellStyle name="常规 22 3 2 3" xfId="4116" xr:uid="{707BD777-8804-4F08-801B-79B18BCD7182}"/>
    <cellStyle name="常规 22 3 2 3 2" xfId="4117" xr:uid="{9D9EF0E5-8B7C-47CB-A976-8933AE5BB535}"/>
    <cellStyle name="常规 22 3 2 3 2 2" xfId="4118" xr:uid="{2F58A175-6F49-4712-AA98-BFC80393173D}"/>
    <cellStyle name="常规 22 3 2 3 2 2 2" xfId="4119" xr:uid="{E717CEDA-8909-497E-8066-094699FA9ACC}"/>
    <cellStyle name="常规 22 3 2 3 2 2 2 2" xfId="4120" xr:uid="{310E62A5-4F91-4790-90FB-CF0C158AF7A6}"/>
    <cellStyle name="常规 22 3 2 3 2 2 3" xfId="4121" xr:uid="{C0C79779-D664-4757-B1CB-0CDB3497FA7E}"/>
    <cellStyle name="常规 22 3 2 3 2 3" xfId="4122" xr:uid="{ED25B7EC-80F2-4B56-B59B-D7093286A542}"/>
    <cellStyle name="常规 22 3 2 3 2 3 2" xfId="4123" xr:uid="{1B5C32FA-668D-488C-A81C-B506F49FFAEF}"/>
    <cellStyle name="常规 22 3 2 3 2 4" xfId="4124" xr:uid="{4DA11A17-70CE-4065-8068-CB85B5E793C0}"/>
    <cellStyle name="常规 22 3 2 3 3" xfId="4125" xr:uid="{F6B41FFE-611A-42B7-9AD7-C8EDA7242DF4}"/>
    <cellStyle name="常规 22 3 2 3 3 2" xfId="4126" xr:uid="{94B7CE28-84EF-4FCA-A93A-CAE009ED1AEF}"/>
    <cellStyle name="常规 22 3 2 3 3 2 2" xfId="4127" xr:uid="{6BBFEEFA-5FEA-488D-844F-350B007A6826}"/>
    <cellStyle name="常规 22 3 2 3 3 3" xfId="4128" xr:uid="{B395BEA5-6436-4B62-BA0E-8EA99BC5D7E7}"/>
    <cellStyle name="常规 22 3 2 3 4" xfId="4129" xr:uid="{7FCAAF46-4853-4B7A-B12F-99B957F6E342}"/>
    <cellStyle name="常规 22 3 2 3 4 2" xfId="4130" xr:uid="{8CA99CA0-54E1-417E-800E-AB7F9629CB52}"/>
    <cellStyle name="常规 22 3 2 3 5" xfId="4131" xr:uid="{81CC8134-0513-43AA-92DB-65194850ACF6}"/>
    <cellStyle name="常规 22 3 2 4" xfId="4132" xr:uid="{AEA49287-BE64-46C3-B174-31EEF7FDA3FB}"/>
    <cellStyle name="常规 22 3 2 4 2" xfId="4133" xr:uid="{0619272A-AA9E-4A44-AB96-CF7FAC28F2DE}"/>
    <cellStyle name="常规 22 3 2 4 2 2" xfId="4134" xr:uid="{3D5E3E26-3E6D-4791-87F2-563B351CB49B}"/>
    <cellStyle name="常规 22 3 2 4 2 2 2" xfId="4135" xr:uid="{52AA1582-7F84-47BB-BD6C-C047FCA03B83}"/>
    <cellStyle name="常规 22 3 2 4 2 3" xfId="4136" xr:uid="{284A4B3A-2171-4AA8-813B-E93F1B5D9620}"/>
    <cellStyle name="常规 22 3 2 4 3" xfId="4137" xr:uid="{47F96253-3D79-45DA-952C-0710C42FB40B}"/>
    <cellStyle name="常规 22 3 2 4 3 2" xfId="4138" xr:uid="{C86B1952-B3B3-4A17-95EB-F86E216FA399}"/>
    <cellStyle name="常规 22 3 2 4 4" xfId="4139" xr:uid="{90657BA2-283A-47CD-BDC5-2A5F501DA389}"/>
    <cellStyle name="常规 22 3 2 5" xfId="4140" xr:uid="{9D052669-F257-48EB-A3A3-4F73FEE7FBC7}"/>
    <cellStyle name="常规 22 3 2 5 2" xfId="4141" xr:uid="{5A37D1EC-FB66-4792-BEDE-76F3165055B4}"/>
    <cellStyle name="常规 22 3 2 5 2 2" xfId="4142" xr:uid="{CDA33DDD-CC87-4F69-8178-1DC7590D15B7}"/>
    <cellStyle name="常规 22 3 2 5 3" xfId="4143" xr:uid="{36EF73DB-7790-4DB4-A74F-A08997F2F5DB}"/>
    <cellStyle name="常规 22 3 2 6" xfId="4144" xr:uid="{2CB73F0E-6549-4993-80FC-A723BA1A8A06}"/>
    <cellStyle name="常规 22 3 2 6 2" xfId="4145" xr:uid="{7863B0D4-82A6-421B-A915-7375A9B4E620}"/>
    <cellStyle name="常规 22 3 2 7" xfId="4146" xr:uid="{B906FF38-4708-4BD6-BF6A-2D508AA22C46}"/>
    <cellStyle name="常规 22 3 3" xfId="4147" xr:uid="{6E1ADC40-C4C1-41C7-B3CB-B4333A67AFEE}"/>
    <cellStyle name="常规 22 3 3 2" xfId="4148" xr:uid="{7B4DE13F-EB97-4A09-8758-B1A53F1FD744}"/>
    <cellStyle name="常规 22 3 3 2 2" xfId="4149" xr:uid="{B8A8D232-FB7F-4387-BF82-A2FB94E5165F}"/>
    <cellStyle name="常规 22 3 3 2 2 2" xfId="4150" xr:uid="{875D49F0-31D1-48EC-A1BB-F3EDBCBBE1FD}"/>
    <cellStyle name="常规 22 3 3 2 2 2 2" xfId="4151" xr:uid="{6244D33C-9123-436D-BC8B-86AB6F9E6E0B}"/>
    <cellStyle name="常规 22 3 3 2 2 2 2 2" xfId="4152" xr:uid="{39954B25-2C59-4B49-9516-6073262EAE29}"/>
    <cellStyle name="常规 22 3 3 2 2 2 3" xfId="4153" xr:uid="{E65385D8-BF86-4FEA-9BB1-0D11AEC16FA0}"/>
    <cellStyle name="常规 22 3 3 2 2 3" xfId="4154" xr:uid="{8CA28485-5CB2-4B04-A32B-8C047CEA743F}"/>
    <cellStyle name="常规 22 3 3 2 2 3 2" xfId="4155" xr:uid="{AFF9B4A9-1F27-48E7-87A6-CD5D1AD2F095}"/>
    <cellStyle name="常规 22 3 3 2 2 4" xfId="4156" xr:uid="{C506AD97-ED2F-4B14-ADCA-201B1B9E40BD}"/>
    <cellStyle name="常规 22 3 3 2 3" xfId="4157" xr:uid="{4A7525D0-E999-408F-85B1-2303BA1BC397}"/>
    <cellStyle name="常规 22 3 3 2 3 2" xfId="4158" xr:uid="{0AFAEDCA-E329-4FB8-B340-B8FBD9B6778B}"/>
    <cellStyle name="常规 22 3 3 2 3 2 2" xfId="4159" xr:uid="{5884DB2C-3CA5-470D-8615-F3FBE4F2FCE0}"/>
    <cellStyle name="常规 22 3 3 2 3 3" xfId="4160" xr:uid="{03D3B2DD-433D-441A-99AD-38C29D596DEA}"/>
    <cellStyle name="常规 22 3 3 2 4" xfId="4161" xr:uid="{8002F603-3828-49E1-A501-362B6BC3719D}"/>
    <cellStyle name="常规 22 3 3 2 4 2" xfId="4162" xr:uid="{3EA733F1-8820-4A75-826D-6A06896949C7}"/>
    <cellStyle name="常规 22 3 3 2 5" xfId="4163" xr:uid="{FB00A283-D646-4321-A050-922AF2F8D548}"/>
    <cellStyle name="常规 22 3 3 3" xfId="4164" xr:uid="{C13235EA-2A6E-4E07-8F08-C1E0AE41CBBC}"/>
    <cellStyle name="常规 22 3 3 3 2" xfId="4165" xr:uid="{895AA176-DEDD-480F-B30B-978549ECE436}"/>
    <cellStyle name="常规 22 3 3 3 2 2" xfId="4166" xr:uid="{581F48F3-EAC9-47E8-9CED-02572DAA5CA2}"/>
    <cellStyle name="常规 22 3 3 3 2 2 2" xfId="4167" xr:uid="{C08E0693-56E6-4410-9B38-0D597A4C8174}"/>
    <cellStyle name="常规 22 3 3 3 2 3" xfId="4168" xr:uid="{ED018B7C-C19D-4557-8ABB-472954E84A7D}"/>
    <cellStyle name="常规 22 3 3 3 3" xfId="4169" xr:uid="{E1319D06-93EE-4025-9504-EA8473E05BF9}"/>
    <cellStyle name="常规 22 3 3 3 3 2" xfId="4170" xr:uid="{140F8D73-6CB2-43ED-AB14-95AFB0452289}"/>
    <cellStyle name="常规 22 3 3 3 4" xfId="4171" xr:uid="{2E1A1F38-1A09-4197-B170-C0D69D696897}"/>
    <cellStyle name="常规 22 3 3 4" xfId="4172" xr:uid="{5DC2F766-5B4D-4DFC-AEE7-4B1EF242D5B7}"/>
    <cellStyle name="常规 22 3 3 4 2" xfId="4173" xr:uid="{B6DF1C55-EC30-461D-BF54-77D58B5146B5}"/>
    <cellStyle name="常规 22 3 3 4 2 2" xfId="4174" xr:uid="{F8F209B7-DE08-4D42-A5E2-264B3847D348}"/>
    <cellStyle name="常规 22 3 3 4 3" xfId="4175" xr:uid="{AC010F1C-3D86-46B4-A059-8A56DC68D935}"/>
    <cellStyle name="常规 22 3 3 5" xfId="4176" xr:uid="{B1D2DD5F-5E90-46D9-AE08-DC812E9D52A3}"/>
    <cellStyle name="常规 22 3 3 5 2" xfId="4177" xr:uid="{EB60B8C6-A764-418E-9594-7CC97C9A023E}"/>
    <cellStyle name="常规 22 3 3 6" xfId="4178" xr:uid="{24625FAD-F97C-4519-9EFA-C52D526F6F84}"/>
    <cellStyle name="常规 22 3 4" xfId="4179" xr:uid="{0D673B51-0836-4171-B3D1-690D705E1240}"/>
    <cellStyle name="常规 22 3 4 2" xfId="4180" xr:uid="{0F3A9CE2-E5A6-484C-8987-345C91BE249B}"/>
    <cellStyle name="常规 22 3 4 2 2" xfId="4181" xr:uid="{32973174-FC0E-49FB-A7EE-1A033E314DEE}"/>
    <cellStyle name="常规 22 3 4 2 2 2" xfId="4182" xr:uid="{DA3F8DBD-1DB5-4A4A-9E3D-73575C34DE7C}"/>
    <cellStyle name="常规 22 3 4 2 2 2 2" xfId="4183" xr:uid="{E81006EC-EBAF-4977-A2D6-F3C1F6E0EF47}"/>
    <cellStyle name="常规 22 3 4 2 2 3" xfId="4184" xr:uid="{A5DB3853-2B1A-4D8A-8585-2AA6993D7ED5}"/>
    <cellStyle name="常规 22 3 4 2 3" xfId="4185" xr:uid="{01B0E4A5-D508-489B-99CE-B030CAD642F6}"/>
    <cellStyle name="常规 22 3 4 2 3 2" xfId="4186" xr:uid="{464C169B-A69A-454E-9B95-5E832E46B8FE}"/>
    <cellStyle name="常规 22 3 4 2 4" xfId="4187" xr:uid="{7FB34F14-2E10-4D55-9F8C-2A6344281252}"/>
    <cellStyle name="常规 22 3 4 3" xfId="4188" xr:uid="{7B1EBBCE-EAA9-466A-A759-D04BBC9DF489}"/>
    <cellStyle name="常规 22 3 4 3 2" xfId="4189" xr:uid="{1A2C8733-E935-4149-8846-C3D575BCB0DE}"/>
    <cellStyle name="常规 22 3 4 3 2 2" xfId="4190" xr:uid="{9A330CD2-A7C6-4364-872A-BB1E363B11A9}"/>
    <cellStyle name="常规 22 3 4 3 3" xfId="4191" xr:uid="{9B13CA47-AD62-49AF-B8B3-EF891D497BFC}"/>
    <cellStyle name="常规 22 3 4 4" xfId="4192" xr:uid="{54C9B761-339E-4813-B113-5DE74CC68700}"/>
    <cellStyle name="常规 22 3 4 4 2" xfId="4193" xr:uid="{520227CE-68C0-4FBF-A259-84643EB3D3C9}"/>
    <cellStyle name="常规 22 3 4 5" xfId="4194" xr:uid="{14F80850-19EE-4C6B-A96C-93C55FA28690}"/>
    <cellStyle name="常规 22 3 5" xfId="4195" xr:uid="{99935DCC-6DF5-4CB4-80EC-818889220978}"/>
    <cellStyle name="常规 22 3 5 2" xfId="4196" xr:uid="{1DA767B9-2150-4CAF-A781-3DB767865A71}"/>
    <cellStyle name="常规 22 3 5 2 2" xfId="4197" xr:uid="{E7D68E0E-763A-4FAC-8126-E53E32864B3F}"/>
    <cellStyle name="常规 22 3 5 2 2 2" xfId="4198" xr:uid="{6862C356-8CCD-4BA9-9865-100BF62AC9F8}"/>
    <cellStyle name="常规 22 3 5 2 3" xfId="4199" xr:uid="{967935DA-7CCA-43D4-8180-328E77568874}"/>
    <cellStyle name="常规 22 3 5 3" xfId="4200" xr:uid="{F5710489-97FE-48A1-8DEF-92033AAC2848}"/>
    <cellStyle name="常规 22 3 5 3 2" xfId="4201" xr:uid="{6798DB5B-4ABD-4D64-9426-A7EE2F5E8958}"/>
    <cellStyle name="常规 22 3 5 4" xfId="4202" xr:uid="{5D71A750-A57F-4905-BB51-DB63A10F5877}"/>
    <cellStyle name="常规 22 3 6" xfId="4203" xr:uid="{B965850A-D704-4E63-9898-A3DE9D3041E1}"/>
    <cellStyle name="常规 22 3 6 2" xfId="4204" xr:uid="{707A047F-D1C3-4313-94C4-5C62D5E23E6D}"/>
    <cellStyle name="常规 22 3 6 2 2" xfId="4205" xr:uid="{51B1A2A6-70C1-46CA-8A83-1A681E78B109}"/>
    <cellStyle name="常规 22 3 6 3" xfId="4206" xr:uid="{451EB551-9DE5-40A7-BB4E-41E5B7F015C3}"/>
    <cellStyle name="常规 22 3 7" xfId="4207" xr:uid="{FDE24F98-8B67-4258-893C-F2F362653C24}"/>
    <cellStyle name="常规 22 3 7 2" xfId="4208" xr:uid="{5181E580-6AA1-484C-ABB5-7EF790CCEA68}"/>
    <cellStyle name="常规 22 3 8" xfId="4209" xr:uid="{5895F35B-34B5-438D-A636-AC569BFDDC5C}"/>
    <cellStyle name="常规 22 4" xfId="4210" xr:uid="{3CBEF125-4ED1-4C9F-9AB9-E5DB00DD747D}"/>
    <cellStyle name="常规 22 4 2" xfId="4211" xr:uid="{DB40DDD0-579B-49AD-887B-F085DC714B43}"/>
    <cellStyle name="常规 22 4 2 2" xfId="4212" xr:uid="{F0382B90-FEDE-4CB7-A125-B23E41A8AF1F}"/>
    <cellStyle name="常规 22 4 2 2 2" xfId="4213" xr:uid="{63CBCAB1-F084-41C0-9365-42D54B733DDC}"/>
    <cellStyle name="常规 22 4 2 2 2 2" xfId="4214" xr:uid="{96C34195-B903-489E-8720-5BFAEDF50C59}"/>
    <cellStyle name="常规 22 4 2 2 2 2 2" xfId="4215" xr:uid="{E7F41E4A-7E72-4C7F-91E1-18E2A18DCDBF}"/>
    <cellStyle name="常规 22 4 2 2 2 2 2 2" xfId="4216" xr:uid="{C5F9C97B-CAE6-4CEB-93F2-110BD4E67294}"/>
    <cellStyle name="常规 22 4 2 2 2 2 3" xfId="4217" xr:uid="{BA5D546A-6DB9-4B2F-984A-2F433FCE6E15}"/>
    <cellStyle name="常规 22 4 2 2 2 3" xfId="4218" xr:uid="{6EB57AB8-B1B4-4EBF-8801-C9D158002F31}"/>
    <cellStyle name="常规 22 4 2 2 2 3 2" xfId="4219" xr:uid="{62960572-B448-492B-A692-5B47E02C4C18}"/>
    <cellStyle name="常规 22 4 2 2 2 4" xfId="4220" xr:uid="{55303CDC-7EB6-4E6D-BE00-927367F48B6E}"/>
    <cellStyle name="常规 22 4 2 2 3" xfId="4221" xr:uid="{2DAFCDE8-7B50-4A53-B2BF-B4C05FDA728C}"/>
    <cellStyle name="常规 22 4 2 2 3 2" xfId="4222" xr:uid="{BB30EE22-32F6-45BE-A7B4-9CDA91E2D8B6}"/>
    <cellStyle name="常规 22 4 2 2 3 2 2" xfId="4223" xr:uid="{01F8DC7F-57F3-4C05-9179-C2805E79C545}"/>
    <cellStyle name="常规 22 4 2 2 3 3" xfId="4224" xr:uid="{35F217E4-6520-4042-B9C0-94115778BAAB}"/>
    <cellStyle name="常规 22 4 2 2 4" xfId="4225" xr:uid="{E9148F9C-A0E0-4605-A86B-418D0D84B3E8}"/>
    <cellStyle name="常规 22 4 2 2 4 2" xfId="4226" xr:uid="{8F4D7778-0F13-4B98-9E30-12F01C1BCD2A}"/>
    <cellStyle name="常规 22 4 2 2 5" xfId="4227" xr:uid="{262B90EA-2F5A-43DD-A40D-892AEEE3D158}"/>
    <cellStyle name="常规 22 4 2 3" xfId="4228" xr:uid="{A2E3BD3D-0A19-4208-96FE-75B17F5848ED}"/>
    <cellStyle name="常规 22 4 2 3 2" xfId="4229" xr:uid="{141EAFF5-844E-40A6-9949-CC3C46F7EEB3}"/>
    <cellStyle name="常规 22 4 2 3 2 2" xfId="4230" xr:uid="{13399EF1-4CEC-48CF-B38C-804C210C9CFB}"/>
    <cellStyle name="常规 22 4 2 3 2 2 2" xfId="4231" xr:uid="{A6AB4F6B-7E96-4A5D-960C-F3E1F06F402F}"/>
    <cellStyle name="常规 22 4 2 3 2 3" xfId="4232" xr:uid="{B6490E7C-7449-4439-A9D6-603277D2CB0F}"/>
    <cellStyle name="常规 22 4 2 3 3" xfId="4233" xr:uid="{083EB2FB-F43F-480A-9FAA-A54D7C8BF33E}"/>
    <cellStyle name="常规 22 4 2 3 3 2" xfId="4234" xr:uid="{E1AABFA2-1C7F-439D-B3A8-683045144226}"/>
    <cellStyle name="常规 22 4 2 3 4" xfId="4235" xr:uid="{E0120028-0783-41C6-8D7A-B1A2B385382B}"/>
    <cellStyle name="常规 22 4 2 4" xfId="4236" xr:uid="{199F606C-180F-4FEC-953B-E910C31BA6D2}"/>
    <cellStyle name="常规 22 4 2 4 2" xfId="4237" xr:uid="{B79D27FD-CDB0-4C6B-A17C-38E7EBDFB8BF}"/>
    <cellStyle name="常规 22 4 2 4 2 2" xfId="4238" xr:uid="{58FCA1FB-9576-4452-923E-D3DD9035A8AF}"/>
    <cellStyle name="常规 22 4 2 4 3" xfId="4239" xr:uid="{9CB3B592-0FDB-4692-9D8B-040ED75C0957}"/>
    <cellStyle name="常规 22 4 2 5" xfId="4240" xr:uid="{4537E188-BF44-435F-B08D-BBE289C128A7}"/>
    <cellStyle name="常规 22 4 2 5 2" xfId="4241" xr:uid="{AF4D79DD-0564-4182-8494-88A9B4AFA2C8}"/>
    <cellStyle name="常规 22 4 2 6" xfId="4242" xr:uid="{99A12995-E620-4297-B7D1-4A7014F3C126}"/>
    <cellStyle name="常规 22 4 3" xfId="4243" xr:uid="{4294E83A-3250-4FDB-AF38-F353AB5F6D5C}"/>
    <cellStyle name="常规 22 4 3 2" xfId="4244" xr:uid="{63379555-E04D-43EA-B3BE-BF5CFD1FDDEC}"/>
    <cellStyle name="常规 22 4 3 2 2" xfId="4245" xr:uid="{29B79A15-DC27-4249-A731-9BDD0387C96B}"/>
    <cellStyle name="常规 22 4 3 2 2 2" xfId="4246" xr:uid="{ED7770D7-2604-470C-BACF-3ED62CA3836B}"/>
    <cellStyle name="常规 22 4 3 2 2 2 2" xfId="4247" xr:uid="{210677B2-6FA5-4EED-96A5-DBBCA244B1F9}"/>
    <cellStyle name="常规 22 4 3 2 2 3" xfId="4248" xr:uid="{76BFAAF8-C02A-4CAF-843B-59A83D256314}"/>
    <cellStyle name="常规 22 4 3 2 3" xfId="4249" xr:uid="{7C335330-2507-4021-8384-58FE7186A930}"/>
    <cellStyle name="常规 22 4 3 2 3 2" xfId="4250" xr:uid="{624B7D82-D7A6-4CAD-9DD2-2CF8315683F8}"/>
    <cellStyle name="常规 22 4 3 2 4" xfId="4251" xr:uid="{4052DC10-D6A4-4081-AC54-476423C1B020}"/>
    <cellStyle name="常规 22 4 3 3" xfId="4252" xr:uid="{DD459859-4FA7-43CD-91FC-D02588F305E0}"/>
    <cellStyle name="常规 22 4 3 3 2" xfId="4253" xr:uid="{22957026-CD8C-429A-9393-0984570A51BB}"/>
    <cellStyle name="常规 22 4 3 3 2 2" xfId="4254" xr:uid="{DCCE8D96-B941-437E-9ED9-562981384B0E}"/>
    <cellStyle name="常规 22 4 3 3 3" xfId="4255" xr:uid="{8BAAD89F-ADA6-4037-87FD-E157F57DD865}"/>
    <cellStyle name="常规 22 4 3 4" xfId="4256" xr:uid="{ED76429C-7E84-4C19-BC42-83E9AEEEC783}"/>
    <cellStyle name="常规 22 4 3 4 2" xfId="4257" xr:uid="{76C3DBE5-DF83-4A38-9FCB-10788F4E424B}"/>
    <cellStyle name="常规 22 4 3 5" xfId="4258" xr:uid="{71C893EB-18F0-44C4-A59D-93BFA1AE28C7}"/>
    <cellStyle name="常规 22 4 4" xfId="4259" xr:uid="{7B2CACB1-D257-46DF-8DE3-48AB62819E11}"/>
    <cellStyle name="常规 22 4 4 2" xfId="4260" xr:uid="{5347E6A8-3B67-4BEC-B621-F29984146EA1}"/>
    <cellStyle name="常规 22 4 4 2 2" xfId="4261" xr:uid="{D1880424-1B22-421E-BA42-51A70B0C4FB0}"/>
    <cellStyle name="常规 22 4 4 2 2 2" xfId="4262" xr:uid="{0AD9CEAD-DB38-4360-841A-896127181DEC}"/>
    <cellStyle name="常规 22 4 4 2 3" xfId="4263" xr:uid="{4D5BF8D7-99B3-47DF-AF46-C1EFCA3515C8}"/>
    <cellStyle name="常规 22 4 4 3" xfId="4264" xr:uid="{B389861C-5054-4819-90CE-E14F331F47CF}"/>
    <cellStyle name="常规 22 4 4 3 2" xfId="4265" xr:uid="{FB8B0D8C-6997-4640-BDE8-688444D315AD}"/>
    <cellStyle name="常规 22 4 4 4" xfId="4266" xr:uid="{A9E1D266-03AD-49A9-9C34-E645D6832D2F}"/>
    <cellStyle name="常规 22 4 5" xfId="4267" xr:uid="{02FE462E-00E6-4530-8BA2-6F0C02988786}"/>
    <cellStyle name="常规 22 4 5 2" xfId="4268" xr:uid="{0522E6E8-368D-4462-A757-9855B47F38DA}"/>
    <cellStyle name="常规 22 4 5 2 2" xfId="4269" xr:uid="{625F96B1-DD1F-44EA-8009-F7E8D3FFF6A6}"/>
    <cellStyle name="常规 22 4 5 3" xfId="4270" xr:uid="{E2659E4A-A8B9-42CA-9429-26C466681E64}"/>
    <cellStyle name="常规 22 4 6" xfId="4271" xr:uid="{0F4B81FB-407B-461F-B98B-62A24FEC11C7}"/>
    <cellStyle name="常规 22 4 6 2" xfId="4272" xr:uid="{81B4237D-2588-4AC2-AC59-AE31C27A9A4B}"/>
    <cellStyle name="常规 22 4 7" xfId="4273" xr:uid="{67660091-3624-41FC-98A0-0050D365B8B7}"/>
    <cellStyle name="常规 22 5" xfId="4274" xr:uid="{46A939E7-E3C1-4052-AB9A-5A7383CBC966}"/>
    <cellStyle name="常规 22 5 2" xfId="4275" xr:uid="{6CE7CB0F-8DD2-4177-BDED-E557BF08E729}"/>
    <cellStyle name="常规 22 5 2 2" xfId="4276" xr:uid="{8A9ADBC3-0B65-42E5-AA29-EF095FB4A7A9}"/>
    <cellStyle name="常规 22 5 2 2 2" xfId="4277" xr:uid="{CD731381-F4D3-4812-AAA1-D1D0413B1F3E}"/>
    <cellStyle name="常规 22 5 2 2 2 2" xfId="4278" xr:uid="{D53ECA03-E2E1-435B-8945-8CFBD5721A73}"/>
    <cellStyle name="常规 22 5 2 2 2 2 2" xfId="4279" xr:uid="{78CF12BC-5196-4E47-91CF-7921D0BC5761}"/>
    <cellStyle name="常规 22 5 2 2 2 3" xfId="4280" xr:uid="{03A2F909-3FCA-4163-8D97-A17330C9A0B7}"/>
    <cellStyle name="常规 22 5 2 2 3" xfId="4281" xr:uid="{4EA1A83D-C097-4F67-B656-CE927B871F6A}"/>
    <cellStyle name="常规 22 5 2 2 3 2" xfId="4282" xr:uid="{A6A32976-29D1-44E5-B7DB-A04FB2F6A156}"/>
    <cellStyle name="常规 22 5 2 2 4" xfId="4283" xr:uid="{296772D3-6E51-490D-B60F-D898862CBA4A}"/>
    <cellStyle name="常规 22 5 2 3" xfId="4284" xr:uid="{D6CC591F-E14B-40FA-BDE1-BFF24EDE18A3}"/>
    <cellStyle name="常规 22 5 2 3 2" xfId="4285" xr:uid="{A1C294F5-8F9C-4C08-8D7C-76C875F1D0C7}"/>
    <cellStyle name="常规 22 5 2 3 2 2" xfId="4286" xr:uid="{D0D5DCA5-B2A7-4F20-A831-6429080C6F5F}"/>
    <cellStyle name="常规 22 5 2 3 3" xfId="4287" xr:uid="{66EB40BF-CD40-452F-8BD4-6A29B65399E4}"/>
    <cellStyle name="常规 22 5 2 4" xfId="4288" xr:uid="{85395AF9-823D-4131-9188-A0694567A5C5}"/>
    <cellStyle name="常规 22 5 2 4 2" xfId="4289" xr:uid="{0E4C12C8-6F4B-4F37-9C0F-29A459DC87E9}"/>
    <cellStyle name="常规 22 5 2 5" xfId="4290" xr:uid="{0EE2CC9D-11E8-459D-BBFF-036875E82644}"/>
    <cellStyle name="常规 22 5 3" xfId="4291" xr:uid="{4B5575DE-2EB3-447C-ABA3-8D699FB50DAB}"/>
    <cellStyle name="常规 22 5 3 2" xfId="4292" xr:uid="{5AF3D3D6-FBAC-4341-BD37-8B1A830EFCDC}"/>
    <cellStyle name="常规 22 5 3 2 2" xfId="4293" xr:uid="{3DFC314E-CF01-4191-87BD-DB6994ACDF86}"/>
    <cellStyle name="常规 22 5 3 2 2 2" xfId="4294" xr:uid="{D060C944-6714-4A5E-8A02-01A96352F59D}"/>
    <cellStyle name="常规 22 5 3 2 3" xfId="4295" xr:uid="{67D8C08B-24B8-4485-84CB-8A7EE88F8F05}"/>
    <cellStyle name="常规 22 5 3 3" xfId="4296" xr:uid="{37B1B889-F6A1-4B67-89DC-76C8210BEC4D}"/>
    <cellStyle name="常规 22 5 3 3 2" xfId="4297" xr:uid="{4D940AE6-9399-40E2-9741-5C787235EF60}"/>
    <cellStyle name="常规 22 5 3 4" xfId="4298" xr:uid="{630676A1-B759-44E5-A1ED-5DFEC41CE46C}"/>
    <cellStyle name="常规 22 5 4" xfId="4299" xr:uid="{09D7B679-D787-4976-BEE6-1A6000DA1DEF}"/>
    <cellStyle name="常规 22 5 4 2" xfId="4300" xr:uid="{2AFB9DEB-2C28-484F-9074-F5B4DD91CFE4}"/>
    <cellStyle name="常规 22 5 4 2 2" xfId="4301" xr:uid="{137992A7-1F9B-46E3-A62C-3FD340F71D82}"/>
    <cellStyle name="常规 22 5 4 3" xfId="4302" xr:uid="{7150D5EC-1B7F-4C10-8794-5D4BEC9CBAAD}"/>
    <cellStyle name="常规 22 5 5" xfId="4303" xr:uid="{849C48E4-3CFC-45AE-9A67-859C6C0413F3}"/>
    <cellStyle name="常规 22 5 5 2" xfId="4304" xr:uid="{640A6B0E-0876-4DD3-9C22-411CA3445764}"/>
    <cellStyle name="常规 22 5 6" xfId="4305" xr:uid="{0257EEAD-32D9-4932-A6D7-A7A09C8F1AE8}"/>
    <cellStyle name="常规 22 6" xfId="4306" xr:uid="{4D3CF515-46AB-4586-B7E8-97BD0A02AF5A}"/>
    <cellStyle name="常规 22 6 2" xfId="4307" xr:uid="{2A26FE63-80A7-48B3-AB39-DE60E9A8D431}"/>
    <cellStyle name="常规 22 6 2 2" xfId="4308" xr:uid="{66149B51-4BA7-4B5A-9509-2118BDE569E2}"/>
    <cellStyle name="常规 22 6 2 2 2" xfId="4309" xr:uid="{4E78C866-858D-4D3D-8DA8-35FEE510F357}"/>
    <cellStyle name="常规 22 6 2 2 2 2" xfId="4310" xr:uid="{FFC872E1-6A09-412E-85B6-08FD0C2E0082}"/>
    <cellStyle name="常规 22 6 2 2 3" xfId="4311" xr:uid="{A48394D8-018A-49E7-A015-D9EF7D8D9936}"/>
    <cellStyle name="常规 22 6 2 3" xfId="4312" xr:uid="{EC93688F-2DFD-4A00-8B2B-B350F27F4271}"/>
    <cellStyle name="常规 22 6 2 3 2" xfId="4313" xr:uid="{8461A53A-290C-4325-A003-1709F6A18C33}"/>
    <cellStyle name="常规 22 6 2 4" xfId="4314" xr:uid="{43F1AF2A-0B08-40C1-92F3-A1E945059F92}"/>
    <cellStyle name="常规 22 6 3" xfId="4315" xr:uid="{8EE54F45-A271-4A97-99C2-C6B3D13D061F}"/>
    <cellStyle name="常规 22 6 3 2" xfId="4316" xr:uid="{E4F851E4-2983-4FB5-8566-EC7E227B8F29}"/>
    <cellStyle name="常规 22 6 3 2 2" xfId="4317" xr:uid="{E04CD534-E0A3-42F6-8598-F3C0887D3042}"/>
    <cellStyle name="常规 22 6 3 3" xfId="4318" xr:uid="{5BB18ACC-77BA-45F7-9444-1C682A99212B}"/>
    <cellStyle name="常规 22 6 4" xfId="4319" xr:uid="{1F40F762-48CC-48BE-8C47-79CC8D2D8D50}"/>
    <cellStyle name="常规 22 6 4 2" xfId="4320" xr:uid="{8A8E7158-16FB-498F-8128-3D176DD25DE2}"/>
    <cellStyle name="常规 22 6 5" xfId="4321" xr:uid="{42FC60B1-187B-4AAE-8658-C24937D875A3}"/>
    <cellStyle name="常规 22 7" xfId="4322" xr:uid="{23AC96D9-98A5-4F7B-A972-95DE9F02E126}"/>
    <cellStyle name="常规 22 7 2" xfId="4323" xr:uid="{80AB2618-0FA8-4028-8B23-5780118C2D2D}"/>
    <cellStyle name="常规 22 7 2 2" xfId="4324" xr:uid="{F854A69A-9F57-45A5-9E9E-A52476479B28}"/>
    <cellStyle name="常规 22 7 2 2 2" xfId="4325" xr:uid="{6818728D-D3F9-4EBB-8400-E428FFA75C83}"/>
    <cellStyle name="常规 22 7 2 3" xfId="4326" xr:uid="{64754599-FFA0-4786-A6C9-691113F631E6}"/>
    <cellStyle name="常规 22 7 3" xfId="4327" xr:uid="{AADD2029-96BB-4CD7-8EB0-7A4256CE77C0}"/>
    <cellStyle name="常规 22 7 3 2" xfId="4328" xr:uid="{C1E68D5B-C33F-47BF-A79A-357E1E1DA8EA}"/>
    <cellStyle name="常规 22 7 4" xfId="4329" xr:uid="{FE5735F8-30F5-418D-876B-8DDD12E77234}"/>
    <cellStyle name="常规 22 8" xfId="4330" xr:uid="{8D118676-D941-4FB9-9345-70AE0344B5E7}"/>
    <cellStyle name="常规 22 8 2" xfId="4331" xr:uid="{229223AA-4684-4893-BE09-F8520E0D1068}"/>
    <cellStyle name="常规 22 8 2 2" xfId="4332" xr:uid="{3173D5EF-0D8E-4076-AC92-9ADB74A8B913}"/>
    <cellStyle name="常规 22 8 3" xfId="4333" xr:uid="{BDEA21B6-7598-482B-BAB8-263DC1CA042B}"/>
    <cellStyle name="常规 22 9" xfId="4334" xr:uid="{A7950C25-51C8-4F6F-A4C8-9968A566EB02}"/>
    <cellStyle name="常规 22 9 2" xfId="4335" xr:uid="{11120CD7-A3F5-4759-88D2-D93F1F0306FB}"/>
    <cellStyle name="常规 23" xfId="4336" xr:uid="{E1911554-6505-4CB7-9A64-D224B678BECD}"/>
    <cellStyle name="常规 24" xfId="4337" xr:uid="{52BB7776-01EB-4FA1-B0F7-7F5CAFF6DBF1}"/>
    <cellStyle name="常规 24 2" xfId="4338" xr:uid="{0E6AAE6C-97FD-48BD-9C03-8AD49704627A}"/>
    <cellStyle name="常规 24 2 2" xfId="4339" xr:uid="{4366D3CF-2F36-4B8A-AF71-7945C00C323C}"/>
    <cellStyle name="常规 24 2 2 2" xfId="4340" xr:uid="{9EE07BDD-28C3-4245-95D7-C9E23F52E1DE}"/>
    <cellStyle name="常规 24 2 2 2 2" xfId="4341" xr:uid="{3270FE58-0DF8-493A-B316-C9589113889D}"/>
    <cellStyle name="常规 24 2 2 2 2 2" xfId="4342" xr:uid="{FC9F4492-E613-4034-9EC8-E7B43292917C}"/>
    <cellStyle name="常规 24 2 2 2 2 2 2" xfId="4343" xr:uid="{EC118E87-C2BD-43E8-AE35-78D560477124}"/>
    <cellStyle name="常规 24 2 2 2 2 2 2 2" xfId="4344" xr:uid="{D02C466B-3BF2-49A2-8D33-6D80C671885F}"/>
    <cellStyle name="常规 24 2 2 2 2 2 2 2 2" xfId="4345" xr:uid="{524A0AAB-184A-4734-AE27-7B8D546ED7EC}"/>
    <cellStyle name="常规 24 2 2 2 2 2 2 3" xfId="4346" xr:uid="{22E4A584-D111-489A-A5C6-E4683ADC39E9}"/>
    <cellStyle name="常规 24 2 2 2 2 2 3" xfId="4347" xr:uid="{5CF21555-BF61-401A-A1FF-8DDABCAC2F27}"/>
    <cellStyle name="常规 24 2 2 2 2 2 3 2" xfId="4348" xr:uid="{105E4A48-23CE-48DD-AC9E-476407A32B6E}"/>
    <cellStyle name="常规 24 2 2 2 2 2 4" xfId="4349" xr:uid="{4EFDC721-2720-4E40-9011-202EE91128CB}"/>
    <cellStyle name="常规 24 2 2 2 2 3" xfId="4350" xr:uid="{F0A8E6D7-683C-4931-A2C1-930E448CFBF0}"/>
    <cellStyle name="常规 24 2 2 2 2 3 2" xfId="4351" xr:uid="{14B884F8-4D2C-4D59-B94A-8E081E39A9C7}"/>
    <cellStyle name="常规 24 2 2 2 2 3 2 2" xfId="4352" xr:uid="{3292BAB9-8F0D-44FE-AA57-168AD907F96B}"/>
    <cellStyle name="常规 24 2 2 2 2 3 3" xfId="4353" xr:uid="{561153B1-7656-4498-B21A-FA61A95A4248}"/>
    <cellStyle name="常规 24 2 2 2 2 4" xfId="4354" xr:uid="{FC4AC51D-D75D-4356-9F7B-F88D926839D3}"/>
    <cellStyle name="常规 24 2 2 2 2 4 2" xfId="4355" xr:uid="{B3AE90EA-FC87-4A65-B084-948D6092B8FC}"/>
    <cellStyle name="常规 24 2 2 2 2 5" xfId="4356" xr:uid="{50DD1680-DB17-42F0-AF61-938261CFA46C}"/>
    <cellStyle name="常规 24 2 2 2 3" xfId="4357" xr:uid="{4987916D-D9DC-436E-A734-79EC9888723F}"/>
    <cellStyle name="常规 24 2 2 2 3 2" xfId="4358" xr:uid="{DE6C1055-8D23-4965-ACBA-56B47108A663}"/>
    <cellStyle name="常规 24 2 2 2 3 2 2" xfId="4359" xr:uid="{3415BD0B-138E-41A7-9CA6-C00C546C5BA5}"/>
    <cellStyle name="常规 24 2 2 2 3 2 2 2" xfId="4360" xr:uid="{0A4816C7-0943-42F1-A11A-3C373BBBE119}"/>
    <cellStyle name="常规 24 2 2 2 3 2 3" xfId="4361" xr:uid="{08111EDA-40D2-4164-B3AF-6CD87FC462A9}"/>
    <cellStyle name="常规 24 2 2 2 3 3" xfId="4362" xr:uid="{815875D8-4BC2-43DF-B291-3993F5C085C4}"/>
    <cellStyle name="常规 24 2 2 2 3 3 2" xfId="4363" xr:uid="{B19B324A-E29D-459F-8F9C-BA8B587960DD}"/>
    <cellStyle name="常规 24 2 2 2 3 4" xfId="4364" xr:uid="{309D06C3-6C32-400C-8984-85DF385935F9}"/>
    <cellStyle name="常规 24 2 2 2 4" xfId="4365" xr:uid="{67BA1FCC-4FD3-4A46-B96E-B759847BC47E}"/>
    <cellStyle name="常规 24 2 2 2 4 2" xfId="4366" xr:uid="{8DB09038-997E-48D9-ADDD-425342FE0E5F}"/>
    <cellStyle name="常规 24 2 2 2 4 2 2" xfId="4367" xr:uid="{69789DCC-733A-4A3D-8F01-2BADDC325366}"/>
    <cellStyle name="常规 24 2 2 2 4 3" xfId="4368" xr:uid="{127619B6-9E5F-435B-A994-0840CA3440EC}"/>
    <cellStyle name="常规 24 2 2 2 5" xfId="4369" xr:uid="{7289A983-4BF2-44D3-BF58-DCC6CE1A9056}"/>
    <cellStyle name="常规 24 2 2 2 5 2" xfId="4370" xr:uid="{AA97C743-59DB-4475-999D-F068A09282AD}"/>
    <cellStyle name="常规 24 2 2 2 6" xfId="4371" xr:uid="{33CE52B2-960A-46EA-A1DB-203BBD914EB5}"/>
    <cellStyle name="常规 24 2 2 3" xfId="4372" xr:uid="{5B7E59D5-9FF0-4C07-8B66-23C724E73AF6}"/>
    <cellStyle name="常规 24 2 2 3 2" xfId="4373" xr:uid="{0D531DBB-402F-41EE-A3E5-508FA6E5810B}"/>
    <cellStyle name="常规 24 2 2 3 2 2" xfId="4374" xr:uid="{0ADBAD75-263D-4E81-81C7-B2DE8B24A0EC}"/>
    <cellStyle name="常规 24 2 2 3 2 2 2" xfId="4375" xr:uid="{D614A7B0-FA04-4BBB-B952-57A074B138B7}"/>
    <cellStyle name="常规 24 2 2 3 2 2 2 2" xfId="4376" xr:uid="{A7195BBC-B5F2-4D32-B89B-AAE108A80C67}"/>
    <cellStyle name="常规 24 2 2 3 2 2 3" xfId="4377" xr:uid="{B333256F-8D79-4DC8-86D3-6CCBB1313B5D}"/>
    <cellStyle name="常规 24 2 2 3 2 3" xfId="4378" xr:uid="{453261D8-7D9A-4537-8608-4D52DB7366B8}"/>
    <cellStyle name="常规 24 2 2 3 2 3 2" xfId="4379" xr:uid="{240FC63A-CCD6-4CF2-9595-D606CFE31D2D}"/>
    <cellStyle name="常规 24 2 2 3 2 4" xfId="4380" xr:uid="{01E363BA-6067-4AE3-B3FD-670BABF1DD42}"/>
    <cellStyle name="常规 24 2 2 3 3" xfId="4381" xr:uid="{0F7E8459-AE05-417F-BC15-61B3E3DC0D61}"/>
    <cellStyle name="常规 24 2 2 3 3 2" xfId="4382" xr:uid="{0BB08029-3C9B-470C-82CF-D56F4C9DA23B}"/>
    <cellStyle name="常规 24 2 2 3 3 2 2" xfId="4383" xr:uid="{C05CF688-EDAE-4288-B174-FCD996FFD66F}"/>
    <cellStyle name="常规 24 2 2 3 3 3" xfId="4384" xr:uid="{183E7BAC-B56D-439F-912F-E92E40855000}"/>
    <cellStyle name="常规 24 2 2 3 4" xfId="4385" xr:uid="{12EFC2E3-24CC-4B40-96B6-CF0D06AC16EE}"/>
    <cellStyle name="常规 24 2 2 3 4 2" xfId="4386" xr:uid="{D0F2AED3-953D-48B4-9DD1-28F650CEEA2E}"/>
    <cellStyle name="常规 24 2 2 3 5" xfId="4387" xr:uid="{7865B229-B9B0-443B-A8F9-4184E4B1081D}"/>
    <cellStyle name="常规 24 2 2 4" xfId="4388" xr:uid="{9DAEE7EA-354E-453B-9CB7-4C32AF61032C}"/>
    <cellStyle name="常规 24 2 2 4 2" xfId="4389" xr:uid="{3C705928-0B36-463B-85C0-9B3FC78F04B3}"/>
    <cellStyle name="常规 24 2 2 4 2 2" xfId="4390" xr:uid="{1FDD2764-6FC5-40E1-B71E-01C96C6EBA42}"/>
    <cellStyle name="常规 24 2 2 4 2 2 2" xfId="4391" xr:uid="{AA714946-925D-4979-9B48-9A4D4FB800D9}"/>
    <cellStyle name="常规 24 2 2 4 2 3" xfId="4392" xr:uid="{16E56D69-35DA-4ED3-8C0D-FA0045A282B0}"/>
    <cellStyle name="常规 24 2 2 4 3" xfId="4393" xr:uid="{129AF4DF-DDE5-476A-8CF7-0948FA36A410}"/>
    <cellStyle name="常规 24 2 2 4 3 2" xfId="4394" xr:uid="{1E4C6732-DBA9-406A-8998-BDCE9D8E6A9B}"/>
    <cellStyle name="常规 24 2 2 4 4" xfId="4395" xr:uid="{F0580031-33BA-4B8F-A9A3-7E655CBCEBFB}"/>
    <cellStyle name="常规 24 2 2 5" xfId="4396" xr:uid="{26625A7C-B124-44DF-91D7-A1BFFFF98195}"/>
    <cellStyle name="常规 24 2 2 5 2" xfId="4397" xr:uid="{AC579501-62DF-4B34-83DA-046A9307090E}"/>
    <cellStyle name="常规 24 2 2 5 2 2" xfId="4398" xr:uid="{CD81733F-EC02-4371-833E-4897F5F28D29}"/>
    <cellStyle name="常规 24 2 2 5 3" xfId="4399" xr:uid="{99DC6BEE-93D4-4A15-84D6-5B3448C147AE}"/>
    <cellStyle name="常规 24 2 2 6" xfId="4400" xr:uid="{6627A911-B57A-496A-88F8-78202E2F8CD7}"/>
    <cellStyle name="常规 24 2 2 6 2" xfId="4401" xr:uid="{4AF0A1C1-EAF4-45D4-9629-F83E46B6AB5C}"/>
    <cellStyle name="常规 24 2 2 7" xfId="4402" xr:uid="{3BE52788-9E45-4CE5-ADAF-66D7016510A8}"/>
    <cellStyle name="常规 24 2 3" xfId="4403" xr:uid="{D87FDB73-B340-4850-B0DB-C0A3077296B3}"/>
    <cellStyle name="常规 24 2 3 2" xfId="4404" xr:uid="{3E860292-C4E0-46A1-BD4C-9DFA2C9B5431}"/>
    <cellStyle name="常规 24 2 3 2 2" xfId="4405" xr:uid="{9183D96F-74B1-4E23-908C-FB4DB4230295}"/>
    <cellStyle name="常规 24 2 3 2 2 2" xfId="4406" xr:uid="{2C773287-FF0A-4A0E-91CF-A5630C40EC81}"/>
    <cellStyle name="常规 24 2 3 2 2 2 2" xfId="4407" xr:uid="{FCDECAD1-5A4A-4A81-B5F6-BFA8232B9C25}"/>
    <cellStyle name="常规 24 2 3 2 2 2 2 2" xfId="4408" xr:uid="{97B6595F-B6F9-4EEC-8C5F-4E98F549FA14}"/>
    <cellStyle name="常规 24 2 3 2 2 2 3" xfId="4409" xr:uid="{08B4484F-38AA-4458-AECE-2FCE892B575C}"/>
    <cellStyle name="常规 24 2 3 2 2 3" xfId="4410" xr:uid="{455D265F-DBE1-4316-A625-259BB05C01C1}"/>
    <cellStyle name="常规 24 2 3 2 2 3 2" xfId="4411" xr:uid="{8D1413E8-89D3-4C14-84B2-611FCF785324}"/>
    <cellStyle name="常规 24 2 3 2 2 4" xfId="4412" xr:uid="{06B9EBCE-7A8C-4162-B888-2553A02201EE}"/>
    <cellStyle name="常规 24 2 3 2 3" xfId="4413" xr:uid="{FAD126FB-5338-4C9A-A71E-F0CBC214B591}"/>
    <cellStyle name="常规 24 2 3 2 3 2" xfId="4414" xr:uid="{94F9422A-16CE-451B-BC81-00C8AF0AE8C7}"/>
    <cellStyle name="常规 24 2 3 2 3 2 2" xfId="4415" xr:uid="{1A239F82-AFE3-48E4-BB3A-44844DC4741C}"/>
    <cellStyle name="常规 24 2 3 2 3 3" xfId="4416" xr:uid="{FE804D81-8649-434C-BA9B-5A08CF1077C7}"/>
    <cellStyle name="常规 24 2 3 2 4" xfId="4417" xr:uid="{E403601E-D528-46F4-B6CC-EC8CFB2B68AA}"/>
    <cellStyle name="常规 24 2 3 2 4 2" xfId="4418" xr:uid="{4F74CE1A-8A18-4655-A2FE-012BD5A098BB}"/>
    <cellStyle name="常规 24 2 3 2 5" xfId="4419" xr:uid="{D2C5C5C6-071F-4B72-A528-772E039AFB93}"/>
    <cellStyle name="常规 24 2 3 3" xfId="4420" xr:uid="{750721F7-3983-43E7-8DC6-4C911F9709E0}"/>
    <cellStyle name="常规 24 2 3 3 2" xfId="4421" xr:uid="{A440AA35-EC3F-4DE0-84E1-7952D586D90E}"/>
    <cellStyle name="常规 24 2 3 3 2 2" xfId="4422" xr:uid="{E03DFCEC-6D09-4EBC-84E3-D0D9495E4FCF}"/>
    <cellStyle name="常规 24 2 3 3 2 2 2" xfId="4423" xr:uid="{8BF4ED90-C650-4420-9E52-66F9E60E2E52}"/>
    <cellStyle name="常规 24 2 3 3 2 3" xfId="4424" xr:uid="{A778AD2A-D692-4C0D-B847-A53645989C8F}"/>
    <cellStyle name="常规 24 2 3 3 3" xfId="4425" xr:uid="{5177961C-B76D-4A2B-9884-A84AAE1591BC}"/>
    <cellStyle name="常规 24 2 3 3 3 2" xfId="4426" xr:uid="{951350C0-75CC-4C22-AC47-933197690FB0}"/>
    <cellStyle name="常规 24 2 3 3 4" xfId="4427" xr:uid="{13593DE6-CAAA-4F7B-86F4-52FF2E0D45D7}"/>
    <cellStyle name="常规 24 2 3 4" xfId="4428" xr:uid="{DAD114B3-4206-4792-9B8C-0657E13D4F23}"/>
    <cellStyle name="常规 24 2 3 4 2" xfId="4429" xr:uid="{F8CDC35B-2888-4413-B78E-1EE0B040F557}"/>
    <cellStyle name="常规 24 2 3 4 2 2" xfId="4430" xr:uid="{B264FC16-F6A1-4ABC-B16E-56A5866D6567}"/>
    <cellStyle name="常规 24 2 3 4 3" xfId="4431" xr:uid="{B552F7EE-ADC0-454B-B752-0B3261F72DFD}"/>
    <cellStyle name="常规 24 2 3 5" xfId="4432" xr:uid="{C969BE4A-B950-4BCD-BE2A-71DF3081897F}"/>
    <cellStyle name="常规 24 2 3 5 2" xfId="4433" xr:uid="{F0A46BEF-E108-4F56-A151-F3E672954974}"/>
    <cellStyle name="常规 24 2 3 6" xfId="4434" xr:uid="{9606ECF5-1010-491C-90BA-E2C50543079C}"/>
    <cellStyle name="常规 24 2 4" xfId="4435" xr:uid="{239AD7B7-3AA3-4B9E-8E94-490260F2F763}"/>
    <cellStyle name="常规 24 2 4 2" xfId="4436" xr:uid="{416C8F8A-E195-46DD-8E68-D88BF379D891}"/>
    <cellStyle name="常规 24 2 4 2 2" xfId="4437" xr:uid="{06D73885-0EC9-446E-86E1-F9BCBB82F809}"/>
    <cellStyle name="常规 24 2 4 2 2 2" xfId="4438" xr:uid="{318A019E-9E46-43B3-999E-04A4103DEF37}"/>
    <cellStyle name="常规 24 2 4 2 2 2 2" xfId="4439" xr:uid="{D7DAC52F-2457-4764-B8D7-B1F6FABD3E5B}"/>
    <cellStyle name="常规 24 2 4 2 2 3" xfId="4440" xr:uid="{91BB7E41-C2CD-4BDE-8D63-6099B716CBA4}"/>
    <cellStyle name="常规 24 2 4 2 3" xfId="4441" xr:uid="{2CAEF254-E31E-4862-9921-ACC2C0C7BA90}"/>
    <cellStyle name="常规 24 2 4 2 3 2" xfId="4442" xr:uid="{057C6778-6773-41F5-B83E-789734920C01}"/>
    <cellStyle name="常规 24 2 4 2 4" xfId="4443" xr:uid="{7A93DA80-6F3C-4D6C-9A15-E844338788E7}"/>
    <cellStyle name="常规 24 2 4 3" xfId="4444" xr:uid="{08634F4A-4718-41B9-B7CE-B078E9106457}"/>
    <cellStyle name="常规 24 2 4 3 2" xfId="4445" xr:uid="{C13B0A2E-B0AA-478E-9484-CCADFF0D1D45}"/>
    <cellStyle name="常规 24 2 4 3 2 2" xfId="4446" xr:uid="{33837572-4A26-4F71-AE03-ECB878D8DCDF}"/>
    <cellStyle name="常规 24 2 4 3 3" xfId="4447" xr:uid="{289822ED-ADF5-414D-A7BB-9B209CBFD4E0}"/>
    <cellStyle name="常规 24 2 4 4" xfId="4448" xr:uid="{24145606-8592-47F7-BD51-04B0FF3E69F6}"/>
    <cellStyle name="常规 24 2 4 4 2" xfId="4449" xr:uid="{C7457814-9118-444D-B6D3-731E61DB3A19}"/>
    <cellStyle name="常规 24 2 4 5" xfId="4450" xr:uid="{798DB7FE-835D-475E-8E73-77D4BBDC5A2D}"/>
    <cellStyle name="常规 24 2 5" xfId="4451" xr:uid="{98847EDB-4FE6-4529-BB9A-FEAFABEB0073}"/>
    <cellStyle name="常规 24 2 5 2" xfId="4452" xr:uid="{E3ED0B7D-98F7-45CE-ACE8-CFC7F4B5C010}"/>
    <cellStyle name="常规 24 2 5 2 2" xfId="4453" xr:uid="{B0D88012-CCAF-4931-887C-99369732E09F}"/>
    <cellStyle name="常规 24 2 5 2 2 2" xfId="4454" xr:uid="{6B7FD257-1108-430F-B2BC-AE2D34C69483}"/>
    <cellStyle name="常规 24 2 5 2 3" xfId="4455" xr:uid="{6C6E18F5-8501-4B43-A968-DC1A7EAA9890}"/>
    <cellStyle name="常规 24 2 5 3" xfId="4456" xr:uid="{FC104B60-FE2B-4B89-9CE1-C8FF134E6040}"/>
    <cellStyle name="常规 24 2 5 3 2" xfId="4457" xr:uid="{EF8A5A46-6FE5-4485-B335-6FF7F5746168}"/>
    <cellStyle name="常规 24 2 5 4" xfId="4458" xr:uid="{1C7C738E-ED73-4349-AB8A-974CAA558C7B}"/>
    <cellStyle name="常规 24 2 6" xfId="4459" xr:uid="{EE2450B2-7F91-47E8-8BF4-AA84385D5D3F}"/>
    <cellStyle name="常规 24 2 6 2" xfId="4460" xr:uid="{DE7FA945-B3F4-4C49-A2C9-0E9D4F7E2A78}"/>
    <cellStyle name="常规 24 2 6 2 2" xfId="4461" xr:uid="{0A377C11-AF75-45A5-80FE-85A92134EE2D}"/>
    <cellStyle name="常规 24 2 6 3" xfId="4462" xr:uid="{5CD41008-6714-4B5B-93C5-7B280F94E36A}"/>
    <cellStyle name="常规 24 2 7" xfId="4463" xr:uid="{525A8042-D073-4744-97B6-AFACCEE45DC2}"/>
    <cellStyle name="常规 24 2 7 2" xfId="4464" xr:uid="{1BFA5D8B-A2AB-4D0E-AA05-4EF1D45A5567}"/>
    <cellStyle name="常规 24 2 8" xfId="4465" xr:uid="{42B26A2A-78A4-4429-8A8D-AB9C55D92708}"/>
    <cellStyle name="常规 24 3" xfId="4466" xr:uid="{36CA20B8-0837-4049-A919-3512460E0805}"/>
    <cellStyle name="常规 24 3 2" xfId="4467" xr:uid="{19A74C3C-1535-47F1-8B9B-148EB7ACD031}"/>
    <cellStyle name="常规 24 3 2 2" xfId="4468" xr:uid="{B13D3863-E89B-4043-9B00-9055829D50A8}"/>
    <cellStyle name="常规 24 3 2 2 2" xfId="4469" xr:uid="{3EBE6E21-259E-4325-926F-A7F6EF020B79}"/>
    <cellStyle name="常规 24 3 2 2 2 2" xfId="4470" xr:uid="{AE8148BD-CABC-4DB5-9D16-D96058705326}"/>
    <cellStyle name="常规 24 3 2 2 2 2 2" xfId="4471" xr:uid="{58E5F260-1A8B-48FD-A5FB-A2082C4B9E67}"/>
    <cellStyle name="常规 24 3 2 2 2 2 2 2" xfId="4472" xr:uid="{15A48875-7116-4F68-92E3-337FF500BCFE}"/>
    <cellStyle name="常规 24 3 2 2 2 2 3" xfId="4473" xr:uid="{08776CDC-D2D2-47EB-ADD1-ADB9B15973DF}"/>
    <cellStyle name="常规 24 3 2 2 2 3" xfId="4474" xr:uid="{7AADF96A-B330-4B80-AF3D-5DE965BEBE41}"/>
    <cellStyle name="常规 24 3 2 2 2 3 2" xfId="4475" xr:uid="{9C1A517B-A99E-4165-9F89-9D13741FE7CF}"/>
    <cellStyle name="常规 24 3 2 2 2 4" xfId="4476" xr:uid="{C8B0C567-250F-4A8C-8E30-E6FD57F2F6E2}"/>
    <cellStyle name="常规 24 3 2 2 3" xfId="4477" xr:uid="{670B2D3F-1E14-4A95-A427-92AFABFC64A8}"/>
    <cellStyle name="常规 24 3 2 2 3 2" xfId="4478" xr:uid="{FDE40B54-2B64-4FEE-940D-28ADB4021219}"/>
    <cellStyle name="常规 24 3 2 2 3 2 2" xfId="4479" xr:uid="{880625DA-F638-4AC9-A2A2-BA886EBE83CF}"/>
    <cellStyle name="常规 24 3 2 2 3 3" xfId="4480" xr:uid="{BF12D376-6FFA-403B-9E9C-A3AE61DCE2F4}"/>
    <cellStyle name="常规 24 3 2 2 4" xfId="4481" xr:uid="{6B2048BA-ED8F-4908-8D3C-BF8E37036409}"/>
    <cellStyle name="常规 24 3 2 2 4 2" xfId="4482" xr:uid="{5A734E84-0F70-45DF-9A99-7F641CFE16C5}"/>
    <cellStyle name="常规 24 3 2 2 5" xfId="4483" xr:uid="{06262BB6-6494-44CB-8057-48BE18711F66}"/>
    <cellStyle name="常规 24 3 2 3" xfId="4484" xr:uid="{9787B85F-1E1E-462C-9632-65A2752E6073}"/>
    <cellStyle name="常规 24 3 2 3 2" xfId="4485" xr:uid="{55FAE3B2-14F3-4822-BEC5-C36094FA6289}"/>
    <cellStyle name="常规 24 3 2 3 2 2" xfId="4486" xr:uid="{D1039755-6367-4057-BE3D-01797D4BC731}"/>
    <cellStyle name="常规 24 3 2 3 2 2 2" xfId="4487" xr:uid="{E5215A2F-DC9E-4834-AC6E-7C466BABC54D}"/>
    <cellStyle name="常规 24 3 2 3 2 3" xfId="4488" xr:uid="{25C12645-9861-41D6-ABE9-8BB253312CEE}"/>
    <cellStyle name="常规 24 3 2 3 3" xfId="4489" xr:uid="{0D9F9399-8213-45D1-90DE-6BE9A1422837}"/>
    <cellStyle name="常规 24 3 2 3 3 2" xfId="4490" xr:uid="{B389114A-3ACE-42DA-8401-89CF66188DA2}"/>
    <cellStyle name="常规 24 3 2 3 4" xfId="4491" xr:uid="{D320391A-3CF9-4055-A940-724408EDA7DB}"/>
    <cellStyle name="常规 24 3 2 4" xfId="4492" xr:uid="{562F1134-332D-4ED9-A1A1-9B6221E2DC40}"/>
    <cellStyle name="常规 24 3 2 4 2" xfId="4493" xr:uid="{02EA881A-808D-4361-906A-C359F715FFD4}"/>
    <cellStyle name="常规 24 3 2 4 2 2" xfId="4494" xr:uid="{108E514F-85E4-471D-8300-99678A3E8984}"/>
    <cellStyle name="常规 24 3 2 4 3" xfId="4495" xr:uid="{1CF5A23E-4417-4F7D-AD6A-554914C8EFB2}"/>
    <cellStyle name="常规 24 3 2 5" xfId="4496" xr:uid="{957E9D78-9FBB-44D1-A5D3-F37746AF405C}"/>
    <cellStyle name="常规 24 3 2 5 2" xfId="4497" xr:uid="{218C8EA1-DAE9-4CE2-9441-2A4B095291F1}"/>
    <cellStyle name="常规 24 3 2 6" xfId="4498" xr:uid="{5B162DBE-0194-4776-94DF-B4942404CB25}"/>
    <cellStyle name="常规 24 3 3" xfId="4499" xr:uid="{D2848939-C257-4E22-A06C-A94288C0A502}"/>
    <cellStyle name="常规 24 3 3 2" xfId="4500" xr:uid="{756A0E92-18E1-482A-A622-C544EDE3C909}"/>
    <cellStyle name="常规 24 3 3 2 2" xfId="4501" xr:uid="{7C824015-7DB5-469D-90B6-C501F9B990D3}"/>
    <cellStyle name="常规 24 3 3 2 2 2" xfId="4502" xr:uid="{B8809C5F-525F-4966-83D9-21E6C2EA4D37}"/>
    <cellStyle name="常规 24 3 3 2 2 2 2" xfId="4503" xr:uid="{B0693808-5510-4EB1-B607-5DAE1CF07CBC}"/>
    <cellStyle name="常规 24 3 3 2 2 3" xfId="4504" xr:uid="{751ADE05-621F-479D-8FDF-D66F241AD2DA}"/>
    <cellStyle name="常规 24 3 3 2 3" xfId="4505" xr:uid="{B90D3230-8C60-494D-8425-8FA8D3E2A88C}"/>
    <cellStyle name="常规 24 3 3 2 3 2" xfId="4506" xr:uid="{C1E136C6-B41F-4697-AE14-730B8E1D0AE8}"/>
    <cellStyle name="常规 24 3 3 2 4" xfId="4507" xr:uid="{64326DAD-5A5B-4782-AABC-B2F5AD127FF8}"/>
    <cellStyle name="常规 24 3 3 3" xfId="4508" xr:uid="{72FDD6B0-D7A4-4325-9E49-0FFDCBBBAFFC}"/>
    <cellStyle name="常规 24 3 3 3 2" xfId="4509" xr:uid="{635FC607-59E1-4E4F-9EBE-C2C33AAB921B}"/>
    <cellStyle name="常规 24 3 3 3 2 2" xfId="4510" xr:uid="{8E38A14C-CBF5-4D0C-861C-E4543041F265}"/>
    <cellStyle name="常规 24 3 3 3 3" xfId="4511" xr:uid="{8502C9A7-917A-4ABA-A865-BC9D39AA0092}"/>
    <cellStyle name="常规 24 3 3 4" xfId="4512" xr:uid="{F959DD5D-8FDB-48FD-B289-F99C35599646}"/>
    <cellStyle name="常规 24 3 3 4 2" xfId="4513" xr:uid="{9CBC8D64-F64F-4644-AC4F-B9320B46D7CC}"/>
    <cellStyle name="常规 24 3 3 5" xfId="4514" xr:uid="{E3649607-A7E6-432B-A8E6-ABB0EEC93B7B}"/>
    <cellStyle name="常规 24 3 4" xfId="4515" xr:uid="{F28DF80A-8CEF-48D5-B673-078831DE365D}"/>
    <cellStyle name="常规 24 3 4 2" xfId="4516" xr:uid="{175208E3-FEC0-4D61-B4DF-BA8E2FFA7C16}"/>
    <cellStyle name="常规 24 3 4 2 2" xfId="4517" xr:uid="{0B4B953D-71EC-44C2-B90E-8640746D935E}"/>
    <cellStyle name="常规 24 3 4 2 2 2" xfId="4518" xr:uid="{612A2A5F-E77C-4419-9216-CED20BF88535}"/>
    <cellStyle name="常规 24 3 4 2 3" xfId="4519" xr:uid="{4A995E96-C9D9-4215-BCA9-0D0E92FC2A71}"/>
    <cellStyle name="常规 24 3 4 3" xfId="4520" xr:uid="{70E197B9-F989-4FD8-8A0C-40F57C4BBA27}"/>
    <cellStyle name="常规 24 3 4 3 2" xfId="4521" xr:uid="{E499CDF1-A69C-4C14-A091-CC7D609DAEBB}"/>
    <cellStyle name="常规 24 3 4 4" xfId="4522" xr:uid="{210749BA-073D-499F-8677-625BCF3AF60C}"/>
    <cellStyle name="常规 24 3 5" xfId="4523" xr:uid="{0E6A2D9F-EE6C-4B23-AFBD-EB37035A5E82}"/>
    <cellStyle name="常规 24 3 5 2" xfId="4524" xr:uid="{B318CED5-5CE5-4877-9730-DA01E85F2D08}"/>
    <cellStyle name="常规 24 3 5 2 2" xfId="4525" xr:uid="{98582E99-6B57-48D6-AA25-14B1BBE5459C}"/>
    <cellStyle name="常规 24 3 5 3" xfId="4526" xr:uid="{24E7953B-B129-4CE0-BF96-74CA2A5B4865}"/>
    <cellStyle name="常规 24 3 6" xfId="4527" xr:uid="{FBF1A0C8-B4F0-4569-9CD9-005FB4FA00A6}"/>
    <cellStyle name="常规 24 3 6 2" xfId="4528" xr:uid="{E8E667D3-15D7-4B14-8FD0-5A5E089E8DB2}"/>
    <cellStyle name="常规 24 3 7" xfId="4529" xr:uid="{8DF15961-8518-4483-852C-FA197F85803C}"/>
    <cellStyle name="常规 24 4" xfId="4530" xr:uid="{A2DB92B2-9C76-412C-B8C3-C5A3E56E5B95}"/>
    <cellStyle name="常规 24 4 2" xfId="4531" xr:uid="{E1261B58-4B99-4527-AC10-8D07BB752693}"/>
    <cellStyle name="常规 24 4 2 2" xfId="4532" xr:uid="{580AC9F1-BACB-4417-89C9-1FCDE2BEB866}"/>
    <cellStyle name="常规 24 4 2 2 2" xfId="4533" xr:uid="{9CE99CB8-09E7-47CA-953E-21A6EB50907E}"/>
    <cellStyle name="常规 24 4 2 2 2 2" xfId="4534" xr:uid="{131A6CB4-D32E-4791-9E36-DE8C44FD4CC4}"/>
    <cellStyle name="常规 24 4 2 2 2 2 2" xfId="4535" xr:uid="{A7DC13F4-ED6B-45D2-ADDD-7D1DD87E4422}"/>
    <cellStyle name="常规 24 4 2 2 2 3" xfId="4536" xr:uid="{4E7DD83A-ED0B-4ED7-BBEF-F02BE722E5FE}"/>
    <cellStyle name="常规 24 4 2 2 3" xfId="4537" xr:uid="{DA75766A-71B9-440E-ADF1-A6BD0B658535}"/>
    <cellStyle name="常规 24 4 2 2 3 2" xfId="4538" xr:uid="{67A1F45F-13AC-4FC5-8928-D5DEA1A953E0}"/>
    <cellStyle name="常规 24 4 2 2 4" xfId="4539" xr:uid="{647EFADB-0D16-43B6-BE5F-0B2044258D8C}"/>
    <cellStyle name="常规 24 4 2 3" xfId="4540" xr:uid="{75EFFEAA-36E3-4B9B-A0A6-948390B8D788}"/>
    <cellStyle name="常规 24 4 2 3 2" xfId="4541" xr:uid="{3F98B844-AC84-4940-94AD-D4D9450F168E}"/>
    <cellStyle name="常规 24 4 2 3 2 2" xfId="4542" xr:uid="{0D13779C-9357-483E-A842-09C394A7B01C}"/>
    <cellStyle name="常规 24 4 2 3 3" xfId="4543" xr:uid="{3720E7B1-5A18-4910-A00E-07E95AD12DC1}"/>
    <cellStyle name="常规 24 4 2 4" xfId="4544" xr:uid="{E10D1550-5C8D-45F4-BB75-0AC89087E2C3}"/>
    <cellStyle name="常规 24 4 2 4 2" xfId="4545" xr:uid="{04EE5120-D5A3-4D1D-817C-3073E0F93047}"/>
    <cellStyle name="常规 24 4 2 5" xfId="4546" xr:uid="{99FE964B-F6B7-4062-9DB6-D126D288853E}"/>
    <cellStyle name="常规 24 4 3" xfId="4547" xr:uid="{4C73CF8A-7B19-48F6-87F0-2CB4FC6BFBC5}"/>
    <cellStyle name="常规 24 4 3 2" xfId="4548" xr:uid="{F10EAA41-9305-4C97-A07F-A90D1363578A}"/>
    <cellStyle name="常规 24 4 3 2 2" xfId="4549" xr:uid="{45872CB3-C6BE-4E72-B792-20DC18DED087}"/>
    <cellStyle name="常规 24 4 3 2 2 2" xfId="4550" xr:uid="{757D9AE3-BECF-4C9F-9C95-1F4334DEF8D1}"/>
    <cellStyle name="常规 24 4 3 2 3" xfId="4551" xr:uid="{EDA06668-C2AC-4D5A-82DC-3EB5C48A6FFD}"/>
    <cellStyle name="常规 24 4 3 3" xfId="4552" xr:uid="{C04E3C40-AA12-4C89-976F-8DE23A395D5E}"/>
    <cellStyle name="常规 24 4 3 3 2" xfId="4553" xr:uid="{9C944D19-49CA-4510-96F3-2AFAE4EA2256}"/>
    <cellStyle name="常规 24 4 3 4" xfId="4554" xr:uid="{E601EAEA-E2C3-4098-9953-28F68DF63583}"/>
    <cellStyle name="常规 24 4 4" xfId="4555" xr:uid="{0F63021C-7DAA-42FD-ABA4-6B945CE20457}"/>
    <cellStyle name="常规 24 4 4 2" xfId="4556" xr:uid="{6AA101FA-DB64-49A7-BA4E-5B73C6489272}"/>
    <cellStyle name="常规 24 4 4 2 2" xfId="4557" xr:uid="{AF8BDB03-F457-46B3-B46A-FA18BCF8CDD4}"/>
    <cellStyle name="常规 24 4 4 3" xfId="4558" xr:uid="{04E31188-F295-47AE-86FD-F7F189F9A1F2}"/>
    <cellStyle name="常规 24 4 5" xfId="4559" xr:uid="{D35DAC3E-C321-4FB3-A8C8-7B2E864E8E46}"/>
    <cellStyle name="常规 24 4 5 2" xfId="4560" xr:uid="{7B13659A-B8C3-4951-B2C7-C965C22A1094}"/>
    <cellStyle name="常规 24 4 6" xfId="4561" xr:uid="{67716404-1F7F-4D25-A107-FC76EAFA35F5}"/>
    <cellStyle name="常规 24 5" xfId="4562" xr:uid="{34E5EDEA-61F1-4F5B-A34D-7442260C9E6E}"/>
    <cellStyle name="常规 24 5 2" xfId="4563" xr:uid="{1ABF980A-0C32-4EEC-832D-1B63A0CDE915}"/>
    <cellStyle name="常规 24 5 2 2" xfId="4564" xr:uid="{1940C9FF-5D4A-4F2B-98F0-53B1C6AE9976}"/>
    <cellStyle name="常规 24 5 2 2 2" xfId="4565" xr:uid="{6AD0566C-78AB-40D1-A2E9-F0391454662C}"/>
    <cellStyle name="常规 24 5 2 2 2 2" xfId="4566" xr:uid="{7F1AFD53-A54F-46EC-A906-09D6BCE2F0C1}"/>
    <cellStyle name="常规 24 5 2 2 3" xfId="4567" xr:uid="{25E85BD9-4488-4F4E-95F6-7EC87B0B39CE}"/>
    <cellStyle name="常规 24 5 2 3" xfId="4568" xr:uid="{F62A53A9-6703-43A0-BD4D-823F92056910}"/>
    <cellStyle name="常规 24 5 2 3 2" xfId="4569" xr:uid="{9A2E5750-0D5C-4B3E-A9DF-5DC319E71F8B}"/>
    <cellStyle name="常规 24 5 2 4" xfId="4570" xr:uid="{8416F15E-3765-461F-BB17-0B45ED81671D}"/>
    <cellStyle name="常规 24 5 3" xfId="4571" xr:uid="{EADAF8BB-924C-4567-88ED-0161E0398EB2}"/>
    <cellStyle name="常规 24 5 3 2" xfId="4572" xr:uid="{F87B9EB4-F254-407C-B1AE-77D2B66E017F}"/>
    <cellStyle name="常规 24 5 3 2 2" xfId="4573" xr:uid="{84ACC1D1-C197-413D-8EE1-89540C0AB3D9}"/>
    <cellStyle name="常规 24 5 3 3" xfId="4574" xr:uid="{59026303-446F-48F0-B658-0712C0BC50AF}"/>
    <cellStyle name="常规 24 5 4" xfId="4575" xr:uid="{EE497007-9C67-41A1-9846-9D1AB9E6495B}"/>
    <cellStyle name="常规 24 5 4 2" xfId="4576" xr:uid="{46F1F9BD-619E-4F12-BF27-1CAC67ABE93A}"/>
    <cellStyle name="常规 24 5 5" xfId="4577" xr:uid="{2D4B5868-2EBC-4422-AC3C-034FEDA00988}"/>
    <cellStyle name="常规 24 6" xfId="4578" xr:uid="{CC2BCCD8-70E5-47B6-A529-F53E1A03B98F}"/>
    <cellStyle name="常规 24 6 2" xfId="4579" xr:uid="{2FF0A787-14BB-4619-B3D1-59A77E6D1D14}"/>
    <cellStyle name="常规 24 6 2 2" xfId="4580" xr:uid="{AFDD85E9-D181-452B-8433-FCEBC876CA82}"/>
    <cellStyle name="常规 24 6 2 2 2" xfId="4581" xr:uid="{53C6D4BA-3EBF-4FED-9D49-1910CC715A4C}"/>
    <cellStyle name="常规 24 6 2 3" xfId="4582" xr:uid="{F3308AC1-A2F3-40D1-A246-C95703323921}"/>
    <cellStyle name="常规 24 6 3" xfId="4583" xr:uid="{61C1B5BE-2482-4DE9-B9D6-CCB952AB06FD}"/>
    <cellStyle name="常规 24 6 3 2" xfId="4584" xr:uid="{FEDC03B9-D529-4C2C-BEF1-9783878845BA}"/>
    <cellStyle name="常规 24 6 4" xfId="4585" xr:uid="{5BA7FB94-3F03-48B6-A4B6-73898733AA52}"/>
    <cellStyle name="常规 24 7" xfId="4586" xr:uid="{87B1E2E4-D8DA-404B-86DD-D33032D03E1D}"/>
    <cellStyle name="常规 24 7 2" xfId="4587" xr:uid="{78EA1894-3B1B-4E21-AD6F-8B6424329417}"/>
    <cellStyle name="常规 24 7 2 2" xfId="4588" xr:uid="{40CF0E3A-72AE-45FF-B610-294382E813F5}"/>
    <cellStyle name="常规 24 7 3" xfId="4589" xr:uid="{B04CFF73-361C-466C-8891-58E9040B1438}"/>
    <cellStyle name="常规 24 8" xfId="4590" xr:uid="{BFD0CE07-E441-41D3-A32C-3B42E4814E1F}"/>
    <cellStyle name="常规 24 8 2" xfId="4591" xr:uid="{7DDBE4D5-C857-4DCA-B839-02B6BE1B2535}"/>
    <cellStyle name="常规 24 9" xfId="4592" xr:uid="{A1B50517-03DA-4885-A411-527758688F55}"/>
    <cellStyle name="常规 25" xfId="4593" xr:uid="{CCABDC8F-08A3-446D-8332-33B841D9577D}"/>
    <cellStyle name="常规 25 2" xfId="4594" xr:uid="{DCDE7E01-C85A-4074-A75E-9F80F1A496EA}"/>
    <cellStyle name="常规 25 2 2" xfId="4595" xr:uid="{0A2C0668-F174-43ED-98D2-DFB5CD85BF16}"/>
    <cellStyle name="常规 25 2 2 2" xfId="4596" xr:uid="{676DD0BB-A8D9-44E4-8AB6-615FE16AD453}"/>
    <cellStyle name="常规 25 2 2 2 2" xfId="4597" xr:uid="{5C7D6C12-B76D-46C2-8701-B976AD11841E}"/>
    <cellStyle name="常规 25 2 2 2 2 2" xfId="4598" xr:uid="{6B74F5EF-AC4C-4497-AC10-8EF3AD5D7B15}"/>
    <cellStyle name="常规 25 2 2 2 2 2 2" xfId="4599" xr:uid="{2488F3B9-3094-4ED8-8553-587F0CAA407B}"/>
    <cellStyle name="常规 25 2 2 2 2 2 2 2" xfId="4600" xr:uid="{9D64F50D-5732-4C31-8485-9EBA0C39C30F}"/>
    <cellStyle name="常规 25 2 2 2 2 2 2 2 2" xfId="4601" xr:uid="{A5419115-209A-4A34-A240-FC2918E58B8A}"/>
    <cellStyle name="常规 25 2 2 2 2 2 2 3" xfId="4602" xr:uid="{2E659374-9E4D-4C6A-8E48-5C43FF04DFE0}"/>
    <cellStyle name="常规 25 2 2 2 2 2 3" xfId="4603" xr:uid="{10489003-12AA-42DC-ABED-3EDC137A0B41}"/>
    <cellStyle name="常规 25 2 2 2 2 2 3 2" xfId="4604" xr:uid="{7EB244D7-FC65-4EEA-A207-92B54756A98D}"/>
    <cellStyle name="常规 25 2 2 2 2 2 4" xfId="4605" xr:uid="{539018C3-3869-4077-B77F-7049767B1783}"/>
    <cellStyle name="常规 25 2 2 2 2 3" xfId="4606" xr:uid="{C4A229D1-14C8-476F-A0E0-839FBD47D5A3}"/>
    <cellStyle name="常规 25 2 2 2 2 3 2" xfId="4607" xr:uid="{833151DD-1596-49E2-8FB9-819318B9F3A9}"/>
    <cellStyle name="常规 25 2 2 2 2 3 2 2" xfId="4608" xr:uid="{F9EA5CFB-63E6-4B8F-8A32-E3C3A66FD951}"/>
    <cellStyle name="常规 25 2 2 2 2 3 3" xfId="4609" xr:uid="{D7738527-9B03-4F3E-8A77-8055F28680E4}"/>
    <cellStyle name="常规 25 2 2 2 2 4" xfId="4610" xr:uid="{748E0456-7202-44D7-9F50-406B6BA782BB}"/>
    <cellStyle name="常规 25 2 2 2 2 4 2" xfId="4611" xr:uid="{6614A880-4448-4BA2-A208-EAFE4C07CDDB}"/>
    <cellStyle name="常规 25 2 2 2 2 5" xfId="4612" xr:uid="{781B92A2-4FE5-45BF-8338-31515E68F3CF}"/>
    <cellStyle name="常规 25 2 2 2 3" xfId="4613" xr:uid="{F341478B-2124-403F-8DB8-1F8E8F288244}"/>
    <cellStyle name="常规 25 2 2 2 3 2" xfId="4614" xr:uid="{5E99B3DE-242A-4088-958D-7262E114B64B}"/>
    <cellStyle name="常规 25 2 2 2 3 2 2" xfId="4615" xr:uid="{40BDB149-A9E2-470B-A2BD-DA81FF56CC84}"/>
    <cellStyle name="常规 25 2 2 2 3 2 2 2" xfId="4616" xr:uid="{2E7E57E4-4D1D-48F1-90DE-14D129AFA7C0}"/>
    <cellStyle name="常规 25 2 2 2 3 2 3" xfId="4617" xr:uid="{4827D1B0-8830-4723-B3F4-933B99E1F83B}"/>
    <cellStyle name="常规 25 2 2 2 3 3" xfId="4618" xr:uid="{30A17644-8F96-4CF0-8438-C8A93023E26F}"/>
    <cellStyle name="常规 25 2 2 2 3 3 2" xfId="4619" xr:uid="{BC4553A2-6C94-4BF2-B734-1004C011F340}"/>
    <cellStyle name="常规 25 2 2 2 3 4" xfId="4620" xr:uid="{3CCB1A53-60FF-449D-831E-1AF2E37312E1}"/>
    <cellStyle name="常规 25 2 2 2 4" xfId="4621" xr:uid="{90FC996D-9238-47D4-ACEA-39BE838F25C0}"/>
    <cellStyle name="常规 25 2 2 2 4 2" xfId="4622" xr:uid="{6308DE7A-883C-404D-A2DE-D155D2F3693C}"/>
    <cellStyle name="常规 25 2 2 2 4 2 2" xfId="4623" xr:uid="{C8E3306F-673B-45B2-A6E1-0E18FA3599FB}"/>
    <cellStyle name="常规 25 2 2 2 4 3" xfId="4624" xr:uid="{6CCC0528-C320-4915-A543-0D6C746B1962}"/>
    <cellStyle name="常规 25 2 2 2 5" xfId="4625" xr:uid="{64ED9936-ACB8-4AE8-8661-EF052E57487C}"/>
    <cellStyle name="常规 25 2 2 2 5 2" xfId="4626" xr:uid="{376A8FE5-90B7-4D22-AF81-C9AC86EF21B9}"/>
    <cellStyle name="常规 25 2 2 2 6" xfId="4627" xr:uid="{13E9EDAC-BFFF-452A-8C73-256EC948737C}"/>
    <cellStyle name="常规 25 2 2 3" xfId="4628" xr:uid="{6A57EA0A-6FF2-4766-947B-9EA48A51192E}"/>
    <cellStyle name="常规 25 2 2 3 2" xfId="4629" xr:uid="{DAC50838-CC1F-4104-9540-DE3CBB2C20D3}"/>
    <cellStyle name="常规 25 2 2 3 2 2" xfId="4630" xr:uid="{FC65F672-5D4F-4250-8329-D5C83794090E}"/>
    <cellStyle name="常规 25 2 2 3 2 2 2" xfId="4631" xr:uid="{2ECB2E7D-2FD5-49D0-A801-3E00F9528E9C}"/>
    <cellStyle name="常规 25 2 2 3 2 2 2 2" xfId="4632" xr:uid="{1A020B45-210C-4527-BBF7-60A28AF28123}"/>
    <cellStyle name="常规 25 2 2 3 2 2 3" xfId="4633" xr:uid="{6E3B6CDE-3B4C-4CD7-96AA-DC265992FAF4}"/>
    <cellStyle name="常规 25 2 2 3 2 3" xfId="4634" xr:uid="{7F21D2D4-6E4A-4413-85F9-4FF338D8D2BC}"/>
    <cellStyle name="常规 25 2 2 3 2 3 2" xfId="4635" xr:uid="{2974B9AC-0F39-4F1C-860D-79B2D8C4CCEB}"/>
    <cellStyle name="常规 25 2 2 3 2 4" xfId="4636" xr:uid="{90795E6A-F054-4FC9-BE9E-F9246BE2761A}"/>
    <cellStyle name="常规 25 2 2 3 3" xfId="4637" xr:uid="{0F502806-263E-4960-AE85-44907C6FDDE1}"/>
    <cellStyle name="常规 25 2 2 3 3 2" xfId="4638" xr:uid="{98D866A9-7CCA-40A4-99E2-8726E6692C60}"/>
    <cellStyle name="常规 25 2 2 3 3 2 2" xfId="4639" xr:uid="{AA6F28E1-209D-419B-AC8D-F472FAABE4CB}"/>
    <cellStyle name="常规 25 2 2 3 3 3" xfId="4640" xr:uid="{E25EF3B6-11CB-4EBC-9851-A51FA3573485}"/>
    <cellStyle name="常规 25 2 2 3 4" xfId="4641" xr:uid="{6C1900F2-B3A3-4BE0-BA73-0349D15BC753}"/>
    <cellStyle name="常规 25 2 2 3 4 2" xfId="4642" xr:uid="{20BC4115-C7CE-418F-9AEE-EC1450A63A49}"/>
    <cellStyle name="常规 25 2 2 3 5" xfId="4643" xr:uid="{52A007E8-B650-435E-8027-0235B45C4A71}"/>
    <cellStyle name="常规 25 2 2 4" xfId="4644" xr:uid="{86B57F99-2392-4CB9-A501-251E83C31B97}"/>
    <cellStyle name="常规 25 2 2 4 2" xfId="4645" xr:uid="{67C53046-679B-486C-AD21-27730FF191A4}"/>
    <cellStyle name="常规 25 2 2 4 2 2" xfId="4646" xr:uid="{AED3EF53-07BF-474A-A37D-1963B1B6C7F9}"/>
    <cellStyle name="常规 25 2 2 4 2 2 2" xfId="4647" xr:uid="{20E35F65-B097-43F6-A8FC-235EA85BA148}"/>
    <cellStyle name="常规 25 2 2 4 2 3" xfId="4648" xr:uid="{B5FF19B8-C7A8-4EA1-BF19-2C78EBB7CF07}"/>
    <cellStyle name="常规 25 2 2 4 3" xfId="4649" xr:uid="{69D8863E-15CD-4348-AED4-B506FAB7C8D3}"/>
    <cellStyle name="常规 25 2 2 4 3 2" xfId="4650" xr:uid="{0E84BCA4-AF44-47B0-95AB-E97050D6C650}"/>
    <cellStyle name="常规 25 2 2 4 4" xfId="4651" xr:uid="{9E764C13-0ACA-4BE6-97B2-D891BF567BE9}"/>
    <cellStyle name="常规 25 2 2 5" xfId="4652" xr:uid="{D34E3235-8720-4767-AE94-DE7DEF0DD62A}"/>
    <cellStyle name="常规 25 2 2 5 2" xfId="4653" xr:uid="{33C2FFD1-AA63-40B7-91F8-9A895E0BD575}"/>
    <cellStyle name="常规 25 2 2 5 2 2" xfId="4654" xr:uid="{CA4F17D8-39E4-4AF4-AA66-109C37F11DFC}"/>
    <cellStyle name="常规 25 2 2 5 3" xfId="4655" xr:uid="{F0514254-3988-411B-B060-DD2A329173BE}"/>
    <cellStyle name="常规 25 2 2 6" xfId="4656" xr:uid="{8AD1D215-27BC-4055-892D-68332B7077F3}"/>
    <cellStyle name="常规 25 2 2 6 2" xfId="4657" xr:uid="{75052E76-5DF5-4D45-AA19-AF0E5D426278}"/>
    <cellStyle name="常规 25 2 2 7" xfId="4658" xr:uid="{8B3920D4-988E-4275-BFAB-DC7896B841A3}"/>
    <cellStyle name="常规 25 2 3" xfId="4659" xr:uid="{E8C31D36-36BA-468C-B64E-8A39D61D1A9F}"/>
    <cellStyle name="常规 25 2 3 2" xfId="4660" xr:uid="{B04C73DE-4A23-4DB2-959E-0FD055FE0456}"/>
    <cellStyle name="常规 25 2 3 2 2" xfId="4661" xr:uid="{288C650D-8AE9-4C2B-84A0-12B6AB0889DD}"/>
    <cellStyle name="常规 25 2 3 2 2 2" xfId="4662" xr:uid="{EA5A569A-C447-4C47-A27C-FE0DDFC6A46D}"/>
    <cellStyle name="常规 25 2 3 2 2 2 2" xfId="4663" xr:uid="{D7BD929F-715E-4AE9-B225-170A8DDEEB4D}"/>
    <cellStyle name="常规 25 2 3 2 2 2 2 2" xfId="4664" xr:uid="{CAF767F9-5EA7-4A72-B7B2-32B84E98B475}"/>
    <cellStyle name="常规 25 2 3 2 2 2 3" xfId="4665" xr:uid="{811A27AF-D880-4FD4-AE59-D92CBB30B2FB}"/>
    <cellStyle name="常规 25 2 3 2 2 3" xfId="4666" xr:uid="{5AA35BA6-7F93-4BC0-AE04-D150A14E7828}"/>
    <cellStyle name="常规 25 2 3 2 2 3 2" xfId="4667" xr:uid="{DAF74CBD-09AF-437A-B596-5DBB8C67C5F2}"/>
    <cellStyle name="常规 25 2 3 2 2 4" xfId="4668" xr:uid="{6AF58C3A-DA95-44A8-ADB6-1A70CD84DA08}"/>
    <cellStyle name="常规 25 2 3 2 3" xfId="4669" xr:uid="{CB85B2C0-AF20-45F6-83BD-42671D69D88C}"/>
    <cellStyle name="常规 25 2 3 2 3 2" xfId="4670" xr:uid="{BAA480DB-4BE3-4F2A-B4B5-1426A343184C}"/>
    <cellStyle name="常规 25 2 3 2 3 2 2" xfId="4671" xr:uid="{80F659BA-A5BE-4A21-8125-019CBDFC8C38}"/>
    <cellStyle name="常规 25 2 3 2 3 3" xfId="4672" xr:uid="{5F2FC9B9-89ED-475B-B28D-CE55B19FD1FC}"/>
    <cellStyle name="常规 25 2 3 2 4" xfId="4673" xr:uid="{F72525B1-AD81-4350-94E0-210B06DC6503}"/>
    <cellStyle name="常规 25 2 3 2 4 2" xfId="4674" xr:uid="{57651523-1FDB-4EDC-B538-8FE2F8C886BB}"/>
    <cellStyle name="常规 25 2 3 2 5" xfId="4675" xr:uid="{212E14F6-04E1-4DF8-B27B-780A43A55A9B}"/>
    <cellStyle name="常规 25 2 3 3" xfId="4676" xr:uid="{AA34F5A8-0F57-472D-B581-6088A86C4165}"/>
    <cellStyle name="常规 25 2 3 3 2" xfId="4677" xr:uid="{F527B357-323C-45CC-B6A6-EDDD8ED6954D}"/>
    <cellStyle name="常规 25 2 3 3 2 2" xfId="4678" xr:uid="{1989F21A-ABC7-4550-9CE5-6AC27C380D2C}"/>
    <cellStyle name="常规 25 2 3 3 2 2 2" xfId="4679" xr:uid="{4747DE2A-F134-46E7-89F3-13D318A13511}"/>
    <cellStyle name="常规 25 2 3 3 2 3" xfId="4680" xr:uid="{BB9FD750-3ED7-4783-BDA7-DA85F598773C}"/>
    <cellStyle name="常规 25 2 3 3 3" xfId="4681" xr:uid="{4AB3B2B6-E3AD-4509-9903-BE1ADD238293}"/>
    <cellStyle name="常规 25 2 3 3 3 2" xfId="4682" xr:uid="{6843B75A-101E-49CD-98D3-A4A66AA86B82}"/>
    <cellStyle name="常规 25 2 3 3 4" xfId="4683" xr:uid="{66EEC860-F3B2-493B-875B-1E6F7EF3645D}"/>
    <cellStyle name="常规 25 2 3 4" xfId="4684" xr:uid="{A5FF4A58-C309-4427-A73D-8A9CF757C8F6}"/>
    <cellStyle name="常规 25 2 3 4 2" xfId="4685" xr:uid="{B8B0734F-BF18-4AA0-BB0B-89DE2B3CCA03}"/>
    <cellStyle name="常规 25 2 3 4 2 2" xfId="4686" xr:uid="{13721B65-C8D4-4361-903E-C2B135C16C1F}"/>
    <cellStyle name="常规 25 2 3 4 3" xfId="4687" xr:uid="{D71A4194-E31E-4E4E-BE1A-54E917713A42}"/>
    <cellStyle name="常规 25 2 3 5" xfId="4688" xr:uid="{467E0BA1-CCC9-4CB5-81B3-BBA68D61E996}"/>
    <cellStyle name="常规 25 2 3 5 2" xfId="4689" xr:uid="{758708FD-F039-4366-80F5-31C234F2895D}"/>
    <cellStyle name="常规 25 2 3 6" xfId="4690" xr:uid="{8CDCCC66-D555-4315-AC11-3AFC5F6872A4}"/>
    <cellStyle name="常规 25 2 4" xfId="4691" xr:uid="{E6D1B58F-6658-449A-BEC4-3E4B44780694}"/>
    <cellStyle name="常规 25 2 4 2" xfId="4692" xr:uid="{D2AD5A7E-FD0F-4EAA-8CF5-3E6B810DC78A}"/>
    <cellStyle name="常规 25 2 4 2 2" xfId="4693" xr:uid="{8C27CBE2-5843-4E1B-94A2-3E6A234B6989}"/>
    <cellStyle name="常规 25 2 4 2 2 2" xfId="4694" xr:uid="{C0381A9B-46E7-44C6-82CE-750FE2EBAFA6}"/>
    <cellStyle name="常规 25 2 4 2 2 2 2" xfId="4695" xr:uid="{E017CDBC-07DD-4DFB-ABB6-6D095B3D6146}"/>
    <cellStyle name="常规 25 2 4 2 2 3" xfId="4696" xr:uid="{0A85B00D-9982-4DE8-B95B-137449A86DF9}"/>
    <cellStyle name="常规 25 2 4 2 3" xfId="4697" xr:uid="{FC0E6694-2A56-4C3E-9030-0073F126C95C}"/>
    <cellStyle name="常规 25 2 4 2 3 2" xfId="4698" xr:uid="{EE723C70-9C96-45A5-989B-A0AAA8B5D10A}"/>
    <cellStyle name="常规 25 2 4 2 4" xfId="4699" xr:uid="{57DA63CD-B82A-4447-91F7-BF4BADA12CA2}"/>
    <cellStyle name="常规 25 2 4 3" xfId="4700" xr:uid="{0E3BBF9C-DF3F-4D04-8962-A7FBBF69BA4F}"/>
    <cellStyle name="常规 25 2 4 3 2" xfId="4701" xr:uid="{693FF480-37C8-475E-8D79-20ADC187006F}"/>
    <cellStyle name="常规 25 2 4 3 2 2" xfId="4702" xr:uid="{7DF21296-7E07-4AA7-B27D-600EE72AE30D}"/>
    <cellStyle name="常规 25 2 4 3 3" xfId="4703" xr:uid="{583C3CAC-76F3-46DE-844C-837DED1A27C3}"/>
    <cellStyle name="常规 25 2 4 4" xfId="4704" xr:uid="{67B3C329-12DD-40A9-9605-00997ECB350F}"/>
    <cellStyle name="常规 25 2 4 4 2" xfId="4705" xr:uid="{FD0D46A8-3991-4DFD-A177-96F6A69FBF2D}"/>
    <cellStyle name="常规 25 2 4 5" xfId="4706" xr:uid="{A508915F-395D-46FB-815F-A3A19A5D156E}"/>
    <cellStyle name="常规 25 2 5" xfId="4707" xr:uid="{189B20DA-7EDF-4AAE-9387-47817907F32D}"/>
    <cellStyle name="常规 25 2 5 2" xfId="4708" xr:uid="{FC4025C2-7706-4C47-83A6-7127ACC842D9}"/>
    <cellStyle name="常规 25 2 5 2 2" xfId="4709" xr:uid="{E4C80FE6-19BB-43FC-A7A1-A55C868F7213}"/>
    <cellStyle name="常规 25 2 5 2 2 2" xfId="4710" xr:uid="{DE285261-8A85-4D11-AFCF-D92F73EA5139}"/>
    <cellStyle name="常规 25 2 5 2 3" xfId="4711" xr:uid="{A23BECDB-BC9D-479E-B258-C4C3D43C8C6F}"/>
    <cellStyle name="常规 25 2 5 3" xfId="4712" xr:uid="{C00C1727-ACB2-4921-B599-B38ACFF6988A}"/>
    <cellStyle name="常规 25 2 5 3 2" xfId="4713" xr:uid="{A9EBC931-CC9A-43E4-A84A-3334D16F7D7B}"/>
    <cellStyle name="常规 25 2 5 4" xfId="4714" xr:uid="{B5160550-A2D1-46D5-B847-1C00C1386486}"/>
    <cellStyle name="常规 25 2 6" xfId="4715" xr:uid="{F93EA69E-424B-44DA-828F-C0C1DAA072B1}"/>
    <cellStyle name="常规 25 2 6 2" xfId="4716" xr:uid="{250E2DEC-9A66-4D31-B581-B4CE2D6DDE98}"/>
    <cellStyle name="常规 25 2 6 2 2" xfId="4717" xr:uid="{7DC2F5B9-8610-462B-A398-1965B310CD5D}"/>
    <cellStyle name="常规 25 2 6 3" xfId="4718" xr:uid="{B4A5FF75-0B48-4783-BB7E-45EED879E404}"/>
    <cellStyle name="常规 25 2 7" xfId="4719" xr:uid="{754110D2-214C-44DF-908A-2C3FC6B39F32}"/>
    <cellStyle name="常规 25 2 7 2" xfId="4720" xr:uid="{3680383A-2D52-4AB6-BE02-13A7BBB618DB}"/>
    <cellStyle name="常规 25 2 8" xfId="4721" xr:uid="{61FBB823-FC57-472A-9945-F2DBA155C2B7}"/>
    <cellStyle name="常规 25 3" xfId="4722" xr:uid="{843BDF50-9669-420D-9C99-4394CCCB74C0}"/>
    <cellStyle name="常规 25 3 2" xfId="4723" xr:uid="{48FDE99A-C4BF-4D8C-8CE5-7F34D39E634E}"/>
    <cellStyle name="常规 25 3 2 2" xfId="4724" xr:uid="{6D6D6004-87AE-42C0-9D99-AF667C13C54C}"/>
    <cellStyle name="常规 25 3 2 2 2" xfId="4725" xr:uid="{AA5B170B-ECA0-4D1B-B971-90A78225118E}"/>
    <cellStyle name="常规 25 3 2 2 2 2" xfId="4726" xr:uid="{8656D5BA-ACD9-4C73-B973-59DC10D96954}"/>
    <cellStyle name="常规 25 3 2 2 2 2 2" xfId="4727" xr:uid="{C5D88A5D-4978-4644-B34D-9485A56B20A1}"/>
    <cellStyle name="常规 25 3 2 2 2 2 2 2" xfId="4728" xr:uid="{04BFC8DF-4E39-4651-958F-65F733B1B3DE}"/>
    <cellStyle name="常规 25 3 2 2 2 2 3" xfId="4729" xr:uid="{CFBE18F8-3D35-40CB-BF4C-4A78845A9201}"/>
    <cellStyle name="常规 25 3 2 2 2 3" xfId="4730" xr:uid="{E850FA01-B0C9-46E4-BFD6-3BB060B46C38}"/>
    <cellStyle name="常规 25 3 2 2 2 3 2" xfId="4731" xr:uid="{488BD92A-9FC7-4246-A371-693335A75517}"/>
    <cellStyle name="常规 25 3 2 2 2 4" xfId="4732" xr:uid="{111472CB-298A-43A0-8DAB-94466A6268F4}"/>
    <cellStyle name="常规 25 3 2 2 3" xfId="4733" xr:uid="{7C19AC30-FA3D-4DF7-B637-9FEAA9D07D21}"/>
    <cellStyle name="常规 25 3 2 2 3 2" xfId="4734" xr:uid="{DA7DFBC0-D998-4D45-92A3-550629970E67}"/>
    <cellStyle name="常规 25 3 2 2 3 2 2" xfId="4735" xr:uid="{2E6593CB-C782-41A4-A6B5-FCF6B470A116}"/>
    <cellStyle name="常规 25 3 2 2 3 3" xfId="4736" xr:uid="{74656A14-E7DC-4BDF-AC81-B7460613A79D}"/>
    <cellStyle name="常规 25 3 2 2 4" xfId="4737" xr:uid="{9184FB1C-1A55-4C2A-99F5-2F103AF9D223}"/>
    <cellStyle name="常规 25 3 2 2 4 2" xfId="4738" xr:uid="{AE40977E-C632-49D0-BA94-C173E69D16CE}"/>
    <cellStyle name="常规 25 3 2 2 5" xfId="4739" xr:uid="{984BB48A-C837-4F8B-A237-CDE371E4A763}"/>
    <cellStyle name="常规 25 3 2 3" xfId="4740" xr:uid="{0367DD33-157E-4D8B-883B-B2901FBA4182}"/>
    <cellStyle name="常规 25 3 2 3 2" xfId="4741" xr:uid="{7C557E3B-9363-484E-BB99-342C9D8DF5F3}"/>
    <cellStyle name="常规 25 3 2 3 2 2" xfId="4742" xr:uid="{3CAE0EDA-AB70-4C96-A71B-4542A65DB614}"/>
    <cellStyle name="常规 25 3 2 3 2 2 2" xfId="4743" xr:uid="{FE694EF9-C991-4229-98D5-2B1CB4254EB2}"/>
    <cellStyle name="常规 25 3 2 3 2 3" xfId="4744" xr:uid="{64100B6E-CC5E-4D3E-A4D4-EC65B9161328}"/>
    <cellStyle name="常规 25 3 2 3 3" xfId="4745" xr:uid="{101B2292-3CED-4CBC-B0E9-7B79CD466EAA}"/>
    <cellStyle name="常规 25 3 2 3 3 2" xfId="4746" xr:uid="{819E9668-E3E5-403A-823C-23FD6232AC2A}"/>
    <cellStyle name="常规 25 3 2 3 4" xfId="4747" xr:uid="{5A2C0ED4-2C8F-4EE5-A2D1-CC28DF98059A}"/>
    <cellStyle name="常规 25 3 2 4" xfId="4748" xr:uid="{3E3BD53A-214A-43AE-A1B2-A751FCEEACBB}"/>
    <cellStyle name="常规 25 3 2 4 2" xfId="4749" xr:uid="{7B8AFB54-A3AE-48DB-9912-5199AED7DB14}"/>
    <cellStyle name="常规 25 3 2 4 2 2" xfId="4750" xr:uid="{A3152710-FE51-41C7-AD99-C8E4224E6B70}"/>
    <cellStyle name="常规 25 3 2 4 3" xfId="4751" xr:uid="{0064DE4C-F3D4-47BC-BC38-6E891133840F}"/>
    <cellStyle name="常规 25 3 2 5" xfId="4752" xr:uid="{8E2CDE2F-BA13-4D7C-A83B-6A61B962FF38}"/>
    <cellStyle name="常规 25 3 2 5 2" xfId="4753" xr:uid="{7433B67C-3996-443C-8046-05B28967C6C7}"/>
    <cellStyle name="常规 25 3 2 6" xfId="4754" xr:uid="{C696B1EF-5F3E-484D-9C1A-C41927F40F23}"/>
    <cellStyle name="常规 25 3 3" xfId="4755" xr:uid="{4398A7DF-F671-4409-BFB1-158CB1E46CEE}"/>
    <cellStyle name="常规 25 3 3 2" xfId="4756" xr:uid="{F57846CB-EB68-4D61-8B26-A4A956450AF6}"/>
    <cellStyle name="常规 25 3 3 2 2" xfId="4757" xr:uid="{A6FEB4AA-CDFC-4198-AB41-C62C3CA0E6B5}"/>
    <cellStyle name="常规 25 3 3 2 2 2" xfId="4758" xr:uid="{A6A8F45D-0136-462D-8ACF-B903EA9D76E7}"/>
    <cellStyle name="常规 25 3 3 2 2 2 2" xfId="4759" xr:uid="{D9E544DC-D9D6-41EE-8A9D-C62F1F078554}"/>
    <cellStyle name="常规 25 3 3 2 2 3" xfId="4760" xr:uid="{71B14BE2-5683-45F5-A238-41900122FE8B}"/>
    <cellStyle name="常规 25 3 3 2 3" xfId="4761" xr:uid="{2BD58D13-D820-4BB3-AB34-A2F74D09389C}"/>
    <cellStyle name="常规 25 3 3 2 3 2" xfId="4762" xr:uid="{5E8EB17B-3FA4-4D8C-A68A-159BEB49EA57}"/>
    <cellStyle name="常规 25 3 3 2 4" xfId="4763" xr:uid="{04FD03E4-9A1C-47A1-9594-AC71D9EC7168}"/>
    <cellStyle name="常规 25 3 3 3" xfId="4764" xr:uid="{2843C024-3351-44A9-9441-611109423B71}"/>
    <cellStyle name="常规 25 3 3 3 2" xfId="4765" xr:uid="{9B74469D-A062-4B2F-A2EB-ED95E738A226}"/>
    <cellStyle name="常规 25 3 3 3 2 2" xfId="4766" xr:uid="{E3241DFA-E65A-4744-91DD-071E72E77DF8}"/>
    <cellStyle name="常规 25 3 3 3 3" xfId="4767" xr:uid="{0CBAF98D-439D-458F-AE6E-26DC7A7F4408}"/>
    <cellStyle name="常规 25 3 3 4" xfId="4768" xr:uid="{069B9338-2172-4CF1-A40C-6D3E5AEFD87C}"/>
    <cellStyle name="常规 25 3 3 4 2" xfId="4769" xr:uid="{BE890574-15E4-4CE5-925A-03375C44F38D}"/>
    <cellStyle name="常规 25 3 3 5" xfId="4770" xr:uid="{8B9388ED-B56A-4C7D-AC8B-6A922AC46548}"/>
    <cellStyle name="常规 25 3 4" xfId="4771" xr:uid="{F6C0545E-30C1-455A-B310-77188E1B4DCF}"/>
    <cellStyle name="常规 25 3 4 2" xfId="4772" xr:uid="{2996F639-6E95-47CC-A7EC-DFD7926863CA}"/>
    <cellStyle name="常规 25 3 4 2 2" xfId="4773" xr:uid="{C46DC3F2-23CA-4F67-B999-37A000224C50}"/>
    <cellStyle name="常规 25 3 4 2 2 2" xfId="4774" xr:uid="{51F6842E-8D2A-447A-BB77-34F2EE6C1AC2}"/>
    <cellStyle name="常规 25 3 4 2 3" xfId="4775" xr:uid="{8496C865-2A84-4317-8DAE-9DF9DA3397A5}"/>
    <cellStyle name="常规 25 3 4 3" xfId="4776" xr:uid="{63C8A4B0-1863-422F-8AFB-A71DADD3519E}"/>
    <cellStyle name="常规 25 3 4 3 2" xfId="4777" xr:uid="{572646A8-F393-4E91-895B-8AC1515A33E2}"/>
    <cellStyle name="常规 25 3 4 4" xfId="4778" xr:uid="{9A067FEF-786A-4ABE-964E-79BADDBF4E83}"/>
    <cellStyle name="常规 25 3 5" xfId="4779" xr:uid="{DFD39CF4-C05F-4F30-9B4F-251B4AFEC7C1}"/>
    <cellStyle name="常规 25 3 5 2" xfId="4780" xr:uid="{0442F8FA-D08C-4089-97A4-FEB3772C7686}"/>
    <cellStyle name="常规 25 3 5 2 2" xfId="4781" xr:uid="{FD00ECFE-B1C1-41C6-A037-DF3445834069}"/>
    <cellStyle name="常规 25 3 5 3" xfId="4782" xr:uid="{2E49C8C4-E57A-429C-9AAC-B2CD279F41E7}"/>
    <cellStyle name="常规 25 3 6" xfId="4783" xr:uid="{B4653BF3-0504-417F-A9C9-DB19EF75CA38}"/>
    <cellStyle name="常规 25 3 6 2" xfId="4784" xr:uid="{DF7BBCE4-6AAB-49D2-B254-1F24DCAE06BC}"/>
    <cellStyle name="常规 25 3 7" xfId="4785" xr:uid="{F8F6EDD4-ED7A-417E-87FA-B83B5077A6BA}"/>
    <cellStyle name="常规 25 4" xfId="4786" xr:uid="{AF773630-F47E-47A8-8331-2D1A946E283F}"/>
    <cellStyle name="常规 25 4 2" xfId="4787" xr:uid="{5D66891A-B54B-4D92-B9A9-092975F65D6F}"/>
    <cellStyle name="常规 25 4 2 2" xfId="4788" xr:uid="{F2134CF7-4C99-474D-BC5F-FA6329F6ADD8}"/>
    <cellStyle name="常规 25 4 2 2 2" xfId="4789" xr:uid="{B31E69C3-4FE7-4BFE-B4B0-66DADEC8ED0B}"/>
    <cellStyle name="常规 25 4 2 2 2 2" xfId="4790" xr:uid="{55C80DAD-36E7-472D-839F-FADAEA93E904}"/>
    <cellStyle name="常规 25 4 2 2 2 2 2" xfId="4791" xr:uid="{6554777B-78CD-471C-9D79-DF75F8D54958}"/>
    <cellStyle name="常规 25 4 2 2 2 3" xfId="4792" xr:uid="{D1B00146-EB3D-41B8-B497-234A639F10AE}"/>
    <cellStyle name="常规 25 4 2 2 3" xfId="4793" xr:uid="{0B5B6128-F25F-4BC8-8DEF-0A174EBFC39E}"/>
    <cellStyle name="常规 25 4 2 2 3 2" xfId="4794" xr:uid="{8D9BF421-163A-4AF7-8659-DB6DB8024F40}"/>
    <cellStyle name="常规 25 4 2 2 4" xfId="4795" xr:uid="{FAA33609-385C-4897-B9A5-5DDE5345FBFD}"/>
    <cellStyle name="常规 25 4 2 3" xfId="4796" xr:uid="{F727C1CB-6F43-4BD6-9514-4593CE7188DC}"/>
    <cellStyle name="常规 25 4 2 3 2" xfId="4797" xr:uid="{9F21B203-ADD9-4468-B90A-9B4C73D21BC3}"/>
    <cellStyle name="常规 25 4 2 3 2 2" xfId="4798" xr:uid="{F04276A1-C4DB-4401-A3EC-E7354920E373}"/>
    <cellStyle name="常规 25 4 2 3 3" xfId="4799" xr:uid="{CAA4E9EA-2D08-4A56-A98C-2EE59E41227B}"/>
    <cellStyle name="常规 25 4 2 4" xfId="4800" xr:uid="{3CDAF23F-04E8-47AA-A6CB-F744FAA05D58}"/>
    <cellStyle name="常规 25 4 2 4 2" xfId="4801" xr:uid="{11AC5D67-3F6E-45CA-A210-646A99957441}"/>
    <cellStyle name="常规 25 4 2 5" xfId="4802" xr:uid="{C16BD72D-A79A-4083-BD72-9687DCF82CD9}"/>
    <cellStyle name="常规 25 4 3" xfId="4803" xr:uid="{A9221205-17D6-4360-990C-0AA793D444A8}"/>
    <cellStyle name="常规 25 4 3 2" xfId="4804" xr:uid="{2E320B35-F93B-4BEC-B1FE-B06D241AD4B9}"/>
    <cellStyle name="常规 25 4 3 2 2" xfId="4805" xr:uid="{3807B95D-28F7-4553-BF2E-84CB55D6EE2C}"/>
    <cellStyle name="常规 25 4 3 2 2 2" xfId="4806" xr:uid="{9DCD0A43-E32B-4747-8B11-760777971B56}"/>
    <cellStyle name="常规 25 4 3 2 3" xfId="4807" xr:uid="{5E898517-760B-4840-99C5-8F955639AE16}"/>
    <cellStyle name="常规 25 4 3 3" xfId="4808" xr:uid="{2FECDA50-54BE-484F-81BC-5B83140A1705}"/>
    <cellStyle name="常规 25 4 3 3 2" xfId="4809" xr:uid="{00B2BB83-707A-480C-B10C-5E2989F90640}"/>
    <cellStyle name="常规 25 4 3 4" xfId="4810" xr:uid="{1EC3E484-7090-49AC-AD35-807578D3BE13}"/>
    <cellStyle name="常规 25 4 4" xfId="4811" xr:uid="{AF7C713B-20B6-453F-8005-021776027192}"/>
    <cellStyle name="常规 25 4 4 2" xfId="4812" xr:uid="{56D3650D-D041-47A7-B4D8-BC9F97129415}"/>
    <cellStyle name="常规 25 4 4 2 2" xfId="4813" xr:uid="{877C44A4-7956-439D-9CB9-DC8720252DD6}"/>
    <cellStyle name="常规 25 4 4 3" xfId="4814" xr:uid="{17C217D9-43C9-4939-B8F7-8B9F872129CD}"/>
    <cellStyle name="常规 25 4 5" xfId="4815" xr:uid="{ECE02DD6-5BA4-4337-A1C6-721B9EC7C95D}"/>
    <cellStyle name="常规 25 4 5 2" xfId="4816" xr:uid="{A9F95D60-9AE2-47B7-A249-AB5CF016CCB6}"/>
    <cellStyle name="常规 25 4 6" xfId="4817" xr:uid="{F638B333-9A38-4EAE-AD45-3D12C148FDB0}"/>
    <cellStyle name="常规 25 5" xfId="4818" xr:uid="{01FD57DB-5247-4B3F-B5EA-0C01E941E64F}"/>
    <cellStyle name="常规 25 5 2" xfId="4819" xr:uid="{316B19BC-9064-43C4-87F3-A61BBAF90DA1}"/>
    <cellStyle name="常规 25 5 2 2" xfId="4820" xr:uid="{73A106B1-02C3-49B5-B514-7FF1E4950C3C}"/>
    <cellStyle name="常规 25 5 2 2 2" xfId="4821" xr:uid="{393DE7DE-175C-41C3-BE76-829DBD87F29B}"/>
    <cellStyle name="常规 25 5 2 2 2 2" xfId="4822" xr:uid="{5767AFED-6107-489A-8619-FC343B16E9E7}"/>
    <cellStyle name="常规 25 5 2 2 3" xfId="4823" xr:uid="{E81014C8-3B1C-4221-A202-36E12A291DD2}"/>
    <cellStyle name="常规 25 5 2 3" xfId="4824" xr:uid="{15A0861D-9E77-4FD7-BDEF-CA9ACB28C4D0}"/>
    <cellStyle name="常规 25 5 2 3 2" xfId="4825" xr:uid="{31990DF7-663C-4B97-8B49-D72A948B9D8A}"/>
    <cellStyle name="常规 25 5 2 4" xfId="4826" xr:uid="{AF2BB3A7-2367-413A-8049-9923C5615617}"/>
    <cellStyle name="常规 25 5 3" xfId="4827" xr:uid="{49B7C103-59A7-4ED1-A8D1-33C84CB59FEA}"/>
    <cellStyle name="常规 25 5 3 2" xfId="4828" xr:uid="{6B239140-A24D-4F2F-8C8C-0E5DEE2D2A65}"/>
    <cellStyle name="常规 25 5 3 2 2" xfId="4829" xr:uid="{FEF6CDDA-CFC7-4C6A-914D-D94DD2EA0CBD}"/>
    <cellStyle name="常规 25 5 3 3" xfId="4830" xr:uid="{7ED3ED3E-EA8C-40E1-997A-418AED7275BB}"/>
    <cellStyle name="常规 25 5 4" xfId="4831" xr:uid="{BE5F12A2-693E-4A1C-8D76-B2D32B271478}"/>
    <cellStyle name="常规 25 5 4 2" xfId="4832" xr:uid="{0705F64C-1DC2-48DE-8E16-6B117E746691}"/>
    <cellStyle name="常规 25 5 5" xfId="4833" xr:uid="{1733BEE8-4BCB-4B4F-AA5B-6D88C2B9DABA}"/>
    <cellStyle name="常规 25 6" xfId="4834" xr:uid="{0A2DB8E9-6583-4168-9518-80644DADD2E4}"/>
    <cellStyle name="常规 25 6 2" xfId="4835" xr:uid="{C2173EAE-ECE7-4AC7-BFD7-A02BCF2F1518}"/>
    <cellStyle name="常规 25 6 2 2" xfId="4836" xr:uid="{3EE16ECF-4EB7-4A72-AD75-1CD88CA14144}"/>
    <cellStyle name="常规 25 6 2 2 2" xfId="4837" xr:uid="{DCB33107-E86A-4A6A-96D0-95C31811A8D2}"/>
    <cellStyle name="常规 25 6 2 3" xfId="4838" xr:uid="{86098C53-22D0-4795-958C-C24CCFA5DDE5}"/>
    <cellStyle name="常规 25 6 3" xfId="4839" xr:uid="{C96D153C-995A-4BE5-A9CE-B81B3390473B}"/>
    <cellStyle name="常规 25 6 3 2" xfId="4840" xr:uid="{BBD3D759-A34F-46D5-B8B6-6CD7B3BBB0A6}"/>
    <cellStyle name="常规 25 6 4" xfId="4841" xr:uid="{2F75FC80-61F6-48BF-BA9D-6B4155F4F9BB}"/>
    <cellStyle name="常规 25 7" xfId="4842" xr:uid="{2D56F5DF-7B6F-4437-B35A-A40338A1DE8F}"/>
    <cellStyle name="常规 25 7 2" xfId="4843" xr:uid="{F265E5C1-AE2A-4B8E-85D5-F050BDAF0D25}"/>
    <cellStyle name="常规 25 7 2 2" xfId="4844" xr:uid="{4D563D66-5F51-49F5-ADEB-AFBFDF3E3078}"/>
    <cellStyle name="常规 25 7 3" xfId="4845" xr:uid="{983C8BCE-8E8F-4664-AE23-F0B204DE28FE}"/>
    <cellStyle name="常规 25 8" xfId="4846" xr:uid="{EE335756-B58B-486A-B351-C2CE469F8A60}"/>
    <cellStyle name="常规 25 8 2" xfId="4847" xr:uid="{7CFEE2DD-6902-4D71-B8D7-1C773EDC3B81}"/>
    <cellStyle name="常规 25 9" xfId="4848" xr:uid="{885DCF72-A1D3-427E-99A3-5A146927BF1C}"/>
    <cellStyle name="常规 26" xfId="4849" xr:uid="{4A286056-1F29-47D1-A855-5CD2F0A911AE}"/>
    <cellStyle name="常规 27" xfId="4850" xr:uid="{CC2180AD-7AA7-41FA-BD72-4E2905613F3B}"/>
    <cellStyle name="常规 27 2" xfId="4851" xr:uid="{85E7F000-4895-4633-88DB-66108656561E}"/>
    <cellStyle name="常规 27 2 2" xfId="4852" xr:uid="{6FD2C59E-3C03-4B25-B6F4-C96C4DB253B3}"/>
    <cellStyle name="常规 27 2 2 2" xfId="4853" xr:uid="{C896040F-7461-4E6B-8B0E-F441EFDC494C}"/>
    <cellStyle name="常规 27 2 2 2 2" xfId="4854" xr:uid="{687F50A1-669E-42C1-85F5-AAC7ED632C5E}"/>
    <cellStyle name="常规 27 2 2 2 2 2" xfId="4855" xr:uid="{FF8C481A-ED92-4F92-B189-07C676C2D444}"/>
    <cellStyle name="常规 27 2 2 2 2 2 2" xfId="4856" xr:uid="{B8F0E058-FE41-4640-858D-CADA9427333C}"/>
    <cellStyle name="常规 27 2 2 2 2 2 2 2" xfId="4857" xr:uid="{56173D53-F2B4-4495-BF35-33945CA5F28F}"/>
    <cellStyle name="常规 27 2 2 2 2 2 3" xfId="4858" xr:uid="{87086B92-4203-4BD1-B787-B76AB0419F43}"/>
    <cellStyle name="常规 27 2 2 2 2 3" xfId="4859" xr:uid="{2D9F46A5-CCE8-4F96-A394-8CB3BBEB9EAC}"/>
    <cellStyle name="常规 27 2 2 2 2 3 2" xfId="4860" xr:uid="{63F32FDB-7F0D-489D-9924-8B28CB2412A7}"/>
    <cellStyle name="常规 27 2 2 2 2 4" xfId="4861" xr:uid="{634BE183-E7F8-4439-91EA-F3934E371B3F}"/>
    <cellStyle name="常规 27 2 2 2 3" xfId="4862" xr:uid="{FAE28AF3-2F31-4BEE-A0D5-BE15E24BF0C8}"/>
    <cellStyle name="常规 27 2 2 2 3 2" xfId="4863" xr:uid="{A546E7AB-3E8A-4F55-8A93-472F94013D2C}"/>
    <cellStyle name="常规 27 2 2 2 3 2 2" xfId="4864" xr:uid="{EAA85AF9-3EDC-45EC-9879-C0B3C4E36DE9}"/>
    <cellStyle name="常规 27 2 2 2 3 3" xfId="4865" xr:uid="{1CA1B636-7F56-483D-B3E7-6871FC03FE64}"/>
    <cellStyle name="常规 27 2 2 2 4" xfId="4866" xr:uid="{D5F85112-ED47-473E-8B6F-E447B6043A13}"/>
    <cellStyle name="常规 27 2 2 2 4 2" xfId="4867" xr:uid="{D0F5AC6E-0248-410A-87B7-06157B186598}"/>
    <cellStyle name="常规 27 2 2 2 5" xfId="4868" xr:uid="{A2CEBC4C-F192-4A9E-B64B-E9125B558B7F}"/>
    <cellStyle name="常规 27 2 2 3" xfId="4869" xr:uid="{46D856BA-C5A5-4B4C-BB83-7FF4D419AB2A}"/>
    <cellStyle name="常规 27 2 2 3 2" xfId="4870" xr:uid="{F63F734E-17AA-4491-BA38-7E5549973EBC}"/>
    <cellStyle name="常规 27 2 2 3 2 2" xfId="4871" xr:uid="{5AB3198E-79E5-4D08-AEBA-DAAB7A2E3595}"/>
    <cellStyle name="常规 27 2 2 3 2 2 2" xfId="4872" xr:uid="{CBD517B6-6C6A-4112-918A-ADE4B45BBF08}"/>
    <cellStyle name="常规 27 2 2 3 2 3" xfId="4873" xr:uid="{142149CD-A74C-4E2C-B767-41F1AE813620}"/>
    <cellStyle name="常规 27 2 2 3 3" xfId="4874" xr:uid="{CB5C7014-5525-49F6-8AE1-3190E0B3080F}"/>
    <cellStyle name="常规 27 2 2 3 3 2" xfId="4875" xr:uid="{5CCFD521-7EF8-4401-AF24-B5FF6E33B018}"/>
    <cellStyle name="常规 27 2 2 3 4" xfId="4876" xr:uid="{404F0B9B-3055-4900-ADBB-5F4D2C718C29}"/>
    <cellStyle name="常规 27 2 2 4" xfId="4877" xr:uid="{D6F0F716-1B0A-4FC7-BB5A-29DA8B416C72}"/>
    <cellStyle name="常规 27 2 2 4 2" xfId="4878" xr:uid="{91480ABB-9B3E-4B61-A3EE-AC498C8EDE4E}"/>
    <cellStyle name="常规 27 2 2 4 2 2" xfId="4879" xr:uid="{C0D068ED-5DCD-4323-9544-33B566E0EE04}"/>
    <cellStyle name="常规 27 2 2 4 3" xfId="4880" xr:uid="{99BDEA2D-4228-42D4-9358-C22AC1500EBE}"/>
    <cellStyle name="常规 27 2 2 5" xfId="4881" xr:uid="{2312BF08-909F-4CBE-9571-86494994FE0A}"/>
    <cellStyle name="常规 27 2 2 5 2" xfId="4882" xr:uid="{A2E98C5B-0F89-4D1C-8B6A-3444F05868E4}"/>
    <cellStyle name="常规 27 2 2 6" xfId="4883" xr:uid="{CFA409FB-F1F7-489B-A11B-849D208BFB16}"/>
    <cellStyle name="常规 27 2 3" xfId="4884" xr:uid="{48F3316E-55FC-487E-BBCB-529F6BD139CE}"/>
    <cellStyle name="常规 27 2 3 2" xfId="4885" xr:uid="{EE93449E-E281-4AD0-892D-282F4B66AA0C}"/>
    <cellStyle name="常规 27 2 3 2 2" xfId="4886" xr:uid="{9FBE8BAD-558B-4A33-A98E-23CCFF5CE756}"/>
    <cellStyle name="常规 27 2 3 2 2 2" xfId="4887" xr:uid="{1363D534-1D2F-449A-AEE1-C3E82B7A1616}"/>
    <cellStyle name="常规 27 2 3 2 2 2 2" xfId="4888" xr:uid="{AE85A111-47F8-42EA-B942-DD7AA240FBA3}"/>
    <cellStyle name="常规 27 2 3 2 2 3" xfId="4889" xr:uid="{A992D0FF-8CF7-4636-8724-0C14BFFA28D6}"/>
    <cellStyle name="常规 27 2 3 2 3" xfId="4890" xr:uid="{931DDC6C-CA55-4321-9EEC-3A01C35009A0}"/>
    <cellStyle name="常规 27 2 3 2 3 2" xfId="4891" xr:uid="{D647335F-C894-4D00-9E39-34D92AF0537A}"/>
    <cellStyle name="常规 27 2 3 2 4" xfId="4892" xr:uid="{AA1F95EC-4156-455F-ADDD-ACD33B282AB2}"/>
    <cellStyle name="常规 27 2 3 3" xfId="4893" xr:uid="{C2C35AE5-28C1-4E6F-B24C-4FDB4D6FC3F6}"/>
    <cellStyle name="常规 27 2 3 3 2" xfId="4894" xr:uid="{6EA68727-612F-430D-8C0B-14F660198A52}"/>
    <cellStyle name="常规 27 2 3 3 2 2" xfId="4895" xr:uid="{C45A2FBF-C051-49B0-9A85-F8FDCC71062B}"/>
    <cellStyle name="常规 27 2 3 3 3" xfId="4896" xr:uid="{0C407FC5-927D-4887-9290-6A44E5FCBC4A}"/>
    <cellStyle name="常规 27 2 3 4" xfId="4897" xr:uid="{F4DF4039-F975-43C0-B7D2-87EB4B82E054}"/>
    <cellStyle name="常规 27 2 3 4 2" xfId="4898" xr:uid="{65549A3E-AA86-493D-8D62-281510D4B50A}"/>
    <cellStyle name="常规 27 2 3 5" xfId="4899" xr:uid="{B4AFB3AA-E433-474C-A618-8C76284964E3}"/>
    <cellStyle name="常规 27 2 4" xfId="4900" xr:uid="{AC476A59-FC73-44D2-9ED5-1A1AB4CE94C0}"/>
    <cellStyle name="常规 27 2 4 2" xfId="4901" xr:uid="{6B9FFF09-97F1-47EB-9B50-90A3C77D540C}"/>
    <cellStyle name="常规 27 2 4 2 2" xfId="4902" xr:uid="{DDFAD4F5-D4C9-4F12-8254-FAA6E1CD17D3}"/>
    <cellStyle name="常规 27 2 4 2 2 2" xfId="4903" xr:uid="{5F1A92FE-35BB-4B11-82F5-440D5AE6BFC8}"/>
    <cellStyle name="常规 27 2 4 2 3" xfId="4904" xr:uid="{D1A5E895-8B94-42A5-8643-110204D4C24A}"/>
    <cellStyle name="常规 27 2 4 3" xfId="4905" xr:uid="{12F2BE38-FFF4-4BD3-B4C8-3954464172E6}"/>
    <cellStyle name="常规 27 2 4 3 2" xfId="4906" xr:uid="{6C437D09-E0A8-4E8A-93AC-E9588A438F2C}"/>
    <cellStyle name="常规 27 2 4 4" xfId="4907" xr:uid="{B6C94B63-96BA-4A87-A26D-FE1B5A7332FC}"/>
    <cellStyle name="常规 27 2 5" xfId="4908" xr:uid="{206E8BAB-F419-4695-86F7-67A3C7AAD248}"/>
    <cellStyle name="常规 27 2 5 2" xfId="4909" xr:uid="{D9E28D96-EAE1-4E4C-A0C3-5AFFF7F39029}"/>
    <cellStyle name="常规 27 2 5 2 2" xfId="4910" xr:uid="{573D0254-E126-4249-BCC8-9754F3CCF64F}"/>
    <cellStyle name="常规 27 2 5 3" xfId="4911" xr:uid="{1DCB25CF-E501-4580-8B0F-A0DB1C6B8CFB}"/>
    <cellStyle name="常规 27 2 6" xfId="4912" xr:uid="{E0ED0F95-98B9-45BE-BBBC-16B812A18344}"/>
    <cellStyle name="常规 27 2 6 2" xfId="4913" xr:uid="{62548DA6-98B1-4707-AB55-4E3A39E6B986}"/>
    <cellStyle name="常规 27 2 7" xfId="4914" xr:uid="{2FA2C43B-2278-460C-9418-55BB596E6143}"/>
    <cellStyle name="常规 27 3" xfId="4915" xr:uid="{07FE0A56-1E60-43CA-83DD-FA08729F99D3}"/>
    <cellStyle name="常规 27 3 2" xfId="4916" xr:uid="{60685998-1D08-4C42-9E4F-EA27351B8D6C}"/>
    <cellStyle name="常规 27 3 2 2" xfId="4917" xr:uid="{DF199EAD-536E-4CD0-B321-8A3866F56F94}"/>
    <cellStyle name="常规 27 3 2 2 2" xfId="4918" xr:uid="{152087EE-B29C-47AA-85E0-DD06DAA1E881}"/>
    <cellStyle name="常规 27 3 2 2 2 2" xfId="4919" xr:uid="{4D3D8E65-BD2D-4A0E-80C5-7890FC75CF3C}"/>
    <cellStyle name="常规 27 3 2 2 2 2 2" xfId="4920" xr:uid="{86885E0B-07A5-4F1B-A504-0D22B1C6B490}"/>
    <cellStyle name="常规 27 3 2 2 2 3" xfId="4921" xr:uid="{18594A15-AA00-48E2-93FD-5393904DDBF4}"/>
    <cellStyle name="常规 27 3 2 2 3" xfId="4922" xr:uid="{2E26C6D0-C700-4611-9E3E-6AA7FEA50DBE}"/>
    <cellStyle name="常规 27 3 2 2 3 2" xfId="4923" xr:uid="{7564668D-41BB-4317-BD9F-74CE9F13BA58}"/>
    <cellStyle name="常规 27 3 2 2 4" xfId="4924" xr:uid="{D06AAE43-F475-49FE-B65E-BC331C237945}"/>
    <cellStyle name="常规 27 3 2 3" xfId="4925" xr:uid="{1A2C61D8-30AA-4E4B-B810-7351AC87630F}"/>
    <cellStyle name="常规 27 3 2 3 2" xfId="4926" xr:uid="{2B5FA24C-9C41-4D40-82E6-174CE79FB6C5}"/>
    <cellStyle name="常规 27 3 2 3 2 2" xfId="4927" xr:uid="{19454539-E9FF-4AEB-9C63-B05C19A4744A}"/>
    <cellStyle name="常规 27 3 2 3 3" xfId="4928" xr:uid="{41E89B07-0AB4-4ACC-A230-0D19F70F801C}"/>
    <cellStyle name="常规 27 3 2 4" xfId="4929" xr:uid="{20CA9B1F-AAD5-4ECB-ABA9-60157386C587}"/>
    <cellStyle name="常规 27 3 2 4 2" xfId="4930" xr:uid="{7E5C6D9B-5D8D-4F97-9A16-6EA7486CF4D0}"/>
    <cellStyle name="常规 27 3 2 5" xfId="4931" xr:uid="{3914C9A5-8104-41CF-9E83-7B24F0C9B50B}"/>
    <cellStyle name="常规 27 3 3" xfId="4932" xr:uid="{1BBCED2C-8DB1-47B9-A998-5567D509617C}"/>
    <cellStyle name="常规 27 3 3 2" xfId="4933" xr:uid="{84922AA5-10C0-4B94-B24E-F32AED1AE23C}"/>
    <cellStyle name="常规 27 3 3 2 2" xfId="4934" xr:uid="{34D1F3EC-0508-43BB-A73A-030CFB402D0E}"/>
    <cellStyle name="常规 27 3 3 2 2 2" xfId="4935" xr:uid="{C206845C-EB7F-4F4D-98B0-15D741DEC352}"/>
    <cellStyle name="常规 27 3 3 2 3" xfId="4936" xr:uid="{C9F6323D-D2B9-443A-BD40-B6CCB1B0CAE2}"/>
    <cellStyle name="常规 27 3 3 3" xfId="4937" xr:uid="{9F1AF437-42EB-45FD-9B80-887FA97FA2C6}"/>
    <cellStyle name="常规 27 3 3 3 2" xfId="4938" xr:uid="{94FF924B-3F3D-4DD7-8509-F45A1BFC9B3F}"/>
    <cellStyle name="常规 27 3 3 4" xfId="4939" xr:uid="{4FA7D544-67D6-40A0-A23A-5E714DDFF51D}"/>
    <cellStyle name="常规 27 3 4" xfId="4940" xr:uid="{1926DE64-C0B4-4F69-B956-9B6FCB894856}"/>
    <cellStyle name="常规 27 3 4 2" xfId="4941" xr:uid="{2AF83848-3F50-41E5-A6EE-EA664D2F4A60}"/>
    <cellStyle name="常规 27 3 4 2 2" xfId="4942" xr:uid="{1D7F2177-AAC1-43FE-B209-65BCEBE9F59D}"/>
    <cellStyle name="常规 27 3 4 3" xfId="4943" xr:uid="{4F770932-7288-4339-A148-3435EA770D17}"/>
    <cellStyle name="常规 27 3 5" xfId="4944" xr:uid="{52D23AD6-A46B-4A4E-95EC-FEBC5DA8AE2F}"/>
    <cellStyle name="常规 27 3 5 2" xfId="4945" xr:uid="{1821D4E2-1B11-40E3-ABA9-CB36683913A4}"/>
    <cellStyle name="常规 27 3 6" xfId="4946" xr:uid="{6218F5CF-9D5B-4DB8-8608-ACFCC1D18C89}"/>
    <cellStyle name="常规 27 4" xfId="4947" xr:uid="{084E30D5-D61B-4598-AA00-B2E2A8AB8E81}"/>
    <cellStyle name="常规 27 4 2" xfId="4948" xr:uid="{D9FB84CF-3DAD-4206-BD74-B1EAAEF92EA8}"/>
    <cellStyle name="常规 27 4 2 2" xfId="4949" xr:uid="{11DB6EE3-5F93-49DA-AABC-B3100CBF0A57}"/>
    <cellStyle name="常规 27 4 2 2 2" xfId="4950" xr:uid="{0066BB9F-2FC7-4C57-87A9-03CACAE108A8}"/>
    <cellStyle name="常规 27 4 2 2 2 2" xfId="4951" xr:uid="{4CF1BA00-EB9A-41B3-823B-9941C0B54707}"/>
    <cellStyle name="常规 27 4 2 2 3" xfId="4952" xr:uid="{8779BA3B-2707-4A0D-BB64-2D8BF139A35C}"/>
    <cellStyle name="常规 27 4 2 3" xfId="4953" xr:uid="{2FFC42A4-F5AC-4F90-9CBF-4FF79CCD9515}"/>
    <cellStyle name="常规 27 4 2 3 2" xfId="4954" xr:uid="{1B50FAE0-9E1E-4C09-B43F-BFA31948FC48}"/>
    <cellStyle name="常规 27 4 2 4" xfId="4955" xr:uid="{6D28A773-301F-405B-B0A9-55059C0D9883}"/>
    <cellStyle name="常规 27 4 3" xfId="4956" xr:uid="{2B5A0EAF-DD1E-4EC3-BD63-8CB1097019CF}"/>
    <cellStyle name="常规 27 4 3 2" xfId="4957" xr:uid="{E9445633-C621-4787-9361-739550C248C4}"/>
    <cellStyle name="常规 27 4 3 2 2" xfId="4958" xr:uid="{D7378BA1-41D6-43BC-81D6-5FD33412CC49}"/>
    <cellStyle name="常规 27 4 3 3" xfId="4959" xr:uid="{7E0D378E-A6E7-41BA-AD89-EF16F3F79BBA}"/>
    <cellStyle name="常规 27 4 4" xfId="4960" xr:uid="{77ED4482-451C-477C-99E6-DE67CD643E10}"/>
    <cellStyle name="常规 27 4 4 2" xfId="4961" xr:uid="{72663D4D-6660-43AC-9D43-7C0DF3505CAE}"/>
    <cellStyle name="常规 27 4 5" xfId="4962" xr:uid="{1FBAD043-3776-4811-85C1-01CEF914EC12}"/>
    <cellStyle name="常规 27 5" xfId="4963" xr:uid="{9A5CE931-6269-4372-A1AB-ED2838F1CD36}"/>
    <cellStyle name="常规 27 5 2" xfId="4964" xr:uid="{65FD2D1D-C864-433C-BD01-7898F5CA7B01}"/>
    <cellStyle name="常规 27 5 2 2" xfId="4965" xr:uid="{DA2E4DF5-B2A0-448C-8205-FBC06976834B}"/>
    <cellStyle name="常规 27 5 2 2 2" xfId="4966" xr:uid="{F760C313-1BF6-4249-BD7C-D339D9246FF4}"/>
    <cellStyle name="常规 27 5 2 3" xfId="4967" xr:uid="{D162C3E5-E973-4F44-9A07-5E51D104EFFF}"/>
    <cellStyle name="常规 27 5 3" xfId="4968" xr:uid="{8BD1F217-8994-4CD9-8D5B-28760756D898}"/>
    <cellStyle name="常规 27 5 3 2" xfId="4969" xr:uid="{C561DD92-7A59-4484-8ECC-977AEFC1DC65}"/>
    <cellStyle name="常规 27 5 4" xfId="4970" xr:uid="{F81615F8-3B96-4CB3-BE51-D27EADDA6DC6}"/>
    <cellStyle name="常规 27 6" xfId="4971" xr:uid="{AE4A814D-C056-4B55-BDBC-7001C30EF4E1}"/>
    <cellStyle name="常规 27 6 2" xfId="4972" xr:uid="{255AED7F-9F24-40B3-988A-3390B5F21DD6}"/>
    <cellStyle name="常规 27 6 2 2" xfId="4973" xr:uid="{B38BAE75-7AF7-4A12-84B4-21B65BA8912F}"/>
    <cellStyle name="常规 27 6 3" xfId="4974" xr:uid="{5FE6FA90-A6D5-4920-A4F0-763C3975799D}"/>
    <cellStyle name="常规 27 7" xfId="4975" xr:uid="{CE76ABA2-D4E6-4601-9201-C81FD519CC27}"/>
    <cellStyle name="常规 27 7 2" xfId="4976" xr:uid="{F0F7F642-8A36-4A4D-ACEF-864D5BC71CDB}"/>
    <cellStyle name="常规 27 8" xfId="4977" xr:uid="{E59C843A-5963-4A25-8D55-CBF8DDE97069}"/>
    <cellStyle name="常规 28" xfId="4978" xr:uid="{DA5ABFE6-A091-4DA4-9D70-94CAC5862F27}"/>
    <cellStyle name="常规 29" xfId="4979" xr:uid="{85D3491D-5342-40BE-887C-37C37CB74A3B}"/>
    <cellStyle name="常规 29 2" xfId="4980" xr:uid="{179B9DD8-BEEE-4286-BFBC-F8F1BD8AF70C}"/>
    <cellStyle name="常规 29 2 2" xfId="4981" xr:uid="{630695D1-8B90-427F-A07A-7DD861178159}"/>
    <cellStyle name="常规 29 2 2 2" xfId="4982" xr:uid="{D13E2BFC-4948-4F55-ABE3-5A13D46FC462}"/>
    <cellStyle name="常规 29 2 2 2 2" xfId="4983" xr:uid="{8AAD0B4D-6D15-4441-9E4D-25F683615200}"/>
    <cellStyle name="常规 29 2 2 2 2 2" xfId="4984" xr:uid="{E3B6BC21-4086-4B40-8C71-BD3BA9F9DE5D}"/>
    <cellStyle name="常规 29 2 2 2 2 2 2" xfId="4985" xr:uid="{BD5C67B8-90B4-46A0-87A9-90C28028154D}"/>
    <cellStyle name="常规 29 2 2 2 2 3" xfId="4986" xr:uid="{A02B5B12-72EA-4744-B495-3F8092639AEB}"/>
    <cellStyle name="常规 29 2 2 2 3" xfId="4987" xr:uid="{1D2E61B2-BD54-4C5A-B872-53A879021616}"/>
    <cellStyle name="常规 29 2 2 2 3 2" xfId="4988" xr:uid="{A10C7CB2-B4D0-456A-BBA9-FBACF3151FFE}"/>
    <cellStyle name="常规 29 2 2 2 4" xfId="4989" xr:uid="{AD289DB8-754B-41EA-8F97-E08E8A0F3D34}"/>
    <cellStyle name="常规 29 2 2 3" xfId="4990" xr:uid="{62A0C58B-5696-4C2F-A01F-F15DD847FD5E}"/>
    <cellStyle name="常规 29 2 2 3 2" xfId="4991" xr:uid="{37AC816F-0F1D-4BEE-B016-B213352AAA4A}"/>
    <cellStyle name="常规 29 2 2 3 2 2" xfId="4992" xr:uid="{757BC638-E487-4916-8033-78EA3CEA4032}"/>
    <cellStyle name="常规 29 2 2 3 3" xfId="4993" xr:uid="{C7082320-DC14-4145-8FA5-D85603136AFA}"/>
    <cellStyle name="常规 29 2 2 4" xfId="4994" xr:uid="{6A4E0A94-1C48-47EC-A6B3-02AA9873C77E}"/>
    <cellStyle name="常规 29 2 2 4 2" xfId="4995" xr:uid="{CA9B5A5E-A818-40E0-A13E-83C1CB2A60FC}"/>
    <cellStyle name="常规 29 2 2 5" xfId="4996" xr:uid="{7F04D9CD-43B1-48E5-A07F-98BCDB199C96}"/>
    <cellStyle name="常规 29 2 3" xfId="4997" xr:uid="{C146A37A-C635-4CB8-80EB-5707215F3CD6}"/>
    <cellStyle name="常规 29 2 3 2" xfId="4998" xr:uid="{9F99AC32-9FA2-424C-8BD5-D545D6DFF549}"/>
    <cellStyle name="常规 29 2 3 2 2" xfId="4999" xr:uid="{0A8DAE0B-A130-4588-B9A2-D55AAC968F4A}"/>
    <cellStyle name="常规 29 2 3 2 2 2" xfId="5000" xr:uid="{7FF07F10-D658-4FE7-ABE7-680A97DA30CA}"/>
    <cellStyle name="常规 29 2 3 2 3" xfId="5001" xr:uid="{F20844BB-6120-404B-84E4-C08BE22EAD31}"/>
    <cellStyle name="常规 29 2 3 3" xfId="5002" xr:uid="{D78648EA-887D-4D7F-A996-7F6F81BAE23C}"/>
    <cellStyle name="常规 29 2 3 3 2" xfId="5003" xr:uid="{34B1AA7A-11A9-457E-9917-4F4DE5D099D4}"/>
    <cellStyle name="常规 29 2 3 4" xfId="5004" xr:uid="{8C30E5DC-EE55-43AB-9C4E-7DA099EBC448}"/>
    <cellStyle name="常规 29 2 4" xfId="5005" xr:uid="{F3C8F6C0-6381-4981-B5DD-AC983D9E99D8}"/>
    <cellStyle name="常规 29 2 4 2" xfId="5006" xr:uid="{7BFF171F-929A-4CBE-B3AF-EE2C7ABEDCB9}"/>
    <cellStyle name="常规 29 2 4 2 2" xfId="5007" xr:uid="{79ED3981-64E7-487F-9710-572340DCE5A1}"/>
    <cellStyle name="常规 29 2 4 3" xfId="5008" xr:uid="{82D3E025-B022-494F-9D56-F11722620A35}"/>
    <cellStyle name="常规 29 2 5" xfId="5009" xr:uid="{4AA500B1-B04F-42E0-861D-BF71CA1DB135}"/>
    <cellStyle name="常规 29 2 5 2" xfId="5010" xr:uid="{C0A9CAB9-97BC-4B6E-822F-A193785B4AEE}"/>
    <cellStyle name="常规 29 2 6" xfId="5011" xr:uid="{31614B34-A1B3-4891-B937-687B9332C7EF}"/>
    <cellStyle name="常规 29 3" xfId="5012" xr:uid="{40985C58-DC7E-4828-B139-C196D22D9F43}"/>
    <cellStyle name="常规 29 3 2" xfId="5013" xr:uid="{860F5545-4A3D-499D-8627-AB6E061A935C}"/>
    <cellStyle name="常规 29 3 2 2" xfId="5014" xr:uid="{5C9C4949-32BB-4842-A4BA-A57B26774CA2}"/>
    <cellStyle name="常规 29 3 2 2 2" xfId="5015" xr:uid="{A84859C6-F888-4EEB-9BE1-4348523BF47C}"/>
    <cellStyle name="常规 29 3 2 2 2 2" xfId="5016" xr:uid="{EA052A48-82CB-4E38-88B7-29C9F3D4BBFE}"/>
    <cellStyle name="常规 29 3 2 2 3" xfId="5017" xr:uid="{089FF3D4-5B31-42D9-A314-06FD7DA42372}"/>
    <cellStyle name="常规 29 3 2 3" xfId="5018" xr:uid="{C642B69F-90D7-4249-9912-CD3A73F6D40A}"/>
    <cellStyle name="常规 29 3 2 3 2" xfId="5019" xr:uid="{1EC878BA-6050-408A-ADBA-0EF21B4390C9}"/>
    <cellStyle name="常规 29 3 2 4" xfId="5020" xr:uid="{E2C53721-845D-4EAD-81F1-F34BD44B7D6A}"/>
    <cellStyle name="常规 29 3 3" xfId="5021" xr:uid="{9362F0B3-73FF-4C66-827E-DB23E37CB4E3}"/>
    <cellStyle name="常规 29 3 3 2" xfId="5022" xr:uid="{056E1F69-96B7-4229-8D84-AAE2AD6FED4F}"/>
    <cellStyle name="常规 29 3 3 2 2" xfId="5023" xr:uid="{A3F05B98-7F5E-462A-95FC-E30F3685096F}"/>
    <cellStyle name="常规 29 3 3 3" xfId="5024" xr:uid="{FBD5AE27-A893-44F5-8254-4BA552929184}"/>
    <cellStyle name="常规 29 3 4" xfId="5025" xr:uid="{14683225-E2C1-4534-B468-EC5EE8928EBD}"/>
    <cellStyle name="常规 29 3 4 2" xfId="5026" xr:uid="{2C043CFB-D7C5-4058-990F-48207360AD77}"/>
    <cellStyle name="常规 29 3 5" xfId="5027" xr:uid="{DE39DC6F-0DC5-416C-AF3D-CC0F75A06636}"/>
    <cellStyle name="常规 29 4" xfId="5028" xr:uid="{A5F301F7-D98B-4EB7-ACC1-CE067FEF548C}"/>
    <cellStyle name="常规 29 4 2" xfId="5029" xr:uid="{441596F1-4F73-4AB5-91D6-389AAD5D3FD4}"/>
    <cellStyle name="常规 29 4 2 2" xfId="5030" xr:uid="{F84B80E0-156E-485F-A758-FB9E342DDFDC}"/>
    <cellStyle name="常规 29 4 2 2 2" xfId="5031" xr:uid="{4024104F-7B7D-4B6C-BC20-222D15D68B22}"/>
    <cellStyle name="常规 29 4 2 3" xfId="5032" xr:uid="{096A3E64-72C7-4CB7-A595-D35DFA3E5BB8}"/>
    <cellStyle name="常规 29 4 3" xfId="5033" xr:uid="{B3C9918E-1ACB-4C25-BAD8-2695D3DEA6A6}"/>
    <cellStyle name="常规 29 4 3 2" xfId="5034" xr:uid="{AC790C87-EF13-482F-A12B-F0EB62D34E43}"/>
    <cellStyle name="常规 29 4 4" xfId="5035" xr:uid="{8EDB14A6-C187-4A7B-9E09-67F83A39CE4C}"/>
    <cellStyle name="常规 29 5" xfId="5036" xr:uid="{A9F6A510-F058-4A06-BB85-CD804C37AA93}"/>
    <cellStyle name="常规 29 5 2" xfId="5037" xr:uid="{39C82C7C-7C31-4961-BC52-5706EBCCB2CF}"/>
    <cellStyle name="常规 29 5 2 2" xfId="5038" xr:uid="{5F2CF115-78ED-4A74-AB24-5AD00C9FA218}"/>
    <cellStyle name="常规 29 5 3" xfId="5039" xr:uid="{23438339-C20B-4638-86C8-6843686071A4}"/>
    <cellStyle name="常规 29 6" xfId="5040" xr:uid="{E3889776-6F4B-49F0-9CE9-9092417FE9F7}"/>
    <cellStyle name="常规 29 6 2" xfId="5041" xr:uid="{E1902426-1B66-49E6-8047-D1F612AE62BE}"/>
    <cellStyle name="常规 29 7" xfId="5042" xr:uid="{3D0123B3-AA1A-491C-ABDB-AF57B61DC1A0}"/>
    <cellStyle name="常规 3" xfId="5043" xr:uid="{391FAB9B-3A0B-47A2-B120-E82D8D09EB36}"/>
    <cellStyle name="常规 3 2" xfId="5044" xr:uid="{6791901A-AC22-4F7D-8749-1F4C15AB6E3F}"/>
    <cellStyle name="常规 3_财务汇总(周报)" xfId="5045" xr:uid="{5374A68F-74AE-4199-9F1A-A3A06A1E24BC}"/>
    <cellStyle name="常规 30" xfId="5046" xr:uid="{77D03368-83A2-46AE-93D0-36B065C22888}"/>
    <cellStyle name="常规 31" xfId="5047" xr:uid="{E482E85E-4C8D-40B4-912E-723657A3B5D2}"/>
    <cellStyle name="常规 31 2" xfId="5048" xr:uid="{A2F1AA71-160B-4A12-9585-8E77AB2F74AA}"/>
    <cellStyle name="常规 31 2 2" xfId="5049" xr:uid="{1C5F892C-AAB5-429A-93C1-3370DB7DB8EF}"/>
    <cellStyle name="常规 31 2 2 2" xfId="5050" xr:uid="{53D23AE8-8052-4EF1-BAAA-558E58E424BB}"/>
    <cellStyle name="常规 31 2 2 2 2" xfId="5051" xr:uid="{0B7C38B5-B6D1-4067-B5AB-5D8FA8025A4E}"/>
    <cellStyle name="常规 31 2 2 2 2 2" xfId="5052" xr:uid="{B8A51B31-E923-4D5E-A2F0-273A495691B4}"/>
    <cellStyle name="常规 31 2 2 2 3" xfId="5053" xr:uid="{518D1BC9-FFFB-4368-8E7A-E852F369A602}"/>
    <cellStyle name="常规 31 2 2 3" xfId="5054" xr:uid="{FB27573F-30D1-434A-9BBD-A6FE5CD6AE67}"/>
    <cellStyle name="常规 31 2 2 3 2" xfId="5055" xr:uid="{A6795569-98BC-446E-81C7-3DAA2D8139A5}"/>
    <cellStyle name="常规 31 2 2 4" xfId="5056" xr:uid="{4C8DA0C1-02AA-4D6A-A4E2-A9B8FB07A3D7}"/>
    <cellStyle name="常规 31 2 3" xfId="5057" xr:uid="{273EE2D5-7876-4EFF-9605-33E1335452EA}"/>
    <cellStyle name="常规 31 2 3 2" xfId="5058" xr:uid="{397DACEB-80DD-4F1D-94EC-500F838CB59C}"/>
    <cellStyle name="常规 31 2 3 2 2" xfId="5059" xr:uid="{9EFD8550-B288-440E-A38C-75E8C91AEF91}"/>
    <cellStyle name="常规 31 2 3 3" xfId="5060" xr:uid="{24DCAD17-4882-4468-893F-D36022D666AA}"/>
    <cellStyle name="常规 31 2 4" xfId="5061" xr:uid="{A150233D-42C2-4AFD-8281-450F7A88BE84}"/>
    <cellStyle name="常规 31 2 4 2" xfId="5062" xr:uid="{9D4C3B07-838D-48BE-94E3-6BA3E7B7DBB3}"/>
    <cellStyle name="常规 31 2 5" xfId="5063" xr:uid="{4DFAE870-ACAF-4A2D-B0F0-069D0991812B}"/>
    <cellStyle name="常规 31 3" xfId="5064" xr:uid="{C0B213AB-FBEB-403F-A11B-ED32B7A64BBF}"/>
    <cellStyle name="常规 31 3 2" xfId="5065" xr:uid="{DE8429A1-5907-4A7D-947B-84FD26F68E6E}"/>
    <cellStyle name="常规 31 3 2 2" xfId="5066" xr:uid="{2B2C3439-B58D-4554-836F-4053814AA97D}"/>
    <cellStyle name="常规 31 3 2 2 2" xfId="5067" xr:uid="{94E8A64A-A7DC-4F57-8342-4A1903587FE0}"/>
    <cellStyle name="常规 31 3 2 3" xfId="5068" xr:uid="{2A67B6DA-20C0-42FD-BA35-CC0451BC989B}"/>
    <cellStyle name="常规 31 3 3" xfId="5069" xr:uid="{F8708CA6-70A6-42AB-92BC-75E38E2A9240}"/>
    <cellStyle name="常规 31 3 3 2" xfId="5070" xr:uid="{D003B3ED-0900-4266-AA8A-08B33FA7022C}"/>
    <cellStyle name="常规 31 3 4" xfId="5071" xr:uid="{CB8B7949-A270-440F-BE77-65A743ECC876}"/>
    <cellStyle name="常规 31 4" xfId="5072" xr:uid="{4709C527-0E0E-4CF9-9CA3-BAA2801D4668}"/>
    <cellStyle name="常规 31 4 2" xfId="5073" xr:uid="{E1E8176E-D247-4F45-8A18-D8F061B95D89}"/>
    <cellStyle name="常规 31 4 2 2" xfId="5074" xr:uid="{06E5BAF9-0F56-4CFB-8FB9-4857252D45EF}"/>
    <cellStyle name="常规 31 4 3" xfId="5075" xr:uid="{63387F42-7A79-4ACD-A4F5-CCFBA8B97317}"/>
    <cellStyle name="常规 31 5" xfId="5076" xr:uid="{05BBB80E-ABFA-468F-82BA-51BAE8ACAE15}"/>
    <cellStyle name="常规 31 5 2" xfId="5077" xr:uid="{2A0A48F8-34F1-4162-8F7E-FF83790A7B78}"/>
    <cellStyle name="常规 31 6" xfId="5078" xr:uid="{87C25EEB-DD3B-4ECA-96F4-CB0E4EDE0FFC}"/>
    <cellStyle name="常规 32" xfId="5079" xr:uid="{DCD9564D-1EEB-4D9E-A984-5801C7663BD1}"/>
    <cellStyle name="常规 33" xfId="5080" xr:uid="{F9D3EF55-7810-47CB-8C3F-6DFBF574DDCD}"/>
    <cellStyle name="常规 33 2" xfId="5081" xr:uid="{3888782F-53C7-4FCA-8890-CAC67A869C95}"/>
    <cellStyle name="常规 33 2 2" xfId="5082" xr:uid="{51BEA115-4DCF-48D6-B160-F9CCF7297AD8}"/>
    <cellStyle name="常规 33 2 2 2" xfId="5083" xr:uid="{D4EBD540-70D0-446C-B8D9-39E221B6C3BF}"/>
    <cellStyle name="常规 33 2 2 2 2" xfId="5084" xr:uid="{812BF8BD-185C-4FAC-A330-34998D9C9B1D}"/>
    <cellStyle name="常规 33 2 2 3" xfId="5085" xr:uid="{D1A25C19-B939-40F6-9EAF-C99B9B4C6AE1}"/>
    <cellStyle name="常规 33 2 3" xfId="5086" xr:uid="{393F44CB-FD0A-4BFB-BA0E-7AD936E8E2E6}"/>
    <cellStyle name="常规 33 2 3 2" xfId="5087" xr:uid="{CB57A858-0ACD-4281-B71E-1020BEE699D9}"/>
    <cellStyle name="常规 33 2 4" xfId="5088" xr:uid="{9C2E23E8-8EA8-4C71-907A-5E78F4843F77}"/>
    <cellStyle name="常规 33 3" xfId="5089" xr:uid="{62A5EF54-83AB-477A-ADC7-05809FCB031E}"/>
    <cellStyle name="常规 33 3 2" xfId="5090" xr:uid="{BFE481DE-A89E-4BA1-AED7-07EFCE7BA65E}"/>
    <cellStyle name="常规 33 3 2 2" xfId="5091" xr:uid="{088F817A-4532-44B1-8324-206226ECFD72}"/>
    <cellStyle name="常规 33 3 3" xfId="5092" xr:uid="{B0465337-7018-42A4-BA58-D6F8F2DC1E29}"/>
    <cellStyle name="常规 33 4" xfId="5093" xr:uid="{CD16F8D8-AC51-4806-A90B-00BBC62E2A82}"/>
    <cellStyle name="常规 33 4 2" xfId="5094" xr:uid="{993D29A0-1CD5-4F52-96E1-F9F4E2C7FA4F}"/>
    <cellStyle name="常规 33 5" xfId="5095" xr:uid="{8ACC4DC1-2C8D-4BCF-A164-E5B092BF2269}"/>
    <cellStyle name="常规 34" xfId="5096" xr:uid="{08E479F7-24A9-468A-B48B-439CC1DFEBFB}"/>
    <cellStyle name="常规 34 2" xfId="5097" xr:uid="{23BE47C9-8863-4DCA-8C40-30D3068700E5}"/>
    <cellStyle name="常规 34 2 2" xfId="5098" xr:uid="{EE4100B9-2C53-4FA4-92E9-1B11D7642617}"/>
    <cellStyle name="常规 34 2 2 2" xfId="5099" xr:uid="{02B3D1EB-FA86-40B2-97C7-D2BAAD471721}"/>
    <cellStyle name="常规 34 2 2 2 2" xfId="5100" xr:uid="{B9E077D8-C8D9-47A1-906B-8E2799A66189}"/>
    <cellStyle name="常规 34 2 2 3" xfId="5101" xr:uid="{B9FBF6F9-0137-4862-B002-A5E45BCCBD6E}"/>
    <cellStyle name="常规 34 2 3" xfId="5102" xr:uid="{5A6F2835-7B8E-4BBA-BF71-C71078F2617C}"/>
    <cellStyle name="常规 34 2 3 2" xfId="5103" xr:uid="{279F4C2C-CA23-4FE5-AC7B-3A97058BD0F5}"/>
    <cellStyle name="常规 34 2 4" xfId="5104" xr:uid="{80004A89-5E8D-428A-8C2B-8EEC48214DE7}"/>
    <cellStyle name="常规 34 3" xfId="5105" xr:uid="{DFE1C7D3-4343-4CF9-86D1-76EB474B5F01}"/>
    <cellStyle name="常规 34 3 2" xfId="5106" xr:uid="{8891CCB5-EA42-4027-8B62-5E4542C31B95}"/>
    <cellStyle name="常规 34 3 2 2" xfId="5107" xr:uid="{D79FBF3A-1CEE-4B61-8803-C3FBD8F6C385}"/>
    <cellStyle name="常规 34 3 3" xfId="5108" xr:uid="{D9EF103A-FF3A-426F-AE08-61D246F333E8}"/>
    <cellStyle name="常规 34 4" xfId="5109" xr:uid="{FD1E94FD-3200-453D-9086-634DA85ED4C7}"/>
    <cellStyle name="常规 34 4 2" xfId="5110" xr:uid="{B7661DEE-DAB7-41BB-AA83-A675C589569E}"/>
    <cellStyle name="常规 34 5" xfId="5111" xr:uid="{B4725A8F-F376-48B9-942C-FC2CDEE95D8F}"/>
    <cellStyle name="常规 35" xfId="5112" xr:uid="{FB4353AC-224D-4B17-B28A-11B7243487A8}"/>
    <cellStyle name="常规 35 2" xfId="5113" xr:uid="{08AB7004-8057-41A3-AB96-2923B847643D}"/>
    <cellStyle name="常规 35 2 2" xfId="5114" xr:uid="{BC198423-323B-4630-A6E8-7F2EF1EB8FCC}"/>
    <cellStyle name="常规 35 2 2 2" xfId="5115" xr:uid="{4CE82069-A323-4E45-88FB-A3499A6EC9F0}"/>
    <cellStyle name="常规 35 2 2 2 2" xfId="5116" xr:uid="{32A7A9F8-4A5D-44D0-BA0D-1B9EE5E9528F}"/>
    <cellStyle name="常规 35 2 2 3" xfId="5117" xr:uid="{1D302E35-2DC8-4434-BCF0-840422E33523}"/>
    <cellStyle name="常规 35 2 3" xfId="5118" xr:uid="{83523864-FB4F-48EB-9538-8F6E95EE5CB5}"/>
    <cellStyle name="常规 35 2 3 2" xfId="5119" xr:uid="{938305F4-74FD-4AEE-8FBD-373C795BB264}"/>
    <cellStyle name="常规 35 2 4" xfId="5120" xr:uid="{8176EE94-409A-437F-836A-EE02FFF75001}"/>
    <cellStyle name="常规 35 3" xfId="5121" xr:uid="{A4FDADF8-E971-470C-9B2D-AE588DC0F918}"/>
    <cellStyle name="常规 35 3 2" xfId="5122" xr:uid="{4BBD34EA-FDFB-41FE-844C-7A6DF4BD4EBF}"/>
    <cellStyle name="常规 35 3 2 2" xfId="5123" xr:uid="{B48D2DFE-2C1D-483E-9BF6-0B92B972EF09}"/>
    <cellStyle name="常规 35 3 3" xfId="5124" xr:uid="{CE2815EA-F132-48BC-A29B-B597B120F280}"/>
    <cellStyle name="常规 35 4" xfId="5125" xr:uid="{E6C5C76E-CD9D-4321-9F6C-543A4261B2FF}"/>
    <cellStyle name="常规 35 4 2" xfId="5126" xr:uid="{44C12BA6-0E7F-443A-9266-2E8E5B6A7511}"/>
    <cellStyle name="常规 35 5" xfId="5127" xr:uid="{441A4403-3B54-4676-A82A-39EAD9330AB0}"/>
    <cellStyle name="常规 36" xfId="5128" xr:uid="{C1236E48-D8FB-48F9-9931-80313B057612}"/>
    <cellStyle name="常规 37" xfId="5129" xr:uid="{98FF1D33-D7C4-4574-A134-5465FC1F5FDB}"/>
    <cellStyle name="常规 37 2" xfId="5130" xr:uid="{F826EBB2-3EFD-4BF0-AEBD-5E8123DAD8E3}"/>
    <cellStyle name="常规 37 2 2" xfId="5131" xr:uid="{EA38BB35-42DA-4B1E-8587-46E1151D745B}"/>
    <cellStyle name="常规 37 2 2 2" xfId="5132" xr:uid="{6F0D16F2-F49A-4B4B-BFA2-FE0D02A7C68D}"/>
    <cellStyle name="常规 37 2 3" xfId="5133" xr:uid="{EDF4CFD7-1EC8-4FD6-8FF9-B6DDB7D03A1A}"/>
    <cellStyle name="常规 37 3" xfId="5134" xr:uid="{E1017666-8E79-45F7-95F6-347612FC0F8F}"/>
    <cellStyle name="常规 37 3 2" xfId="5135" xr:uid="{F7130526-6F25-4C8A-A988-5A9DF0F5630A}"/>
    <cellStyle name="常规 37 4" xfId="5136" xr:uid="{AB99F0D8-57D4-4871-BCB6-F4DFA6A3B018}"/>
    <cellStyle name="常规 38" xfId="5137" xr:uid="{C11F4852-6FDB-4403-B5E5-520493A030ED}"/>
    <cellStyle name="常规 38 2" xfId="5138" xr:uid="{B35C0EDE-E1A1-43AE-AE0A-70B954E513F8}"/>
    <cellStyle name="常规 38 2 2" xfId="5139" xr:uid="{C2B4D44C-E1F3-4C13-B99A-960DCA9F0FA8}"/>
    <cellStyle name="常规 38 2 2 2" xfId="5140" xr:uid="{441B9665-765D-4C3D-9F31-CDC6FAF5D831}"/>
    <cellStyle name="常规 38 2 3" xfId="5141" xr:uid="{1DAB822F-774F-4026-8ADC-C9E796289377}"/>
    <cellStyle name="常规 38 3" xfId="5142" xr:uid="{6C31F63A-7AB4-46B5-985C-2E8F173676B3}"/>
    <cellStyle name="常规 38 3 2" xfId="5143" xr:uid="{03FA8FA2-C63B-4349-B26F-0CC1242121E0}"/>
    <cellStyle name="常规 38 4" xfId="5144" xr:uid="{8041FDF5-C041-4525-BDBE-D036149826C6}"/>
    <cellStyle name="常规 39" xfId="5145" xr:uid="{C5D0CAE3-A794-44FE-8518-588398D327D5}"/>
    <cellStyle name="常规 4" xfId="5146" xr:uid="{593320D8-9F46-4311-B155-88606AE3E3D9}"/>
    <cellStyle name="常规 4 2" xfId="5147" xr:uid="{B32D3573-37B7-407C-98E7-565CC747BCF5}"/>
    <cellStyle name="常规 4 2 2" xfId="5148" xr:uid="{B7617ADF-A1AC-4308-8C4F-07A2D7D7CF26}"/>
    <cellStyle name="常规 4 3" xfId="5149" xr:uid="{35D278EA-2023-4D29-A3E1-E2184E5DFE51}"/>
    <cellStyle name="常规 4 3 2" xfId="5150" xr:uid="{238794D1-A5DF-47AF-8A33-C833226162BA}"/>
    <cellStyle name="常规 4 4" xfId="5151" xr:uid="{AD4FDBD3-8BD3-49B3-A666-8C80D21E506D}"/>
    <cellStyle name="常规 4 4 2" xfId="5152" xr:uid="{10D2A465-AC56-4B30-8E81-FB61D6EBA919}"/>
    <cellStyle name="常规 4 5" xfId="5153" xr:uid="{8A377FAF-1D93-408B-AD62-80E241BBC126}"/>
    <cellStyle name="常规 4 5 2" xfId="5154" xr:uid="{93238BC9-FFD5-4A5C-9F9A-8CA1BE4D24E1}"/>
    <cellStyle name="常规 4 6" xfId="5155" xr:uid="{70EC92AE-B674-4497-9E76-5B866A72273D}"/>
    <cellStyle name="常规 4 7" xfId="5156" xr:uid="{D7D18977-B4FE-4038-AAAA-239C95A0204B}"/>
    <cellStyle name="常规 4 8" xfId="5157" xr:uid="{D0056AA4-54FE-42B6-BAF8-94DF11F71EEC}"/>
    <cellStyle name="常规 4_财务汇总(周报)" xfId="5158" xr:uid="{45EA158B-0438-4680-8913-38675BE1E72A}"/>
    <cellStyle name="常规 40" xfId="5159" xr:uid="{D58F17C5-7390-4CA9-840A-7C7047F13D35}"/>
    <cellStyle name="常规 40 2" xfId="5160" xr:uid="{97739A94-5958-4BCD-A24A-CE6D600982CE}"/>
    <cellStyle name="常规 40 2 2" xfId="5161" xr:uid="{EC75E4FC-8D60-48FB-9909-14E5D1EB1C23}"/>
    <cellStyle name="常规 40 3" xfId="5162" xr:uid="{B689FFD8-6453-43E3-A391-910835E67A51}"/>
    <cellStyle name="常规 41" xfId="5163" xr:uid="{830C7CA0-48DC-447E-85EE-1B0976B947DF}"/>
    <cellStyle name="常规 42" xfId="5164" xr:uid="{5E4DAEEB-5E8C-4CD4-993F-222C2A5B9150}"/>
    <cellStyle name="常规 42 2" xfId="5165" xr:uid="{2CFD65B6-AD80-44BF-AD4E-8DA8648E8EEC}"/>
    <cellStyle name="常规 43" xfId="5166" xr:uid="{A30C79BA-4624-4F58-AC7B-962FA2972093}"/>
    <cellStyle name="常规 44" xfId="5167" xr:uid="{EA710955-1A68-40C7-9195-420A3BF07229}"/>
    <cellStyle name="常规 5" xfId="5168" xr:uid="{2BDCC947-4942-4E4F-B7F2-D4E55109AFD0}"/>
    <cellStyle name="常规 6" xfId="5169" xr:uid="{E8BEC7A0-C566-4152-96FC-CA1A03B3157B}"/>
    <cellStyle name="常规 7" xfId="5170" xr:uid="{C3FE4689-01F9-435D-874C-7A46B4869367}"/>
    <cellStyle name="常规 8" xfId="5171" xr:uid="{FE71EE29-38C6-4EB9-8156-E477D3F25977}"/>
    <cellStyle name="常规 9" xfId="5172" xr:uid="{B7AD6371-FC64-4A0A-93D4-010DCABE2406}"/>
    <cellStyle name="常规_BH cash and bank balance_07.26.2004_每周国内财务汇总090703New 2" xfId="14" xr:uid="{33AA1801-23E4-4E0C-B891-996E530D4C2A}"/>
    <cellStyle name="百分比 10" xfId="2158" xr:uid="{B3304458-C0F9-43E6-A8FD-24132CFF73C6}"/>
    <cellStyle name="百分比 11" xfId="2159" xr:uid="{29A870B7-5D11-457E-8D1F-04079AF3DE13}"/>
    <cellStyle name="百分比 12" xfId="2160" xr:uid="{9FE23C75-308C-41A7-8C8E-F1218FC76E40}"/>
    <cellStyle name="百分比 13" xfId="2161" xr:uid="{5B530654-3BBE-4D84-BF23-760C997BBA85}"/>
    <cellStyle name="百分比 14" xfId="2162" xr:uid="{9690EC25-73C2-4ABA-BEFB-C25EC18EB668}"/>
    <cellStyle name="百分比 15" xfId="2163" xr:uid="{B53619C8-FBF6-4A2B-A8B6-78FACBCEC9EE}"/>
    <cellStyle name="百分比 16" xfId="2164" xr:uid="{569246E8-C094-4A9E-89F1-2E8708AE970E}"/>
    <cellStyle name="百分比 2" xfId="2165" xr:uid="{64E2AC82-EB5A-4449-A4E8-338AEAF09D81}"/>
    <cellStyle name="百分比 2 2" xfId="2166" xr:uid="{3A1286A4-EDCE-4C3E-95EC-89773DF6EBC8}"/>
    <cellStyle name="百分比 2 2 2" xfId="2167" xr:uid="{A7F0FE2E-96A7-4C42-B11A-76342C77542B}"/>
    <cellStyle name="百分比 3" xfId="2168" xr:uid="{58058B54-9B29-40D8-92D6-2AAFFC56ECA2}"/>
    <cellStyle name="百分比 4" xfId="2169" xr:uid="{53B83B32-A9D2-4134-8EB3-ECCB3B03FA80}"/>
    <cellStyle name="百分比 5" xfId="2170" xr:uid="{1088FEDC-5006-415F-B0A0-B884E92DB81E}"/>
    <cellStyle name="百分比 6" xfId="2171" xr:uid="{1B41BDF0-C38F-4417-9644-6B9374C59728}"/>
    <cellStyle name="百分比 7" xfId="2172" xr:uid="{F5045F3B-27BC-4EB9-B8A8-706846952BDD}"/>
    <cellStyle name="百分比 8" xfId="2173" xr:uid="{28048B8F-790B-4E10-A6BB-3EAC7F85D63A}"/>
    <cellStyle name="百分比 9" xfId="2174" xr:uid="{5747DF28-C5C3-4791-B2DC-3074A70A166A}"/>
    <cellStyle name="货币 2" xfId="5272" xr:uid="{C5210015-A1B2-46B4-8229-4864DDE0EAC0}"/>
    <cellStyle name="货币 2 2" xfId="5273" xr:uid="{1596138C-0168-44C9-9694-5636BECE091C}"/>
    <cellStyle name="货币 2 2 2" xfId="5274" xr:uid="{ABD69CE8-C0D7-4515-B55A-D84679AD6F07}"/>
    <cellStyle name="货币 2 2 2 2" xfId="5275" xr:uid="{3DDF1129-ED18-48E6-9043-502944A3ACEE}"/>
    <cellStyle name="货币 2 2 3" xfId="5276" xr:uid="{8BC7E8DC-1222-4EB6-8886-CA48B576EC0D}"/>
    <cellStyle name="货币 2 2 3 2" xfId="5277" xr:uid="{2EEBF18B-FB81-4564-A999-790CC34EF215}"/>
    <cellStyle name="货币 2 3" xfId="5278" xr:uid="{3A0FF4E9-CBB8-4B26-82CB-1D924B8B1094}"/>
    <cellStyle name="货币 2 3 2" xfId="5279" xr:uid="{2B2EF2BC-6899-4A6D-A06C-61EBE8FCC544}"/>
    <cellStyle name="货币 2 4" xfId="5280" xr:uid="{E681C495-A824-496C-B857-B32F551455B6}"/>
    <cellStyle name="货币 2 4 2" xfId="5281" xr:uid="{8CA4959F-1CD5-40F3-919E-72B3D6DD4A20}"/>
    <cellStyle name="货币 3" xfId="5282" xr:uid="{1FC19524-2EF6-4539-A77D-D11E5F97C03C}"/>
    <cellStyle name="货币 3 2" xfId="5283" xr:uid="{997B58FE-4808-4160-8161-40BF0B78B7FF}"/>
    <cellStyle name="货币 3 2 2" xfId="5284" xr:uid="{8B015D82-B62F-4496-8762-C2F09ADCD7C3}"/>
    <cellStyle name="货币 3 3" xfId="5285" xr:uid="{50AEBCBE-16DD-44E4-B2B7-84DCAE0AF6F4}"/>
    <cellStyle name="货币 3 3 2" xfId="5286" xr:uid="{5B2E5367-45CF-4A4C-89DA-16E7D6F266D6}"/>
    <cellStyle name="货币 4" xfId="5287" xr:uid="{6A4ECAD7-B8B2-45D9-8929-7D579E8B2FF0}"/>
    <cellStyle name="货币 4 2" xfId="5288" xr:uid="{6318F40F-8562-408D-9791-57080F82C430}"/>
    <cellStyle name="货币 4 2 2" xfId="5289" xr:uid="{C49A42D3-29AA-4E95-B365-0EF92F391686}"/>
    <cellStyle name="货币 4 3" xfId="5290" xr:uid="{B8967DA6-CB24-42F2-9DF0-7690C345030A}"/>
    <cellStyle name="货币 4 3 2" xfId="5291" xr:uid="{6F3A348F-AFDC-4849-9FCD-84BA0A489870}"/>
    <cellStyle name="超链接 2" xfId="5173" xr:uid="{7CD36E1F-A2F4-414F-A1F0-D43CAC0FFD6D}"/>
  </cellStyles>
  <dxfs count="172">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s>
  <tableStyles count="0" defaultTableStyle="TableStyleMedium2" defaultPivotStyle="PivotStyleLight16"/>
  <colors>
    <mruColors>
      <color rgb="FF0000FA"/>
      <color rgb="FFFFFFCC"/>
      <color rgb="FFFFCCFF"/>
      <color rgb="FF00B0F0"/>
      <color rgb="FF00FFFF"/>
      <color rgb="FF4471BA"/>
      <color rgb="FFF6FCAA"/>
      <color rgb="FFB3F7E7"/>
      <color rgb="FFFFCCCC"/>
      <color rgb="FF9FF5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5.xml"/><Relationship Id="rId50" Type="http://schemas.openxmlformats.org/officeDocument/2006/relationships/sharedStrings" Target="sharedString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theme" Target="theme/theme1.xml"/><Relationship Id="rId56"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 Fund Portfolio (US$MM)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#REF!</c15:sqref>
                        </c15:formulaRef>
                      </c:ext>
                    </c:extLst>
                  </c:strRef>
                </c15:cat>
              </c15:filteredCategoryTitle>
            </c:ext>
            <c:ext xmlns:c16="http://schemas.microsoft.com/office/drawing/2014/chart" uri="{C3380CC4-5D6E-409C-BE32-E72D297353CC}">
              <c16:uniqueId val="{00000000-1686-431D-84B2-94F1A07ECBE1}"/>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#REF!</c15:sqref>
                        </c15:formulaRef>
                      </c:ext>
                    </c:extLst>
                  </c:strRef>
                </c15:cat>
              </c15:filteredCategoryTitle>
            </c:ext>
            <c:ext xmlns:c16="http://schemas.microsoft.com/office/drawing/2014/chart" uri="{C3380CC4-5D6E-409C-BE32-E72D297353CC}">
              <c16:uniqueId val="{00000001-1686-431D-84B2-94F1A07ECBE1}"/>
            </c:ext>
          </c:extLst>
        </c:ser>
        <c:ser>
          <c:idx val="2"/>
          <c:order val="2"/>
          <c:spPr>
            <a:solidFill>
              <a:schemeClr val="accent3"/>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#REF!</c15:sqref>
                        </c15:formulaRef>
                      </c:ext>
                    </c:extLst>
                  </c:strRef>
                </c15:cat>
              </c15:filteredCategoryTitle>
            </c:ext>
            <c:ext xmlns:c16="http://schemas.microsoft.com/office/drawing/2014/chart" uri="{C3380CC4-5D6E-409C-BE32-E72D297353CC}">
              <c16:uniqueId val="{00000009-1686-431D-84B2-94F1A07ECBE1}"/>
            </c:ext>
          </c:extLst>
        </c:ser>
        <c:dLbls>
          <c:showLegendKey val="0"/>
          <c:showVal val="0"/>
          <c:showCatName val="0"/>
          <c:showSerName val="0"/>
          <c:showPercent val="0"/>
          <c:showBubbleSize val="0"/>
        </c:dLbls>
        <c:gapWidth val="50"/>
        <c:overlap val="100"/>
        <c:axId val="1232252944"/>
        <c:axId val="1232251984"/>
      </c:barChart>
      <c:lineChart>
        <c:grouping val="standard"/>
        <c:varyColors val="0"/>
        <c:ser>
          <c:idx val="3"/>
          <c:order val="3"/>
          <c:spPr>
            <a:ln w="28575" cap="rnd">
              <a:solidFill>
                <a:schemeClr val="accent4"/>
              </a:solidFill>
              <a:round/>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#REF!</c15:sqref>
                        </c15:formulaRef>
                      </c:ext>
                    </c:extLst>
                  </c:strRef>
                </c15:cat>
              </c15:filteredCategoryTitle>
            </c:ext>
            <c:ext xmlns:c16="http://schemas.microsoft.com/office/drawing/2014/chart" uri="{C3380CC4-5D6E-409C-BE32-E72D297353CC}">
              <c16:uniqueId val="{0000000B-1686-431D-84B2-94F1A07ECBE1}"/>
            </c:ext>
          </c:extLst>
        </c:ser>
        <c:dLbls>
          <c:showLegendKey val="0"/>
          <c:showVal val="0"/>
          <c:showCatName val="0"/>
          <c:showSerName val="0"/>
          <c:showPercent val="0"/>
          <c:showBubbleSize val="0"/>
        </c:dLbls>
        <c:marker val="1"/>
        <c:smooth val="0"/>
        <c:axId val="1551598688"/>
        <c:axId val="48148495"/>
      </c:lineChart>
      <c:catAx>
        <c:axId val="123225294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251984"/>
        <c:crosses val="autoZero"/>
        <c:auto val="1"/>
        <c:lblAlgn val="ctr"/>
        <c:lblOffset val="100"/>
        <c:noMultiLvlLbl val="0"/>
      </c:catAx>
      <c:valAx>
        <c:axId val="1232251984"/>
        <c:scaling>
          <c:orientation val="minMax"/>
          <c:max val="120000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252944"/>
        <c:crosses val="autoZero"/>
        <c:crossBetween val="between"/>
      </c:valAx>
      <c:valAx>
        <c:axId val="48148495"/>
        <c:scaling>
          <c:orientation val="minMax"/>
          <c:max val="1100000000"/>
          <c:min val="-100000000"/>
        </c:scaling>
        <c:delete val="1"/>
        <c:axPos val="r"/>
        <c:numFmt formatCode="General" sourceLinked="1"/>
        <c:majorTickMark val="out"/>
        <c:minorTickMark val="none"/>
        <c:tickLblPos val="nextTo"/>
        <c:crossAx val="1551598688"/>
        <c:crosses val="max"/>
        <c:crossBetween val="between"/>
        <c:majorUnit val="200000000"/>
      </c:valAx>
      <c:catAx>
        <c:axId val="1551598688"/>
        <c:scaling>
          <c:orientation val="minMax"/>
        </c:scaling>
        <c:delete val="1"/>
        <c:axPos val="b"/>
        <c:numFmt formatCode="General" sourceLinked="1"/>
        <c:majorTickMark val="out"/>
        <c:minorTickMark val="none"/>
        <c:tickLblPos val="nextTo"/>
        <c:crossAx val="48148495"/>
        <c:crossesAt val="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 Investments Portfolio (US$MM)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#REF!</c15:sqref>
                        </c15:formulaRef>
                      </c:ext>
                    </c:extLst>
                  </c:strRef>
                </c15:cat>
              </c15:filteredCategoryTitle>
            </c:ext>
            <c:ext xmlns:c16="http://schemas.microsoft.com/office/drawing/2014/chart" uri="{C3380CC4-5D6E-409C-BE32-E72D297353CC}">
              <c16:uniqueId val="{00000000-2BC5-451D-AA36-CDEC6C1AA248}"/>
            </c:ext>
          </c:extLst>
        </c:ser>
        <c: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#REF!</c15:sqref>
                        </c15:formulaRef>
                      </c:ext>
                    </c:extLst>
                  </c:strRef>
                </c15:cat>
              </c15:filteredCategoryTitle>
            </c:ext>
            <c:ext xmlns:c16="http://schemas.microsoft.com/office/drawing/2014/chart" uri="{C3380CC4-5D6E-409C-BE32-E72D297353CC}">
              <c16:uniqueId val="{00000001-2BC5-451D-AA36-CDEC6C1AA248}"/>
            </c:ext>
          </c:extLst>
        </c:ser>
        <c:ser>
          <c:idx val="2"/>
          <c:order val="2"/>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#REF!</c15:sqref>
                        </c15:formulaRef>
                      </c:ext>
                    </c:extLst>
                  </c:strRef>
                </c15:cat>
              </c15:filteredCategoryTitle>
            </c:ext>
            <c:ext xmlns:c16="http://schemas.microsoft.com/office/drawing/2014/chart" uri="{C3380CC4-5D6E-409C-BE32-E72D297353CC}">
              <c16:uniqueId val="{00000009-2BC5-451D-AA36-CDEC6C1AA248}"/>
            </c:ext>
          </c:extLst>
        </c:ser>
        <c:dLbls>
          <c:dLblPos val="ctr"/>
          <c:showLegendKey val="0"/>
          <c:showVal val="1"/>
          <c:showCatName val="0"/>
          <c:showSerName val="0"/>
          <c:showPercent val="0"/>
          <c:showBubbleSize val="0"/>
        </c:dLbls>
        <c:gapWidth val="50"/>
        <c:overlap val="100"/>
        <c:axId val="1232252944"/>
        <c:axId val="1232251984"/>
      </c:barChart>
      <c:lineChart>
        <c:grouping val="standard"/>
        <c:varyColors val="0"/>
        <c:ser>
          <c:idx val="3"/>
          <c:order val="3"/>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#REF!</c15:sqref>
                        </c15:formulaRef>
                      </c:ext>
                    </c:extLst>
                  </c:strRef>
                </c15:cat>
              </c15:filteredCategoryTitle>
            </c:ext>
            <c:ext xmlns:c16="http://schemas.microsoft.com/office/drawing/2014/chart" uri="{C3380CC4-5D6E-409C-BE32-E72D297353CC}">
              <c16:uniqueId val="{0000000A-2BC5-451D-AA36-CDEC6C1AA248}"/>
            </c:ext>
          </c:extLst>
        </c:ser>
        <c:dLbls>
          <c:dLblPos val="ctr"/>
          <c:showLegendKey val="0"/>
          <c:showVal val="1"/>
          <c:showCatName val="0"/>
          <c:showSerName val="0"/>
          <c:showPercent val="0"/>
          <c:showBubbleSize val="0"/>
        </c:dLbls>
        <c:marker val="1"/>
        <c:smooth val="0"/>
        <c:axId val="285874671"/>
        <c:axId val="285877071"/>
      </c:lineChart>
      <c:catAx>
        <c:axId val="123225294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251984"/>
        <c:crosses val="autoZero"/>
        <c:auto val="1"/>
        <c:lblAlgn val="ctr"/>
        <c:lblOffset val="100"/>
        <c:noMultiLvlLbl val="0"/>
      </c:catAx>
      <c:valAx>
        <c:axId val="1232251984"/>
        <c:scaling>
          <c:orientation val="minMax"/>
          <c:max val="1500000000"/>
          <c:min val="-5000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252944"/>
        <c:crosses val="autoZero"/>
        <c:crossBetween val="between"/>
      </c:valAx>
      <c:valAx>
        <c:axId val="285877071"/>
        <c:scaling>
          <c:orientation val="minMax"/>
          <c:max val="400000000"/>
          <c:min val="-50000000"/>
        </c:scaling>
        <c:delete val="1"/>
        <c:axPos val="r"/>
        <c:numFmt formatCode="General" sourceLinked="1"/>
        <c:majorTickMark val="out"/>
        <c:minorTickMark val="none"/>
        <c:tickLblPos val="nextTo"/>
        <c:crossAx val="285874671"/>
        <c:crosses val="max"/>
        <c:crossBetween val="between"/>
      </c:valAx>
      <c:catAx>
        <c:axId val="285874671"/>
        <c:scaling>
          <c:orientation val="minMax"/>
        </c:scaling>
        <c:delete val="1"/>
        <c:axPos val="b"/>
        <c:numFmt formatCode="General" sourceLinked="1"/>
        <c:majorTickMark val="out"/>
        <c:minorTickMark val="none"/>
        <c:tickLblPos val="nextTo"/>
        <c:crossAx val="28587707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69</xdr:col>
      <xdr:colOff>0</xdr:colOff>
      <xdr:row>3</xdr:row>
      <xdr:rowOff>0</xdr:rowOff>
    </xdr:from>
    <xdr:to>
      <xdr:col>79</xdr:col>
      <xdr:colOff>276226</xdr:colOff>
      <xdr:row>27</xdr:row>
      <xdr:rowOff>9525</xdr:rowOff>
    </xdr:to>
    <xdr:graphicFrame macro="">
      <xdr:nvGraphicFramePr>
        <xdr:cNvPr id="2" name="Chart 1">
          <a:extLst>
            <a:ext uri="{FF2B5EF4-FFF2-40B4-BE49-F238E27FC236}">
              <a16:creationId xmlns:a16="http://schemas.microsoft.com/office/drawing/2014/main" id="{DCFDFA80-BCEB-4ECD-AF84-0EB85C009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69</xdr:col>
      <xdr:colOff>1</xdr:colOff>
      <xdr:row>30</xdr:row>
      <xdr:rowOff>38100</xdr:rowOff>
    </xdr:from>
    <xdr:to>
      <xdr:col>79</xdr:col>
      <xdr:colOff>276227</xdr:colOff>
      <xdr:row>54</xdr:row>
      <xdr:rowOff>104775</xdr:rowOff>
    </xdr:to>
    <xdr:graphicFrame macro="">
      <xdr:nvGraphicFramePr>
        <xdr:cNvPr id="3" name="Chart 2">
          <a:extLst>
            <a:ext uri="{FF2B5EF4-FFF2-40B4-BE49-F238E27FC236}">
              <a16:creationId xmlns:a16="http://schemas.microsoft.com/office/drawing/2014/main" id="{0CF77588-E2F5-4F73-8882-42E74AC5B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ch33com-my.sharepoint.com/personal/kvc_ach33_com/Documents/SG/VERDANT%20ASSET%20MANAGEMENT/Financial%20Management/Financial%20Planning/20241102%20VAM_KIL%20Dashboard%20v3.xlsx" TargetMode="External"/><Relationship Id="rId1" Type="http://schemas.openxmlformats.org/officeDocument/2006/relationships/externalLinkPath" Target="file:///C:\personal\kvc_ach33_com\Documents\SG\VERDANT%20ASSET%20MANAGEMENT\Financial%20Management\Financial%20Planning\20241102%20VAM_KIL%20Dashboard%20v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genedant-my.sharepoint.com/personal/marcus_put_genedant_com/Documents/Desktop/Portfolio%20Review/April%202025/Excel/2025%20VAM%20Investment%20Summary_v0128_vMP%20rider.xlsx" TargetMode="External"/><Relationship Id="rId1" Type="http://schemas.openxmlformats.org/officeDocument/2006/relationships/externalLinkPath" Target="file:///C:\Users\jonathanhung\Downloads\2025%20VAM%20Investment%20Summary_v0128_vMP%20ride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genedant-my.sharepoint.com/personal/marcus_put_genedant_com/Documents/Desktop/Portfolio%20Review/April%202025/Excel/2025%20VAM%20Investment%20Summary_v0127_vMP%20rider.xlsx" TargetMode="External"/><Relationship Id="rId1" Type="http://schemas.openxmlformats.org/officeDocument/2006/relationships/externalLinkPath" Target="file:///C:\personal\marcus_put_genedant_com\Documents\Desktop\Portfolio%20Review\April%202025\Excel\2025%20VAM%20Investment%20Summary_v0127_vMP%20rider.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genedant-my.sharepoint.com/personal/marcus_put_genedant_com/Documents/Desktop/Portfolio%20Review/April%202025/FY2025%20-%20Budget,%20Cashflow%20-%20VCH%20(To%20Roy)%20-%2006062025.xlsx" TargetMode="External"/><Relationship Id="rId1" Type="http://schemas.openxmlformats.org/officeDocument/2006/relationships/externalLinkPath" Target="file:///C:\personal\marcus_put_genedant_com\Documents\Desktop\Portfolio%20Review\April%202025\FY2025%20-%20Budget,%20Cashflow%20-%20VCH%20(To%20Roy)%20-%2006062025.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genedant-my.sharepoint.com/personal/marcus_put_genedant_com/Documents/Desktop/Portfolio%20Review/April%202025/Excel/KIL%20Investment%20Summary_202412_vMP.xlsx" TargetMode="External"/><Relationship Id="rId1" Type="http://schemas.openxmlformats.org/officeDocument/2006/relationships/externalLinkPath" Target="file:///C:\Users\jonathanhung\Downloads\KIL%20Investment%20Summary_202412_vM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 Covenant Assessment"/>
      <sheetName val="Dashboard"/>
      <sheetName val="Cashflow Forecast"/>
      <sheetName val="Cash flow forecast"/>
      <sheetName val="Operating Cashflow sample"/>
      <sheetName val="Repayment Schedule"/>
      <sheetName val="Loan Summary"/>
      <sheetName val="Liability Analysis"/>
      <sheetName val="1"/>
      <sheetName val="2"/>
      <sheetName val="Consol"/>
      <sheetName val="2408"/>
      <sheetName val="FVTPL 6'24"/>
      <sheetName val="2405"/>
      <sheetName val="2404"/>
      <sheetName val="2403"/>
      <sheetName val="23Q4SSS"/>
      <sheetName val="2402"/>
      <sheetName val="2401"/>
      <sheetName val="23Q4 SS"/>
      <sheetName val="FY23"/>
      <sheetName val="2309"/>
      <sheetName val="2305"/>
      <sheetName val="2304"/>
      <sheetName val="2303"/>
      <sheetName val="FY22"/>
      <sheetName val="3-4SS"/>
      <sheetName val="3-4"/>
      <sheetName val="Identifier"/>
      <sheetName val="Ex rate"/>
      <sheetName val="Workings for investment"/>
      <sheetName val="FVTPL (2020)"/>
      <sheetName val="FVTPL (2021)"/>
      <sheetName val="FVTPL (2022)"/>
      <sheetName val="5"/>
      <sheetName val="Loan repayment"/>
      <sheetName val="Cash outflows"/>
      <sheetName val="5ss"/>
      <sheetName val="6ss"/>
      <sheetName val="Principal"/>
      <sheetName val="Principal (1)"/>
    </sheetNames>
    <sheetDataSet>
      <sheetData sheetId="0"/>
      <sheetData sheetId="1">
        <row r="7">
          <cell r="AK7" t="str">
            <v>Real Estate</v>
          </cell>
        </row>
        <row r="28">
          <cell r="T28" t="str">
            <v>Net Change in realised gain</v>
          </cell>
          <cell r="U28">
            <v>-25.5</v>
          </cell>
        </row>
        <row r="29">
          <cell r="T29" t="str">
            <v xml:space="preserve">Net change in unrealised gain </v>
          </cell>
          <cell r="U29">
            <v>20.399999999999999</v>
          </cell>
        </row>
        <row r="30">
          <cell r="T30" t="str">
            <v>Rental and other income</v>
          </cell>
          <cell r="U30">
            <v>12.8</v>
          </cell>
        </row>
        <row r="31">
          <cell r="T31" t="str">
            <v>Finance income</v>
          </cell>
          <cell r="U31">
            <v>0.8</v>
          </cell>
        </row>
        <row r="32">
          <cell r="T32" t="str">
            <v>Fair value gain on investment properties</v>
          </cell>
          <cell r="U32">
            <v>1.2</v>
          </cell>
        </row>
        <row r="33">
          <cell r="T33" t="str">
            <v>Interest expenses</v>
          </cell>
          <cell r="U33">
            <v>-17.3</v>
          </cell>
        </row>
        <row r="34">
          <cell r="T34" t="str">
            <v>Other expenses</v>
          </cell>
          <cell r="U34">
            <v>-5.3</v>
          </cell>
        </row>
        <row r="35">
          <cell r="T35" t="str">
            <v>Taxation</v>
          </cell>
          <cell r="U35">
            <v>-0.5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3">
          <cell r="B13" t="str">
            <v>Public Equities</v>
          </cell>
        </row>
      </sheetData>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UM Summary"/>
      <sheetName val="Cosmos - 0530"/>
      <sheetName val="Dashboard"/>
      <sheetName val="Dashboard charts input tab"/>
      <sheetName val="Dashboard inputs"/>
      <sheetName val="Schedule of Assets"/>
      <sheetName val="AUM"/>
      <sheetName val="Forecast Framework"/>
      <sheetName val="FMV Projection"/>
      <sheetName val="Review deck charts"/>
      <sheetName val="Charting"/>
      <sheetName val="Calcs"/>
      <sheetName val="Portfolio Listing"/>
      <sheetName val="Sheet1"/>
      <sheetName val="Portfolio Summary"/>
      <sheetName val="Syndication-ByteDance"/>
      <sheetName val="AUM_PE"/>
      <sheetName val="Syndication"/>
      <sheetName val="Portfolio Summary-old"/>
      <sheetName val="Breakdown - Funds "/>
      <sheetName val="Funds Chart"/>
      <sheetName val="Breakdown - Projects"/>
      <sheetName val="Assets allocation Chart"/>
      <sheetName val="Description"/>
      <sheetName val="BOYU Capital Fund I"/>
      <sheetName val="BOYU I CF - NEW"/>
      <sheetName val="BOYU Offshore CF"/>
      <sheetName val="Ascendent CP I"/>
      <sheetName val="Ascendant CP I (CF)"/>
      <sheetName val="SCC IV 2017-F (ByteDance)"/>
      <sheetName val="Skycus Today Fund (Ant)"/>
      <sheetName val="Syndication-Ant"/>
      <sheetName val="Skycus Today Fund (Ant) CF"/>
      <sheetName val="Cottonwood"/>
      <sheetName val="Cottonwood (CF)"/>
      <sheetName val="Moonshot AI (CF)"/>
      <sheetName val="K5 (CF)"/>
      <sheetName val="Zanbato (CF)"/>
      <sheetName val="Genedent Ventures (CF)"/>
      <sheetName val="C Ventures Fund II (old)"/>
      <sheetName val="C Ventures Fund II"/>
      <sheetName val="C Ventures II CF "/>
      <sheetName val="DCP I"/>
      <sheetName val="DCP I (CF)"/>
      <sheetName val="DCP II"/>
      <sheetName val="DCP II (CF) "/>
      <sheetName val="E15 Fund I"/>
      <sheetName val="E15 Fund I (CF) "/>
      <sheetName val="E15 Fund 1.5 (liquidating)"/>
      <sheetName val="E15 Fund 1.5(CF) "/>
      <sheetName val="Skycus China Fund (old)"/>
      <sheetName val="Skycus China Fund"/>
      <sheetName val="Skycus China CF"/>
      <sheetName val="Lionet Fund"/>
      <sheetName val="Lionet Fund CF"/>
      <sheetName val="Hammer Capital (VIPKids)"/>
      <sheetName val="SCC V 2019-A (Musinsa)"/>
      <sheetName val="SCC Venture VIII"/>
      <sheetName val="SCC Venture VIII (CF)"/>
      <sheetName val="SCC Growth VI"/>
      <sheetName val="SCC Growth VI (CF) "/>
      <sheetName val="SCC GGF (ByteDance 2020)"/>
      <sheetName val="Syndication-ByteDance GGF"/>
      <sheetName val="SCC (Full Truck Alliance)"/>
      <sheetName val="SCC (Hive Box) "/>
      <sheetName val="E15 Fund II"/>
      <sheetName val="Vicarious"/>
      <sheetName val="E15 Fund II CF"/>
      <sheetName val="E15 VC (write off)"/>
      <sheetName val="E15 VCNoon (write off)"/>
      <sheetName val="Boyu Real Estate"/>
      <sheetName val="Boyu Real Estate CF"/>
      <sheetName val="Ark"/>
      <sheetName val="Ark-CF"/>
      <sheetName val="Ark Coinvestment"/>
      <sheetName val="West Street VII"/>
      <sheetName val="West Street VII (CF)"/>
      <sheetName val="West Street VIII"/>
      <sheetName val="West Street VIII (CF)"/>
      <sheetName val="Template"/>
      <sheetName val="Eat Just"/>
      <sheetName val="Sunpower"/>
      <sheetName val="Aurora"/>
      <sheetName val="Vaccitech"/>
      <sheetName val="Genedant Direct Portfolio"/>
      <sheetName val="Bytedance_240930"/>
      <sheetName val="Dashboard inputs backup -&gt;"/>
      <sheetName val="KIL - CS"/>
      <sheetName val="KIL - HSBC split of HYB"/>
      <sheetName val="FVTPL (2020)"/>
      <sheetName val="FVTPL (2021)"/>
      <sheetName val="FVTPL (2022)"/>
      <sheetName val="FVTPL (2023)"/>
      <sheetName val="FVTPL (Sep 2024)"/>
      <sheetName val="FVTPL (2024)"/>
      <sheetName val="Output for CIB"/>
      <sheetName val="Sep 2024"/>
      <sheetName val="Bytedance"/>
    </sheetNames>
    <sheetDataSet>
      <sheetData sheetId="0" refreshError="1"/>
      <sheetData sheetId="1" refreshError="1"/>
      <sheetData sheetId="2">
        <row r="4">
          <cell r="C4">
            <v>2024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ow r="1">
          <cell r="L1">
            <v>45657</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UM Summary"/>
      <sheetName val="Cosmos - 0530"/>
      <sheetName val="Dashboard"/>
      <sheetName val="Dashboard charts input tab"/>
      <sheetName val="Dashboard inputs"/>
      <sheetName val="Schedule of Assets"/>
      <sheetName val="AUM"/>
      <sheetName val="Forecast Framework"/>
      <sheetName val="FMV Projection"/>
      <sheetName val="Review deck charts"/>
      <sheetName val="Charting"/>
      <sheetName val="Calcs"/>
      <sheetName val="Portfolio Listing"/>
      <sheetName val="Sheet1"/>
      <sheetName val="Portfolio Summary"/>
      <sheetName val="Syndication-ByteDance"/>
      <sheetName val="AUM_PE"/>
      <sheetName val="Syndication"/>
      <sheetName val="Portfolio Summary-old"/>
      <sheetName val="Breakdown - Funds "/>
      <sheetName val="Funds Chart"/>
      <sheetName val="Breakdown - Projects"/>
      <sheetName val="Assets allocation Chart"/>
      <sheetName val="Description"/>
      <sheetName val="BOYU Capital Fund I"/>
      <sheetName val="BOYU I CF - NEW"/>
      <sheetName val="BOYU Offshore CF"/>
      <sheetName val="Ascendent CP I"/>
      <sheetName val="Ascendant CP I (CF)"/>
      <sheetName val="SCC IV 2017-F (ByteDance)"/>
      <sheetName val="Skycus Today Fund (Ant)"/>
      <sheetName val="Syndication-Ant"/>
      <sheetName val="Skycus Today Fund (Ant) CF"/>
      <sheetName val="Cottonwood"/>
      <sheetName val="Cottonwood (CF)"/>
      <sheetName val="Moonshot AI (CF)"/>
      <sheetName val="K5 (CF)"/>
      <sheetName val="Zanbato (CF)"/>
      <sheetName val="Genedent Ventures (CF)"/>
      <sheetName val="C Ventures Fund II (old)"/>
      <sheetName val="C Ventures Fund II"/>
      <sheetName val="C Ventures II CF "/>
      <sheetName val="DCP I"/>
      <sheetName val="DCP I (CF)"/>
      <sheetName val="DCP II"/>
      <sheetName val="DCP II (CF) "/>
      <sheetName val="E15 Fund I"/>
      <sheetName val="E15 Fund I (CF) "/>
      <sheetName val="E15 Fund 1.5 (liquidating)"/>
      <sheetName val="E15 Fund 1.5(CF) "/>
      <sheetName val="Skycus China Fund (old)"/>
      <sheetName val="Skycus China Fund"/>
      <sheetName val="Skycus China CF"/>
      <sheetName val="Lionet Fund"/>
      <sheetName val="Lionet Fund CF"/>
      <sheetName val="Hammer Capital (VIPKids)"/>
      <sheetName val="SCC V 2019-A (Musinsa)"/>
      <sheetName val="SCC Venture VIII"/>
      <sheetName val="SCC Venture VIII (CF)"/>
      <sheetName val="SCC Growth VI"/>
      <sheetName val="SCC Growth VI (CF) "/>
      <sheetName val="SCC GGF (ByteDance 2020)"/>
      <sheetName val="Syndication-ByteDance GGF"/>
      <sheetName val="SCC (Full Truck Alliance)"/>
      <sheetName val="SCC (Hive Box) "/>
      <sheetName val="E15 Fund II"/>
      <sheetName val="Vicarious"/>
      <sheetName val="E15 Fund II CF"/>
      <sheetName val="E15 VC (write off)"/>
      <sheetName val="E15 VCNoon (write off)"/>
      <sheetName val="Boyu Real Estate"/>
      <sheetName val="Boyu Real Estate CF"/>
      <sheetName val="Ark"/>
      <sheetName val="Ark-CF"/>
      <sheetName val="Ark Coinvestment"/>
      <sheetName val="West Street VII"/>
      <sheetName val="West Street VII (CF)"/>
      <sheetName val="West Street VIII"/>
      <sheetName val="West Street VIII (CF)"/>
      <sheetName val="Template"/>
      <sheetName val="Eat Just"/>
      <sheetName val="Sunpower"/>
      <sheetName val="Aurora"/>
      <sheetName val="Vaccitech"/>
      <sheetName val="Genedant Direct Portfolio"/>
      <sheetName val="Bytedance_240930"/>
      <sheetName val="Dashboard inputs backup -&gt;"/>
      <sheetName val="KIL - CS"/>
      <sheetName val="KIL - HSBC split of HYB"/>
      <sheetName val="FVTPL (2020)"/>
      <sheetName val="FVTPL (2021)"/>
      <sheetName val="FVTPL (2022)"/>
      <sheetName val="FVTPL (2023)"/>
      <sheetName val="FVTPL (Sep 2024)"/>
      <sheetName val="FVTPL (2024)"/>
      <sheetName val="Output for CIB"/>
      <sheetName val="Sep 2024"/>
      <sheetName val="Bytedance"/>
    </sheetNames>
    <sheetDataSet>
      <sheetData sheetId="0" refreshError="1"/>
      <sheetData sheetId="1" refreshError="1"/>
      <sheetData sheetId="2">
        <row r="4">
          <cell r="C4">
            <v>2024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Cashflow"/>
      <sheetName val="Workings --&gt;"/>
      <sheetName val="CCG"/>
      <sheetName val="FW"/>
      <sheetName val="VMG"/>
      <sheetName val="BII"/>
      <sheetName val="VCH"/>
      <sheetName val="Supports --&gt;"/>
      <sheetName val="CF Forecast (Skycus)"/>
      <sheetName val="CF Forecast (C Ventures)"/>
      <sheetName val="CF Forecast (Cottonwood)"/>
      <sheetName val="CF Forecast (Boyu RE)"/>
      <sheetName val="CF Forecast (DCP)"/>
      <sheetName val="CF Forecast(Genedant)"/>
      <sheetName val="CF Forecast (E15)"/>
      <sheetName val="CF Forecast (West Street)"/>
    </sheetNames>
    <sheetDataSet>
      <sheetData sheetId="0" refreshError="1"/>
      <sheetData sheetId="1" refreshError="1">
        <row r="7">
          <cell r="P7">
            <v>5654979.9500000011</v>
          </cell>
        </row>
        <row r="30">
          <cell r="P30">
            <v>-2458295.54</v>
          </cell>
        </row>
        <row r="31">
          <cell r="P31">
            <v>-4000000</v>
          </cell>
        </row>
        <row r="32">
          <cell r="P32">
            <v>-30431535.600000001</v>
          </cell>
        </row>
        <row r="33">
          <cell r="P33">
            <v>-6340843.06773993</v>
          </cell>
        </row>
        <row r="34">
          <cell r="P34">
            <v>-70600</v>
          </cell>
        </row>
        <row r="35">
          <cell r="P35">
            <v>-2217004.66</v>
          </cell>
        </row>
        <row r="36">
          <cell r="P36">
            <v>-2758657</v>
          </cell>
        </row>
        <row r="37">
          <cell r="P37">
            <v>-234881.99999999997</v>
          </cell>
        </row>
        <row r="38">
          <cell r="P38">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UM Summary"/>
      <sheetName val="AUM"/>
      <sheetName val="Portfolio Listing"/>
      <sheetName val="Portfolio Summary"/>
      <sheetName val="Syndication-ByteDance"/>
      <sheetName val="AUM_PE"/>
      <sheetName val="Syndication"/>
      <sheetName val="Portfolio Summary-old"/>
      <sheetName val="Breakdown - Funds "/>
      <sheetName val="Funds Chart"/>
      <sheetName val="Breakdown - Projects"/>
      <sheetName val="Assets allocation Chart"/>
      <sheetName val="Syndication-ByteDance GGF"/>
      <sheetName val="Description"/>
      <sheetName val="BOYU Capital Fund I"/>
      <sheetName val="BOYU I CF - NEW"/>
      <sheetName val="BOYU Offshore CF"/>
      <sheetName val="Ascendent CP I"/>
      <sheetName val="Ascendant CF"/>
      <sheetName val="HSG Growth IV (ByteDance 2017)"/>
      <sheetName val="Skycus Today Fund (Ant)"/>
      <sheetName val="Syndication-Ant"/>
      <sheetName val="Skycus Today Fund (Ant) CF"/>
      <sheetName val="Cottonwood"/>
      <sheetName val="Cottonwood (CF)"/>
      <sheetName val="K5 (CF)"/>
      <sheetName val="Zanbato (CF)"/>
      <sheetName val="Genedent Ventures"/>
      <sheetName val="Genedent Ventures (CF)"/>
      <sheetName val="GTCR"/>
      <sheetName val="GTCR (CF)"/>
      <sheetName val="C Ventures Fund II"/>
      <sheetName val="C Ventures II CF "/>
      <sheetName val="DCP I"/>
      <sheetName val="DCP I (CF)"/>
      <sheetName val="DCP II"/>
      <sheetName val="DCP II (CF) "/>
      <sheetName val="E15 Fund I"/>
      <sheetName val="E15 Fund I (CF) "/>
      <sheetName val="E15 Fund 1.5 (liquidating)"/>
      <sheetName val="E15 Fund 1.5(CF) "/>
      <sheetName val="Skycus China Fund"/>
      <sheetName val="Skycus China CF"/>
      <sheetName val="Lionet Fund"/>
      <sheetName val="Lionet Fund CF"/>
      <sheetName val="Hammer Capital (VIPKids)"/>
      <sheetName val="HSG Growth V (Musinsa 2019)"/>
      <sheetName val="HSG Growth VI"/>
      <sheetName val="HSG Growth VI (CF) "/>
      <sheetName val="HSG Growth VIII"/>
      <sheetName val="HSG Growth VIII (CF)"/>
      <sheetName val="HSG Growth VI (ByteDance 2020)"/>
      <sheetName val="HSG Alliance (Full Truck)"/>
      <sheetName val="SCC (Hive Box) "/>
      <sheetName val="E15 Fund II"/>
      <sheetName val="Vicarious"/>
      <sheetName val="E15 Fund II CF"/>
      <sheetName val="E15 VC (write off)"/>
      <sheetName val="E15 VCNoon (write off)"/>
      <sheetName val="Boyu Real Estate"/>
      <sheetName val="Boyu Real Estate CF"/>
      <sheetName val="Ark"/>
      <sheetName val="Ark-CF"/>
      <sheetName val="Ark Coinvestment"/>
      <sheetName val="West Street VII"/>
      <sheetName val="West Street VII (CF)"/>
      <sheetName val="West Street VIII"/>
      <sheetName val="West Street VIII (CF)"/>
      <sheetName val="Power Impact CF"/>
      <sheetName val="Eat Just"/>
      <sheetName val="Sunpower"/>
      <sheetName val="Moonshot AI"/>
      <sheetName val="Aurora"/>
      <sheetName val="Vaccitech"/>
      <sheetName val="Genedant Direct Portfolio"/>
      <sheetName val="Bytedance"/>
    </sheetNames>
    <sheetDataSet>
      <sheetData sheetId="0">
        <row r="2">
          <cell r="B2">
            <v>45657</v>
          </cell>
        </row>
      </sheetData>
      <sheetData sheetId="1"/>
      <sheetData sheetId="2"/>
      <sheetData sheetId="3"/>
      <sheetData sheetId="4"/>
      <sheetData sheetId="5"/>
      <sheetData sheetId="6">
        <row r="15">
          <cell r="K15">
            <v>22873062.176909007</v>
          </cell>
        </row>
      </sheetData>
      <sheetData sheetId="7"/>
      <sheetData sheetId="8"/>
      <sheetData sheetId="9"/>
      <sheetData sheetId="10"/>
      <sheetData sheetId="11"/>
      <sheetData sheetId="12"/>
      <sheetData sheetId="13"/>
      <sheetData sheetId="14"/>
      <sheetData sheetId="15">
        <row r="3">
          <cell r="C3">
            <v>45657</v>
          </cell>
        </row>
      </sheetData>
      <sheetData sheetId="16"/>
      <sheetData sheetId="17"/>
      <sheetData sheetId="18">
        <row r="3">
          <cell r="C3">
            <v>45657</v>
          </cell>
        </row>
      </sheetData>
      <sheetData sheetId="19"/>
      <sheetData sheetId="20">
        <row r="1">
          <cell r="E1">
            <v>45657</v>
          </cell>
        </row>
      </sheetData>
      <sheetData sheetId="21"/>
      <sheetData sheetId="22"/>
      <sheetData sheetId="23"/>
      <sheetData sheetId="24"/>
      <sheetData sheetId="25"/>
      <sheetData sheetId="26"/>
      <sheetData sheetId="27"/>
      <sheetData sheetId="28"/>
      <sheetData sheetId="29"/>
      <sheetData sheetId="30"/>
      <sheetData sheetId="31">
        <row r="1">
          <cell r="E1">
            <v>45657</v>
          </cell>
        </row>
      </sheetData>
      <sheetData sheetId="32"/>
      <sheetData sheetId="33"/>
      <sheetData sheetId="34"/>
      <sheetData sheetId="35"/>
      <sheetData sheetId="36"/>
      <sheetData sheetId="37"/>
      <sheetData sheetId="38"/>
      <sheetData sheetId="39">
        <row r="1">
          <cell r="E1" t="e">
            <v>#REF!</v>
          </cell>
        </row>
      </sheetData>
      <sheetData sheetId="40"/>
      <sheetData sheetId="41"/>
      <sheetData sheetId="42"/>
      <sheetData sheetId="43"/>
      <sheetData sheetId="44"/>
      <sheetData sheetId="45"/>
      <sheetData sheetId="46"/>
      <sheetData sheetId="47">
        <row r="1">
          <cell r="E1">
            <v>45657</v>
          </cell>
        </row>
      </sheetData>
      <sheetData sheetId="48"/>
      <sheetData sheetId="49"/>
      <sheetData sheetId="50"/>
      <sheetData sheetId="51">
        <row r="1">
          <cell r="E1">
            <v>45657</v>
          </cell>
        </row>
      </sheetData>
      <sheetData sheetId="52">
        <row r="1">
          <cell r="E1">
            <v>45657</v>
          </cell>
        </row>
      </sheetData>
      <sheetData sheetId="53"/>
      <sheetData sheetId="54">
        <row r="1">
          <cell r="E1">
            <v>45657</v>
          </cell>
        </row>
      </sheetData>
      <sheetData sheetId="55"/>
      <sheetData sheetId="56"/>
      <sheetData sheetId="57"/>
      <sheetData sheetId="58"/>
      <sheetData sheetId="59"/>
      <sheetData sheetId="60"/>
      <sheetData sheetId="61"/>
      <sheetData sheetId="62"/>
      <sheetData sheetId="63"/>
      <sheetData sheetId="64">
        <row r="2">
          <cell r="B2" t="str">
            <v>West Street Capital Partners VII Offshore, L.P.</v>
          </cell>
        </row>
      </sheetData>
      <sheetData sheetId="65"/>
      <sheetData sheetId="66"/>
      <sheetData sheetId="67">
        <row r="3">
          <cell r="C3">
            <v>45657</v>
          </cell>
        </row>
      </sheetData>
      <sheetData sheetId="68"/>
      <sheetData sheetId="69"/>
      <sheetData sheetId="70"/>
      <sheetData sheetId="71"/>
      <sheetData sheetId="72"/>
      <sheetData sheetId="73"/>
      <sheetData sheetId="74"/>
      <sheetData sheetId="7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4" dT="2024-08-01T09:40:32.12" personId="{00000000-0000-0000-0000-000000000000}" id="{91D1A16D-4A9B-4C3C-98ED-C5CB94A05DCF}">
    <text>Distributions were added back as uncalled</text>
  </threadedComment>
  <threadedComment ref="M17" dT="2024-08-01T09:40:48.86" personId="{00000000-0000-0000-0000-000000000000}" id="{C6DCAAF2-7C64-46C9-A017-5B7DB490DBFD}">
    <text>Distributions were added back as uncalled</text>
  </threadedComment>
  <threadedComment ref="M19" dT="2024-08-01T09:41:15.35" personId="{00000000-0000-0000-0000-000000000000}" id="{1574D934-D1B8-42FE-A9B1-9B1AD4D93625}">
    <text>Distributions were added back as uncalled</text>
  </threadedComment>
  <threadedComment ref="M22" dT="2024-08-01T09:41:15.35" personId="{00000000-0000-0000-0000-000000000000}" id="{2C22DD67-4955-4F80-815B-013C6F1EC6FD}">
    <text>Distributions were added back as uncalled</text>
  </threadedComment>
</ThreadedComments>
</file>

<file path=xl/threadedComments/threadedComment2.xml><?xml version="1.0" encoding="utf-8"?>
<ThreadedComments xmlns="http://schemas.microsoft.com/office/spreadsheetml/2018/threadedcomments" xmlns:x="http://schemas.openxmlformats.org/spreadsheetml/2006/main">
  <threadedComment ref="G18" dT="2022-10-28T18:17:54.71" personId="{00000000-0000-0000-0000-000000000000}" id="{8C108ADE-AF7B-452B-803D-06955BBD2774}">
    <text>Net received 78,499.63 from 121,791</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file:///C:\Users\MarcusPut\AppData\Local\Microsoft\AppData\1%20-%20Funds\1%20-%20USD%20Funds\BOYU%20(USD)\3%20-%20BOYU%20Capital%20Offshore%20Fund\2%20-%20Redemption\20241127%20Contract%20Note.pdf"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file:///C:\Users\MarcusPut\AppData\Local\Microsoft\Forms\AllItems.aspx" TargetMode="External"/><Relationship Id="rId7" Type="http://schemas.openxmlformats.org/officeDocument/2006/relationships/comments" Target="../comments7.xml"/><Relationship Id="rId2" Type="http://schemas.openxmlformats.org/officeDocument/2006/relationships/hyperlink" Target="file:///C:\Users\MarcusPut\AppData\Local\Microsoft\Forms\AllItems.aspx" TargetMode="External"/><Relationship Id="rId1" Type="http://schemas.openxmlformats.org/officeDocument/2006/relationships/hyperlink" Target="file:///C:\Users\MarcusPut\AppData\Local\Microsoft\Forms\AllItems.aspx" TargetMode="External"/><Relationship Id="rId6" Type="http://schemas.openxmlformats.org/officeDocument/2006/relationships/vmlDrawing" Target="../drawings/vmlDrawing7.vml"/><Relationship Id="rId5" Type="http://schemas.openxmlformats.org/officeDocument/2006/relationships/printerSettings" Target="../printerSettings/printerSettings10.bin"/><Relationship Id="rId4" Type="http://schemas.openxmlformats.org/officeDocument/2006/relationships/hyperlink" Target="file:///C:\Users\MarcusPut\AppData\Local\Microsoft\Forms\AllItems.aspx"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12.bin"/><Relationship Id="rId1" Type="http://schemas.openxmlformats.org/officeDocument/2006/relationships/hyperlink" Target="file:///C:\Users\MarcusPut\AppData\Local\Microsoft\:b:\s\ACH33-ACH33-SGInvestment-CCGBVI\EQGbiE5iM3tJoqjJzuBoZykBR2O5aXYqiomR_Fu6Cj-26Q" TargetMode="External"/><Relationship Id="rId4" Type="http://schemas.openxmlformats.org/officeDocument/2006/relationships/comments" Target="../comments8.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hyperlink" Target="file:///C:\Users\MarcusPut\AppData\Local\Microsoft\Forms\AllItems.aspx" TargetMode="External"/><Relationship Id="rId13" Type="http://schemas.openxmlformats.org/officeDocument/2006/relationships/comments" Target="../comments9.xml"/><Relationship Id="rId3" Type="http://schemas.openxmlformats.org/officeDocument/2006/relationships/hyperlink" Target="file:///C:\Users\MarcusPut\AppData\Local\Microsoft\Forms\AllItems.aspx" TargetMode="External"/><Relationship Id="rId7" Type="http://schemas.openxmlformats.org/officeDocument/2006/relationships/hyperlink" Target="file:///C:\Users\MarcusPut\AppData\Local\Microsoft\Forms\AllItems.aspx" TargetMode="External"/><Relationship Id="rId12" Type="http://schemas.openxmlformats.org/officeDocument/2006/relationships/vmlDrawing" Target="../drawings/vmlDrawing9.vml"/><Relationship Id="rId2" Type="http://schemas.openxmlformats.org/officeDocument/2006/relationships/hyperlink" Target="file:///C:\Users\MarcusPut\AppData\Local\Microsoft\Forms\AllItems.aspx" TargetMode="External"/><Relationship Id="rId1" Type="http://schemas.openxmlformats.org/officeDocument/2006/relationships/hyperlink" Target="file:///C:\Users\MarcusPut\AppData\Local\Microsoft\Forms\AllItems.aspx" TargetMode="External"/><Relationship Id="rId6" Type="http://schemas.openxmlformats.org/officeDocument/2006/relationships/hyperlink" Target="file:///C:\Users\MarcusPut\AppData\Local\Microsoft\Forms\AllItems.aspx" TargetMode="External"/><Relationship Id="rId11" Type="http://schemas.openxmlformats.org/officeDocument/2006/relationships/printerSettings" Target="../printerSettings/printerSettings14.bin"/><Relationship Id="rId5" Type="http://schemas.openxmlformats.org/officeDocument/2006/relationships/hyperlink" Target="file:///C:\Users\MarcusPut\AppData\Local\Microsoft\Forms\AllItems.aspx" TargetMode="External"/><Relationship Id="rId10" Type="http://schemas.openxmlformats.org/officeDocument/2006/relationships/hyperlink" Target="file:///C:\Users\MarcusPut\AppData\Local\Microsoft\AppData\1%20-%20Funds\1%20-%20USD%20Funds\Cottonwood\3%20-%20Capital%20call\2024-10-25_%20Capital%20Call%20Notice.pdf" TargetMode="External"/><Relationship Id="rId4" Type="http://schemas.openxmlformats.org/officeDocument/2006/relationships/hyperlink" Target="file:///C:\Users\MarcusPut\AppData\Local\Microsoft\Forms\AllItems.aspx" TargetMode="External"/><Relationship Id="rId9" Type="http://schemas.openxmlformats.org/officeDocument/2006/relationships/hyperlink" Target="file:///C:\Users\MarcusPut\AppData\Local\Microsoft\Forms\AllItems.aspx" TargetMode="External"/></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8" Type="http://schemas.openxmlformats.org/officeDocument/2006/relationships/hyperlink" Target="file:///C:\Users\MarcusPut\AppData\Local\Microsoft\Forms\AllItems.aspx" TargetMode="External"/><Relationship Id="rId3" Type="http://schemas.openxmlformats.org/officeDocument/2006/relationships/hyperlink" Target="file:///C:\Users\MarcusPut\AppData\Local\Microsoft\Forms\AllItems.aspx" TargetMode="External"/><Relationship Id="rId7" Type="http://schemas.openxmlformats.org/officeDocument/2006/relationships/hyperlink" Target="file:///C:\Users\MarcusPut\AppData\Local\Microsoft\Forms\AllItems.aspx" TargetMode="External"/><Relationship Id="rId12" Type="http://schemas.openxmlformats.org/officeDocument/2006/relationships/comments" Target="../comments11.xml"/><Relationship Id="rId2" Type="http://schemas.openxmlformats.org/officeDocument/2006/relationships/hyperlink" Target="file:///C:\Users\MarcusPut\AppData\Local\Microsoft\Forms\AllItems.aspx" TargetMode="External"/><Relationship Id="rId1" Type="http://schemas.openxmlformats.org/officeDocument/2006/relationships/hyperlink" Target="file:///C:\Users\MarcusPut\AppData\Local\Microsoft\Forms\AllItems.aspx" TargetMode="External"/><Relationship Id="rId6" Type="http://schemas.openxmlformats.org/officeDocument/2006/relationships/hyperlink" Target="file:///C:\Users\MarcusPut\AppData\Local\Microsoft\Forms\AllItems.aspx" TargetMode="External"/><Relationship Id="rId11" Type="http://schemas.openxmlformats.org/officeDocument/2006/relationships/vmlDrawing" Target="../drawings/vmlDrawing11.vml"/><Relationship Id="rId5" Type="http://schemas.openxmlformats.org/officeDocument/2006/relationships/hyperlink" Target="file:///C:\Users\MarcusPut\AppData\Local\Microsoft\Forms\AllItems.aspx" TargetMode="External"/><Relationship Id="rId10" Type="http://schemas.openxmlformats.org/officeDocument/2006/relationships/printerSettings" Target="../printerSettings/printerSettings16.bin"/><Relationship Id="rId4" Type="http://schemas.openxmlformats.org/officeDocument/2006/relationships/hyperlink" Target="file:///C:\Users\MarcusPut\AppData\Local\Microsoft\Forms\AllItems.aspx" TargetMode="External"/><Relationship Id="rId9" Type="http://schemas.openxmlformats.org/officeDocument/2006/relationships/hyperlink" Target="file:///C:\Users\MarcusPut\AppData\Local\Microsoft\AppData\1%20-%20Funds\1%20-%20USD%20Funds\DCP%20(USD)\1%20-%20DCP%20USD%20Fund%20I\3%20-%20Distribution%20Notice\20241111%20-%20Distribution%20Notice"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file:///C:\Users\MarcusPut\AppData\Local\Microsoft\:b:\s\ACH33-ACH33-SGInvestment-CCGBVI\EXwSsOwarH9GpERPltthKD0B6Z3ZyPYHfOvt8zRRYVjAHw" TargetMode="External"/><Relationship Id="rId7" Type="http://schemas.openxmlformats.org/officeDocument/2006/relationships/comments" Target="../comments12.xml"/><Relationship Id="rId2" Type="http://schemas.openxmlformats.org/officeDocument/2006/relationships/hyperlink" Target="file:///C:\Users\MarcusPut\AppData\Local\Microsoft\Forms\AllItems.aspx" TargetMode="External"/><Relationship Id="rId1" Type="http://schemas.openxmlformats.org/officeDocument/2006/relationships/hyperlink" Target="file:///C:\Users\MarcusPut\AppData\Local\Microsoft\Forms\AllItems.aspx" TargetMode="External"/><Relationship Id="rId6" Type="http://schemas.openxmlformats.org/officeDocument/2006/relationships/vmlDrawing" Target="../drawings/vmlDrawing12.vml"/><Relationship Id="rId5" Type="http://schemas.openxmlformats.org/officeDocument/2006/relationships/printerSettings" Target="../printerSettings/printerSettings18.bin"/><Relationship Id="rId4" Type="http://schemas.openxmlformats.org/officeDocument/2006/relationships/hyperlink" Target="file:///C:\Users\MarcusPut\AppData\Local\Microsoft\Forms\AllItems.aspx"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hyperlink" Target="file:///C:\Users\MarcusPut\AppData\Local\Microsoft\:b:\s\ACH33-ACH33-SGInvestment-CCGBVI\EWQ_iwakLktBp_CLX8jIcCsBp6fyi_LGRtmsdwhdkacGkA" TargetMode="External"/><Relationship Id="rId7" Type="http://schemas.openxmlformats.org/officeDocument/2006/relationships/comments" Target="../comments17.xml"/><Relationship Id="rId2" Type="http://schemas.openxmlformats.org/officeDocument/2006/relationships/hyperlink" Target="file:///C:\Users\MarcusPut\AppData\Local\Microsoft\:b:\s\ACH33-ACH33-SGInvestment-CCGBVI\Ee0nIIbb1mFKuMoeUaiY-xIBEZ1qUtKhD9dAHpIpjxM_9w" TargetMode="External"/><Relationship Id="rId1" Type="http://schemas.openxmlformats.org/officeDocument/2006/relationships/hyperlink" Target="file:///C:\Users\MarcusPut\AppData\Local\Microsoft\:b:\s\ACH33-ACH33-SGInvestment-CCGBVI\EbcsmuYR3UZJq5ABUltTqykBu679_bI2KG1JgVF4xkRo5g" TargetMode="External"/><Relationship Id="rId6" Type="http://schemas.openxmlformats.org/officeDocument/2006/relationships/vmlDrawing" Target="../drawings/vmlDrawing17.vml"/><Relationship Id="rId5" Type="http://schemas.openxmlformats.org/officeDocument/2006/relationships/printerSettings" Target="../printerSettings/printerSettings24.bin"/><Relationship Id="rId4" Type="http://schemas.openxmlformats.org/officeDocument/2006/relationships/hyperlink" Target="file:///C:\Users\MarcusPut\AppData\Local\Microsoft\:b:\s\ACH33-ACH33-SGInvestment-CCGBVI\EZkYk_JaKglChJylbb371QUBhcYUwn6P4Viydrg3nDhD2Q" TargetMode="Externa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hyperlink" Target="file:///C:\Users\MarcusPut\AppData\Local\Microsoft\AppData\1%20-%20Funds\1%20-%20USD%20Funds\Genedant%20Ventures%20Fund%201\3.%20Capital%20Call\20240725%20GENEDANT%20VENTURES%20I%20Capital%20Call%20Notice%202B.pdf" TargetMode="External"/><Relationship Id="rId2" Type="http://schemas.openxmlformats.org/officeDocument/2006/relationships/hyperlink" Target="file:///C:\Users\MarcusPut\AppData\Local\Microsoft\AppData\1%20-%20Funds\1%20-%20USD%20Funds\Genedant%20Ventures%20Fund%201\3.%20Capital%20Call\20240725%20GENEDANT%20VENTURES%20I%20Capital%20Call%20Notice%202A.pdf" TargetMode="External"/><Relationship Id="rId1" Type="http://schemas.openxmlformats.org/officeDocument/2006/relationships/hyperlink" Target="file:///C:\Users\MarcusPut\AppData\Local\Microsoft\AppData\1%20-%20Funds\1%20-%20USD%20Funds\Genedant%20Ventures%20Fund%201\3.%20Capital%20Call\20240725%20GENEDANT%20VENTURES%20I%20Capital%20Call%20Notice%201.pdf" TargetMode="External"/><Relationship Id="rId6" Type="http://schemas.openxmlformats.org/officeDocument/2006/relationships/comments" Target="../comments18.xml"/><Relationship Id="rId5" Type="http://schemas.openxmlformats.org/officeDocument/2006/relationships/vmlDrawing" Target="../drawings/vmlDrawing18.vml"/><Relationship Id="rId4"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30.bin"/><Relationship Id="rId4" Type="http://schemas.microsoft.com/office/2017/10/relationships/threadedComment" Target="../threadedComments/threadedComment2.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hyperlink" Target="file:///C:\Users\MarcusPut\AppData\Local\Microsoft\Forms\AllItems.aspx" TargetMode="External"/><Relationship Id="rId7" Type="http://schemas.openxmlformats.org/officeDocument/2006/relationships/comments" Target="../comments25.xml"/><Relationship Id="rId2" Type="http://schemas.openxmlformats.org/officeDocument/2006/relationships/hyperlink" Target="file:///C:\Users\MarcusPut\AppData\Local\Microsoft\Forms\AllItems.aspx" TargetMode="External"/><Relationship Id="rId1" Type="http://schemas.openxmlformats.org/officeDocument/2006/relationships/hyperlink" Target="file:///C:\Users\MarcusPut\AppData\Local\Microsoft\:b:\s\ACH33-ACH33-SGInvestment-CCGBVI\Eb9TqQRTKQ5PivbU4kYLEakBibm4dMVdf9RRKuisahn9lw" TargetMode="External"/><Relationship Id="rId6" Type="http://schemas.openxmlformats.org/officeDocument/2006/relationships/vmlDrawing" Target="../drawings/vmlDrawing25.vml"/><Relationship Id="rId5" Type="http://schemas.openxmlformats.org/officeDocument/2006/relationships/printerSettings" Target="../printerSettings/printerSettings34.bin"/><Relationship Id="rId4" Type="http://schemas.openxmlformats.org/officeDocument/2006/relationships/hyperlink" Target="file:///C:\Users\MarcusPut\AppData\Local\Microsoft\:b:\s\ACH33-ACH33-SGInvestment-CCGBVI\ESYTkbzcSntHqXMd87yegnoB9meLR1Je_a2ssx5YmC8uew" TargetMode="External"/></Relationships>
</file>

<file path=xl/worksheets/_rels/sheet35.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hyperlink" Target="file:///C:\Users\MarcusPut\AppData\Local\Microsoft\ACH33-~2\ACH33-~1\1CE76~1.PRI\1-FUND~1\1-USDF~1\SKYCUS~1\SKYCUS~1\3-DIST~1\DD" TargetMode="External"/><Relationship Id="rId2" Type="http://schemas.openxmlformats.org/officeDocument/2006/relationships/hyperlink" Target="file:///C:\Users\MarcusPut\AppData\Local\Microsoft\:b:\s\ACH33-ACH33-SGInvestment-CCGBVI\EZlmn7QSZMBJsATWuwbfv6oBQWSp-wNMTZyG8bPdqOriOA" TargetMode="External"/><Relationship Id="rId1" Type="http://schemas.openxmlformats.org/officeDocument/2006/relationships/hyperlink" Target="file:///C:\Users\MarcusPut\AppData\Local\Microsoft\:b:\s\ACH33-ACH33-SGInvestment-CCGBVI\EfuoRSzK48JCp3lvl81AW9sBP4xLpEVAcpmmri9GWmt6WQ" TargetMode="External"/><Relationship Id="rId6" Type="http://schemas.openxmlformats.org/officeDocument/2006/relationships/comments" Target="../comments27.xml"/><Relationship Id="rId5" Type="http://schemas.openxmlformats.org/officeDocument/2006/relationships/vmlDrawing" Target="../drawings/vmlDrawing27.vml"/><Relationship Id="rId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hyperlink" Target="file:///C:\Users\MarcusPut\AppData\Local\Microsoft\AppData\1%20-%20Funds\1%20-%20USD%20Funds\West%20Street\1.%20West%20Street%20Capital%20Partners%20VII\2.%20Distribution%20Notice\2024.11.15%20-%20DD" TargetMode="External"/><Relationship Id="rId2" Type="http://schemas.openxmlformats.org/officeDocument/2006/relationships/hyperlink" Target="file:///C:\Users\MarcusPut\AppData\Local\Microsoft\Forms\AllItems.aspx" TargetMode="External"/><Relationship Id="rId1" Type="http://schemas.openxmlformats.org/officeDocument/2006/relationships/hyperlink" Target="file:///C:\Users\MarcusPut\AppData\Local\Microsoft\Forms\AllItems.aspx" TargetMode="External"/><Relationship Id="rId6" Type="http://schemas.openxmlformats.org/officeDocument/2006/relationships/comments" Target="../comments29.xml"/><Relationship Id="rId5" Type="http://schemas.openxmlformats.org/officeDocument/2006/relationships/vmlDrawing" Target="../drawings/vmlDrawing29.vml"/><Relationship Id="rId4"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drawing" Target="../drawings/drawing1.xml"/></Relationships>
</file>

<file path=xl/worksheets/_rels/sheet42.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C7F96-9EF0-4CF0-B349-D1D8F9A81CF1}">
  <sheetPr>
    <tabColor theme="3"/>
    <pageSetUpPr fitToPage="1"/>
  </sheetPr>
  <dimension ref="B2:AO35"/>
  <sheetViews>
    <sheetView tabSelected="1" zoomScale="85" zoomScaleNormal="85" workbookViewId="0">
      <selection activeCell="H33" sqref="H33"/>
    </sheetView>
  </sheetViews>
  <sheetFormatPr defaultColWidth="9.140625" defaultRowHeight="15" customHeight="1" outlineLevelCol="1"/>
  <cols>
    <col min="1" max="1" width="4.28515625" style="8" customWidth="1"/>
    <col min="2" max="2" width="7.7109375" style="8" customWidth="1"/>
    <col min="3" max="3" width="53.42578125" style="8" customWidth="1"/>
    <col min="4" max="6" width="16.85546875" style="8" customWidth="1"/>
    <col min="7" max="7" width="11.5703125" style="431" customWidth="1"/>
    <col min="8" max="8" width="15.28515625" style="8" customWidth="1"/>
    <col min="9" max="10" width="14.140625" style="8" customWidth="1"/>
    <col min="11" max="11" width="13.85546875" style="8" customWidth="1"/>
    <col min="12" max="12" width="8.28515625" style="8" customWidth="1"/>
    <col min="13" max="13" width="13.7109375" style="8" customWidth="1"/>
    <col min="14" max="14" width="14.42578125" style="8" customWidth="1"/>
    <col min="15" max="15" width="2.7109375" style="8" customWidth="1"/>
    <col min="16" max="16" width="17.140625" style="8" bestFit="1" customWidth="1"/>
    <col min="17" max="17" width="2.28515625" style="8" customWidth="1"/>
    <col min="18" max="19" width="10.42578125" style="8" customWidth="1"/>
    <col min="20" max="20" width="10.42578125" style="24" hidden="1" customWidth="1" outlineLevel="1"/>
    <col min="21" max="21" width="9.7109375" style="8" hidden="1" customWidth="1" outlineLevel="1"/>
    <col min="22" max="22" width="1.7109375" style="8" hidden="1" customWidth="1" outlineLevel="1"/>
    <col min="23" max="24" width="14.28515625" style="8" hidden="1" customWidth="1" outlineLevel="1"/>
    <col min="25" max="25" width="7.42578125" style="14" hidden="1" customWidth="1" outlineLevel="1"/>
    <col min="26" max="26" width="11" style="8" hidden="1" customWidth="1" outlineLevel="1"/>
    <col min="27" max="27" width="3" style="8" customWidth="1" collapsed="1"/>
    <col min="28" max="29" width="14.28515625" style="8" customWidth="1"/>
    <col min="30" max="30" width="15.28515625" style="8" customWidth="1"/>
    <col min="31" max="31" width="8.140625" style="21" customWidth="1"/>
    <col min="32" max="32" width="15.42578125" style="22" bestFit="1" customWidth="1"/>
    <col min="33" max="33" width="16.42578125" style="23" hidden="1" customWidth="1"/>
    <col min="34" max="34" width="23.28515625" style="23" hidden="1" customWidth="1"/>
    <col min="35" max="35" width="26.140625" style="23" hidden="1" customWidth="1"/>
    <col min="36" max="39" width="15" style="23" hidden="1" customWidth="1"/>
    <col min="40" max="40" width="9.140625" style="8" bestFit="1" customWidth="1"/>
    <col min="41" max="41" width="53.42578125" style="8" customWidth="1" outlineLevel="1"/>
    <col min="42" max="42" width="9.140625" style="8"/>
    <col min="43" max="43" width="12.28515625" style="8" customWidth="1"/>
    <col min="44" max="45" width="16.42578125" style="8" customWidth="1"/>
    <col min="46" max="47" width="3.42578125" style="8" customWidth="1"/>
    <col min="48" max="51" width="16.42578125" style="8" customWidth="1"/>
    <col min="52" max="16384" width="9.140625" style="8"/>
  </cols>
  <sheetData>
    <row r="2" spans="2:41" ht="15" customHeight="1">
      <c r="B2" s="5" t="s">
        <v>57</v>
      </c>
      <c r="J2" s="15"/>
      <c r="K2" s="9"/>
      <c r="M2" s="16"/>
      <c r="N2" s="17"/>
      <c r="O2" s="17"/>
      <c r="P2" s="18"/>
      <c r="Q2" s="18"/>
      <c r="R2" s="18"/>
      <c r="S2" s="18"/>
      <c r="T2" s="19"/>
      <c r="U2" s="18"/>
      <c r="V2" s="18"/>
      <c r="W2" s="9"/>
      <c r="AC2" s="20"/>
    </row>
    <row r="3" spans="2:41" ht="15" customHeight="1">
      <c r="B3" s="620">
        <v>45657</v>
      </c>
      <c r="C3" s="620"/>
      <c r="D3" s="430"/>
      <c r="E3" s="430"/>
      <c r="F3" s="430"/>
      <c r="W3" s="1"/>
      <c r="AO3" s="430"/>
    </row>
    <row r="4" spans="2:41" ht="15" customHeight="1">
      <c r="B4" s="6"/>
      <c r="C4" s="6"/>
      <c r="D4" s="432"/>
      <c r="E4" s="432"/>
      <c r="F4" s="432"/>
      <c r="G4" s="432"/>
      <c r="H4" s="12"/>
      <c r="I4" s="619" t="e">
        <f>#REF!</f>
        <v>#REF!</v>
      </c>
      <c r="J4" s="619"/>
      <c r="K4" s="619"/>
      <c r="L4" s="619"/>
      <c r="M4" s="619"/>
      <c r="N4" s="619"/>
      <c r="O4" s="619"/>
      <c r="P4" s="619"/>
      <c r="Q4" s="619"/>
      <c r="R4" s="619"/>
      <c r="S4" s="619"/>
      <c r="T4" s="619"/>
      <c r="U4" s="619"/>
      <c r="V4" s="10"/>
      <c r="W4" s="25"/>
      <c r="X4" s="621"/>
      <c r="Y4" s="621"/>
      <c r="Z4" s="621"/>
      <c r="AA4" s="621"/>
      <c r="AB4" s="12"/>
      <c r="AC4" s="13"/>
      <c r="AD4" s="13"/>
      <c r="AE4" s="26"/>
      <c r="AF4" s="27"/>
      <c r="AG4" s="13"/>
      <c r="AH4" s="13"/>
      <c r="AI4" s="13"/>
      <c r="AJ4" s="13"/>
      <c r="AK4" s="13"/>
      <c r="AL4" s="13"/>
      <c r="AM4" s="13"/>
      <c r="AO4" s="6"/>
    </row>
    <row r="5" spans="2:41" ht="15" customHeight="1">
      <c r="B5" s="6" t="s">
        <v>58</v>
      </c>
      <c r="C5" s="6"/>
      <c r="D5" s="619" t="s">
        <v>59</v>
      </c>
      <c r="E5" s="619"/>
      <c r="F5" s="619"/>
      <c r="G5" s="432"/>
      <c r="H5" s="10"/>
      <c r="I5" s="619" t="s">
        <v>60</v>
      </c>
      <c r="J5" s="619"/>
      <c r="K5" s="619"/>
      <c r="L5" s="10"/>
      <c r="M5" s="623" t="s">
        <v>61</v>
      </c>
      <c r="N5" s="623"/>
      <c r="O5" s="25"/>
      <c r="P5" s="4" t="s">
        <v>62</v>
      </c>
      <c r="Q5" s="11"/>
      <c r="R5" s="622" t="s">
        <v>63</v>
      </c>
      <c r="S5" s="622"/>
      <c r="T5" s="622"/>
      <c r="U5" s="622"/>
      <c r="V5" s="28"/>
      <c r="W5" s="619" t="s">
        <v>64</v>
      </c>
      <c r="X5" s="619"/>
      <c r="Y5" s="619"/>
      <c r="Z5" s="619"/>
      <c r="AA5" s="10"/>
      <c r="AB5" s="619" t="s">
        <v>65</v>
      </c>
      <c r="AC5" s="619"/>
      <c r="AD5" s="12"/>
      <c r="AE5" s="26"/>
      <c r="AF5" s="27"/>
      <c r="AG5" s="13"/>
      <c r="AH5" s="13"/>
      <c r="AI5" s="13"/>
      <c r="AJ5" s="13"/>
      <c r="AK5" s="13"/>
      <c r="AL5" s="13"/>
      <c r="AM5" s="13"/>
      <c r="AO5" s="6"/>
    </row>
    <row r="6" spans="2:41" s="429" customFormat="1" ht="24">
      <c r="B6" s="7" t="s">
        <v>66</v>
      </c>
      <c r="C6" s="7" t="s">
        <v>67</v>
      </c>
      <c r="D6" s="7" t="s">
        <v>68</v>
      </c>
      <c r="E6" s="7" t="s">
        <v>69</v>
      </c>
      <c r="F6" s="7" t="s">
        <v>70</v>
      </c>
      <c r="G6" s="433" t="s">
        <v>59</v>
      </c>
      <c r="H6" s="27" t="s">
        <v>71</v>
      </c>
      <c r="I6" s="11" t="s">
        <v>72</v>
      </c>
      <c r="J6" s="11" t="s">
        <v>51</v>
      </c>
      <c r="K6" s="29" t="s">
        <v>73</v>
      </c>
      <c r="L6" s="29"/>
      <c r="M6" s="11" t="s">
        <v>49</v>
      </c>
      <c r="N6" s="11" t="s">
        <v>50</v>
      </c>
      <c r="O6" s="11"/>
      <c r="P6" s="11" t="s">
        <v>56</v>
      </c>
      <c r="Q6" s="11"/>
      <c r="R6" s="11" t="s">
        <v>54</v>
      </c>
      <c r="S6" s="11" t="s">
        <v>55</v>
      </c>
      <c r="T6" s="30" t="s">
        <v>74</v>
      </c>
      <c r="U6" s="11" t="s">
        <v>75</v>
      </c>
      <c r="V6" s="11"/>
      <c r="W6" s="11" t="s">
        <v>76</v>
      </c>
      <c r="X6" s="11" t="s">
        <v>25</v>
      </c>
      <c r="Y6" s="31" t="s">
        <v>46</v>
      </c>
      <c r="Z6" s="11" t="s">
        <v>75</v>
      </c>
      <c r="AA6" s="11"/>
      <c r="AB6" s="11" t="s">
        <v>77</v>
      </c>
      <c r="AC6" s="27" t="s">
        <v>78</v>
      </c>
      <c r="AD6" s="27" t="s">
        <v>23</v>
      </c>
      <c r="AE6" s="27" t="s">
        <v>79</v>
      </c>
      <c r="AF6" s="27" t="s">
        <v>80</v>
      </c>
      <c r="AG6" s="27" t="s">
        <v>81</v>
      </c>
      <c r="AH6" s="27" t="s">
        <v>82</v>
      </c>
      <c r="AI6" s="27" t="s">
        <v>83</v>
      </c>
      <c r="AJ6" s="27" t="s">
        <v>84</v>
      </c>
      <c r="AK6" s="27" t="s">
        <v>85</v>
      </c>
      <c r="AL6" s="27" t="s">
        <v>86</v>
      </c>
      <c r="AM6" s="27" t="s">
        <v>87</v>
      </c>
      <c r="AO6" s="7"/>
    </row>
    <row r="7" spans="2:41" s="43" customFormat="1" ht="15" customHeight="1">
      <c r="B7" s="32">
        <f>ROW()-6</f>
        <v>1</v>
      </c>
      <c r="C7" s="49" t="s">
        <v>2</v>
      </c>
      <c r="D7" s="49" t="s">
        <v>88</v>
      </c>
      <c r="E7" s="49" t="s">
        <v>89</v>
      </c>
      <c r="F7" s="49" t="s">
        <v>1481</v>
      </c>
      <c r="G7" s="434" t="s">
        <v>90</v>
      </c>
      <c r="H7" s="390">
        <v>40695</v>
      </c>
      <c r="I7" s="35">
        <f>'BOYU Capital Fund I'!E10*10^6</f>
        <v>30000000</v>
      </c>
      <c r="J7" s="35">
        <f>-'BOYU Capital Fund I CF'!M2</f>
        <v>29454452.019999996</v>
      </c>
      <c r="K7" s="613">
        <f>IF(J7-I7&gt;0,"0",J7-I7)</f>
        <v>-545547.98000000417</v>
      </c>
      <c r="L7" s="415">
        <f>-K7/I7</f>
        <v>1.8184932666666806E-2</v>
      </c>
      <c r="M7" s="35">
        <f>'BOYU Capital Fund I CF'!M3</f>
        <v>92038825.620000005</v>
      </c>
      <c r="N7" s="34">
        <v>0</v>
      </c>
      <c r="O7" s="34"/>
      <c r="P7" s="407">
        <f>'BOYU Capital Fund I CF'!M4</f>
        <v>51248</v>
      </c>
      <c r="Q7" s="34"/>
      <c r="R7" s="410">
        <f>M7/J7</f>
        <v>3.1247848562079619</v>
      </c>
      <c r="S7" s="410">
        <f>P7/J7</f>
        <v>1.7399067538313689E-3</v>
      </c>
      <c r="T7" s="423">
        <f>'BOYU Capital Fund I'!E18</f>
        <v>3.126524762961794</v>
      </c>
      <c r="U7" s="411">
        <f>'BOYU Capital Fund I'!E19</f>
        <v>0.33635510253906253</v>
      </c>
      <c r="V7" s="37"/>
      <c r="W7" s="38" cm="1">
        <f t="array" ref="W7">SUM(VLOOKUP($C7,'Portfolio Summary'!$C$6:$AO$28,{28,29,30,31,32,33,34},FALSE))</f>
        <v>16900319.41</v>
      </c>
      <c r="X7" s="38">
        <f>VLOOKUP(C7,'Portfolio Summary'!$C$6:$T$27,14,0)</f>
        <v>0</v>
      </c>
      <c r="Y7" s="36">
        <f>VLOOKUP(C7,'Portfolio Summary'!$C$6:$AN$26,3,0)</f>
        <v>3.104240408055694</v>
      </c>
      <c r="Z7" s="37">
        <f>VLOOKUP(C7,'Portfolio Summary'!$C$6:$AN$26,2,0)</f>
        <v>0.34753879227820605</v>
      </c>
      <c r="AA7" s="37"/>
      <c r="AB7" s="33">
        <f>'BOYU Capital Fund I'!B3</f>
        <v>40705</v>
      </c>
      <c r="AC7" s="390">
        <v>44358</v>
      </c>
      <c r="AD7" s="39" t="s">
        <v>26</v>
      </c>
      <c r="AE7" s="40">
        <v>2</v>
      </c>
      <c r="AF7" s="40">
        <v>20</v>
      </c>
      <c r="AG7" s="41" t="s">
        <v>91</v>
      </c>
      <c r="AH7" s="41" t="s">
        <v>91</v>
      </c>
      <c r="AI7" s="41" t="s">
        <v>91</v>
      </c>
      <c r="AJ7" s="42">
        <f>-J7</f>
        <v>-29454452.019999996</v>
      </c>
      <c r="AK7" s="42">
        <f>M7</f>
        <v>92038825.620000005</v>
      </c>
      <c r="AL7" s="42"/>
      <c r="AM7" s="42">
        <f>P7</f>
        <v>51248</v>
      </c>
      <c r="AO7" s="49" t="s">
        <v>28</v>
      </c>
    </row>
    <row r="8" spans="2:41" s="43" customFormat="1" ht="15" customHeight="1">
      <c r="B8" s="32">
        <f>B7+1</f>
        <v>2</v>
      </c>
      <c r="C8" s="49" t="s">
        <v>3</v>
      </c>
      <c r="D8" s="49" t="s">
        <v>88</v>
      </c>
      <c r="E8" s="49" t="s">
        <v>89</v>
      </c>
      <c r="F8" s="49" t="s">
        <v>92</v>
      </c>
      <c r="G8" s="434" t="s">
        <v>90</v>
      </c>
      <c r="H8" s="390">
        <v>40878</v>
      </c>
      <c r="I8" s="35">
        <f>'Ascendent CP I'!E10*10^6</f>
        <v>10000000</v>
      </c>
      <c r="J8" s="35">
        <f>-'Ascendant CP I CF'!N2</f>
        <v>8570276.3500000034</v>
      </c>
      <c r="K8" s="613">
        <f>IF(J8-I8&gt;0,"0",J8-I8)</f>
        <v>-1429723.6499999966</v>
      </c>
      <c r="L8" s="415">
        <f t="shared" ref="L8:L25" si="0">-K8/I8</f>
        <v>0.14297236499999966</v>
      </c>
      <c r="M8" s="35">
        <f>'Ascendant CP I CF'!N3</f>
        <v>20207464.430000003</v>
      </c>
      <c r="N8" s="34">
        <v>0</v>
      </c>
      <c r="O8" s="34"/>
      <c r="P8" s="407">
        <f>'Ascendant CP I CF'!N4</f>
        <v>249627</v>
      </c>
      <c r="Q8" s="34"/>
      <c r="R8" s="410">
        <f>M8/J8</f>
        <v>2.3578544733857965</v>
      </c>
      <c r="S8" s="410">
        <f>P8/J8</f>
        <v>2.9127065430042978E-2</v>
      </c>
      <c r="T8" s="410">
        <f>'Ascendent CP I'!E18</f>
        <v>2.3869815388158391</v>
      </c>
      <c r="U8" s="411">
        <f>'Ascendent CP I'!E19</f>
        <v>0.22429716308593756</v>
      </c>
      <c r="V8" s="37"/>
      <c r="W8" s="38" cm="1">
        <f t="array" ref="W8">SUM(VLOOKUP($C8,'Portfolio Summary'!$C$6:$AO$28,{28,29,30,31,32,33,34},FALSE))</f>
        <v>8917875.7199999988</v>
      </c>
      <c r="X8" s="38">
        <f>VLOOKUP(C8,'Portfolio Summary'!$C$6:$T$27,14,0)</f>
        <v>0</v>
      </c>
      <c r="Y8" s="36">
        <f>VLOOKUP(C8,'Portfolio Summary'!$C$6:$AN$26,3,0)</f>
        <v>2.3365703738375307</v>
      </c>
      <c r="Z8" s="37">
        <f>VLOOKUP(C8,'Portfolio Summary'!$C$6:$AN$26,2,0)</f>
        <v>0.23380959664028178</v>
      </c>
      <c r="AA8" s="37"/>
      <c r="AB8" s="390">
        <f>'Ascendent CP I'!B3</f>
        <v>40651</v>
      </c>
      <c r="AC8" s="390">
        <f>AB8+365*10</f>
        <v>44301</v>
      </c>
      <c r="AD8" s="39" t="s">
        <v>26</v>
      </c>
      <c r="AE8" s="40">
        <v>2</v>
      </c>
      <c r="AF8" s="40">
        <v>20</v>
      </c>
      <c r="AG8" s="41" t="s">
        <v>91</v>
      </c>
      <c r="AH8" s="41" t="s">
        <v>91</v>
      </c>
      <c r="AI8" s="41" t="s">
        <v>93</v>
      </c>
      <c r="AJ8" s="42"/>
      <c r="AK8" s="42"/>
      <c r="AL8" s="42"/>
      <c r="AM8" s="42"/>
      <c r="AO8" s="49" t="s">
        <v>27</v>
      </c>
    </row>
    <row r="9" spans="2:41" s="43" customFormat="1" ht="15" customHeight="1">
      <c r="B9" s="32">
        <f t="shared" ref="B9:B25" si="1">B8+1</f>
        <v>3</v>
      </c>
      <c r="C9" s="49" t="s">
        <v>4</v>
      </c>
      <c r="D9" s="49" t="s">
        <v>88</v>
      </c>
      <c r="E9" s="49" t="s">
        <v>89</v>
      </c>
      <c r="F9" s="49" t="s">
        <v>94</v>
      </c>
      <c r="G9" s="434" t="s">
        <v>95</v>
      </c>
      <c r="H9" s="390">
        <v>42614</v>
      </c>
      <c r="I9" s="408">
        <v>10000000</v>
      </c>
      <c r="J9" s="35">
        <f>-'BOYU Offshore CF'!D5</f>
        <v>10000000</v>
      </c>
      <c r="K9" s="614">
        <f>IF(J9-I9&gt;0,"0",J9-I9)</f>
        <v>0</v>
      </c>
      <c r="L9" s="415">
        <f t="shared" si="0"/>
        <v>0</v>
      </c>
      <c r="M9" s="35">
        <f>'BOYU Offshore CF'!D65</f>
        <v>20196162.998260003</v>
      </c>
      <c r="N9" s="34">
        <v>0</v>
      </c>
      <c r="O9" s="34"/>
      <c r="P9" s="407">
        <f>'BOYU Offshore CF'!D60</f>
        <v>793271.37</v>
      </c>
      <c r="Q9" s="34"/>
      <c r="R9" s="410">
        <f>M9/J9</f>
        <v>2.0196162998260001</v>
      </c>
      <c r="S9" s="410">
        <f>P9/J9</f>
        <v>7.9327137000000006E-2</v>
      </c>
      <c r="T9" s="410">
        <f>'BOYU Offshore CF'!D67</f>
        <v>2.0989434368260005</v>
      </c>
      <c r="U9" s="411">
        <f>'BOYU Offshore CF'!D68</f>
        <v>0.16955445800781249</v>
      </c>
      <c r="V9" s="37"/>
      <c r="W9" s="38" cm="1">
        <f t="array" ref="W9">SUM(VLOOKUP($C9,'Portfolio Summary'!$C$6:$AO$28,{28,29,30,31,32,33,34},FALSE))</f>
        <v>20506162.998259999</v>
      </c>
      <c r="X9" s="38">
        <f>VLOOKUP(C9,'Portfolio Summary'!$C$6:$T$27,14,0)</f>
        <v>0</v>
      </c>
      <c r="Y9" s="36">
        <f>VLOOKUP(C9,'Portfolio Summary'!$C$6:$AN$26,3,0)</f>
        <v>2.0506162998259998</v>
      </c>
      <c r="Z9" s="37">
        <f>VLOOKUP(C9,'Portfolio Summary'!$C$6:$AN$26,2,0)</f>
        <v>0.16178617124079464</v>
      </c>
      <c r="AA9" s="37"/>
      <c r="AB9" s="33">
        <v>42618</v>
      </c>
      <c r="AC9" s="390" t="s">
        <v>96</v>
      </c>
      <c r="AD9" s="44" t="s">
        <v>26</v>
      </c>
      <c r="AE9" s="40">
        <v>2</v>
      </c>
      <c r="AF9" s="40">
        <v>20</v>
      </c>
      <c r="AG9" s="41" t="s">
        <v>97</v>
      </c>
      <c r="AH9" s="41" t="s">
        <v>97</v>
      </c>
      <c r="AI9" s="41" t="s">
        <v>97</v>
      </c>
      <c r="AJ9" s="42">
        <f>-J9</f>
        <v>-10000000</v>
      </c>
      <c r="AK9" s="42">
        <f>M9</f>
        <v>20196162.998260003</v>
      </c>
      <c r="AL9" s="42"/>
      <c r="AM9" s="42">
        <f>P9</f>
        <v>793271.37</v>
      </c>
      <c r="AO9" s="49" t="s">
        <v>29</v>
      </c>
    </row>
    <row r="10" spans="2:41" s="48" customFormat="1" ht="15" customHeight="1">
      <c r="B10" s="32">
        <f t="shared" si="1"/>
        <v>4</v>
      </c>
      <c r="C10" s="49" t="s">
        <v>17</v>
      </c>
      <c r="D10" s="49" t="s">
        <v>98</v>
      </c>
      <c r="E10" s="49" t="s">
        <v>99</v>
      </c>
      <c r="F10" s="49" t="s">
        <v>1481</v>
      </c>
      <c r="G10" s="434" t="s">
        <v>100</v>
      </c>
      <c r="H10" s="390">
        <v>42894</v>
      </c>
      <c r="I10" s="35">
        <f>'E15 Fund I'!E10*10^6</f>
        <v>6000000</v>
      </c>
      <c r="J10" s="35">
        <f>-'E15 Fund I (CF) '!I2</f>
        <v>6000000</v>
      </c>
      <c r="K10" s="614">
        <f>IF(J10-I10&gt;0,"0",J10-I10)</f>
        <v>0</v>
      </c>
      <c r="L10" s="415">
        <f t="shared" si="0"/>
        <v>0</v>
      </c>
      <c r="M10" s="35">
        <f>'E15 Fund I (CF) '!I3</f>
        <v>4158210.7900000005</v>
      </c>
      <c r="N10" s="34">
        <v>0</v>
      </c>
      <c r="O10" s="34"/>
      <c r="P10" s="407">
        <f>'E15 Fund I (CF) '!I4</f>
        <v>569305</v>
      </c>
      <c r="Q10" s="34"/>
      <c r="R10" s="410">
        <f t="shared" ref="R10:R22" si="2">M10/J10</f>
        <v>0.69303513166666675</v>
      </c>
      <c r="S10" s="410">
        <f t="shared" ref="S10:S22" si="3">P10/J10</f>
        <v>9.4884166666666672E-2</v>
      </c>
      <c r="T10" s="423">
        <f>'E15 Fund I'!E18</f>
        <v>0.78791929833333352</v>
      </c>
      <c r="U10" s="411">
        <f>'E15 Fund I'!E19</f>
        <v>-8.4686514735221888E-2</v>
      </c>
      <c r="V10" s="37"/>
      <c r="W10" s="38" cm="1">
        <f t="array" ref="W10">SUM(VLOOKUP($C10,'Portfolio Summary'!$C$6:$AO$28,{28,29,30,31,32,33,34},FALSE))</f>
        <v>875897.13</v>
      </c>
      <c r="X10" s="38">
        <f>VLOOKUP(C10,'Portfolio Summary'!$C$6:$T$27,14,0)</f>
        <v>0</v>
      </c>
      <c r="Y10" s="36">
        <f>VLOOKUP(C10,'Portfolio Summary'!$C$6:$AN$26,3,0)</f>
        <v>0.80970179833333333</v>
      </c>
      <c r="Z10" s="37">
        <f>VLOOKUP(C10,'Portfolio Summary'!$C$6:$AN$26,2,0)</f>
        <v>-6.6498432521911899E-2</v>
      </c>
      <c r="AA10" s="37"/>
      <c r="AB10" s="33">
        <f>'E15 Fund I'!B3</f>
        <v>42892</v>
      </c>
      <c r="AC10" s="390">
        <v>46874</v>
      </c>
      <c r="AD10" s="44" t="s">
        <v>35</v>
      </c>
      <c r="AE10" s="40">
        <v>2</v>
      </c>
      <c r="AF10" s="40">
        <v>20</v>
      </c>
      <c r="AG10" s="40"/>
      <c r="AH10" s="40"/>
      <c r="AI10" s="40"/>
      <c r="AJ10" s="42"/>
      <c r="AK10" s="42"/>
      <c r="AL10" s="42"/>
      <c r="AM10" s="42"/>
      <c r="AO10" s="49" t="s">
        <v>36</v>
      </c>
    </row>
    <row r="11" spans="2:41" s="48" customFormat="1" ht="15" customHeight="1">
      <c r="B11" s="32">
        <f t="shared" si="1"/>
        <v>5</v>
      </c>
      <c r="C11" s="49" t="s">
        <v>20</v>
      </c>
      <c r="D11" s="2" t="s">
        <v>101</v>
      </c>
      <c r="E11" s="49" t="s">
        <v>89</v>
      </c>
      <c r="F11" s="49" t="s">
        <v>92</v>
      </c>
      <c r="G11" s="434" t="s">
        <v>90</v>
      </c>
      <c r="H11" s="390">
        <v>43344</v>
      </c>
      <c r="I11" s="409">
        <f>'West Street VII'!E10*10^6</f>
        <v>25000000</v>
      </c>
      <c r="J11" s="35">
        <f>-'West Street VII (CF)'!N2</f>
        <v>20996048</v>
      </c>
      <c r="K11" s="613">
        <f t="shared" ref="K11:K23" si="4">IF(J11-I11&gt;0,"0",J11-I11)</f>
        <v>-4003952</v>
      </c>
      <c r="L11" s="415">
        <f t="shared" si="0"/>
        <v>0.16015808000000001</v>
      </c>
      <c r="M11" s="35">
        <f>'West Street VII (CF)'!N3</f>
        <v>14856555</v>
      </c>
      <c r="N11" s="34">
        <v>0</v>
      </c>
      <c r="O11" s="34"/>
      <c r="P11" s="407">
        <f>'West Street VII (CF)'!N4</f>
        <v>14507335</v>
      </c>
      <c r="Q11" s="45"/>
      <c r="R11" s="410">
        <f t="shared" si="2"/>
        <v>0.70758816135303182</v>
      </c>
      <c r="S11" s="410">
        <f t="shared" si="3"/>
        <v>0.69095550743644707</v>
      </c>
      <c r="T11" s="412">
        <f>'West Street VII'!E18</f>
        <v>1.3985436687894788</v>
      </c>
      <c r="U11" s="411">
        <f>'West Street VII'!E19</f>
        <v>0.14580788016319277</v>
      </c>
      <c r="V11" s="37"/>
      <c r="W11" s="38" cm="1">
        <f t="array" ref="W11">SUM(VLOOKUP($C11,'Portfolio Summary'!$C$6:$AO$28,{28,29,30,31,32,33,34},FALSE))</f>
        <v>3037854.666666666</v>
      </c>
      <c r="X11" s="38">
        <f>VLOOKUP(C11,'Portfolio Summary'!$C$6:$T$27,14,0)</f>
        <v>0</v>
      </c>
      <c r="Y11" s="36">
        <f>VLOOKUP(C11,'Portfolio Summary'!$C$6:$AN$26,3,0)</f>
        <v>1.9999999999999998</v>
      </c>
      <c r="Z11" s="37">
        <f>VLOOKUP(C11,'Portfolio Summary'!$C$6:$AN$26,2,0)</f>
        <v>0.18804665237012053</v>
      </c>
      <c r="AA11" s="37"/>
      <c r="AB11" s="33">
        <f>'West Street VII'!B4</f>
        <v>43313</v>
      </c>
      <c r="AC11" s="390">
        <v>46966</v>
      </c>
      <c r="AD11" s="44" t="s">
        <v>102</v>
      </c>
      <c r="AE11" s="40">
        <v>1</v>
      </c>
      <c r="AF11" s="40">
        <v>20</v>
      </c>
      <c r="AG11" s="40" t="s">
        <v>91</v>
      </c>
      <c r="AH11" s="40" t="s">
        <v>93</v>
      </c>
      <c r="AI11" s="40" t="s">
        <v>91</v>
      </c>
      <c r="AJ11" s="42"/>
      <c r="AK11" s="42"/>
      <c r="AL11" s="42"/>
      <c r="AM11" s="42"/>
      <c r="AO11" s="49" t="s">
        <v>42</v>
      </c>
    </row>
    <row r="12" spans="2:41" s="43" customFormat="1" ht="15" customHeight="1">
      <c r="B12" s="32">
        <f t="shared" si="1"/>
        <v>6</v>
      </c>
      <c r="C12" s="49" t="s">
        <v>5</v>
      </c>
      <c r="D12" s="49" t="s">
        <v>88</v>
      </c>
      <c r="E12" s="49" t="s">
        <v>99</v>
      </c>
      <c r="F12" s="49" t="s">
        <v>1481</v>
      </c>
      <c r="G12" s="434" t="s">
        <v>90</v>
      </c>
      <c r="H12" s="390">
        <v>43373</v>
      </c>
      <c r="I12" s="35">
        <f>'C Ventures II'!E10*10^6</f>
        <v>20000000</v>
      </c>
      <c r="J12" s="35">
        <f>-'C Ventures II CF '!K2</f>
        <v>19929372.359999999</v>
      </c>
      <c r="K12" s="613">
        <f t="shared" si="4"/>
        <v>-70627.640000000596</v>
      </c>
      <c r="L12" s="415">
        <f t="shared" si="0"/>
        <v>3.5313820000000299E-3</v>
      </c>
      <c r="M12" s="35">
        <f>'C Ventures II CF '!K3</f>
        <v>5324898.99</v>
      </c>
      <c r="N12" s="34">
        <v>0</v>
      </c>
      <c r="O12" s="34"/>
      <c r="P12" s="407">
        <f>'C Ventures II CF '!K4</f>
        <v>16039004.68</v>
      </c>
      <c r="Q12" s="34"/>
      <c r="R12" s="410">
        <f>M12/J12</f>
        <v>0.26718849413880891</v>
      </c>
      <c r="S12" s="410">
        <f t="shared" si="3"/>
        <v>0.80479226291098316</v>
      </c>
      <c r="T12" s="423">
        <f>'C Ventures II'!E18</f>
        <v>1.0719807570497921</v>
      </c>
      <c r="U12" s="411">
        <f>'C Ventures II'!E19</f>
        <v>1.7202332615852356E-2</v>
      </c>
      <c r="V12" s="37"/>
      <c r="W12" s="38" cm="1">
        <f t="array" ref="W12">SUM(VLOOKUP($C12,'Portfolio Summary'!$C$6:$AO$28,{28,29,30,31,32,33,34},FALSE))</f>
        <v>6046681.3499999996</v>
      </c>
      <c r="X12" s="38">
        <f>VLOOKUP(C12,'Portfolio Summary'!$C$6:$T$27,14,0)</f>
        <v>0</v>
      </c>
      <c r="Y12" s="36">
        <f>VLOOKUP(C12,'Portfolio Summary'!$C$6:$AN$26,3,0)</f>
        <v>1.433124256189104</v>
      </c>
      <c r="Z12" s="37">
        <f>VLOOKUP(C12,'Portfolio Summary'!$C$6:$AN$26,2,0)</f>
        <v>6.9602423382138179E-2</v>
      </c>
      <c r="AA12" s="37"/>
      <c r="AB12" s="33">
        <f>'C Ventures II'!B3</f>
        <v>43373</v>
      </c>
      <c r="AC12" s="390">
        <f>AB12+365*8</f>
        <v>46293</v>
      </c>
      <c r="AD12" s="39" t="s">
        <v>26</v>
      </c>
      <c r="AE12" s="40">
        <v>2</v>
      </c>
      <c r="AF12" s="40">
        <v>20</v>
      </c>
      <c r="AG12" s="41" t="s">
        <v>91</v>
      </c>
      <c r="AH12" s="41" t="s">
        <v>93</v>
      </c>
      <c r="AI12" s="41" t="s">
        <v>91</v>
      </c>
      <c r="AJ12" s="42"/>
      <c r="AK12" s="42"/>
      <c r="AL12" s="42"/>
      <c r="AM12" s="42"/>
      <c r="AO12" s="49" t="s">
        <v>31</v>
      </c>
    </row>
    <row r="13" spans="2:41" s="43" customFormat="1" ht="15" customHeight="1">
      <c r="B13" s="32">
        <f t="shared" si="1"/>
        <v>7</v>
      </c>
      <c r="C13" s="49" t="s">
        <v>6</v>
      </c>
      <c r="D13" s="49" t="s">
        <v>88</v>
      </c>
      <c r="E13" s="49" t="s">
        <v>89</v>
      </c>
      <c r="F13" s="49" t="s">
        <v>92</v>
      </c>
      <c r="G13" s="434" t="s">
        <v>90</v>
      </c>
      <c r="H13" s="390">
        <v>43445</v>
      </c>
      <c r="I13" s="35">
        <f>'DCP I'!E10*10^6</f>
        <v>50000000</v>
      </c>
      <c r="J13" s="35">
        <f>-'DCP I (CF)'!M2</f>
        <v>59725670.330000013</v>
      </c>
      <c r="K13" s="614" t="str">
        <f>IF(J13-I13&gt;0,"0",J13-I13)</f>
        <v>0</v>
      </c>
      <c r="L13" s="415">
        <f t="shared" si="0"/>
        <v>0</v>
      </c>
      <c r="M13" s="408">
        <f>'DCP I (CF)'!M3</f>
        <v>28599370.870000001</v>
      </c>
      <c r="N13" s="34">
        <v>0</v>
      </c>
      <c r="O13" s="34"/>
      <c r="P13" s="407">
        <f>'DCP I (CF)'!M4</f>
        <v>41287985</v>
      </c>
      <c r="Q13" s="34"/>
      <c r="R13" s="410">
        <f t="shared" si="2"/>
        <v>0.47884554015017272</v>
      </c>
      <c r="S13" s="410">
        <f t="shared" si="3"/>
        <v>0.69129378995452107</v>
      </c>
      <c r="T13" s="410">
        <f>'DCP I'!E18</f>
        <v>1.1701393301046936</v>
      </c>
      <c r="U13" s="411">
        <f>'DCP I'!E19</f>
        <v>6.1443415284156797E-2</v>
      </c>
      <c r="V13" s="37"/>
      <c r="W13" s="38" cm="1">
        <f t="array" ref="W13">SUM(VLOOKUP($C13,'Portfolio Summary'!$C$6:$AO$28,{28,29,30,31,32,33,34},FALSE))</f>
        <v>-4903893.3325000033</v>
      </c>
      <c r="X13" s="38">
        <f>VLOOKUP(C13,'Portfolio Summary'!$C$6:$T$27,14,0)</f>
        <v>0</v>
      </c>
      <c r="Y13" s="36">
        <f>VLOOKUP(C13,'Portfolio Summary'!$C$6:$AN$26,3,0)</f>
        <v>1.4123037001249228</v>
      </c>
      <c r="Z13" s="37">
        <f>VLOOKUP(C13,'Portfolio Summary'!$C$6:$AN$26,2,0)</f>
        <v>8.6500310259832291E-2</v>
      </c>
      <c r="AA13" s="37"/>
      <c r="AB13" s="33">
        <f>'DCP I'!B3</f>
        <v>43080</v>
      </c>
      <c r="AC13" s="390">
        <f>AB13+365*11</f>
        <v>47095</v>
      </c>
      <c r="AD13" s="39" t="s">
        <v>26</v>
      </c>
      <c r="AE13" s="40">
        <v>2</v>
      </c>
      <c r="AF13" s="40">
        <v>20</v>
      </c>
      <c r="AG13" s="41" t="s">
        <v>91</v>
      </c>
      <c r="AH13" s="41" t="s">
        <v>91</v>
      </c>
      <c r="AI13" s="41" t="s">
        <v>93</v>
      </c>
      <c r="AJ13" s="42"/>
      <c r="AK13" s="42"/>
      <c r="AL13" s="42"/>
      <c r="AM13" s="42"/>
      <c r="AO13" s="49" t="s">
        <v>33</v>
      </c>
    </row>
    <row r="14" spans="2:41" s="43" customFormat="1" ht="15" customHeight="1">
      <c r="B14" s="32">
        <f t="shared" si="1"/>
        <v>8</v>
      </c>
      <c r="C14" s="49" t="s">
        <v>18</v>
      </c>
      <c r="D14" s="49" t="s">
        <v>98</v>
      </c>
      <c r="E14" s="49" t="s">
        <v>99</v>
      </c>
      <c r="F14" s="49" t="s">
        <v>1481</v>
      </c>
      <c r="G14" s="434" t="s">
        <v>103</v>
      </c>
      <c r="H14" s="390">
        <v>43466</v>
      </c>
      <c r="I14" s="35">
        <f>'E15 Fund 1.5 (liquidating)'!E10*10^6</f>
        <v>6000000</v>
      </c>
      <c r="J14" s="35">
        <f>-'E15 Fund 1.5(CF) '!M2</f>
        <v>4500000</v>
      </c>
      <c r="K14" s="613">
        <f>IF(J14-I14&gt;0,"0",J14-I14)</f>
        <v>-1500000</v>
      </c>
      <c r="L14" s="415">
        <f t="shared" si="0"/>
        <v>0.25</v>
      </c>
      <c r="M14" s="35">
        <f>'E15 Fund 1.5(CF) '!M3</f>
        <v>3034269.1300000004</v>
      </c>
      <c r="N14" s="34">
        <v>0</v>
      </c>
      <c r="O14" s="34"/>
      <c r="P14" s="407">
        <f>'E15 Fund 1.5(CF) '!M4</f>
        <v>42858</v>
      </c>
      <c r="Q14" s="34"/>
      <c r="R14" s="410">
        <f t="shared" si="2"/>
        <v>0.674282028888889</v>
      </c>
      <c r="S14" s="410">
        <f t="shared" si="3"/>
        <v>9.5239999999999995E-3</v>
      </c>
      <c r="T14" s="423">
        <f>'E15 Fund 1.5 (liquidating)'!E18</f>
        <v>0.68380602888888886</v>
      </c>
      <c r="U14" s="411">
        <f>'E15 Fund 1.5 (liquidating)'!E19</f>
        <v>-0.3842949174344541</v>
      </c>
      <c r="V14" s="37"/>
      <c r="W14" s="38" cm="1">
        <f t="array" ref="W14">SUM(VLOOKUP($C14,'Portfolio Summary'!$C$6:$AO$28,{28,29,30,31,32,33,34},FALSE))</f>
        <v>121480.17</v>
      </c>
      <c r="X14" s="38">
        <f>VLOOKUP(C14,'Portfolio Summary'!$C$6:$T$27,14,0)</f>
        <v>0</v>
      </c>
      <c r="Y14" s="36">
        <f>VLOOKUP(C14,'Portfolio Summary'!$C$6:$AN$26,3,0)</f>
        <v>0.65096886888888894</v>
      </c>
      <c r="Z14" s="37">
        <f>VLOOKUP(C14,'Portfolio Summary'!$C$6:$AN$26,2,0)</f>
        <v>-0.92820831186076569</v>
      </c>
      <c r="AA14" s="37"/>
      <c r="AB14" s="33">
        <v>43466</v>
      </c>
      <c r="AC14" s="390">
        <v>47484</v>
      </c>
      <c r="AD14" s="44" t="s">
        <v>35</v>
      </c>
      <c r="AE14" s="40">
        <v>2</v>
      </c>
      <c r="AF14" s="40">
        <v>10</v>
      </c>
      <c r="AG14" s="41"/>
      <c r="AH14" s="41"/>
      <c r="AI14" s="41"/>
      <c r="AJ14" s="42"/>
      <c r="AK14" s="42"/>
      <c r="AL14" s="42"/>
      <c r="AM14" s="42"/>
      <c r="AO14" s="49" t="s">
        <v>34</v>
      </c>
    </row>
    <row r="15" spans="2:41" s="43" customFormat="1" ht="15" customHeight="1">
      <c r="B15" s="32">
        <f t="shared" si="1"/>
        <v>9</v>
      </c>
      <c r="C15" s="49" t="s">
        <v>7</v>
      </c>
      <c r="D15" s="49" t="s">
        <v>88</v>
      </c>
      <c r="E15" s="49" t="s">
        <v>89</v>
      </c>
      <c r="F15" s="49" t="s">
        <v>1481</v>
      </c>
      <c r="G15" s="434" t="s">
        <v>90</v>
      </c>
      <c r="H15" s="390">
        <v>43632</v>
      </c>
      <c r="I15" s="35">
        <f>'Skycus China Fund'!E10*10^6</f>
        <v>30000000</v>
      </c>
      <c r="J15" s="35">
        <f>-'Skycus China CF'!M2</f>
        <v>30000000</v>
      </c>
      <c r="K15" s="614">
        <f t="shared" si="4"/>
        <v>0</v>
      </c>
      <c r="L15" s="415">
        <f t="shared" si="0"/>
        <v>0</v>
      </c>
      <c r="M15" s="35">
        <f>'Skycus China CF'!M3</f>
        <v>5327911.5199999996</v>
      </c>
      <c r="N15" s="34">
        <v>0</v>
      </c>
      <c r="O15" s="34"/>
      <c r="P15" s="35">
        <f>'Skycus China CF'!M4</f>
        <v>39396375.590000004</v>
      </c>
      <c r="Q15" s="34"/>
      <c r="R15" s="410">
        <f t="shared" si="2"/>
        <v>0.17759705066666664</v>
      </c>
      <c r="S15" s="410">
        <f t="shared" si="3"/>
        <v>1.3132125196666669</v>
      </c>
      <c r="T15" s="423">
        <f>'Skycus China Fund'!E18</f>
        <v>1.4908095703333335</v>
      </c>
      <c r="U15" s="411">
        <f>'Skycus China Fund'!E19</f>
        <v>7.2061195969581618E-2</v>
      </c>
      <c r="V15" s="37"/>
      <c r="W15" s="38" cm="1">
        <f t="array" ref="W15">SUM(VLOOKUP($C15,'Portfolio Summary'!$C$6:$AO$28,{28,29,30,31,32,33,34},FALSE))</f>
        <v>19951941.013333336</v>
      </c>
      <c r="X15" s="38">
        <f>VLOOKUP(C15,'Portfolio Summary'!$C$6:$T$27,14,0)</f>
        <v>0</v>
      </c>
      <c r="Y15" s="36">
        <f>VLOOKUP(C15,'Portfolio Summary'!$C$6:$AN$26,3,0)</f>
        <v>1.8</v>
      </c>
      <c r="Z15" s="37">
        <f>VLOOKUP(C15,'Portfolio Summary'!$C$6:$AN$26,2,0)</f>
        <v>8.6823560188624027E-2</v>
      </c>
      <c r="AA15" s="37"/>
      <c r="AB15" s="33">
        <f>'Skycus China Fund'!B3</f>
        <v>43024</v>
      </c>
      <c r="AC15" s="390">
        <v>46172</v>
      </c>
      <c r="AD15" s="39" t="s">
        <v>26</v>
      </c>
      <c r="AE15" s="40">
        <v>2</v>
      </c>
      <c r="AF15" s="40">
        <v>20</v>
      </c>
      <c r="AG15" s="41" t="s">
        <v>91</v>
      </c>
      <c r="AH15" s="41" t="s">
        <v>91</v>
      </c>
      <c r="AI15" s="41" t="s">
        <v>91</v>
      </c>
      <c r="AJ15" s="42"/>
      <c r="AK15" s="42"/>
      <c r="AL15" s="42"/>
      <c r="AM15" s="42"/>
      <c r="AO15" s="49" t="s">
        <v>40</v>
      </c>
    </row>
    <row r="16" spans="2:41" s="48" customFormat="1" ht="15" customHeight="1">
      <c r="B16" s="32">
        <f t="shared" si="1"/>
        <v>10</v>
      </c>
      <c r="C16" s="49" t="s">
        <v>8</v>
      </c>
      <c r="D16" s="49" t="s">
        <v>88</v>
      </c>
      <c r="E16" s="49" t="s">
        <v>89</v>
      </c>
      <c r="F16" s="49" t="s">
        <v>1481</v>
      </c>
      <c r="G16" s="434" t="s">
        <v>90</v>
      </c>
      <c r="H16" s="390">
        <v>44075</v>
      </c>
      <c r="I16" s="409">
        <f>'HSG Growth VIII'!E10*10^6</f>
        <v>4500000</v>
      </c>
      <c r="J16" s="35">
        <f>-'HSG Growth VIII (CF)'!L2</f>
        <v>4500000</v>
      </c>
      <c r="K16" s="614">
        <f t="shared" si="4"/>
        <v>0</v>
      </c>
      <c r="L16" s="415">
        <f t="shared" si="0"/>
        <v>0</v>
      </c>
      <c r="M16" s="35">
        <f>'HSG Growth VIII (CF)'!L3</f>
        <v>0</v>
      </c>
      <c r="N16" s="34">
        <v>0</v>
      </c>
      <c r="O16" s="34"/>
      <c r="P16" s="407">
        <f>'HSG Growth VIII (CF)'!L4</f>
        <v>4623800</v>
      </c>
      <c r="Q16" s="382"/>
      <c r="R16" s="410">
        <f t="shared" si="2"/>
        <v>0</v>
      </c>
      <c r="S16" s="410">
        <f>P16/J16</f>
        <v>1.027511111111111</v>
      </c>
      <c r="T16" s="423">
        <f>'HSG Growth VIII'!E18</f>
        <v>1.027511111111111</v>
      </c>
      <c r="U16" s="411">
        <f>'HSG Growth VIII'!E19</f>
        <v>8.0131024122238152E-3</v>
      </c>
      <c r="V16" s="37"/>
      <c r="W16" s="38" cm="1">
        <f t="array" ref="W16">SUM(VLOOKUP($C16,'Portfolio Summary'!$C$6:$AO$28,{27,28,29,30,31,32,33,34,35,36,37,38,39},FALSE))</f>
        <v>8100000</v>
      </c>
      <c r="X16" s="38">
        <f>VLOOKUP(C16,'Portfolio Summary'!$C$6:$T$27,14,0)</f>
        <v>0</v>
      </c>
      <c r="Y16" s="36">
        <f>VLOOKUP(C16,'Portfolio Summary'!$C$6:$AN$26,3,0)</f>
        <v>2.8</v>
      </c>
      <c r="Z16" s="37">
        <f>VLOOKUP(C16,'Portfolio Summary'!$C$6:$AN$26,2,0)</f>
        <v>0.17868193667551835</v>
      </c>
      <c r="AA16" s="37"/>
      <c r="AB16" s="33">
        <v>44075</v>
      </c>
      <c r="AC16" s="390" t="s">
        <v>96</v>
      </c>
      <c r="AD16" s="39" t="s">
        <v>26</v>
      </c>
      <c r="AE16" s="40" t="s">
        <v>96</v>
      </c>
      <c r="AF16" s="40">
        <v>15</v>
      </c>
      <c r="AG16" s="40" t="s">
        <v>91</v>
      </c>
      <c r="AH16" s="40" t="s">
        <v>93</v>
      </c>
      <c r="AI16" s="40" t="s">
        <v>93</v>
      </c>
      <c r="AJ16" s="42">
        <f>-J16</f>
        <v>-4500000</v>
      </c>
      <c r="AK16" s="42">
        <f>M16</f>
        <v>0</v>
      </c>
      <c r="AL16" s="42"/>
      <c r="AM16" s="42">
        <f>P16</f>
        <v>4623800</v>
      </c>
      <c r="AO16" s="49" t="s">
        <v>39</v>
      </c>
    </row>
    <row r="17" spans="2:41" s="48" customFormat="1" ht="15" customHeight="1">
      <c r="B17" s="32">
        <f t="shared" si="1"/>
        <v>11</v>
      </c>
      <c r="C17" s="49" t="s">
        <v>9</v>
      </c>
      <c r="D17" s="49" t="s">
        <v>88</v>
      </c>
      <c r="E17" s="49" t="s">
        <v>89</v>
      </c>
      <c r="F17" s="49" t="s">
        <v>1481</v>
      </c>
      <c r="G17" s="434" t="s">
        <v>90</v>
      </c>
      <c r="H17" s="390">
        <v>44075</v>
      </c>
      <c r="I17" s="35">
        <f>'HSG Growth VI'!E10*10^6</f>
        <v>15750000</v>
      </c>
      <c r="J17" s="35">
        <f>-'HSG Growth VI (CF) '!L2</f>
        <v>15750000</v>
      </c>
      <c r="K17" s="614">
        <f t="shared" si="4"/>
        <v>0</v>
      </c>
      <c r="L17" s="415">
        <f t="shared" si="0"/>
        <v>0</v>
      </c>
      <c r="M17" s="35">
        <f>'HSG Growth VI (CF) '!L3</f>
        <v>121791</v>
      </c>
      <c r="N17" s="34">
        <v>0</v>
      </c>
      <c r="O17" s="34"/>
      <c r="P17" s="407">
        <f>'HSG Growth VI (CF) '!L4</f>
        <v>18019138</v>
      </c>
      <c r="Q17" s="382"/>
      <c r="R17" s="410">
        <f t="shared" si="2"/>
        <v>7.7327619047619046E-3</v>
      </c>
      <c r="S17" s="410">
        <f t="shared" si="3"/>
        <v>1.144072253968254</v>
      </c>
      <c r="T17" s="410">
        <f>'HSG Growth VI'!E18</f>
        <v>1.151805015873016</v>
      </c>
      <c r="U17" s="411">
        <f>'HSG Growth VI'!E19</f>
        <v>4.0418961644172677E-2</v>
      </c>
      <c r="V17" s="37"/>
      <c r="W17" s="38" cm="1">
        <f t="array" ref="W17">SUM(VLOOKUP($C17,'Portfolio Summary'!$C$6:$AO$28,{27,28,29,30,31,32,33,34,35,36,37,38,39},FALSE))</f>
        <v>15706708.629999999</v>
      </c>
      <c r="X17" s="38">
        <f>VLOOKUP(C17,'Portfolio Summary'!$C$6:$T$27,14,0)</f>
        <v>0</v>
      </c>
      <c r="Y17" s="36">
        <f>VLOOKUP(C17,'Portfolio Summary'!$C$6:$AN$26,3,0)</f>
        <v>1.9945177520016844</v>
      </c>
      <c r="Z17" s="37">
        <f>VLOOKUP(C17,'Portfolio Summary'!$C$6:$AN$26,2,0)</f>
        <v>0.11862699051925318</v>
      </c>
      <c r="AA17" s="37"/>
      <c r="AB17" s="33">
        <v>44075</v>
      </c>
      <c r="AC17" s="390" t="s">
        <v>96</v>
      </c>
      <c r="AD17" s="39" t="s">
        <v>26</v>
      </c>
      <c r="AE17" s="40" t="s">
        <v>96</v>
      </c>
      <c r="AF17" s="40">
        <v>15</v>
      </c>
      <c r="AG17" s="40" t="s">
        <v>91</v>
      </c>
      <c r="AH17" s="40" t="s">
        <v>93</v>
      </c>
      <c r="AI17" s="40" t="s">
        <v>93</v>
      </c>
      <c r="AJ17" s="42">
        <f>-J17</f>
        <v>-15750000</v>
      </c>
      <c r="AK17" s="42">
        <f>M17</f>
        <v>121791</v>
      </c>
      <c r="AL17" s="42"/>
      <c r="AM17" s="42">
        <f>P17</f>
        <v>18019138</v>
      </c>
      <c r="AO17" s="49" t="s">
        <v>38</v>
      </c>
    </row>
    <row r="18" spans="2:41" s="48" customFormat="1" ht="15" customHeight="1">
      <c r="B18" s="32">
        <f t="shared" si="1"/>
        <v>12</v>
      </c>
      <c r="C18" s="49" t="s">
        <v>21</v>
      </c>
      <c r="D18" s="2" t="s">
        <v>101</v>
      </c>
      <c r="E18" s="49" t="s">
        <v>89</v>
      </c>
      <c r="F18" s="49" t="s">
        <v>92</v>
      </c>
      <c r="G18" s="434" t="s">
        <v>90</v>
      </c>
      <c r="H18" s="390">
        <v>44136</v>
      </c>
      <c r="I18" s="409">
        <f>'West Street VIII'!E10*10^6</f>
        <v>50000000</v>
      </c>
      <c r="J18" s="35">
        <f>-'West Street VIII (CF)'!N2</f>
        <v>33100000</v>
      </c>
      <c r="K18" s="613">
        <f t="shared" si="4"/>
        <v>-16900000</v>
      </c>
      <c r="L18" s="415">
        <f t="shared" si="0"/>
        <v>0.33800000000000002</v>
      </c>
      <c r="M18" s="35">
        <f>'West Street VIII (CF)'!N3</f>
        <v>650000</v>
      </c>
      <c r="N18" s="34">
        <v>0</v>
      </c>
      <c r="O18" s="34"/>
      <c r="P18" s="407">
        <f>'West Street VIII (CF)'!N4</f>
        <v>38945352</v>
      </c>
      <c r="Q18" s="45"/>
      <c r="R18" s="410">
        <f t="shared" si="2"/>
        <v>1.9637462235649546E-2</v>
      </c>
      <c r="S18" s="410">
        <f>P18/J18</f>
        <v>1.1765967371601209</v>
      </c>
      <c r="T18" s="412">
        <f>'West Street VIII'!E18</f>
        <v>1.1962341993957704</v>
      </c>
      <c r="U18" s="411">
        <f>'West Street VIII'!E19</f>
        <v>8.5717692971229553E-2</v>
      </c>
      <c r="V18" s="45"/>
      <c r="W18" s="38" cm="1">
        <f t="array" ref="W18">SUM(VLOOKUP($C18,'Portfolio Summary'!$C$6:$AO$28,{27,28,29,30,31,32,33,34,35,36,37,38,39},FALSE))</f>
        <v>50000000</v>
      </c>
      <c r="X18" s="38">
        <f>VLOOKUP(C18,'Portfolio Summary'!$C$6:$T$27,14,0)</f>
        <v>0</v>
      </c>
      <c r="Y18" s="36">
        <f>VLOOKUP(C18,'Portfolio Summary'!$C$6:$AN$26,3,0)</f>
        <v>2</v>
      </c>
      <c r="Z18" s="37">
        <f>VLOOKUP(C18,'Portfolio Summary'!$C$6:$AN$26,2,0)</f>
        <v>0.16302717924302956</v>
      </c>
      <c r="AA18" s="37"/>
      <c r="AB18" s="33">
        <f>'West Street VIII'!B3</f>
        <v>44136</v>
      </c>
      <c r="AC18" s="390">
        <f>'West Street VIII'!B4</f>
        <v>44774</v>
      </c>
      <c r="AD18" s="44" t="s">
        <v>102</v>
      </c>
      <c r="AE18" s="40">
        <v>1.5</v>
      </c>
      <c r="AF18" s="40">
        <v>20</v>
      </c>
      <c r="AG18" s="40" t="s">
        <v>91</v>
      </c>
      <c r="AH18" s="40" t="s">
        <v>93</v>
      </c>
      <c r="AI18" s="40" t="s">
        <v>91</v>
      </c>
      <c r="AJ18" s="42"/>
      <c r="AK18" s="42"/>
      <c r="AL18" s="42"/>
      <c r="AM18" s="42"/>
      <c r="AO18" s="49" t="s">
        <v>43</v>
      </c>
    </row>
    <row r="19" spans="2:41" s="48" customFormat="1" ht="15" customHeight="1">
      <c r="B19" s="32">
        <f t="shared" si="1"/>
        <v>13</v>
      </c>
      <c r="C19" s="49" t="s">
        <v>10</v>
      </c>
      <c r="D19" s="49" t="s">
        <v>88</v>
      </c>
      <c r="E19" s="49" t="s">
        <v>89</v>
      </c>
      <c r="F19" s="49" t="s">
        <v>92</v>
      </c>
      <c r="G19" s="434" t="s">
        <v>90</v>
      </c>
      <c r="H19" s="390">
        <v>44166</v>
      </c>
      <c r="I19" s="409">
        <f>'DCP II'!E10*10^6</f>
        <v>100000000</v>
      </c>
      <c r="J19" s="35">
        <f>-'DCP II (CF) '!M2</f>
        <v>37438527.32</v>
      </c>
      <c r="K19" s="615">
        <f t="shared" si="4"/>
        <v>-62561472.68</v>
      </c>
      <c r="L19" s="415">
        <f t="shared" si="0"/>
        <v>0.62561472679999997</v>
      </c>
      <c r="M19" s="35">
        <f>'DCP II (CF) '!M3</f>
        <v>2676323.44</v>
      </c>
      <c r="N19" s="34">
        <v>0</v>
      </c>
      <c r="O19" s="34"/>
      <c r="P19" s="407">
        <f>'DCP II (CF) '!M4</f>
        <v>25000583</v>
      </c>
      <c r="Q19" s="45"/>
      <c r="R19" s="410">
        <f t="shared" si="2"/>
        <v>7.14858097148037E-2</v>
      </c>
      <c r="S19" s="410">
        <f t="shared" si="3"/>
        <v>0.66777688092032572</v>
      </c>
      <c r="T19" s="410">
        <f>'DCP II'!E18</f>
        <v>0.73926269063512939</v>
      </c>
      <c r="U19" s="411">
        <f>'DCP II'!E19</f>
        <v>-0.18608239367604257</v>
      </c>
      <c r="V19" s="45"/>
      <c r="W19" s="38" cm="1">
        <f t="array" ref="W19">SUM(VLOOKUP($C19,'Portfolio Summary'!$C$6:$AO$28,{27,28,29,30,31,32,33,34,35,36,37,38,39},FALSE))</f>
        <v>55024118.282857157</v>
      </c>
      <c r="X19" s="38">
        <f>VLOOKUP(C19,'Portfolio Summary'!$C$6:$T$27,14,0)</f>
        <v>0</v>
      </c>
      <c r="Y19" s="36">
        <f>VLOOKUP(C19,'Portfolio Summary'!$C$6:$AN$26,3,0)</f>
        <v>1.7999999999999996</v>
      </c>
      <c r="Z19" s="37">
        <f>VLOOKUP(C19,'Portfolio Summary'!$C$6:$AN$26,2,0)</f>
        <v>0.16096520617688892</v>
      </c>
      <c r="AA19" s="37"/>
      <c r="AB19" s="33">
        <f>'DCP II'!B3</f>
        <v>44478</v>
      </c>
      <c r="AC19" s="390">
        <v>48122</v>
      </c>
      <c r="AD19" s="39" t="s">
        <v>26</v>
      </c>
      <c r="AE19" s="40">
        <v>2</v>
      </c>
      <c r="AF19" s="40">
        <v>20</v>
      </c>
      <c r="AG19" s="41" t="s">
        <v>91</v>
      </c>
      <c r="AH19" s="41" t="s">
        <v>91</v>
      </c>
      <c r="AI19" s="41" t="s">
        <v>93</v>
      </c>
      <c r="AJ19" s="42"/>
      <c r="AK19" s="42"/>
      <c r="AL19" s="42"/>
      <c r="AM19" s="42"/>
      <c r="AO19" s="49" t="s">
        <v>32</v>
      </c>
    </row>
    <row r="20" spans="2:41" s="48" customFormat="1" ht="15" customHeight="1">
      <c r="B20" s="32">
        <f t="shared" si="1"/>
        <v>14</v>
      </c>
      <c r="C20" s="43" t="s">
        <v>11</v>
      </c>
      <c r="D20" s="49" t="s">
        <v>88</v>
      </c>
      <c r="E20" s="49" t="s">
        <v>89</v>
      </c>
      <c r="F20" s="49" t="s">
        <v>1481</v>
      </c>
      <c r="G20" s="434" t="s">
        <v>90</v>
      </c>
      <c r="H20" s="390">
        <v>44166</v>
      </c>
      <c r="I20" s="409">
        <f>'Lionet Fund'!E10*10^6</f>
        <v>15000000</v>
      </c>
      <c r="J20" s="35">
        <f>-'Lionet Fund CF'!M2</f>
        <v>15728508.330000002</v>
      </c>
      <c r="K20" s="614" t="str">
        <f t="shared" si="4"/>
        <v>0</v>
      </c>
      <c r="L20" s="415">
        <f t="shared" si="0"/>
        <v>0</v>
      </c>
      <c r="M20" s="35">
        <f>'Lionet Fund CF'!M3</f>
        <v>2197607.12</v>
      </c>
      <c r="N20" s="34">
        <v>0</v>
      </c>
      <c r="O20" s="34"/>
      <c r="P20" s="407">
        <f>'Lionet Fund CF'!M4</f>
        <v>11059808.720000001</v>
      </c>
      <c r="Q20" s="34"/>
      <c r="R20" s="410">
        <f t="shared" si="2"/>
        <v>0.13972126751577338</v>
      </c>
      <c r="S20" s="410">
        <f t="shared" si="3"/>
        <v>0.70316958785626937</v>
      </c>
      <c r="T20" s="423">
        <f>'Lionet Fund'!E18</f>
        <v>0.84289085537204278</v>
      </c>
      <c r="U20" s="411">
        <f>'Lionet Fund'!E19</f>
        <v>-4.6108850836753854E-2</v>
      </c>
      <c r="V20" s="37"/>
      <c r="W20" s="38" cm="1">
        <f t="array" ref="W20">SUM(VLOOKUP($C20,'Portfolio Summary'!$C$6:$AO$28,{27,28,29,30,31,32,33,34,35,36,37,38,39},FALSE))</f>
        <v>6771491.6699999981</v>
      </c>
      <c r="X20" s="38">
        <f>VLOOKUP(C20,'Portfolio Summary'!$C$6:$T$27,14,0)</f>
        <v>0</v>
      </c>
      <c r="Y20" s="36">
        <f>VLOOKUP(C20,'Portfolio Summary'!$C$6:$AN$26,3,0)</f>
        <v>1.4305234500263637</v>
      </c>
      <c r="Z20" s="37">
        <f>VLOOKUP(C20,'Portfolio Summary'!$C$6:$AN$26,2,0)</f>
        <v>6.0594108552229242E-2</v>
      </c>
      <c r="AA20" s="37"/>
      <c r="AB20" s="33">
        <f>'Lionet Fund'!B3</f>
        <v>44013</v>
      </c>
      <c r="AC20" s="390">
        <f>AB20+365*9</f>
        <v>47298</v>
      </c>
      <c r="AD20" s="39" t="s">
        <v>26</v>
      </c>
      <c r="AE20" s="40">
        <v>2</v>
      </c>
      <c r="AF20" s="40">
        <v>20</v>
      </c>
      <c r="AG20" s="40" t="s">
        <v>91</v>
      </c>
      <c r="AH20" s="40" t="s">
        <v>93</v>
      </c>
      <c r="AI20" s="40" t="s">
        <v>93</v>
      </c>
      <c r="AJ20" s="42">
        <f>-J20</f>
        <v>-15728508.330000002</v>
      </c>
      <c r="AK20" s="42">
        <f>M20</f>
        <v>2197607.12</v>
      </c>
      <c r="AL20" s="42"/>
      <c r="AM20" s="42">
        <f>P20</f>
        <v>11059808.720000001</v>
      </c>
      <c r="AO20" s="43" t="s">
        <v>41</v>
      </c>
    </row>
    <row r="21" spans="2:41" s="48" customFormat="1" ht="15" customHeight="1">
      <c r="B21" s="32">
        <f t="shared" si="1"/>
        <v>15</v>
      </c>
      <c r="C21" s="49" t="s">
        <v>12</v>
      </c>
      <c r="D21" s="49" t="s">
        <v>88</v>
      </c>
      <c r="E21" s="49" t="s">
        <v>104</v>
      </c>
      <c r="F21" s="49" t="s">
        <v>105</v>
      </c>
      <c r="G21" s="434" t="s">
        <v>106</v>
      </c>
      <c r="H21" s="390">
        <v>44197</v>
      </c>
      <c r="I21" s="409">
        <f>'Boyu Real Estate'!E10*10^6</f>
        <v>30000000</v>
      </c>
      <c r="J21" s="35">
        <f>-'Boyu Real Estate CF'!M2</f>
        <v>19364196.779999997</v>
      </c>
      <c r="K21" s="613">
        <f t="shared" si="4"/>
        <v>-10635803.220000003</v>
      </c>
      <c r="L21" s="415">
        <f t="shared" si="0"/>
        <v>0.3545267740000001</v>
      </c>
      <c r="M21" s="409">
        <f>'Boyu Real Estate CF'!M3</f>
        <v>995489.23</v>
      </c>
      <c r="N21" s="34">
        <v>0</v>
      </c>
      <c r="O21" s="34"/>
      <c r="P21" s="407">
        <f>'Boyu Real Estate CF'!M4</f>
        <v>15342150</v>
      </c>
      <c r="Q21" s="45"/>
      <c r="R21" s="410">
        <f t="shared" si="2"/>
        <v>5.1408754068651856E-2</v>
      </c>
      <c r="S21" s="410">
        <f t="shared" si="3"/>
        <v>0.79229467528681052</v>
      </c>
      <c r="T21" s="410">
        <f>'Boyu Real Estate'!E18</f>
        <v>0.8437034293554625</v>
      </c>
      <c r="U21" s="411">
        <f>'Boyu Real Estate'!E19</f>
        <v>-9.5536217093467699E-2</v>
      </c>
      <c r="V21" s="37"/>
      <c r="W21" s="38" cm="1">
        <f t="array" ref="W21">SUM(VLOOKUP($C21,'Portfolio Summary'!$C$6:$AO$28,{27,28,29,30,31,32,33,34,35,36,37,38,39},FALSE))</f>
        <v>39000000</v>
      </c>
      <c r="X21" s="38">
        <f>VLOOKUP(C21,'Portfolio Summary'!$C$6:$T$27,14,0)</f>
        <v>0</v>
      </c>
      <c r="Y21" s="36">
        <f>VLOOKUP(C21,'Portfolio Summary'!$C$6:$AN$26,3,0)</f>
        <v>2.2999999999999998</v>
      </c>
      <c r="Z21" s="37">
        <f>VLOOKUP(C21,'Portfolio Summary'!$C$6:$AN$26,2,0)</f>
        <v>0.22333993891916792</v>
      </c>
      <c r="AA21" s="37"/>
      <c r="AB21" s="33">
        <v>44197</v>
      </c>
      <c r="AC21" s="33">
        <f>AB21+365*10</f>
        <v>47847</v>
      </c>
      <c r="AD21" s="39" t="s">
        <v>26</v>
      </c>
      <c r="AE21" s="40">
        <v>1.75</v>
      </c>
      <c r="AF21" s="40">
        <v>20</v>
      </c>
      <c r="AG21" s="40" t="s">
        <v>91</v>
      </c>
      <c r="AH21" s="40" t="s">
        <v>91</v>
      </c>
      <c r="AI21" s="40" t="s">
        <v>91</v>
      </c>
      <c r="AJ21" s="42">
        <f>-J21</f>
        <v>-19364196.779999997</v>
      </c>
      <c r="AK21" s="42">
        <f>M21</f>
        <v>995489.23</v>
      </c>
      <c r="AL21" s="42"/>
      <c r="AM21" s="42">
        <f>P21</f>
        <v>15342150</v>
      </c>
      <c r="AO21" s="49" t="s">
        <v>30</v>
      </c>
    </row>
    <row r="22" spans="2:41" s="48" customFormat="1" ht="15" customHeight="1">
      <c r="B22" s="32">
        <f t="shared" si="1"/>
        <v>16</v>
      </c>
      <c r="C22" s="49" t="s">
        <v>19</v>
      </c>
      <c r="D22" s="2" t="s">
        <v>101</v>
      </c>
      <c r="E22" s="49" t="s">
        <v>99</v>
      </c>
      <c r="F22" s="49" t="s">
        <v>1481</v>
      </c>
      <c r="G22" s="434" t="s">
        <v>100</v>
      </c>
      <c r="H22" s="390">
        <v>44197</v>
      </c>
      <c r="I22" s="409">
        <f>'E15 Fund II'!E10*10^6</f>
        <v>10000000</v>
      </c>
      <c r="J22" s="409">
        <f>-'E15 Fund II CF'!L2</f>
        <v>6595876.2599999998</v>
      </c>
      <c r="K22" s="613">
        <f t="shared" si="4"/>
        <v>-3404123.74</v>
      </c>
      <c r="L22" s="415">
        <f t="shared" si="0"/>
        <v>0.34041237400000002</v>
      </c>
      <c r="M22" s="409">
        <f>'E15 Fund II CF'!L3</f>
        <v>24622247.559999999</v>
      </c>
      <c r="N22" s="34">
        <v>0</v>
      </c>
      <c r="O22" s="34"/>
      <c r="P22" s="409">
        <f>'E15 Fund II CF'!L4</f>
        <v>2680999.9999999995</v>
      </c>
      <c r="Q22" s="45"/>
      <c r="R22" s="410">
        <f t="shared" si="2"/>
        <v>3.7329759670173073</v>
      </c>
      <c r="S22" s="410">
        <f t="shared" si="3"/>
        <v>0.4064660849171236</v>
      </c>
      <c r="T22" s="424">
        <f>'E15 Fund II'!E18</f>
        <v>4.1394420519344308</v>
      </c>
      <c r="U22" s="411">
        <f>'E15 Fund II'!E19</f>
        <v>4.474093198776246</v>
      </c>
      <c r="V22" s="37"/>
      <c r="W22" s="38" cm="1">
        <f t="array" ref="W22">SUM(VLOOKUP($C22,'Portfolio Summary'!$C$6:$AO$28,{28,29,30,31,32,33,34},FALSE))</f>
        <v>17791489.300000001</v>
      </c>
      <c r="X22" s="38">
        <f>VLOOKUP(C22,'Portfolio Summary'!$C$6:$T$27,14,0)</f>
        <v>0</v>
      </c>
      <c r="Y22" s="36">
        <f>VLOOKUP(C22,'Portfolio Summary'!$C$6:$AN$26,3,0)</f>
        <v>3.992299086581236</v>
      </c>
      <c r="Z22" s="37">
        <f>VLOOKUP(C22,'Portfolio Summary'!$C$6:$AN$26,2,0)</f>
        <v>3.7867347580639619</v>
      </c>
      <c r="AA22" s="37"/>
      <c r="AB22" s="33">
        <v>44197</v>
      </c>
      <c r="AC22" s="33">
        <v>47849</v>
      </c>
      <c r="AD22" s="44" t="s">
        <v>35</v>
      </c>
      <c r="AE22" s="40">
        <v>2</v>
      </c>
      <c r="AF22" s="40">
        <v>20</v>
      </c>
      <c r="AG22" s="40" t="s">
        <v>93</v>
      </c>
      <c r="AH22" s="40" t="s">
        <v>91</v>
      </c>
      <c r="AI22" s="40" t="s">
        <v>93</v>
      </c>
      <c r="AJ22" s="42">
        <f>-J22</f>
        <v>-6595876.2599999998</v>
      </c>
      <c r="AK22" s="42">
        <f>M22</f>
        <v>24622247.559999999</v>
      </c>
      <c r="AL22" s="42"/>
      <c r="AM22" s="42">
        <f>P22</f>
        <v>2680999.9999999995</v>
      </c>
      <c r="AO22" s="49" t="s">
        <v>37</v>
      </c>
    </row>
    <row r="23" spans="2:41" s="48" customFormat="1" ht="15" customHeight="1">
      <c r="B23" s="32">
        <f t="shared" si="1"/>
        <v>17</v>
      </c>
      <c r="C23" s="49" t="s">
        <v>13</v>
      </c>
      <c r="D23" s="49" t="s">
        <v>98</v>
      </c>
      <c r="E23" s="49" t="s">
        <v>53</v>
      </c>
      <c r="F23" s="49" t="s">
        <v>1482</v>
      </c>
      <c r="G23" s="435" t="s">
        <v>90</v>
      </c>
      <c r="H23" s="33">
        <v>45393</v>
      </c>
      <c r="I23" s="45">
        <f>Cottonwood!E10*10^6</f>
        <v>12500000</v>
      </c>
      <c r="J23" s="45">
        <f>-'Cottonwood (CF)'!N2</f>
        <v>3150647.5</v>
      </c>
      <c r="K23" s="613">
        <f t="shared" si="4"/>
        <v>-9349352.5</v>
      </c>
      <c r="L23" s="415">
        <f t="shared" si="0"/>
        <v>0.74794819999999995</v>
      </c>
      <c r="M23" s="45">
        <f>'Cottonwood (CF)'!N3</f>
        <v>0</v>
      </c>
      <c r="N23" s="34">
        <v>0</v>
      </c>
      <c r="O23" s="34"/>
      <c r="P23" s="409">
        <f>'Cottonwood (CF)'!N4</f>
        <v>3779467</v>
      </c>
      <c r="Q23" s="45"/>
      <c r="R23" s="410">
        <f>M23/J23</f>
        <v>0</v>
      </c>
      <c r="S23" s="410">
        <f>P23/J23</f>
        <v>1.1995842124515674</v>
      </c>
      <c r="T23" s="412">
        <f>Cottonwood!E18</f>
        <v>1.1995842124515674</v>
      </c>
      <c r="U23" s="411">
        <f>Cottonwood!E19</f>
        <v>0.44407231933593749</v>
      </c>
      <c r="V23" s="37"/>
      <c r="W23" s="38" cm="1">
        <f t="array" ref="W23">SUM(VLOOKUP($C23,'Portfolio Summary'!$C$6:$AO$28,{27,28,29,30,31,32,33,34,35,36,37,38,39},FALSE))</f>
        <v>18875000</v>
      </c>
      <c r="X23" s="38">
        <f>VLOOKUP(C23,'Portfolio Summary'!$C$6:$T$27,14,0)</f>
        <v>0</v>
      </c>
      <c r="Y23" s="36">
        <f>VLOOKUP(C23,'Portfolio Summary'!$C$6:$AN$26,3,0)</f>
        <v>2.5099999999999998</v>
      </c>
      <c r="Z23" s="37">
        <f>VLOOKUP(C23,'Portfolio Summary'!$C$6:$AN$26,2,0)</f>
        <v>0.28061346449072744</v>
      </c>
      <c r="AA23" s="37"/>
      <c r="AB23" s="33">
        <v>45383</v>
      </c>
      <c r="AC23" s="33" t="s">
        <v>107</v>
      </c>
      <c r="AD23" s="39" t="s">
        <v>26</v>
      </c>
      <c r="AE23" s="40">
        <v>1.5</v>
      </c>
      <c r="AF23" s="40">
        <v>20</v>
      </c>
      <c r="AG23" s="40"/>
      <c r="AH23" s="40"/>
      <c r="AI23" s="40"/>
      <c r="AJ23" s="42"/>
      <c r="AK23" s="42"/>
      <c r="AL23" s="42"/>
      <c r="AM23" s="42"/>
      <c r="AO23" s="49" t="s">
        <v>108</v>
      </c>
    </row>
    <row r="24" spans="2:41" s="48" customFormat="1" ht="15" customHeight="1">
      <c r="B24" s="32">
        <f t="shared" si="1"/>
        <v>18</v>
      </c>
      <c r="C24" s="2" t="s">
        <v>14</v>
      </c>
      <c r="D24" s="2" t="s">
        <v>101</v>
      </c>
      <c r="E24" s="49" t="s">
        <v>89</v>
      </c>
      <c r="F24" s="49" t="s">
        <v>1481</v>
      </c>
      <c r="G24" s="435" t="s">
        <v>100</v>
      </c>
      <c r="H24" s="33">
        <v>45518</v>
      </c>
      <c r="I24" s="45">
        <f>'Genedant Ventures'!E10*10^6</f>
        <v>37600000</v>
      </c>
      <c r="J24" s="45">
        <f>-'Genedent Ventures (CF)'!M2</f>
        <v>2954733</v>
      </c>
      <c r="K24" s="613">
        <f>IF(J24-I24&gt;0,"0",J24-I24)</f>
        <v>-34645267</v>
      </c>
      <c r="L24" s="415">
        <f t="shared" si="0"/>
        <v>0.92141667553191486</v>
      </c>
      <c r="M24" s="45">
        <v>0</v>
      </c>
      <c r="N24" s="34">
        <v>0</v>
      </c>
      <c r="O24" s="34"/>
      <c r="P24" s="409">
        <f>'Genedent Ventures (CF)'!L14</f>
        <v>2186280</v>
      </c>
      <c r="Q24" s="45"/>
      <c r="R24" s="410">
        <f>M24/J24</f>
        <v>0</v>
      </c>
      <c r="S24" s="410">
        <f>P24/J24</f>
        <v>0.7399247241628939</v>
      </c>
      <c r="T24" s="412">
        <f>'Genedant Ventures'!E18</f>
        <v>0.7399247241628939</v>
      </c>
      <c r="U24" s="422">
        <f>'Genedant Ventures'!E19</f>
        <v>-0.676577963635698</v>
      </c>
      <c r="V24" s="37"/>
      <c r="W24" s="38" cm="1">
        <f t="array" ref="W24">SUM(VLOOKUP($C24,'Portfolio Summary'!$C$6:$AO$28,{27,28,29,30,31,32,33,34,35,36,37,38,39},FALSE))</f>
        <v>2216049.75</v>
      </c>
      <c r="X24" s="38">
        <f>VLOOKUP(C24,'Portfolio Summary'!$C$6:$T$27,14,0)</f>
        <v>0</v>
      </c>
      <c r="Y24" s="36">
        <f>VLOOKUP(C24,'Portfolio Summary'!$C$6:$AN$26,3,0)</f>
        <v>3.5</v>
      </c>
      <c r="Z24" s="37">
        <f>VLOOKUP(C24,'Portfolio Summary'!$C$6:$AN$26,2,0)</f>
        <v>0.18861382496506685</v>
      </c>
      <c r="AA24" s="37"/>
      <c r="AB24" s="33">
        <v>45413</v>
      </c>
      <c r="AC24" s="33">
        <v>49065</v>
      </c>
      <c r="AD24" s="39" t="s">
        <v>15</v>
      </c>
      <c r="AE24" s="40">
        <v>2</v>
      </c>
      <c r="AF24" s="40">
        <v>20</v>
      </c>
      <c r="AG24" s="40"/>
      <c r="AH24" s="40"/>
      <c r="AI24" s="40"/>
      <c r="AJ24" s="42"/>
      <c r="AK24" s="42"/>
      <c r="AL24" s="42"/>
      <c r="AM24" s="42"/>
      <c r="AO24" s="2" t="s">
        <v>14</v>
      </c>
    </row>
    <row r="25" spans="2:41" s="48" customFormat="1" ht="15" customHeight="1">
      <c r="B25" s="32">
        <f t="shared" si="1"/>
        <v>19</v>
      </c>
      <c r="C25" s="2" t="s">
        <v>22</v>
      </c>
      <c r="D25" s="49" t="s">
        <v>98</v>
      </c>
      <c r="E25" s="49" t="s">
        <v>89</v>
      </c>
      <c r="F25" s="49" t="s">
        <v>92</v>
      </c>
      <c r="G25" s="435" t="s">
        <v>109</v>
      </c>
      <c r="H25" s="33">
        <v>45261</v>
      </c>
      <c r="I25" s="45">
        <v>16940000</v>
      </c>
      <c r="J25" s="409">
        <f>-'GTCR (CF)'!M2</f>
        <v>1756064.05</v>
      </c>
      <c r="K25" s="613">
        <f>J25-I25</f>
        <v>-15183935.949999999</v>
      </c>
      <c r="L25" s="415">
        <f t="shared" si="0"/>
        <v>0.8963362426210153</v>
      </c>
      <c r="M25" s="409">
        <v>0</v>
      </c>
      <c r="N25" s="35">
        <v>0</v>
      </c>
      <c r="O25" s="35"/>
      <c r="P25" s="409">
        <f>'GTCR (CF)'!L14</f>
        <v>2093389</v>
      </c>
      <c r="Q25" s="409"/>
      <c r="R25" s="410">
        <f t="shared" ref="R25:R27" si="5">M25/J25</f>
        <v>0</v>
      </c>
      <c r="S25" s="410">
        <f t="shared" ref="S25" si="6">P25/J25</f>
        <v>1.1920914843624297</v>
      </c>
      <c r="T25" s="412">
        <f t="shared" ref="T25:T27" si="7">(P25+M25)/J25</f>
        <v>1.1920914843624297</v>
      </c>
      <c r="U25" s="411">
        <f>'GTCR (CF)'!M5</f>
        <v>1.5680467382812502</v>
      </c>
      <c r="V25" s="37"/>
      <c r="W25" s="38" cm="1">
        <f t="array" ref="W25">SUM(VLOOKUP($C25,'Portfolio Summary'!$C$6:$AO$28,{27,28,29,30,31,32,33,34,35,36,37,38,39},FALSE))</f>
        <v>8470000</v>
      </c>
      <c r="X25" s="38">
        <f>VLOOKUP(C25,'Portfolio Summary'!$C$6:$T$27,14,0)</f>
        <v>0</v>
      </c>
      <c r="Y25" s="36">
        <f>VLOOKUP(C25,'Portfolio Summary'!$C$6:$AN$26,3,0)</f>
        <v>2.5</v>
      </c>
      <c r="Z25" s="37">
        <f>VLOOKUP(C25,'Portfolio Summary'!$C$6:$AN$26,2,0)</f>
        <v>0.22347825416884648</v>
      </c>
      <c r="AA25" s="37"/>
      <c r="AB25" s="33">
        <v>45292</v>
      </c>
      <c r="AC25" s="33">
        <v>48945</v>
      </c>
      <c r="AD25" s="39" t="s">
        <v>102</v>
      </c>
      <c r="AE25" s="40">
        <v>2</v>
      </c>
      <c r="AF25" s="40">
        <v>20</v>
      </c>
      <c r="AG25" s="40"/>
      <c r="AH25" s="40"/>
      <c r="AI25" s="40"/>
      <c r="AJ25" s="42"/>
      <c r="AK25" s="42"/>
      <c r="AL25" s="42"/>
      <c r="AM25" s="42"/>
      <c r="AO25" s="2" t="s">
        <v>22</v>
      </c>
    </row>
    <row r="26" spans="2:41" s="48" customFormat="1" ht="15" customHeight="1">
      <c r="B26" s="32"/>
      <c r="C26" s="49"/>
      <c r="D26" s="49"/>
      <c r="E26" s="49"/>
      <c r="F26" s="49"/>
      <c r="G26" s="435"/>
      <c r="H26" s="33"/>
      <c r="I26" s="45"/>
      <c r="J26" s="45"/>
      <c r="K26" s="616"/>
      <c r="L26" s="46"/>
      <c r="M26" s="45"/>
      <c r="N26" s="34"/>
      <c r="O26" s="34"/>
      <c r="P26" s="45"/>
      <c r="Q26" s="45"/>
      <c r="R26" s="410"/>
      <c r="S26" s="410"/>
      <c r="T26" s="414"/>
      <c r="U26" s="411"/>
      <c r="V26" s="37"/>
      <c r="W26" s="38"/>
      <c r="X26" s="38"/>
      <c r="Y26" s="36"/>
      <c r="Z26" s="37"/>
      <c r="AA26" s="37"/>
      <c r="AB26" s="33"/>
      <c r="AC26" s="33"/>
      <c r="AD26" s="44"/>
      <c r="AE26" s="40"/>
      <c r="AF26" s="40"/>
      <c r="AG26" s="40"/>
      <c r="AH26" s="40"/>
      <c r="AI26" s="40"/>
      <c r="AJ26" s="42"/>
      <c r="AK26" s="42"/>
      <c r="AL26" s="42"/>
      <c r="AM26" s="42"/>
      <c r="AO26" s="49"/>
    </row>
    <row r="27" spans="2:41" s="48" customFormat="1" ht="15" customHeight="1" thickBot="1">
      <c r="B27" s="32"/>
      <c r="C27" s="50" t="s">
        <v>110</v>
      </c>
      <c r="D27" s="50"/>
      <c r="E27" s="50"/>
      <c r="F27" s="50"/>
      <c r="G27" s="435"/>
      <c r="H27" s="33"/>
      <c r="I27" s="51">
        <f t="shared" ref="I27:N27" si="8">SUM(I7:I26)</f>
        <v>479290000</v>
      </c>
      <c r="J27" s="51">
        <f t="shared" si="8"/>
        <v>329514372.29999995</v>
      </c>
      <c r="K27" s="617">
        <f t="shared" si="8"/>
        <v>-160229806.35999998</v>
      </c>
      <c r="L27" s="51"/>
      <c r="M27" s="51">
        <f t="shared" si="8"/>
        <v>225007127.69826004</v>
      </c>
      <c r="N27" s="51">
        <f t="shared" si="8"/>
        <v>0</v>
      </c>
      <c r="O27" s="51"/>
      <c r="P27" s="51">
        <f>SUM(P7:P26)</f>
        <v>236667977.35999998</v>
      </c>
      <c r="Q27" s="618" t="s">
        <v>111</v>
      </c>
      <c r="R27" s="410">
        <f t="shared" si="5"/>
        <v>0.68284465447657827</v>
      </c>
      <c r="S27" s="410"/>
      <c r="T27" s="412">
        <f t="shared" si="7"/>
        <v>1.4010772939455791</v>
      </c>
      <c r="U27" s="415"/>
      <c r="V27" s="37"/>
      <c r="W27" s="51">
        <f>SUM(W7:W26)</f>
        <v>293409176.75861716</v>
      </c>
      <c r="X27" s="51">
        <f>SUM(X7:X26)</f>
        <v>0</v>
      </c>
      <c r="Y27" s="386">
        <f>'Portfolio Summary'!E26</f>
        <v>1.4469843442117836</v>
      </c>
      <c r="Z27" s="387">
        <f>'Portfolio Summary'!D26</f>
        <v>0.19990546517798502</v>
      </c>
      <c r="AA27" s="37"/>
      <c r="AB27" s="33"/>
      <c r="AC27" s="33"/>
      <c r="AD27" s="44"/>
      <c r="AE27" s="40"/>
      <c r="AF27" s="40"/>
      <c r="AG27" s="40"/>
      <c r="AH27" s="40"/>
      <c r="AI27" s="40"/>
      <c r="AJ27" s="42"/>
      <c r="AK27" s="42"/>
      <c r="AL27" s="42"/>
      <c r="AM27" s="42"/>
      <c r="AO27" s="50"/>
    </row>
    <row r="28" spans="2:41" s="48" customFormat="1" ht="15" customHeight="1" thickTop="1">
      <c r="B28" s="32"/>
      <c r="D28" s="49"/>
      <c r="E28" s="49"/>
      <c r="F28" s="49"/>
      <c r="G28" s="435"/>
      <c r="H28" s="33"/>
      <c r="I28" s="45"/>
      <c r="J28" s="45"/>
      <c r="K28" s="38"/>
      <c r="L28" s="46"/>
      <c r="M28" s="45"/>
      <c r="N28" s="34"/>
      <c r="O28" s="34"/>
      <c r="P28" s="45"/>
      <c r="Q28" s="45"/>
      <c r="R28" s="410"/>
      <c r="S28" s="410"/>
      <c r="T28" s="414"/>
      <c r="U28" s="415"/>
      <c r="V28" s="37"/>
      <c r="W28" s="38"/>
      <c r="X28" s="38"/>
      <c r="Y28" s="36"/>
      <c r="Z28" s="37"/>
      <c r="AA28" s="37"/>
      <c r="AB28" s="33"/>
      <c r="AC28" s="33"/>
      <c r="AD28" s="44"/>
      <c r="AE28" s="40"/>
      <c r="AF28" s="40"/>
      <c r="AG28" s="40"/>
      <c r="AH28" s="40"/>
      <c r="AI28" s="40"/>
      <c r="AJ28" s="42"/>
      <c r="AK28" s="42"/>
      <c r="AL28" s="42"/>
      <c r="AM28" s="42"/>
      <c r="AO28" s="49"/>
    </row>
    <row r="29" spans="2:41" s="43" customFormat="1" ht="15" customHeight="1">
      <c r="G29" s="436"/>
      <c r="T29" s="55"/>
      <c r="Y29" s="56"/>
      <c r="AE29" s="57"/>
      <c r="AF29" s="58"/>
      <c r="AG29" s="53"/>
      <c r="AH29" s="53"/>
      <c r="AI29" s="53"/>
    </row>
    <row r="30" spans="2:41" s="43" customFormat="1" ht="15" customHeight="1">
      <c r="G30" s="436"/>
      <c r="T30" s="55"/>
      <c r="Y30" s="56"/>
      <c r="AE30" s="57"/>
      <c r="AF30" s="58"/>
      <c r="AG30" s="53"/>
      <c r="AH30" s="53"/>
      <c r="AI30" s="53"/>
    </row>
    <row r="31" spans="2:41" s="43" customFormat="1" ht="15" customHeight="1">
      <c r="G31" s="436"/>
      <c r="T31" s="55"/>
      <c r="Y31" s="56"/>
      <c r="AE31" s="57"/>
      <c r="AF31" s="58"/>
      <c r="AG31" s="53"/>
      <c r="AH31" s="53"/>
      <c r="AI31" s="53"/>
    </row>
    <row r="32" spans="2:41" s="43" customFormat="1" ht="15" customHeight="1">
      <c r="G32" s="436"/>
      <c r="T32" s="55"/>
      <c r="Y32" s="56"/>
      <c r="AE32" s="57"/>
      <c r="AF32" s="58"/>
      <c r="AG32" s="53"/>
      <c r="AH32" s="53"/>
      <c r="AI32" s="53"/>
    </row>
    <row r="33" spans="2:41" s="43" customFormat="1" ht="15" customHeight="1">
      <c r="G33" s="436"/>
      <c r="T33" s="55"/>
      <c r="Y33" s="56"/>
      <c r="AE33" s="57"/>
      <c r="AF33" s="58"/>
      <c r="AG33" s="53"/>
      <c r="AH33" s="53"/>
      <c r="AI33" s="53"/>
    </row>
    <row r="34" spans="2:41" s="43" customFormat="1" ht="15" customHeight="1">
      <c r="G34" s="436"/>
      <c r="T34" s="55"/>
      <c r="Y34" s="56"/>
      <c r="AE34" s="57"/>
      <c r="AF34" s="58"/>
      <c r="AG34" s="53"/>
      <c r="AH34" s="53"/>
      <c r="AI34" s="53"/>
    </row>
    <row r="35" spans="2:41" s="48" customFormat="1" ht="15" hidden="1" customHeight="1">
      <c r="B35" s="32">
        <v>4</v>
      </c>
      <c r="C35" s="49" t="s">
        <v>117</v>
      </c>
      <c r="D35" s="49"/>
      <c r="E35" s="49"/>
      <c r="F35" s="49"/>
      <c r="G35" s="435" t="s">
        <v>90</v>
      </c>
      <c r="H35" s="390">
        <v>42887</v>
      </c>
      <c r="I35" s="45">
        <v>5000000</v>
      </c>
      <c r="J35" s="34">
        <v>3413271.44</v>
      </c>
      <c r="K35" s="38">
        <v>-1586728.56</v>
      </c>
      <c r="L35" s="46"/>
      <c r="M35" s="45">
        <v>3636000</v>
      </c>
      <c r="N35" s="34">
        <v>0</v>
      </c>
      <c r="O35" s="34"/>
      <c r="P35" s="45">
        <v>488000</v>
      </c>
      <c r="Q35" s="45"/>
      <c r="R35" s="36">
        <v>1.0652536910454447</v>
      </c>
      <c r="S35" s="36">
        <v>0.14297134247254592</v>
      </c>
      <c r="T35" s="47">
        <v>1.2082250335179907</v>
      </c>
      <c r="U35" s="37">
        <v>3.7474551796913155E-2</v>
      </c>
      <c r="V35" s="37"/>
      <c r="W35" s="38" t="e">
        <v>#N/A</v>
      </c>
      <c r="X35" s="38" t="e">
        <v>#N/A</v>
      </c>
      <c r="Y35" s="36" t="e">
        <v>#N/A</v>
      </c>
      <c r="Z35" s="37" t="e">
        <v>#N/A</v>
      </c>
      <c r="AA35" s="37"/>
      <c r="AB35" s="33">
        <v>42181</v>
      </c>
      <c r="AC35" s="33">
        <v>44738</v>
      </c>
      <c r="AD35" s="44" t="s">
        <v>118</v>
      </c>
      <c r="AE35" s="40">
        <v>2</v>
      </c>
      <c r="AF35" s="40">
        <v>15</v>
      </c>
      <c r="AG35" s="40" t="s">
        <v>91</v>
      </c>
      <c r="AH35" s="40" t="s">
        <v>91</v>
      </c>
      <c r="AI35" s="40" t="s">
        <v>93</v>
      </c>
      <c r="AO35" s="49"/>
    </row>
  </sheetData>
  <autoFilter ref="B6:AF28" xr:uid="{A1FC7F96-9EF0-4CF0-B349-D1D8F9A81CF1}"/>
  <mergeCells count="10">
    <mergeCell ref="AB5:AC5"/>
    <mergeCell ref="B3:C3"/>
    <mergeCell ref="I5:K5"/>
    <mergeCell ref="W5:Z5"/>
    <mergeCell ref="X4:Y4"/>
    <mergeCell ref="Z4:AA4"/>
    <mergeCell ref="I4:U4"/>
    <mergeCell ref="R5:U5"/>
    <mergeCell ref="M5:N5"/>
    <mergeCell ref="D5:F5"/>
  </mergeCells>
  <phoneticPr fontId="62" type="noConversion"/>
  <pageMargins left="0.25" right="0.25" top="0.75" bottom="0.75" header="0.3" footer="0.3"/>
  <pageSetup paperSize="8" scale="51" fitToHeight="0" orientation="landscape" r:id="rId1"/>
  <colBreaks count="1" manualBreakCount="1">
    <brk id="34" max="4" man="1"/>
  </colBreaks>
  <ignoredErrors>
    <ignoredError sqref="R26 R28"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D9E77-2C96-4BB6-A824-4707D0D3DE9B}">
  <sheetPr>
    <tabColor theme="3"/>
    <pageSetUpPr fitToPage="1"/>
  </sheetPr>
  <dimension ref="A2:BA92"/>
  <sheetViews>
    <sheetView zoomScale="70" zoomScaleNormal="70" workbookViewId="0">
      <selection activeCell="K72" sqref="K72"/>
    </sheetView>
  </sheetViews>
  <sheetFormatPr defaultColWidth="8.7109375" defaultRowHeight="11.25" outlineLevelCol="1"/>
  <cols>
    <col min="1" max="1" width="6.7109375" style="485" customWidth="1"/>
    <col min="2" max="2" width="4.42578125" style="43" customWidth="1"/>
    <col min="3" max="3" width="69.5703125" style="43" bestFit="1" customWidth="1"/>
    <col min="4" max="4" width="11" style="59" customWidth="1"/>
    <col min="5" max="5" width="9.42578125" style="59" customWidth="1"/>
    <col min="6" max="6" width="7.140625" style="59" customWidth="1"/>
    <col min="7" max="7" width="6" style="59" customWidth="1"/>
    <col min="8" max="10" width="9.5703125" style="59" customWidth="1"/>
    <col min="11" max="11" width="10.140625" style="437" customWidth="1"/>
    <col min="12" max="12" width="13.7109375" style="60" customWidth="1"/>
    <col min="13" max="13" width="16.28515625" style="59" customWidth="1"/>
    <col min="14" max="15" width="15.7109375" style="59" customWidth="1"/>
    <col min="16" max="16" width="4.28515625" style="59" customWidth="1"/>
    <col min="17" max="18" width="15.7109375" style="59" customWidth="1"/>
    <col min="19" max="19" width="15.140625" style="59" customWidth="1"/>
    <col min="20" max="20" width="17.140625" style="43" customWidth="1"/>
    <col min="21" max="31" width="15.7109375" style="43" customWidth="1" outlineLevel="1"/>
    <col min="32" max="32" width="15.7109375" style="359" customWidth="1"/>
    <col min="33" max="40" width="15.7109375" style="43" customWidth="1"/>
    <col min="41" max="51" width="13.42578125" style="43" customWidth="1"/>
    <col min="52" max="52" width="13.42578125" style="43" hidden="1" customWidth="1" outlineLevel="1"/>
    <col min="53" max="53" width="13.42578125" style="43" customWidth="1" collapsed="1"/>
    <col min="54" max="16384" width="8.7109375" style="43"/>
  </cols>
  <sheetData>
    <row r="2" spans="1:52">
      <c r="B2" s="76" t="s">
        <v>119</v>
      </c>
      <c r="T2" s="61"/>
      <c r="AB2" s="52"/>
      <c r="AC2" s="62"/>
      <c r="AD2" s="63"/>
    </row>
    <row r="3" spans="1:52" s="72" customFormat="1" ht="12">
      <c r="A3" s="491"/>
      <c r="B3" s="67"/>
      <c r="C3" s="67"/>
      <c r="D3" s="624" t="s">
        <v>120</v>
      </c>
      <c r="E3" s="624"/>
      <c r="F3" s="624" t="s">
        <v>121</v>
      </c>
      <c r="G3" s="624"/>
      <c r="H3" s="619" t="s">
        <v>59</v>
      </c>
      <c r="I3" s="619"/>
      <c r="J3" s="619"/>
      <c r="K3" s="438"/>
      <c r="L3" s="77"/>
      <c r="M3" s="625" t="s">
        <v>122</v>
      </c>
      <c r="N3" s="625"/>
      <c r="O3" s="625"/>
      <c r="P3" s="78"/>
      <c r="Q3" s="625" t="s">
        <v>61</v>
      </c>
      <c r="R3" s="625"/>
      <c r="S3" s="79"/>
      <c r="T3" s="112"/>
      <c r="U3" s="566">
        <v>40908</v>
      </c>
      <c r="V3" s="566">
        <f>+EOMONTH(U3,12)</f>
        <v>41274</v>
      </c>
      <c r="W3" s="566">
        <f t="shared" ref="W3:AX3" si="0">+EOMONTH(V3,12)</f>
        <v>41639</v>
      </c>
      <c r="X3" s="566">
        <f t="shared" si="0"/>
        <v>42004</v>
      </c>
      <c r="Y3" s="566">
        <f t="shared" si="0"/>
        <v>42369</v>
      </c>
      <c r="Z3" s="566">
        <f t="shared" si="0"/>
        <v>42735</v>
      </c>
      <c r="AA3" s="566">
        <f t="shared" si="0"/>
        <v>43100</v>
      </c>
      <c r="AB3" s="566">
        <f t="shared" si="0"/>
        <v>43465</v>
      </c>
      <c r="AC3" s="566">
        <f t="shared" si="0"/>
        <v>43830</v>
      </c>
      <c r="AD3" s="566">
        <f t="shared" si="0"/>
        <v>44196</v>
      </c>
      <c r="AE3" s="566">
        <f t="shared" si="0"/>
        <v>44561</v>
      </c>
      <c r="AF3" s="566">
        <f t="shared" si="0"/>
        <v>44926</v>
      </c>
      <c r="AG3" s="566">
        <f t="shared" si="0"/>
        <v>45291</v>
      </c>
      <c r="AH3" s="566">
        <f t="shared" si="0"/>
        <v>45657</v>
      </c>
      <c r="AI3" s="566">
        <f t="shared" si="0"/>
        <v>46022</v>
      </c>
      <c r="AJ3" s="566">
        <f t="shared" si="0"/>
        <v>46387</v>
      </c>
      <c r="AK3" s="566">
        <f t="shared" si="0"/>
        <v>46752</v>
      </c>
      <c r="AL3" s="566">
        <f t="shared" si="0"/>
        <v>47118</v>
      </c>
      <c r="AM3" s="566">
        <f t="shared" si="0"/>
        <v>47483</v>
      </c>
      <c r="AN3" s="566">
        <f t="shared" si="0"/>
        <v>47848</v>
      </c>
      <c r="AO3" s="566">
        <f t="shared" si="0"/>
        <v>48213</v>
      </c>
      <c r="AP3" s="566">
        <f t="shared" si="0"/>
        <v>48579</v>
      </c>
      <c r="AQ3" s="566">
        <f t="shared" si="0"/>
        <v>48944</v>
      </c>
      <c r="AR3" s="566">
        <f t="shared" si="0"/>
        <v>49309</v>
      </c>
      <c r="AS3" s="566">
        <f t="shared" si="0"/>
        <v>49674</v>
      </c>
      <c r="AT3" s="566">
        <f t="shared" si="0"/>
        <v>50040</v>
      </c>
      <c r="AU3" s="566">
        <f t="shared" si="0"/>
        <v>50405</v>
      </c>
      <c r="AV3" s="566">
        <f t="shared" si="0"/>
        <v>50770</v>
      </c>
      <c r="AW3" s="566">
        <f t="shared" si="0"/>
        <v>51135</v>
      </c>
      <c r="AX3" s="566">
        <f t="shared" si="0"/>
        <v>51501</v>
      </c>
    </row>
    <row r="4" spans="1:52" s="72" customFormat="1" ht="30" customHeight="1">
      <c r="A4" s="491"/>
      <c r="B4" s="113" t="s">
        <v>66</v>
      </c>
      <c r="C4" s="114" t="s">
        <v>1</v>
      </c>
      <c r="D4" s="115" t="s">
        <v>75</v>
      </c>
      <c r="E4" s="115" t="s">
        <v>46</v>
      </c>
      <c r="F4" s="115" t="s">
        <v>75</v>
      </c>
      <c r="G4" s="115" t="s">
        <v>46</v>
      </c>
      <c r="H4" s="115" t="s">
        <v>68</v>
      </c>
      <c r="I4" s="115" t="s">
        <v>69</v>
      </c>
      <c r="J4" s="115" t="s">
        <v>70</v>
      </c>
      <c r="K4" s="439" t="s">
        <v>59</v>
      </c>
      <c r="L4" s="81" t="s">
        <v>71</v>
      </c>
      <c r="M4" s="82" t="s">
        <v>72</v>
      </c>
      <c r="N4" s="82" t="s">
        <v>51</v>
      </c>
      <c r="O4" s="83" t="s">
        <v>123</v>
      </c>
      <c r="P4" s="83"/>
      <c r="Q4" s="77" t="s">
        <v>49</v>
      </c>
      <c r="R4" s="82" t="s">
        <v>124</v>
      </c>
      <c r="S4" s="77" t="s">
        <v>125</v>
      </c>
      <c r="T4" s="82" t="s">
        <v>126</v>
      </c>
      <c r="U4" s="71">
        <v>0</v>
      </c>
      <c r="V4" s="71">
        <f>U4+1</f>
        <v>1</v>
      </c>
      <c r="W4" s="71">
        <f t="shared" ref="W4:AL4" si="1">V4+1</f>
        <v>2</v>
      </c>
      <c r="X4" s="71">
        <f t="shared" si="1"/>
        <v>3</v>
      </c>
      <c r="Y4" s="71">
        <f t="shared" si="1"/>
        <v>4</v>
      </c>
      <c r="Z4" s="71">
        <f t="shared" si="1"/>
        <v>5</v>
      </c>
      <c r="AA4" s="71">
        <f t="shared" si="1"/>
        <v>6</v>
      </c>
      <c r="AB4" s="71">
        <f t="shared" si="1"/>
        <v>7</v>
      </c>
      <c r="AC4" s="71">
        <f t="shared" si="1"/>
        <v>8</v>
      </c>
      <c r="AD4" s="71">
        <f t="shared" si="1"/>
        <v>9</v>
      </c>
      <c r="AE4" s="71">
        <f t="shared" si="1"/>
        <v>10</v>
      </c>
      <c r="AF4" s="71">
        <f t="shared" si="1"/>
        <v>11</v>
      </c>
      <c r="AG4" s="71">
        <f t="shared" si="1"/>
        <v>12</v>
      </c>
      <c r="AH4" s="71">
        <f t="shared" si="1"/>
        <v>13</v>
      </c>
      <c r="AI4" s="71">
        <f t="shared" si="1"/>
        <v>14</v>
      </c>
      <c r="AJ4" s="71">
        <f t="shared" si="1"/>
        <v>15</v>
      </c>
      <c r="AK4" s="71">
        <f t="shared" si="1"/>
        <v>16</v>
      </c>
      <c r="AL4" s="71">
        <f t="shared" si="1"/>
        <v>17</v>
      </c>
      <c r="AM4" s="71">
        <f>AL4+1</f>
        <v>18</v>
      </c>
      <c r="AN4" s="71">
        <f>AM4+1</f>
        <v>19</v>
      </c>
      <c r="AO4" s="71">
        <f>AN4+1</f>
        <v>20</v>
      </c>
      <c r="AP4" s="71">
        <f t="shared" ref="AP4:AX4" si="2">AO4+1</f>
        <v>21</v>
      </c>
      <c r="AQ4" s="71">
        <f t="shared" si="2"/>
        <v>22</v>
      </c>
      <c r="AR4" s="71">
        <f t="shared" si="2"/>
        <v>23</v>
      </c>
      <c r="AS4" s="71">
        <f t="shared" si="2"/>
        <v>24</v>
      </c>
      <c r="AT4" s="71">
        <f t="shared" si="2"/>
        <v>25</v>
      </c>
      <c r="AU4" s="71">
        <f t="shared" si="2"/>
        <v>26</v>
      </c>
      <c r="AV4" s="71">
        <f t="shared" si="2"/>
        <v>27</v>
      </c>
      <c r="AW4" s="71">
        <f t="shared" si="2"/>
        <v>28</v>
      </c>
      <c r="AX4" s="71">
        <f t="shared" si="2"/>
        <v>29</v>
      </c>
    </row>
    <row r="5" spans="1:52">
      <c r="B5" s="84" t="s">
        <v>127</v>
      </c>
      <c r="C5" s="85"/>
      <c r="D5" s="86"/>
      <c r="E5" s="87"/>
      <c r="F5" s="86"/>
      <c r="G5" s="87"/>
      <c r="H5" s="87"/>
      <c r="I5" s="87"/>
      <c r="J5" s="87"/>
      <c r="K5" s="440"/>
      <c r="L5" s="86"/>
      <c r="M5" s="87"/>
      <c r="N5" s="87"/>
      <c r="O5" s="87"/>
      <c r="P5" s="87"/>
      <c r="Q5" s="87"/>
      <c r="R5" s="87"/>
      <c r="S5" s="87"/>
      <c r="T5" s="85"/>
      <c r="U5" s="88"/>
      <c r="V5" s="88"/>
      <c r="W5" s="88"/>
      <c r="X5" s="88"/>
      <c r="Y5" s="88"/>
      <c r="Z5" s="88"/>
      <c r="AA5" s="88"/>
      <c r="AB5" s="88"/>
      <c r="AC5" s="88"/>
      <c r="AD5" s="88"/>
      <c r="AE5" s="88"/>
      <c r="AF5" s="360"/>
      <c r="AG5" s="88"/>
      <c r="AH5" s="88"/>
      <c r="AI5" s="88"/>
      <c r="AJ5" s="88"/>
      <c r="AK5" s="88"/>
      <c r="AL5" s="88"/>
      <c r="AM5" s="88"/>
      <c r="AN5" s="88"/>
      <c r="AO5" s="88"/>
      <c r="AP5" s="88"/>
      <c r="AQ5" s="88"/>
      <c r="AR5" s="88"/>
      <c r="AS5" s="88"/>
      <c r="AT5" s="88"/>
      <c r="AU5" s="88"/>
      <c r="AV5" s="88"/>
      <c r="AW5" s="88"/>
      <c r="AX5" s="88"/>
    </row>
    <row r="6" spans="1:52" ht="13.35" customHeight="1">
      <c r="B6" s="32">
        <v>1</v>
      </c>
      <c r="C6" s="49" t="s">
        <v>2</v>
      </c>
      <c r="D6" s="102">
        <f>IRR(U6:AX6)</f>
        <v>0.34753879227820605</v>
      </c>
      <c r="E6" s="65">
        <f>T65/-T41</f>
        <v>3.104240408055694</v>
      </c>
      <c r="F6" s="102">
        <f>+INDEX('Portfolio Listing'!$U$7:$U$28,MATCH(C6,'Portfolio Listing'!$C$7:$C$28,0))</f>
        <v>0.33635510253906253</v>
      </c>
      <c r="G6" s="65">
        <f>'Portfolio Listing'!T7</f>
        <v>3.126524762961794</v>
      </c>
      <c r="H6" s="89" t="str">
        <f>VLOOKUP($C6,'Portfolio Listing'!$C$7:$AF$28,2,FALSE)</f>
        <v>China</v>
      </c>
      <c r="I6" s="89" t="str">
        <f>VLOOKUP($C6,'Portfolio Listing'!$C$7:$AF$28,3,FALSE)</f>
        <v>Diversified</v>
      </c>
      <c r="J6" s="89" t="str">
        <f>VLOOKUP($C6,'Portfolio Listing'!$C$7:$AF$28,4,FALSE)</f>
        <v>PE - VC / Growth</v>
      </c>
      <c r="K6" s="441" t="s">
        <v>90</v>
      </c>
      <c r="L6" s="391">
        <f>'Portfolio Listing'!H7</f>
        <v>40695</v>
      </c>
      <c r="M6" s="89">
        <f>VLOOKUP(C6,'Portfolio Listing'!$C$7:$AF$28,7,FALSE)</f>
        <v>30000000</v>
      </c>
      <c r="N6" s="89">
        <f>VLOOKUP(C6,'Portfolio Listing'!$C$7:$AF$28,8,FALSE)</f>
        <v>29454452.019999996</v>
      </c>
      <c r="O6" s="383">
        <f>IF(N6-M6&gt;0,0,N6-M6)</f>
        <v>-545547.98000000417</v>
      </c>
      <c r="P6" s="612"/>
      <c r="Q6" s="89">
        <f>VLOOKUP(C6,'Portfolio Listing'!$C$7:$AF$28,11,FALSE)</f>
        <v>92038825.620000005</v>
      </c>
      <c r="R6" s="89">
        <f>VLOOKUP(C6,'Portfolio Listing'!$C$7:$AF$28,12,FALSE)</f>
        <v>0</v>
      </c>
      <c r="S6" s="384">
        <f>VLOOKUP(C6,'Portfolio Listing'!$C$7:$AF$28,14,FALSE)</f>
        <v>51248</v>
      </c>
      <c r="T6" s="383">
        <f t="shared" ref="T6:T24" si="3">SUM(U6:AX6)</f>
        <v>62584373.599999994</v>
      </c>
      <c r="U6" s="103">
        <f t="shared" ref="U6:AN6" si="4">U41+U65</f>
        <v>-2738663.8000000003</v>
      </c>
      <c r="V6" s="103">
        <f t="shared" si="4"/>
        <v>-12024167.18</v>
      </c>
      <c r="W6" s="103">
        <f t="shared" si="4"/>
        <v>-892468.02</v>
      </c>
      <c r="X6" s="103">
        <f t="shared" si="4"/>
        <v>-4209772.13</v>
      </c>
      <c r="Y6" s="103">
        <f t="shared" si="4"/>
        <v>15963275.199999999</v>
      </c>
      <c r="Z6" s="103">
        <f t="shared" si="4"/>
        <v>12562085.789999999</v>
      </c>
      <c r="AA6" s="103">
        <f t="shared" si="4"/>
        <v>22614615.289999999</v>
      </c>
      <c r="AB6" s="103">
        <f t="shared" si="4"/>
        <v>6209234.0599999996</v>
      </c>
      <c r="AC6" s="103">
        <f t="shared" si="4"/>
        <v>8199914.9799999995</v>
      </c>
      <c r="AD6" s="103">
        <f t="shared" si="4"/>
        <v>9032097.709999999</v>
      </c>
      <c r="AE6" s="103">
        <f t="shared" si="4"/>
        <v>2729918.22</v>
      </c>
      <c r="AF6" s="385">
        <f t="shared" si="4"/>
        <v>660687.42999999993</v>
      </c>
      <c r="AG6" s="103">
        <f t="shared" si="4"/>
        <v>4477616.0500000007</v>
      </c>
      <c r="AH6" s="103">
        <f>AH41+AH65</f>
        <v>0</v>
      </c>
      <c r="AI6" s="103">
        <f t="shared" si="4"/>
        <v>0</v>
      </c>
      <c r="AJ6" s="103">
        <f t="shared" si="4"/>
        <v>0</v>
      </c>
      <c r="AK6" s="103">
        <f t="shared" si="4"/>
        <v>0</v>
      </c>
      <c r="AL6" s="103">
        <f t="shared" si="4"/>
        <v>0</v>
      </c>
      <c r="AM6" s="103">
        <f t="shared" si="4"/>
        <v>0</v>
      </c>
      <c r="AN6" s="103">
        <f t="shared" si="4"/>
        <v>0</v>
      </c>
      <c r="AO6" s="103">
        <f t="shared" ref="AO6:AX6" si="5">AO41+AO65</f>
        <v>0</v>
      </c>
      <c r="AP6" s="103">
        <f t="shared" si="5"/>
        <v>0</v>
      </c>
      <c r="AQ6" s="103">
        <f t="shared" si="5"/>
        <v>0</v>
      </c>
      <c r="AR6" s="103">
        <f t="shared" si="5"/>
        <v>0</v>
      </c>
      <c r="AS6" s="103">
        <f t="shared" si="5"/>
        <v>0</v>
      </c>
      <c r="AT6" s="103">
        <f t="shared" si="5"/>
        <v>0</v>
      </c>
      <c r="AU6" s="103">
        <f t="shared" si="5"/>
        <v>0</v>
      </c>
      <c r="AV6" s="103">
        <f t="shared" si="5"/>
        <v>0</v>
      </c>
      <c r="AW6" s="103">
        <f t="shared" si="5"/>
        <v>0</v>
      </c>
      <c r="AX6" s="103">
        <f t="shared" si="5"/>
        <v>0</v>
      </c>
      <c r="AZ6" s="43" t="str">
        <f>+INDEX('Portfolio Listing'!$AO$7:$AO$28,MATCH('Portfolio Summary'!$C6,'Portfolio Listing'!$C$7:$C$28,0))</f>
        <v>BOYU Capital Fund I, L.P.</v>
      </c>
    </row>
    <row r="7" spans="1:52" ht="13.35" customHeight="1">
      <c r="B7" s="32">
        <f>B6+1</f>
        <v>2</v>
      </c>
      <c r="C7" s="49" t="s">
        <v>3</v>
      </c>
      <c r="D7" s="102">
        <f t="shared" ref="D7:D24" si="6">IRR(U7:AX7)</f>
        <v>0.23380959664028178</v>
      </c>
      <c r="E7" s="65">
        <f>T66/-T42</f>
        <v>2.3365703738375307</v>
      </c>
      <c r="F7" s="102">
        <f>+INDEX('Portfolio Listing'!$U$7:$U$28,MATCH(C7,'Portfolio Listing'!$C$7:$C$28,0))</f>
        <v>0.22429716308593756</v>
      </c>
      <c r="G7" s="65">
        <f>'Portfolio Listing'!T8</f>
        <v>2.3869815388158391</v>
      </c>
      <c r="H7" s="89" t="str">
        <f>VLOOKUP($C7,'Portfolio Listing'!$C$7:$AF$28,2,FALSE)</f>
        <v>China</v>
      </c>
      <c r="I7" s="89" t="str">
        <f>VLOOKUP($C7,'Portfolio Listing'!$C$7:$AF$28,3,FALSE)</f>
        <v>Diversified</v>
      </c>
      <c r="J7" s="89" t="str">
        <f>VLOOKUP($C7,'Portfolio Listing'!$C$7:$AF$28,4,FALSE)</f>
        <v>PE - Buyout</v>
      </c>
      <c r="K7" s="441" t="s">
        <v>90</v>
      </c>
      <c r="L7" s="391">
        <f>'Portfolio Listing'!H8</f>
        <v>40878</v>
      </c>
      <c r="M7" s="89">
        <f>VLOOKUP(C7,'Portfolio Listing'!$C$7:$AF$28,7,FALSE)</f>
        <v>10000000</v>
      </c>
      <c r="N7" s="89">
        <f>VLOOKUP(C7,'Portfolio Listing'!$C$7:$AF$28,8,FALSE)</f>
        <v>8570276.3500000034</v>
      </c>
      <c r="O7" s="383">
        <f>IF(N7-M7&gt;0,0,N7-M7)</f>
        <v>-1429723.6499999966</v>
      </c>
      <c r="P7" s="612"/>
      <c r="Q7" s="89">
        <f>VLOOKUP(C7,'Portfolio Listing'!$C$7:$AF$28,11,FALSE)</f>
        <v>20207464.430000003</v>
      </c>
      <c r="R7" s="89">
        <f>VLOOKUP(C7,'Portfolio Listing'!$C$7:$AF$28,12,FALSE)</f>
        <v>0</v>
      </c>
      <c r="S7" s="384">
        <f>VLOOKUP(C7,'Portfolio Listing'!$C$7:$AF$28,14,FALSE)</f>
        <v>249627</v>
      </c>
      <c r="T7" s="383">
        <f t="shared" si="3"/>
        <v>12237188.48</v>
      </c>
      <c r="U7" s="103">
        <f t="shared" ref="U7:AN7" si="7">U42+U66</f>
        <v>0</v>
      </c>
      <c r="V7" s="103">
        <f t="shared" si="7"/>
        <v>-2337283.7200000002</v>
      </c>
      <c r="W7" s="103">
        <f t="shared" si="7"/>
        <v>-2121566.1900000004</v>
      </c>
      <c r="X7" s="103">
        <f t="shared" si="7"/>
        <v>-118164.21999999974</v>
      </c>
      <c r="Y7" s="103">
        <f t="shared" si="7"/>
        <v>-309527.96999999974</v>
      </c>
      <c r="Z7" s="103">
        <f t="shared" si="7"/>
        <v>2864132.0700000003</v>
      </c>
      <c r="AA7" s="103">
        <f t="shared" si="7"/>
        <v>3478488.2800000003</v>
      </c>
      <c r="AB7" s="103">
        <f t="shared" si="7"/>
        <v>1917146.55</v>
      </c>
      <c r="AC7" s="103">
        <f t="shared" si="7"/>
        <v>-53912.04</v>
      </c>
      <c r="AD7" s="103">
        <f t="shared" si="7"/>
        <v>1492878</v>
      </c>
      <c r="AE7" s="103">
        <f t="shared" si="7"/>
        <v>6128954.29</v>
      </c>
      <c r="AF7" s="385">
        <f t="shared" si="7"/>
        <v>194000.68</v>
      </c>
      <c r="AG7" s="103">
        <f t="shared" si="7"/>
        <v>502042.75</v>
      </c>
      <c r="AH7" s="103">
        <f t="shared" si="7"/>
        <v>0</v>
      </c>
      <c r="AI7" s="103">
        <f t="shared" si="7"/>
        <v>600000</v>
      </c>
      <c r="AJ7" s="103">
        <f t="shared" si="7"/>
        <v>0</v>
      </c>
      <c r="AK7" s="103">
        <f t="shared" si="7"/>
        <v>0</v>
      </c>
      <c r="AL7" s="103">
        <f t="shared" si="7"/>
        <v>0</v>
      </c>
      <c r="AM7" s="103">
        <f t="shared" si="7"/>
        <v>0</v>
      </c>
      <c r="AN7" s="103">
        <f t="shared" si="7"/>
        <v>0</v>
      </c>
      <c r="AO7" s="103">
        <f t="shared" ref="AO7:AX7" si="8">AO42+AO66</f>
        <v>0</v>
      </c>
      <c r="AP7" s="103">
        <f t="shared" si="8"/>
        <v>0</v>
      </c>
      <c r="AQ7" s="103">
        <f t="shared" si="8"/>
        <v>0</v>
      </c>
      <c r="AR7" s="103">
        <f t="shared" si="8"/>
        <v>0</v>
      </c>
      <c r="AS7" s="103">
        <f t="shared" si="8"/>
        <v>0</v>
      </c>
      <c r="AT7" s="103">
        <f t="shared" si="8"/>
        <v>0</v>
      </c>
      <c r="AU7" s="103">
        <f t="shared" si="8"/>
        <v>0</v>
      </c>
      <c r="AV7" s="103">
        <f t="shared" si="8"/>
        <v>0</v>
      </c>
      <c r="AW7" s="103">
        <f t="shared" si="8"/>
        <v>0</v>
      </c>
      <c r="AX7" s="103">
        <f t="shared" si="8"/>
        <v>0</v>
      </c>
      <c r="AZ7" s="43" t="str">
        <f>+INDEX('Portfolio Listing'!$AO$7:$AO$28,MATCH('Portfolio Summary'!$C7,'Portfolio Listing'!$C$7:$C$28,0))</f>
        <v>Ascendent Capital Partners I, L.P.</v>
      </c>
    </row>
    <row r="8" spans="1:52" ht="13.35" customHeight="1">
      <c r="B8" s="32">
        <f t="shared" ref="B8:B24" si="9">B7+1</f>
        <v>3</v>
      </c>
      <c r="C8" s="49" t="s">
        <v>4</v>
      </c>
      <c r="D8" s="102">
        <f t="shared" si="6"/>
        <v>0.16178617124079464</v>
      </c>
      <c r="E8" s="65">
        <f>T67/-T43</f>
        <v>2.0506162998259998</v>
      </c>
      <c r="F8" s="102">
        <f>+INDEX('Portfolio Listing'!$U$7:$U$28,MATCH(C8,'Portfolio Listing'!$C$7:$C$28,0))</f>
        <v>0.16955445800781249</v>
      </c>
      <c r="G8" s="65">
        <f>'Portfolio Listing'!T9</f>
        <v>2.0989434368260005</v>
      </c>
      <c r="H8" s="89" t="str">
        <f>VLOOKUP($C8,'Portfolio Listing'!$C$7:$AF$28,2,FALSE)</f>
        <v>China</v>
      </c>
      <c r="I8" s="89" t="str">
        <f>VLOOKUP($C8,'Portfolio Listing'!$C$7:$AF$28,3,FALSE)</f>
        <v>Diversified</v>
      </c>
      <c r="J8" s="89" t="str">
        <f>VLOOKUP($C8,'Portfolio Listing'!$C$7:$AF$28,4,FALSE)</f>
        <v xml:space="preserve">HF </v>
      </c>
      <c r="K8" s="441" t="s">
        <v>95</v>
      </c>
      <c r="L8" s="391">
        <f>'Portfolio Listing'!H9</f>
        <v>42614</v>
      </c>
      <c r="M8" s="89">
        <f>VLOOKUP(C8,'Portfolio Listing'!$C$7:$AF$28,7,FALSE)</f>
        <v>10000000</v>
      </c>
      <c r="N8" s="89">
        <f>VLOOKUP(C8,'Portfolio Listing'!$C$7:$AF$28,8,FALSE)</f>
        <v>10000000</v>
      </c>
      <c r="O8" s="89">
        <f t="shared" ref="O8:O21" si="10">IF(N8-M8&gt;0,0,N8-M8)</f>
        <v>0</v>
      </c>
      <c r="P8" s="612"/>
      <c r="Q8" s="89">
        <f>VLOOKUP(C8,'Portfolio Listing'!$C$7:$AF$28,11,FALSE)</f>
        <v>20196162.998260003</v>
      </c>
      <c r="R8" s="89">
        <f>VLOOKUP(C8,'Portfolio Listing'!$C$7:$AF$28,12,FALSE)</f>
        <v>0</v>
      </c>
      <c r="S8" s="384">
        <f>VLOOKUP(C8,'Portfolio Listing'!$C$7:$AF$28,14,FALSE)</f>
        <v>793271.37</v>
      </c>
      <c r="T8" s="383">
        <f t="shared" si="3"/>
        <v>10506162.998259999</v>
      </c>
      <c r="U8" s="103">
        <f t="shared" ref="U8:AN8" si="11">U43+U67</f>
        <v>0</v>
      </c>
      <c r="V8" s="103">
        <f t="shared" si="11"/>
        <v>0</v>
      </c>
      <c r="W8" s="103">
        <f t="shared" si="11"/>
        <v>0</v>
      </c>
      <c r="X8" s="103">
        <f t="shared" si="11"/>
        <v>0</v>
      </c>
      <c r="Y8" s="103">
        <f t="shared" si="11"/>
        <v>0</v>
      </c>
      <c r="Z8" s="103">
        <f t="shared" si="11"/>
        <v>-10000000</v>
      </c>
      <c r="AA8" s="103">
        <f t="shared" si="11"/>
        <v>0</v>
      </c>
      <c r="AB8" s="103">
        <f t="shared" si="11"/>
        <v>0</v>
      </c>
      <c r="AC8" s="103">
        <f t="shared" si="11"/>
        <v>0</v>
      </c>
      <c r="AD8" s="103">
        <f t="shared" si="11"/>
        <v>11884980</v>
      </c>
      <c r="AE8" s="103">
        <f t="shared" si="11"/>
        <v>4435365</v>
      </c>
      <c r="AF8" s="385">
        <f t="shared" si="11"/>
        <v>0</v>
      </c>
      <c r="AG8" s="103">
        <f t="shared" si="11"/>
        <v>2720240.9299999997</v>
      </c>
      <c r="AH8" s="103">
        <f t="shared" si="11"/>
        <v>1155577.0682600001</v>
      </c>
      <c r="AI8" s="103">
        <f t="shared" si="11"/>
        <v>310000</v>
      </c>
      <c r="AJ8" s="103">
        <f t="shared" si="11"/>
        <v>0</v>
      </c>
      <c r="AK8" s="103">
        <f t="shared" si="11"/>
        <v>0</v>
      </c>
      <c r="AL8" s="103">
        <f t="shared" si="11"/>
        <v>0</v>
      </c>
      <c r="AM8" s="103">
        <f t="shared" si="11"/>
        <v>0</v>
      </c>
      <c r="AN8" s="103">
        <f t="shared" si="11"/>
        <v>0</v>
      </c>
      <c r="AO8" s="103">
        <f t="shared" ref="AO8:AX8" si="12">AO43+AO67</f>
        <v>0</v>
      </c>
      <c r="AP8" s="103">
        <f t="shared" si="12"/>
        <v>0</v>
      </c>
      <c r="AQ8" s="103">
        <f t="shared" si="12"/>
        <v>0</v>
      </c>
      <c r="AR8" s="103">
        <f t="shared" si="12"/>
        <v>0</v>
      </c>
      <c r="AS8" s="103">
        <f t="shared" si="12"/>
        <v>0</v>
      </c>
      <c r="AT8" s="103">
        <f t="shared" si="12"/>
        <v>0</v>
      </c>
      <c r="AU8" s="103">
        <f t="shared" si="12"/>
        <v>0</v>
      </c>
      <c r="AV8" s="103">
        <f t="shared" si="12"/>
        <v>0</v>
      </c>
      <c r="AW8" s="103">
        <f t="shared" si="12"/>
        <v>0</v>
      </c>
      <c r="AX8" s="103">
        <f t="shared" si="12"/>
        <v>0</v>
      </c>
      <c r="AZ8" s="43" t="str">
        <f>+INDEX('Portfolio Listing'!$AO$7:$AO$28,MATCH('Portfolio Summary'!$C8,'Portfolio Listing'!$C$7:$C$28,0))</f>
        <v>BOYU Capital Offshore Fund</v>
      </c>
    </row>
    <row r="9" spans="1:52" ht="13.35" customHeight="1">
      <c r="B9" s="32">
        <f t="shared" si="9"/>
        <v>4</v>
      </c>
      <c r="C9" s="49" t="s">
        <v>17</v>
      </c>
      <c r="D9" s="102">
        <f t="shared" si="6"/>
        <v>-6.6498432521911899E-2</v>
      </c>
      <c r="E9" s="65">
        <f t="shared" ref="E9:E24" si="13">T69/-T45</f>
        <v>0.80970179833333333</v>
      </c>
      <c r="F9" s="102">
        <f>+INDEX('Portfolio Listing'!$U$7:$U$28,MATCH(C9,'Portfolio Listing'!$C$7:$C$28,0))</f>
        <v>-8.4686514735221888E-2</v>
      </c>
      <c r="G9" s="65">
        <f>'Portfolio Listing'!T10</f>
        <v>0.78791929833333352</v>
      </c>
      <c r="H9" s="89" t="str">
        <f>VLOOKUP($C9,'Portfolio Listing'!$C$7:$AF$28,2,FALSE)</f>
        <v>US</v>
      </c>
      <c r="I9" s="89" t="str">
        <f>VLOOKUP($C9,'Portfolio Listing'!$C$7:$AF$28,3,FALSE)</f>
        <v>Technology</v>
      </c>
      <c r="J9" s="89" t="str">
        <f>VLOOKUP($C9,'Portfolio Listing'!$C$7:$AF$28,4,FALSE)</f>
        <v>PE - VC / Growth</v>
      </c>
      <c r="K9" s="441" t="s">
        <v>100</v>
      </c>
      <c r="L9" s="391">
        <f>'Portfolio Listing'!H10</f>
        <v>42894</v>
      </c>
      <c r="M9" s="89">
        <f>VLOOKUP(C9,'Portfolio Listing'!$C$7:$AF$28,7,FALSE)</f>
        <v>6000000</v>
      </c>
      <c r="N9" s="89">
        <f>VLOOKUP(C9,'Portfolio Listing'!$C$7:$AF$28,8,FALSE)</f>
        <v>6000000</v>
      </c>
      <c r="O9" s="89">
        <f t="shared" si="10"/>
        <v>0</v>
      </c>
      <c r="P9" s="612"/>
      <c r="Q9" s="89">
        <f>VLOOKUP(C9,'Portfolio Listing'!$C$7:$AF$28,11,FALSE)</f>
        <v>4158210.7900000005</v>
      </c>
      <c r="R9" s="89">
        <f>VLOOKUP(C9,'Portfolio Listing'!$C$7:$AF$28,12,FALSE)</f>
        <v>0</v>
      </c>
      <c r="S9" s="384">
        <f>VLOOKUP(C9,'Portfolio Listing'!$C$7:$AF$28,14,FALSE)</f>
        <v>569305</v>
      </c>
      <c r="T9" s="383">
        <f t="shared" si="3"/>
        <v>-1141789.21</v>
      </c>
      <c r="U9" s="103">
        <f t="shared" ref="U9:AN9" si="14">U45+U69</f>
        <v>0</v>
      </c>
      <c r="V9" s="103">
        <f t="shared" si="14"/>
        <v>0</v>
      </c>
      <c r="W9" s="103">
        <f t="shared" si="14"/>
        <v>0</v>
      </c>
      <c r="X9" s="103">
        <f t="shared" si="14"/>
        <v>0</v>
      </c>
      <c r="Y9" s="103">
        <f t="shared" si="14"/>
        <v>0</v>
      </c>
      <c r="Z9" s="103">
        <f t="shared" si="14"/>
        <v>0</v>
      </c>
      <c r="AA9" s="103">
        <f t="shared" si="14"/>
        <v>-6000000</v>
      </c>
      <c r="AB9" s="103">
        <f t="shared" si="14"/>
        <v>0</v>
      </c>
      <c r="AC9" s="103">
        <f t="shared" si="14"/>
        <v>3982313.66</v>
      </c>
      <c r="AD9" s="103">
        <f t="shared" si="14"/>
        <v>175897.13</v>
      </c>
      <c r="AE9" s="103">
        <f t="shared" si="14"/>
        <v>0</v>
      </c>
      <c r="AF9" s="385">
        <f t="shared" si="14"/>
        <v>0</v>
      </c>
      <c r="AG9" s="103">
        <f t="shared" si="14"/>
        <v>0</v>
      </c>
      <c r="AH9" s="103">
        <f t="shared" si="14"/>
        <v>0</v>
      </c>
      <c r="AI9" s="103">
        <f t="shared" si="14"/>
        <v>700000</v>
      </c>
      <c r="AJ9" s="103">
        <f t="shared" si="14"/>
        <v>0</v>
      </c>
      <c r="AK9" s="103">
        <f t="shared" si="14"/>
        <v>0</v>
      </c>
      <c r="AL9" s="103">
        <f t="shared" si="14"/>
        <v>0</v>
      </c>
      <c r="AM9" s="103">
        <f t="shared" si="14"/>
        <v>0</v>
      </c>
      <c r="AN9" s="103">
        <f t="shared" si="14"/>
        <v>0</v>
      </c>
      <c r="AO9" s="103">
        <f t="shared" ref="AO9:AX9" si="15">AO45+AO69</f>
        <v>0</v>
      </c>
      <c r="AP9" s="103">
        <f t="shared" si="15"/>
        <v>0</v>
      </c>
      <c r="AQ9" s="103">
        <f t="shared" si="15"/>
        <v>0</v>
      </c>
      <c r="AR9" s="103">
        <f t="shared" si="15"/>
        <v>0</v>
      </c>
      <c r="AS9" s="103">
        <f t="shared" si="15"/>
        <v>0</v>
      </c>
      <c r="AT9" s="103">
        <f t="shared" si="15"/>
        <v>0</v>
      </c>
      <c r="AU9" s="103">
        <f t="shared" si="15"/>
        <v>0</v>
      </c>
      <c r="AV9" s="103">
        <f t="shared" si="15"/>
        <v>0</v>
      </c>
      <c r="AW9" s="103">
        <f t="shared" si="15"/>
        <v>0</v>
      </c>
      <c r="AX9" s="103">
        <f t="shared" si="15"/>
        <v>0</v>
      </c>
      <c r="AZ9" s="43" t="str">
        <f>+INDEX('Portfolio Listing'!$AO$7:$AO$28,MATCH('Portfolio Summary'!$C9,'Portfolio Listing'!$C$7:$C$28,0))</f>
        <v>E15 Fund I, LP</v>
      </c>
    </row>
    <row r="10" spans="1:52" ht="13.35" customHeight="1">
      <c r="B10" s="32">
        <f t="shared" si="9"/>
        <v>5</v>
      </c>
      <c r="C10" s="49" t="s">
        <v>20</v>
      </c>
      <c r="D10" s="102">
        <f t="shared" si="6"/>
        <v>0.18804665237012053</v>
      </c>
      <c r="E10" s="65">
        <f t="shared" si="13"/>
        <v>1.9999999999999998</v>
      </c>
      <c r="F10" s="102">
        <f>+INDEX('Portfolio Listing'!$U$7:$U$28,MATCH(C10,'Portfolio Listing'!$C$7:$C$28,0))</f>
        <v>0.14580788016319277</v>
      </c>
      <c r="G10" s="65">
        <f>'Portfolio Listing'!T11</f>
        <v>1.3985436687894788</v>
      </c>
      <c r="H10" s="89" t="str">
        <f>VLOOKUP($C10,'Portfolio Listing'!$C$7:$AF$28,2,FALSE)</f>
        <v xml:space="preserve">Global </v>
      </c>
      <c r="I10" s="89" t="str">
        <f>VLOOKUP($C10,'Portfolio Listing'!$C$7:$AF$28,3,FALSE)</f>
        <v>Diversified</v>
      </c>
      <c r="J10" s="89" t="str">
        <f>VLOOKUP($C10,'Portfolio Listing'!$C$7:$AF$28,4,FALSE)</f>
        <v>PE - Buyout</v>
      </c>
      <c r="K10" s="441" t="s">
        <v>90</v>
      </c>
      <c r="L10" s="391">
        <f>'Portfolio Listing'!H11</f>
        <v>43344</v>
      </c>
      <c r="M10" s="89">
        <f>VLOOKUP(C10,'Portfolio Listing'!$C$7:$AF$28,7,FALSE)</f>
        <v>25000000</v>
      </c>
      <c r="N10" s="89">
        <f>VLOOKUP(C10,'Portfolio Listing'!$C$7:$AF$28,8,FALSE)</f>
        <v>20996048</v>
      </c>
      <c r="O10" s="383">
        <f t="shared" si="10"/>
        <v>-4003952</v>
      </c>
      <c r="P10" s="612"/>
      <c r="Q10" s="89">
        <f>VLOOKUP(C10,'Portfolio Listing'!$C$7:$AF$28,11,FALSE)</f>
        <v>14856555</v>
      </c>
      <c r="R10" s="89">
        <f>VLOOKUP(C10,'Portfolio Listing'!$C$7:$AF$28,12,FALSE)</f>
        <v>0</v>
      </c>
      <c r="S10" s="384">
        <f>VLOOKUP(C10,'Portfolio Listing'!$C$7:$AF$28,14,FALSE)</f>
        <v>14507335</v>
      </c>
      <c r="T10" s="383">
        <f t="shared" si="3"/>
        <v>25000000</v>
      </c>
      <c r="U10" s="103">
        <f t="shared" ref="U10:AN10" si="16">U46+U70</f>
        <v>0</v>
      </c>
      <c r="V10" s="103">
        <f t="shared" si="16"/>
        <v>0</v>
      </c>
      <c r="W10" s="103">
        <f t="shared" si="16"/>
        <v>0</v>
      </c>
      <c r="X10" s="103">
        <f t="shared" si="16"/>
        <v>0</v>
      </c>
      <c r="Y10" s="103">
        <f t="shared" si="16"/>
        <v>0</v>
      </c>
      <c r="Z10" s="103">
        <f t="shared" si="16"/>
        <v>0</v>
      </c>
      <c r="AA10" s="103">
        <f t="shared" si="16"/>
        <v>0</v>
      </c>
      <c r="AB10" s="103">
        <f t="shared" si="16"/>
        <v>0</v>
      </c>
      <c r="AC10" s="103">
        <f t="shared" si="16"/>
        <v>0</v>
      </c>
      <c r="AD10" s="103">
        <f t="shared" si="16"/>
        <v>-17882500</v>
      </c>
      <c r="AE10" s="103">
        <f t="shared" si="16"/>
        <v>1259646</v>
      </c>
      <c r="AF10" s="385">
        <f t="shared" si="16"/>
        <v>10084517</v>
      </c>
      <c r="AG10" s="385">
        <f t="shared" si="16"/>
        <v>188857</v>
      </c>
      <c r="AH10" s="103">
        <f t="shared" si="16"/>
        <v>142997</v>
      </c>
      <c r="AI10" s="103">
        <f t="shared" si="16"/>
        <v>2267217</v>
      </c>
      <c r="AJ10" s="103">
        <f t="shared" si="16"/>
        <v>6977120.666666666</v>
      </c>
      <c r="AK10" s="103">
        <f t="shared" si="16"/>
        <v>10981072.666666666</v>
      </c>
      <c r="AL10" s="103">
        <f t="shared" si="16"/>
        <v>10981072.666666666</v>
      </c>
      <c r="AM10" s="103">
        <f t="shared" si="16"/>
        <v>0</v>
      </c>
      <c r="AN10" s="103">
        <f t="shared" si="16"/>
        <v>0</v>
      </c>
      <c r="AO10" s="103">
        <f t="shared" ref="AO10:AX10" si="17">AO46+AO70</f>
        <v>0</v>
      </c>
      <c r="AP10" s="103">
        <f t="shared" si="17"/>
        <v>0</v>
      </c>
      <c r="AQ10" s="103">
        <f t="shared" si="17"/>
        <v>0</v>
      </c>
      <c r="AR10" s="103">
        <f t="shared" si="17"/>
        <v>0</v>
      </c>
      <c r="AS10" s="103">
        <f t="shared" si="17"/>
        <v>0</v>
      </c>
      <c r="AT10" s="103">
        <f t="shared" si="17"/>
        <v>0</v>
      </c>
      <c r="AU10" s="103">
        <f t="shared" si="17"/>
        <v>0</v>
      </c>
      <c r="AV10" s="103">
        <f t="shared" si="17"/>
        <v>0</v>
      </c>
      <c r="AW10" s="103">
        <f t="shared" si="17"/>
        <v>0</v>
      </c>
      <c r="AX10" s="103">
        <f t="shared" si="17"/>
        <v>0</v>
      </c>
      <c r="AZ10" s="43" t="str">
        <f>+INDEX('Portfolio Listing'!$AO$7:$AO$28,MATCH('Portfolio Summary'!$C10,'Portfolio Listing'!$C$7:$C$28,0))</f>
        <v>West Street Capital Partners VII</v>
      </c>
    </row>
    <row r="11" spans="1:52" ht="13.35" customHeight="1">
      <c r="B11" s="32">
        <f t="shared" si="9"/>
        <v>6</v>
      </c>
      <c r="C11" s="49" t="s">
        <v>5</v>
      </c>
      <c r="D11" s="102">
        <f t="shared" si="6"/>
        <v>6.9602423382138179E-2</v>
      </c>
      <c r="E11" s="65">
        <f t="shared" si="13"/>
        <v>1.433124256189104</v>
      </c>
      <c r="F11" s="102">
        <f>+INDEX('Portfolio Listing'!$U$7:$U$28,MATCH(C11,'Portfolio Listing'!$C$7:$C$28,0))</f>
        <v>1.7202332615852356E-2</v>
      </c>
      <c r="G11" s="65">
        <f>'Portfolio Listing'!T12</f>
        <v>1.0719807570497921</v>
      </c>
      <c r="H11" s="89" t="str">
        <f>VLOOKUP($C11,'Portfolio Listing'!$C$7:$AF$28,2,FALSE)</f>
        <v>China</v>
      </c>
      <c r="I11" s="89" t="str">
        <f>VLOOKUP($C11,'Portfolio Listing'!$C$7:$AF$28,3,FALSE)</f>
        <v>Technology</v>
      </c>
      <c r="J11" s="89" t="str">
        <f>VLOOKUP($C11,'Portfolio Listing'!$C$7:$AF$28,4,FALSE)</f>
        <v>PE - VC / Growth</v>
      </c>
      <c r="K11" s="441" t="s">
        <v>90</v>
      </c>
      <c r="L11" s="391">
        <f>'Portfolio Listing'!H12</f>
        <v>43373</v>
      </c>
      <c r="M11" s="89">
        <f>VLOOKUP(C11,'Portfolio Listing'!$C$7:$AF$28,7,FALSE)</f>
        <v>20000000</v>
      </c>
      <c r="N11" s="89">
        <f>VLOOKUP(C11,'Portfolio Listing'!$C$7:$AF$28,8,FALSE)</f>
        <v>19929372.359999999</v>
      </c>
      <c r="O11" s="383">
        <f t="shared" si="10"/>
        <v>-70627.640000000596</v>
      </c>
      <c r="P11" s="612"/>
      <c r="Q11" s="89">
        <f>VLOOKUP(C11,'Portfolio Listing'!$C$7:$AF$28,11,FALSE)</f>
        <v>5324898.99</v>
      </c>
      <c r="R11" s="89">
        <f>VLOOKUP(C11,'Portfolio Listing'!$C$7:$AF$28,12,FALSE)</f>
        <v>0</v>
      </c>
      <c r="S11" s="384">
        <f>VLOOKUP(C11,'Portfolio Listing'!$C$7:$AF$28,14,FALSE)</f>
        <v>16039004.68</v>
      </c>
      <c r="T11" s="383">
        <f t="shared" si="3"/>
        <v>9066713.9499999955</v>
      </c>
      <c r="U11" s="103">
        <f t="shared" ref="U11:AN11" si="18">U47+U71</f>
        <v>0</v>
      </c>
      <c r="V11" s="103">
        <f t="shared" si="18"/>
        <v>0</v>
      </c>
      <c r="W11" s="103">
        <f t="shared" si="18"/>
        <v>0</v>
      </c>
      <c r="X11" s="103">
        <f t="shared" si="18"/>
        <v>0</v>
      </c>
      <c r="Y11" s="103">
        <f t="shared" si="18"/>
        <v>0</v>
      </c>
      <c r="Z11" s="103">
        <f t="shared" si="18"/>
        <v>0</v>
      </c>
      <c r="AA11" s="103">
        <f t="shared" si="18"/>
        <v>0</v>
      </c>
      <c r="AB11" s="103">
        <f t="shared" si="18"/>
        <v>-2000000</v>
      </c>
      <c r="AC11" s="103">
        <f t="shared" si="18"/>
        <v>-5850861.0600000005</v>
      </c>
      <c r="AD11" s="103">
        <f t="shared" si="18"/>
        <v>-3414833.64</v>
      </c>
      <c r="AE11" s="103">
        <f t="shared" si="18"/>
        <v>-7276342.9299999997</v>
      </c>
      <c r="AF11" s="385">
        <f t="shared" si="18"/>
        <v>1575241.9299999997</v>
      </c>
      <c r="AG11" s="385">
        <f t="shared" si="18"/>
        <v>2943107.2199999997</v>
      </c>
      <c r="AH11" s="103">
        <f t="shared" si="18"/>
        <v>-580784.89</v>
      </c>
      <c r="AI11" s="103">
        <f t="shared" si="18"/>
        <v>1929400</v>
      </c>
      <c r="AJ11" s="103">
        <f t="shared" si="18"/>
        <v>10870893.66</v>
      </c>
      <c r="AK11" s="103">
        <f t="shared" si="18"/>
        <v>10870893.66</v>
      </c>
      <c r="AL11" s="103">
        <f t="shared" si="18"/>
        <v>0</v>
      </c>
      <c r="AM11" s="103">
        <f t="shared" si="18"/>
        <v>0</v>
      </c>
      <c r="AN11" s="103">
        <f t="shared" si="18"/>
        <v>0</v>
      </c>
      <c r="AO11" s="103">
        <f t="shared" ref="AO11:AX11" si="19">AO47+AO71</f>
        <v>0</v>
      </c>
      <c r="AP11" s="103">
        <f t="shared" si="19"/>
        <v>0</v>
      </c>
      <c r="AQ11" s="103">
        <f t="shared" si="19"/>
        <v>0</v>
      </c>
      <c r="AR11" s="103">
        <f t="shared" si="19"/>
        <v>0</v>
      </c>
      <c r="AS11" s="103">
        <f t="shared" si="19"/>
        <v>0</v>
      </c>
      <c r="AT11" s="103">
        <f t="shared" si="19"/>
        <v>0</v>
      </c>
      <c r="AU11" s="103">
        <f t="shared" si="19"/>
        <v>0</v>
      </c>
      <c r="AV11" s="103">
        <f t="shared" si="19"/>
        <v>0</v>
      </c>
      <c r="AW11" s="103">
        <f t="shared" si="19"/>
        <v>0</v>
      </c>
      <c r="AX11" s="103">
        <f t="shared" si="19"/>
        <v>0</v>
      </c>
      <c r="AZ11" s="43" t="str">
        <f>+INDEX('Portfolio Listing'!$AO$7:$AO$28,MATCH('Portfolio Summary'!$C11,'Portfolio Listing'!$C$7:$C$28,0))</f>
        <v>C Ventures Fund II, L.P.</v>
      </c>
    </row>
    <row r="12" spans="1:52" ht="13.35" customHeight="1">
      <c r="B12" s="32">
        <f t="shared" si="9"/>
        <v>7</v>
      </c>
      <c r="C12" s="49" t="s">
        <v>6</v>
      </c>
      <c r="D12" s="102">
        <f t="shared" si="6"/>
        <v>8.6500310259832291E-2</v>
      </c>
      <c r="E12" s="65">
        <f t="shared" si="13"/>
        <v>1.4123037001249228</v>
      </c>
      <c r="F12" s="102">
        <f>+INDEX('Portfolio Listing'!$U$7:$U$28,MATCH(C12,'Portfolio Listing'!$C$7:$C$28,0))</f>
        <v>6.1443415284156797E-2</v>
      </c>
      <c r="G12" s="65">
        <f>'Portfolio Listing'!T13</f>
        <v>1.1701393301046936</v>
      </c>
      <c r="H12" s="89" t="str">
        <f>VLOOKUP($C12,'Portfolio Listing'!$C$7:$AF$28,2,FALSE)</f>
        <v>China</v>
      </c>
      <c r="I12" s="89" t="str">
        <f>VLOOKUP($C12,'Portfolio Listing'!$C$7:$AF$28,3,FALSE)</f>
        <v>Diversified</v>
      </c>
      <c r="J12" s="89" t="str">
        <f>VLOOKUP($C12,'Portfolio Listing'!$C$7:$AF$28,4,FALSE)</f>
        <v>PE - Buyout</v>
      </c>
      <c r="K12" s="441" t="s">
        <v>90</v>
      </c>
      <c r="L12" s="391">
        <f>'Portfolio Listing'!H13</f>
        <v>43445</v>
      </c>
      <c r="M12" s="89">
        <f>VLOOKUP(C12,'Portfolio Listing'!$C$7:$AF$28,7,FALSE)</f>
        <v>50000000</v>
      </c>
      <c r="N12" s="89">
        <f>VLOOKUP(C12,'Portfolio Listing'!$C$7:$AF$28,8,FALSE)</f>
        <v>59725670.330000013</v>
      </c>
      <c r="O12" s="89">
        <f t="shared" si="10"/>
        <v>0</v>
      </c>
      <c r="P12" s="612"/>
      <c r="Q12" s="89">
        <f>VLOOKUP(C12,'Portfolio Listing'!$C$7:$AF$28,11,FALSE)</f>
        <v>28599370.870000001</v>
      </c>
      <c r="R12" s="89">
        <f>VLOOKUP(C12,'Portfolio Listing'!$C$7:$AF$28,12,FALSE)</f>
        <v>0</v>
      </c>
      <c r="S12" s="384">
        <f>VLOOKUP(C12,'Portfolio Listing'!$C$7:$AF$28,14,FALSE)</f>
        <v>41287985</v>
      </c>
      <c r="T12" s="383">
        <f t="shared" si="3"/>
        <v>26274329.670000002</v>
      </c>
      <c r="U12" s="103">
        <f t="shared" ref="U12:AN12" si="20">U48+U72</f>
        <v>0</v>
      </c>
      <c r="V12" s="103">
        <f t="shared" si="20"/>
        <v>0</v>
      </c>
      <c r="W12" s="103">
        <f t="shared" si="20"/>
        <v>0</v>
      </c>
      <c r="X12" s="103">
        <f t="shared" si="20"/>
        <v>0</v>
      </c>
      <c r="Y12" s="103">
        <f t="shared" si="20"/>
        <v>0</v>
      </c>
      <c r="Z12" s="103">
        <f t="shared" si="20"/>
        <v>0</v>
      </c>
      <c r="AA12" s="103">
        <f t="shared" si="20"/>
        <v>0</v>
      </c>
      <c r="AB12" s="103">
        <f t="shared" si="20"/>
        <v>0</v>
      </c>
      <c r="AC12" s="103">
        <f t="shared" si="20"/>
        <v>-10721744.389999999</v>
      </c>
      <c r="AD12" s="103">
        <f t="shared" si="20"/>
        <v>-2220919.1</v>
      </c>
      <c r="AE12" s="103">
        <f t="shared" si="20"/>
        <v>-18920440.839999996</v>
      </c>
      <c r="AF12" s="385">
        <f t="shared" si="20"/>
        <v>-3914535.060000001</v>
      </c>
      <c r="AG12" s="385">
        <f t="shared" si="20"/>
        <v>2261702.5399999954</v>
      </c>
      <c r="AH12" s="103">
        <f t="shared" si="20"/>
        <v>2268663.3800000004</v>
      </c>
      <c r="AI12" s="103">
        <f t="shared" si="20"/>
        <v>1654979.9500000011</v>
      </c>
      <c r="AJ12" s="103">
        <f t="shared" si="20"/>
        <v>13966655.797499999</v>
      </c>
      <c r="AK12" s="103">
        <f t="shared" si="20"/>
        <v>13966655.797499999</v>
      </c>
      <c r="AL12" s="103">
        <f t="shared" si="20"/>
        <v>13966655.797499999</v>
      </c>
      <c r="AM12" s="103">
        <f t="shared" si="20"/>
        <v>13966655.797499999</v>
      </c>
      <c r="AN12" s="103">
        <f t="shared" si="20"/>
        <v>0</v>
      </c>
      <c r="AO12" s="103">
        <f t="shared" ref="AO12:AX12" si="21">AO48+AO72</f>
        <v>0</v>
      </c>
      <c r="AP12" s="103">
        <f t="shared" si="21"/>
        <v>0</v>
      </c>
      <c r="AQ12" s="103">
        <f t="shared" si="21"/>
        <v>0</v>
      </c>
      <c r="AR12" s="103">
        <f t="shared" si="21"/>
        <v>0</v>
      </c>
      <c r="AS12" s="103">
        <f t="shared" si="21"/>
        <v>0</v>
      </c>
      <c r="AT12" s="103">
        <f t="shared" si="21"/>
        <v>0</v>
      </c>
      <c r="AU12" s="103">
        <f t="shared" si="21"/>
        <v>0</v>
      </c>
      <c r="AV12" s="103">
        <f t="shared" si="21"/>
        <v>0</v>
      </c>
      <c r="AW12" s="103">
        <f t="shared" si="21"/>
        <v>0</v>
      </c>
      <c r="AX12" s="103">
        <f t="shared" si="21"/>
        <v>0</v>
      </c>
      <c r="AZ12" s="43" t="str">
        <f>+INDEX('Portfolio Listing'!$AO$7:$AO$28,MATCH('Portfolio Summary'!$C12,'Portfolio Listing'!$C$7:$C$28,0))</f>
        <v>DCP Capital Partners, L.P.</v>
      </c>
    </row>
    <row r="13" spans="1:52" ht="13.35" customHeight="1">
      <c r="B13" s="32">
        <f t="shared" si="9"/>
        <v>8</v>
      </c>
      <c r="C13" s="49" t="s">
        <v>18</v>
      </c>
      <c r="D13" s="102">
        <f t="shared" si="6"/>
        <v>-0.92820831186076569</v>
      </c>
      <c r="E13" s="65">
        <f>T73/-T49</f>
        <v>0.65096886888888894</v>
      </c>
      <c r="F13" s="102">
        <f>+INDEX('Portfolio Listing'!$U$7:$U$28,MATCH(C13,'Portfolio Listing'!$C$7:$C$28,0))</f>
        <v>-0.3842949174344541</v>
      </c>
      <c r="G13" s="65">
        <f>'Portfolio Listing'!T14</f>
        <v>0.68380602888888886</v>
      </c>
      <c r="H13" s="89" t="str">
        <f>VLOOKUP($C13,'Portfolio Listing'!$C$7:$AF$28,2,FALSE)</f>
        <v>US</v>
      </c>
      <c r="I13" s="89" t="str">
        <f>VLOOKUP($C13,'Portfolio Listing'!$C$7:$AF$28,3,FALSE)</f>
        <v>Technology</v>
      </c>
      <c r="J13" s="89" t="str">
        <f>VLOOKUP($C13,'Portfolio Listing'!$C$7:$AF$28,4,FALSE)</f>
        <v>PE - VC / Growth</v>
      </c>
      <c r="K13" s="437" t="s">
        <v>103</v>
      </c>
      <c r="L13" s="391">
        <f>'Portfolio Listing'!H14</f>
        <v>43466</v>
      </c>
      <c r="M13" s="89">
        <f>VLOOKUP(C13,'Portfolio Listing'!$C$7:$AF$28,7,FALSE)</f>
        <v>6000000</v>
      </c>
      <c r="N13" s="89">
        <f>VLOOKUP(C13,'Portfolio Listing'!$C$7:$AF$28,8,FALSE)</f>
        <v>4500000</v>
      </c>
      <c r="O13" s="383">
        <f t="shared" si="10"/>
        <v>-1500000</v>
      </c>
      <c r="P13" s="612"/>
      <c r="Q13" s="89">
        <f>VLOOKUP(C13,'Portfolio Listing'!$C$7:$AF$28,11,FALSE)</f>
        <v>3034269.1300000004</v>
      </c>
      <c r="R13" s="89">
        <f>VLOOKUP(C13,'Portfolio Listing'!$C$7:$AF$28,12,FALSE)</f>
        <v>0</v>
      </c>
      <c r="S13" s="384">
        <f>VLOOKUP(C13,'Portfolio Listing'!$C$7:$AF$28,14,FALSE)</f>
        <v>42858</v>
      </c>
      <c r="T13" s="383">
        <f t="shared" si="3"/>
        <v>-1570640.0899999999</v>
      </c>
      <c r="U13" s="103">
        <f t="shared" ref="U13:AN13" si="22">U49+U73</f>
        <v>0</v>
      </c>
      <c r="V13" s="103">
        <f t="shared" si="22"/>
        <v>0</v>
      </c>
      <c r="W13" s="103">
        <f t="shared" si="22"/>
        <v>0</v>
      </c>
      <c r="X13" s="103">
        <f t="shared" si="22"/>
        <v>0</v>
      </c>
      <c r="Y13" s="103">
        <f t="shared" si="22"/>
        <v>0</v>
      </c>
      <c r="Z13" s="103">
        <f t="shared" si="22"/>
        <v>0</v>
      </c>
      <c r="AA13" s="103">
        <f t="shared" si="22"/>
        <v>0</v>
      </c>
      <c r="AB13" s="103">
        <f t="shared" si="22"/>
        <v>0</v>
      </c>
      <c r="AC13" s="103">
        <f t="shared" si="22"/>
        <v>-1692120.2599999998</v>
      </c>
      <c r="AD13" s="103">
        <f t="shared" si="22"/>
        <v>121480.17</v>
      </c>
      <c r="AE13" s="103">
        <f t="shared" si="22"/>
        <v>0</v>
      </c>
      <c r="AF13" s="385">
        <f t="shared" si="22"/>
        <v>0</v>
      </c>
      <c r="AG13" s="385">
        <f t="shared" si="22"/>
        <v>0</v>
      </c>
      <c r="AH13" s="103">
        <f t="shared" si="22"/>
        <v>0</v>
      </c>
      <c r="AI13" s="103">
        <f t="shared" si="22"/>
        <v>0</v>
      </c>
      <c r="AJ13" s="103">
        <f t="shared" si="22"/>
        <v>0</v>
      </c>
      <c r="AK13" s="103">
        <f t="shared" si="22"/>
        <v>0</v>
      </c>
      <c r="AL13" s="103">
        <f t="shared" si="22"/>
        <v>0</v>
      </c>
      <c r="AM13" s="103">
        <f t="shared" si="22"/>
        <v>0</v>
      </c>
      <c r="AN13" s="103">
        <f t="shared" si="22"/>
        <v>0</v>
      </c>
      <c r="AO13" s="103">
        <f t="shared" ref="AO13:AX13" si="23">AO49+AO73</f>
        <v>0</v>
      </c>
      <c r="AP13" s="103">
        <f t="shared" si="23"/>
        <v>0</v>
      </c>
      <c r="AQ13" s="103">
        <f t="shared" si="23"/>
        <v>0</v>
      </c>
      <c r="AR13" s="103">
        <f t="shared" si="23"/>
        <v>0</v>
      </c>
      <c r="AS13" s="103">
        <f t="shared" si="23"/>
        <v>0</v>
      </c>
      <c r="AT13" s="103">
        <f t="shared" si="23"/>
        <v>0</v>
      </c>
      <c r="AU13" s="103">
        <f t="shared" si="23"/>
        <v>0</v>
      </c>
      <c r="AV13" s="103">
        <f t="shared" si="23"/>
        <v>0</v>
      </c>
      <c r="AW13" s="103">
        <f t="shared" si="23"/>
        <v>0</v>
      </c>
      <c r="AX13" s="103">
        <f t="shared" si="23"/>
        <v>0</v>
      </c>
      <c r="AZ13" s="43" t="str">
        <f>+INDEX('Portfolio Listing'!$AO$7:$AO$28,MATCH('Portfolio Summary'!$C13,'Portfolio Listing'!$C$7:$C$28,0))</f>
        <v>E15 Fund 1.5, LP</v>
      </c>
    </row>
    <row r="14" spans="1:52" ht="13.35" customHeight="1">
      <c r="B14" s="32">
        <f t="shared" si="9"/>
        <v>9</v>
      </c>
      <c r="C14" s="49" t="s">
        <v>7</v>
      </c>
      <c r="D14" s="102">
        <f t="shared" si="6"/>
        <v>8.6823560188624027E-2</v>
      </c>
      <c r="E14" s="65">
        <f t="shared" si="13"/>
        <v>1.8</v>
      </c>
      <c r="F14" s="102">
        <f>+INDEX('Portfolio Listing'!$U$7:$U$28,MATCH(C14,'Portfolio Listing'!$C$7:$C$28,0))</f>
        <v>7.2061195969581618E-2</v>
      </c>
      <c r="G14" s="65">
        <f>'Portfolio Listing'!T15</f>
        <v>1.4908095703333335</v>
      </c>
      <c r="H14" s="89" t="str">
        <f>VLOOKUP($C14,'Portfolio Listing'!$C$7:$AF$28,2,FALSE)</f>
        <v>China</v>
      </c>
      <c r="I14" s="89" t="str">
        <f>VLOOKUP($C14,'Portfolio Listing'!$C$7:$AF$28,3,FALSE)</f>
        <v>Diversified</v>
      </c>
      <c r="J14" s="89" t="str">
        <f>VLOOKUP($C14,'Portfolio Listing'!$C$7:$AF$28,4,FALSE)</f>
        <v>PE - VC / Growth</v>
      </c>
      <c r="K14" s="441" t="s">
        <v>90</v>
      </c>
      <c r="L14" s="391">
        <f>'Portfolio Listing'!H15</f>
        <v>43632</v>
      </c>
      <c r="M14" s="89">
        <f>VLOOKUP(C14,'Portfolio Listing'!$C$7:$AF$28,7,FALSE)</f>
        <v>30000000</v>
      </c>
      <c r="N14" s="89">
        <f>VLOOKUP(C14,'Portfolio Listing'!$C$7:$AF$28,8,FALSE)</f>
        <v>30000000</v>
      </c>
      <c r="O14" s="89">
        <f t="shared" si="10"/>
        <v>0</v>
      </c>
      <c r="P14" s="612"/>
      <c r="Q14" s="89">
        <f>VLOOKUP(C14,'Portfolio Listing'!$C$7:$AF$28,11,FALSE)</f>
        <v>5327911.5199999996</v>
      </c>
      <c r="R14" s="89">
        <f>VLOOKUP(C14,'Portfolio Listing'!$C$7:$AF$28,12,FALSE)</f>
        <v>0</v>
      </c>
      <c r="S14" s="384">
        <f>VLOOKUP(C14,'Portfolio Listing'!$C$7:$AF$28,14,FALSE)</f>
        <v>39396375.590000004</v>
      </c>
      <c r="T14" s="383">
        <f t="shared" si="3"/>
        <v>24000000.000000007</v>
      </c>
      <c r="U14" s="103">
        <f t="shared" ref="U14:AN14" si="24">U50+U74</f>
        <v>0</v>
      </c>
      <c r="V14" s="103">
        <f t="shared" si="24"/>
        <v>0</v>
      </c>
      <c r="W14" s="103">
        <f t="shared" si="24"/>
        <v>0</v>
      </c>
      <c r="X14" s="103">
        <f t="shared" si="24"/>
        <v>0</v>
      </c>
      <c r="Y14" s="103">
        <f t="shared" si="24"/>
        <v>0</v>
      </c>
      <c r="Z14" s="103">
        <f t="shared" si="24"/>
        <v>0</v>
      </c>
      <c r="AA14" s="103">
        <f t="shared" si="24"/>
        <v>0</v>
      </c>
      <c r="AB14" s="103">
        <f t="shared" si="24"/>
        <v>-18000000</v>
      </c>
      <c r="AC14" s="103">
        <f t="shared" si="24"/>
        <v>0</v>
      </c>
      <c r="AD14" s="103">
        <f t="shared" si="24"/>
        <v>-12000000</v>
      </c>
      <c r="AE14" s="103">
        <f t="shared" si="24"/>
        <v>2920577.9099999997</v>
      </c>
      <c r="AF14" s="385">
        <f t="shared" si="24"/>
        <v>0</v>
      </c>
      <c r="AG14" s="385">
        <f t="shared" si="24"/>
        <v>852079.94</v>
      </c>
      <c r="AH14" s="103">
        <f t="shared" si="24"/>
        <v>1555253.67</v>
      </c>
      <c r="AI14" s="103">
        <f>AI50+AI74</f>
        <v>15600000</v>
      </c>
      <c r="AJ14" s="103">
        <f t="shared" si="24"/>
        <v>11024029.493333334</v>
      </c>
      <c r="AK14" s="103">
        <f t="shared" si="24"/>
        <v>11024029.493333334</v>
      </c>
      <c r="AL14" s="103">
        <f t="shared" si="24"/>
        <v>11024029.493333334</v>
      </c>
      <c r="AM14" s="103">
        <f t="shared" si="24"/>
        <v>0</v>
      </c>
      <c r="AN14" s="103">
        <f t="shared" si="24"/>
        <v>0</v>
      </c>
      <c r="AO14" s="103">
        <f t="shared" ref="AO14:AX14" si="25">AO50+AO74</f>
        <v>0</v>
      </c>
      <c r="AP14" s="103">
        <f t="shared" si="25"/>
        <v>0</v>
      </c>
      <c r="AQ14" s="103">
        <f t="shared" si="25"/>
        <v>0</v>
      </c>
      <c r="AR14" s="103">
        <f t="shared" si="25"/>
        <v>0</v>
      </c>
      <c r="AS14" s="103">
        <f t="shared" si="25"/>
        <v>0</v>
      </c>
      <c r="AT14" s="103">
        <f t="shared" si="25"/>
        <v>0</v>
      </c>
      <c r="AU14" s="103">
        <f t="shared" si="25"/>
        <v>0</v>
      </c>
      <c r="AV14" s="103">
        <f t="shared" si="25"/>
        <v>0</v>
      </c>
      <c r="AW14" s="103">
        <f t="shared" si="25"/>
        <v>0</v>
      </c>
      <c r="AX14" s="103">
        <f t="shared" si="25"/>
        <v>0</v>
      </c>
      <c r="AZ14" s="43" t="str">
        <f>+INDEX('Portfolio Listing'!$AO$7:$AO$28,MATCH('Portfolio Summary'!$C14,'Portfolio Listing'!$C$7:$C$28,0))</f>
        <v>Skycus China Fund, L.P.</v>
      </c>
    </row>
    <row r="15" spans="1:52" ht="13.35" customHeight="1">
      <c r="B15" s="32">
        <f t="shared" si="9"/>
        <v>10</v>
      </c>
      <c r="C15" s="43" t="s">
        <v>8</v>
      </c>
      <c r="D15" s="102">
        <f t="shared" si="6"/>
        <v>0.17868193667551835</v>
      </c>
      <c r="E15" s="65">
        <f t="shared" si="13"/>
        <v>2.8</v>
      </c>
      <c r="F15" s="102">
        <f>+INDEX('Portfolio Listing'!$U$7:$U$28,MATCH(C15,'Portfolio Listing'!$C$7:$C$28,0))</f>
        <v>8.0131024122238152E-3</v>
      </c>
      <c r="G15" s="65">
        <f>'Portfolio Listing'!T16</f>
        <v>1.027511111111111</v>
      </c>
      <c r="H15" s="89" t="str">
        <f>VLOOKUP($C15,'Portfolio Listing'!$C$7:$AF$28,2,FALSE)</f>
        <v>China</v>
      </c>
      <c r="I15" s="89" t="str">
        <f>VLOOKUP($C15,'Portfolio Listing'!$C$7:$AF$28,3,FALSE)</f>
        <v>Diversified</v>
      </c>
      <c r="J15" s="89" t="str">
        <f>VLOOKUP($C15,'Portfolio Listing'!$C$7:$AF$28,4,FALSE)</f>
        <v>PE - VC / Growth</v>
      </c>
      <c r="K15" s="441" t="s">
        <v>90</v>
      </c>
      <c r="L15" s="391">
        <f>'Portfolio Listing'!H16</f>
        <v>44075</v>
      </c>
      <c r="M15" s="89">
        <f>VLOOKUP(C15,'Portfolio Listing'!$C$7:$AF$28,7,FALSE)</f>
        <v>4500000</v>
      </c>
      <c r="N15" s="89">
        <f>VLOOKUP(C15,'Portfolio Listing'!$C$7:$AF$28,8,FALSE)</f>
        <v>4500000</v>
      </c>
      <c r="O15" s="89">
        <f t="shared" si="10"/>
        <v>0</v>
      </c>
      <c r="P15" s="612"/>
      <c r="Q15" s="89">
        <f>VLOOKUP(C15,'Portfolio Listing'!$C$7:$AF$28,11,FALSE)</f>
        <v>0</v>
      </c>
      <c r="R15" s="89">
        <f>VLOOKUP(C15,'Portfolio Listing'!$C$7:$AF$28,12,FALSE)</f>
        <v>0</v>
      </c>
      <c r="S15" s="384">
        <f>VLOOKUP(C15,'Portfolio Listing'!$C$7:$AF$28,14,FALSE)</f>
        <v>4623800</v>
      </c>
      <c r="T15" s="383">
        <f t="shared" si="3"/>
        <v>8100000</v>
      </c>
      <c r="U15" s="103">
        <f t="shared" ref="U15:AN15" si="26">U51+U75</f>
        <v>0</v>
      </c>
      <c r="V15" s="103">
        <f t="shared" si="26"/>
        <v>0</v>
      </c>
      <c r="W15" s="103">
        <f t="shared" si="26"/>
        <v>0</v>
      </c>
      <c r="X15" s="103">
        <f t="shared" si="26"/>
        <v>0</v>
      </c>
      <c r="Y15" s="103">
        <f t="shared" si="26"/>
        <v>0</v>
      </c>
      <c r="Z15" s="103">
        <f t="shared" si="26"/>
        <v>0</v>
      </c>
      <c r="AA15" s="103">
        <f t="shared" si="26"/>
        <v>0</v>
      </c>
      <c r="AB15" s="103">
        <f t="shared" si="26"/>
        <v>0</v>
      </c>
      <c r="AC15" s="103">
        <f t="shared" si="26"/>
        <v>0</v>
      </c>
      <c r="AD15" s="103">
        <f t="shared" si="26"/>
        <v>-900000</v>
      </c>
      <c r="AE15" s="103">
        <f t="shared" si="26"/>
        <v>-2925000</v>
      </c>
      <c r="AF15" s="385">
        <f t="shared" si="26"/>
        <v>-450000</v>
      </c>
      <c r="AG15" s="103">
        <f t="shared" si="26"/>
        <v>-225000</v>
      </c>
      <c r="AH15" s="103">
        <f t="shared" si="26"/>
        <v>0</v>
      </c>
      <c r="AI15" s="103">
        <f t="shared" si="26"/>
        <v>2250000</v>
      </c>
      <c r="AJ15" s="103">
        <f t="shared" si="26"/>
        <v>2070000</v>
      </c>
      <c r="AK15" s="103">
        <f t="shared" si="26"/>
        <v>2070000</v>
      </c>
      <c r="AL15" s="103">
        <f t="shared" si="26"/>
        <v>2070000</v>
      </c>
      <c r="AM15" s="103">
        <f t="shared" si="26"/>
        <v>2070000</v>
      </c>
      <c r="AN15" s="103">
        <f t="shared" si="26"/>
        <v>2070000</v>
      </c>
      <c r="AO15" s="103">
        <f t="shared" ref="AO15:AX15" si="27">AO51+AO75</f>
        <v>0</v>
      </c>
      <c r="AP15" s="103">
        <f t="shared" si="27"/>
        <v>0</v>
      </c>
      <c r="AQ15" s="103">
        <f t="shared" si="27"/>
        <v>0</v>
      </c>
      <c r="AR15" s="103">
        <f t="shared" si="27"/>
        <v>0</v>
      </c>
      <c r="AS15" s="103">
        <f t="shared" si="27"/>
        <v>0</v>
      </c>
      <c r="AT15" s="103">
        <f t="shared" si="27"/>
        <v>0</v>
      </c>
      <c r="AU15" s="103">
        <f t="shared" si="27"/>
        <v>0</v>
      </c>
      <c r="AV15" s="103">
        <f t="shared" si="27"/>
        <v>0</v>
      </c>
      <c r="AW15" s="103">
        <f t="shared" si="27"/>
        <v>0</v>
      </c>
      <c r="AX15" s="103">
        <f t="shared" si="27"/>
        <v>0</v>
      </c>
      <c r="AZ15" s="43" t="str">
        <f>+INDEX('Portfolio Listing'!$AO$7:$AO$28,MATCH('Portfolio Summary'!$C15,'Portfolio Listing'!$C$7:$C$28,0))</f>
        <v>HongShan Capital Venture Partners Fund VIII, L.P.</v>
      </c>
    </row>
    <row r="16" spans="1:52" ht="13.35" customHeight="1">
      <c r="B16" s="32">
        <f t="shared" si="9"/>
        <v>11</v>
      </c>
      <c r="C16" s="49" t="s">
        <v>9</v>
      </c>
      <c r="D16" s="102">
        <f t="shared" si="6"/>
        <v>0.11862699051925318</v>
      </c>
      <c r="E16" s="65">
        <f t="shared" si="13"/>
        <v>1.9945177520016844</v>
      </c>
      <c r="F16" s="102">
        <f>+INDEX('Portfolio Listing'!$U$7:$U$28,MATCH(C16,'Portfolio Listing'!$C$7:$C$28,0))</f>
        <v>4.0418961644172677E-2</v>
      </c>
      <c r="G16" s="65">
        <f>'Portfolio Listing'!T17</f>
        <v>1.151805015873016</v>
      </c>
      <c r="H16" s="89" t="str">
        <f>VLOOKUP($C16,'Portfolio Listing'!$C$7:$AF$28,2,FALSE)</f>
        <v>China</v>
      </c>
      <c r="I16" s="89" t="str">
        <f>VLOOKUP($C16,'Portfolio Listing'!$C$7:$AF$28,3,FALSE)</f>
        <v>Diversified</v>
      </c>
      <c r="J16" s="89" t="str">
        <f>VLOOKUP($C16,'Portfolio Listing'!$C$7:$AF$28,4,FALSE)</f>
        <v>PE - VC / Growth</v>
      </c>
      <c r="K16" s="441" t="s">
        <v>90</v>
      </c>
      <c r="L16" s="391">
        <f>'Portfolio Listing'!H17</f>
        <v>44075</v>
      </c>
      <c r="M16" s="89">
        <f>VLOOKUP(C16,'Portfolio Listing'!$C$7:$AF$28,7,FALSE)</f>
        <v>15750000</v>
      </c>
      <c r="N16" s="89">
        <f>VLOOKUP(C16,'Portfolio Listing'!$C$7:$AF$28,8,FALSE)</f>
        <v>15750000</v>
      </c>
      <c r="O16" s="89">
        <f t="shared" si="10"/>
        <v>0</v>
      </c>
      <c r="P16" s="612"/>
      <c r="Q16" s="89">
        <f>VLOOKUP(C16,'Portfolio Listing'!$C$7:$AF$28,11,FALSE)</f>
        <v>121791</v>
      </c>
      <c r="R16" s="89">
        <f>VLOOKUP(C16,'Portfolio Listing'!$C$7:$AF$28,12,FALSE)</f>
        <v>0</v>
      </c>
      <c r="S16" s="384">
        <f>VLOOKUP(C16,'Portfolio Listing'!$C$7:$AF$28,14,FALSE)</f>
        <v>18019138</v>
      </c>
      <c r="T16" s="383">
        <f t="shared" si="3"/>
        <v>15706708.629999999</v>
      </c>
      <c r="U16" s="103">
        <f t="shared" ref="U16:AN16" si="28">U52+U76</f>
        <v>0</v>
      </c>
      <c r="V16" s="103">
        <f t="shared" si="28"/>
        <v>0</v>
      </c>
      <c r="W16" s="103">
        <f t="shared" si="28"/>
        <v>0</v>
      </c>
      <c r="X16" s="103">
        <f t="shared" si="28"/>
        <v>0</v>
      </c>
      <c r="Y16" s="103">
        <f t="shared" si="28"/>
        <v>0</v>
      </c>
      <c r="Z16" s="103">
        <f t="shared" si="28"/>
        <v>0</v>
      </c>
      <c r="AA16" s="103">
        <f t="shared" si="28"/>
        <v>0</v>
      </c>
      <c r="AB16" s="103">
        <f t="shared" si="28"/>
        <v>0</v>
      </c>
      <c r="AC16" s="103">
        <f t="shared" si="28"/>
        <v>0</v>
      </c>
      <c r="AD16" s="103">
        <f t="shared" si="28"/>
        <v>-3150000</v>
      </c>
      <c r="AE16" s="103">
        <f t="shared" si="28"/>
        <v>-8914618</v>
      </c>
      <c r="AF16" s="385">
        <f t="shared" si="28"/>
        <v>-2032516.37</v>
      </c>
      <c r="AG16" s="103">
        <f t="shared" si="28"/>
        <v>-1574366</v>
      </c>
      <c r="AH16" s="103">
        <f t="shared" si="28"/>
        <v>0</v>
      </c>
      <c r="AI16" s="103">
        <f t="shared" si="28"/>
        <v>5755000</v>
      </c>
      <c r="AJ16" s="103">
        <f t="shared" si="28"/>
        <v>5124641.8</v>
      </c>
      <c r="AK16" s="103">
        <f t="shared" si="28"/>
        <v>5124641.8</v>
      </c>
      <c r="AL16" s="103">
        <f t="shared" si="28"/>
        <v>5124641.8</v>
      </c>
      <c r="AM16" s="103">
        <f t="shared" si="28"/>
        <v>5124641.8</v>
      </c>
      <c r="AN16" s="103">
        <f t="shared" si="28"/>
        <v>5124641.8</v>
      </c>
      <c r="AO16" s="103">
        <f t="shared" ref="AO16:AX16" si="29">AO52+AO76</f>
        <v>0</v>
      </c>
      <c r="AP16" s="103">
        <f t="shared" si="29"/>
        <v>0</v>
      </c>
      <c r="AQ16" s="103">
        <f t="shared" si="29"/>
        <v>0</v>
      </c>
      <c r="AR16" s="103">
        <f t="shared" si="29"/>
        <v>0</v>
      </c>
      <c r="AS16" s="103">
        <f t="shared" si="29"/>
        <v>0</v>
      </c>
      <c r="AT16" s="103">
        <f t="shared" si="29"/>
        <v>0</v>
      </c>
      <c r="AU16" s="103">
        <f t="shared" si="29"/>
        <v>0</v>
      </c>
      <c r="AV16" s="103">
        <f t="shared" si="29"/>
        <v>0</v>
      </c>
      <c r="AW16" s="103">
        <f t="shared" si="29"/>
        <v>0</v>
      </c>
      <c r="AX16" s="103">
        <f t="shared" si="29"/>
        <v>0</v>
      </c>
      <c r="AZ16" s="43" t="str">
        <f>+INDEX('Portfolio Listing'!$AO$7:$AO$28,MATCH('Portfolio Summary'!$C16,'Portfolio Listing'!$C$7:$C$28,0))</f>
        <v>HongShan Capital Growth Partners Fund VI, L.P.</v>
      </c>
    </row>
    <row r="17" spans="1:52" ht="13.35" customHeight="1">
      <c r="B17" s="32">
        <f t="shared" si="9"/>
        <v>12</v>
      </c>
      <c r="C17" s="49" t="s">
        <v>21</v>
      </c>
      <c r="D17" s="102">
        <f t="shared" si="6"/>
        <v>0.16302717924302956</v>
      </c>
      <c r="E17" s="65">
        <f t="shared" si="13"/>
        <v>2</v>
      </c>
      <c r="F17" s="102">
        <f>+INDEX('Portfolio Listing'!$U$7:$U$28,MATCH(C17,'Portfolio Listing'!$C$7:$C$28,0))</f>
        <v>8.5717692971229553E-2</v>
      </c>
      <c r="G17" s="65">
        <f>'Portfolio Listing'!T18</f>
        <v>1.1962341993957704</v>
      </c>
      <c r="H17" s="89" t="str">
        <f>VLOOKUP($C17,'Portfolio Listing'!$C$7:$AF$28,2,FALSE)</f>
        <v xml:space="preserve">Global </v>
      </c>
      <c r="I17" s="89" t="str">
        <f>VLOOKUP($C17,'Portfolio Listing'!$C$7:$AF$28,3,FALSE)</f>
        <v>Diversified</v>
      </c>
      <c r="J17" s="89" t="str">
        <f>VLOOKUP($C17,'Portfolio Listing'!$C$7:$AF$28,4,FALSE)</f>
        <v>PE - Buyout</v>
      </c>
      <c r="K17" s="441" t="s">
        <v>90</v>
      </c>
      <c r="L17" s="391">
        <f>'Portfolio Listing'!H18</f>
        <v>44136</v>
      </c>
      <c r="M17" s="89">
        <f>VLOOKUP(C17,'Portfolio Listing'!$C$7:$AF$28,7,FALSE)</f>
        <v>50000000</v>
      </c>
      <c r="N17" s="89">
        <f>VLOOKUP(C17,'Portfolio Listing'!$C$7:$AF$28,8,FALSE)</f>
        <v>33100000</v>
      </c>
      <c r="O17" s="383">
        <f t="shared" si="10"/>
        <v>-16900000</v>
      </c>
      <c r="P17" s="612"/>
      <c r="Q17" s="89">
        <f>VLOOKUP(C17,'Portfolio Listing'!$C$7:$AF$28,11,FALSE)</f>
        <v>650000</v>
      </c>
      <c r="R17" s="89">
        <f>VLOOKUP(C17,'Portfolio Listing'!$C$7:$AF$28,12,FALSE)</f>
        <v>0</v>
      </c>
      <c r="S17" s="384">
        <f>VLOOKUP(C17,'Portfolio Listing'!$C$7:$AF$28,14,FALSE)</f>
        <v>38945352</v>
      </c>
      <c r="T17" s="383">
        <f t="shared" si="3"/>
        <v>50000000</v>
      </c>
      <c r="U17" s="103">
        <f t="shared" ref="U17:AN17" si="30">U53+U77</f>
        <v>0</v>
      </c>
      <c r="V17" s="103">
        <f t="shared" si="30"/>
        <v>0</v>
      </c>
      <c r="W17" s="103">
        <f t="shared" si="30"/>
        <v>0</v>
      </c>
      <c r="X17" s="103">
        <f t="shared" si="30"/>
        <v>0</v>
      </c>
      <c r="Y17" s="103">
        <f t="shared" si="30"/>
        <v>0</v>
      </c>
      <c r="Z17" s="103">
        <f t="shared" si="30"/>
        <v>0</v>
      </c>
      <c r="AA17" s="103">
        <f t="shared" si="30"/>
        <v>0</v>
      </c>
      <c r="AB17" s="103">
        <f t="shared" si="30"/>
        <v>0</v>
      </c>
      <c r="AC17" s="103">
        <f t="shared" si="30"/>
        <v>0</v>
      </c>
      <c r="AD17" s="103">
        <f t="shared" si="30"/>
        <v>-1500000</v>
      </c>
      <c r="AE17" s="103">
        <f t="shared" si="30"/>
        <v>-10375000</v>
      </c>
      <c r="AF17" s="385">
        <f t="shared" si="30"/>
        <v>-6675000</v>
      </c>
      <c r="AG17" s="103">
        <f t="shared" si="30"/>
        <v>-8950000</v>
      </c>
      <c r="AH17" s="103">
        <f t="shared" si="30"/>
        <v>-4950000</v>
      </c>
      <c r="AI17" s="103">
        <f t="shared" si="30"/>
        <v>-2758657</v>
      </c>
      <c r="AJ17" s="103">
        <f t="shared" si="30"/>
        <v>12799328.5</v>
      </c>
      <c r="AK17" s="103">
        <f t="shared" si="30"/>
        <v>12799328.5</v>
      </c>
      <c r="AL17" s="103">
        <f t="shared" si="30"/>
        <v>19870000</v>
      </c>
      <c r="AM17" s="103">
        <f t="shared" si="30"/>
        <v>19870000</v>
      </c>
      <c r="AN17" s="103">
        <f t="shared" si="30"/>
        <v>19870000</v>
      </c>
      <c r="AO17" s="103">
        <f t="shared" ref="AO17:AX17" si="31">AO53+AO77</f>
        <v>0</v>
      </c>
      <c r="AP17" s="103">
        <f t="shared" si="31"/>
        <v>0</v>
      </c>
      <c r="AQ17" s="103">
        <f t="shared" si="31"/>
        <v>0</v>
      </c>
      <c r="AR17" s="103">
        <f t="shared" si="31"/>
        <v>0</v>
      </c>
      <c r="AS17" s="103">
        <f t="shared" si="31"/>
        <v>0</v>
      </c>
      <c r="AT17" s="103">
        <f t="shared" si="31"/>
        <v>0</v>
      </c>
      <c r="AU17" s="103">
        <f t="shared" si="31"/>
        <v>0</v>
      </c>
      <c r="AV17" s="103">
        <f t="shared" si="31"/>
        <v>0</v>
      </c>
      <c r="AW17" s="103">
        <f t="shared" si="31"/>
        <v>0</v>
      </c>
      <c r="AX17" s="103">
        <f t="shared" si="31"/>
        <v>0</v>
      </c>
      <c r="AZ17" s="43" t="str">
        <f>+INDEX('Portfolio Listing'!$AO$7:$AO$28,MATCH('Portfolio Summary'!$C17,'Portfolio Listing'!$C$7:$C$28,0))</f>
        <v>West Street Capital Partners VIII</v>
      </c>
    </row>
    <row r="18" spans="1:52" ht="13.35" customHeight="1">
      <c r="B18" s="32">
        <f t="shared" si="9"/>
        <v>13</v>
      </c>
      <c r="C18" s="49" t="s">
        <v>10</v>
      </c>
      <c r="D18" s="102">
        <f t="shared" si="6"/>
        <v>0.16096520617688892</v>
      </c>
      <c r="E18" s="65">
        <f t="shared" si="13"/>
        <v>1.7999999999999996</v>
      </c>
      <c r="F18" s="102">
        <f>+INDEX('Portfolio Listing'!$U$7:$U$28,MATCH(C18,'Portfolio Listing'!$C$7:$C$28,0))</f>
        <v>-0.18608239367604257</v>
      </c>
      <c r="G18" s="65">
        <f>'Portfolio Listing'!T19</f>
        <v>0.73926269063512939</v>
      </c>
      <c r="H18" s="89" t="str">
        <f>VLOOKUP($C18,'Portfolio Listing'!$C$7:$AF$28,2,FALSE)</f>
        <v>China</v>
      </c>
      <c r="I18" s="89" t="str">
        <f>VLOOKUP($C18,'Portfolio Listing'!$C$7:$AF$28,3,FALSE)</f>
        <v>Diversified</v>
      </c>
      <c r="J18" s="89" t="str">
        <f>VLOOKUP($C18,'Portfolio Listing'!$C$7:$AF$28,4,FALSE)</f>
        <v>PE - Buyout</v>
      </c>
      <c r="K18" s="441" t="s">
        <v>90</v>
      </c>
      <c r="L18" s="391">
        <f>'Portfolio Listing'!H19</f>
        <v>44166</v>
      </c>
      <c r="M18" s="89">
        <f>VLOOKUP(C18,'Portfolio Listing'!$C$7:$AF$28,7,FALSE)</f>
        <v>100000000</v>
      </c>
      <c r="N18" s="89">
        <f>VLOOKUP(C18,'Portfolio Listing'!$C$7:$AF$28,8,FALSE)</f>
        <v>37438527.32</v>
      </c>
      <c r="O18" s="383">
        <f t="shared" si="10"/>
        <v>-62561472.68</v>
      </c>
      <c r="P18" s="612"/>
      <c r="Q18" s="89">
        <f>VLOOKUP(C18,'Portfolio Listing'!$C$7:$AF$28,11,FALSE)</f>
        <v>2676323.44</v>
      </c>
      <c r="R18" s="89">
        <f>VLOOKUP(C18,'Portfolio Listing'!$C$7:$AF$28,12,FALSE)</f>
        <v>0</v>
      </c>
      <c r="S18" s="384">
        <f>VLOOKUP(C18,'Portfolio Listing'!$C$7:$AF$28,14,FALSE)</f>
        <v>25000583</v>
      </c>
      <c r="T18" s="383">
        <f t="shared" si="3"/>
        <v>80000000.000000015</v>
      </c>
      <c r="U18" s="103">
        <f t="shared" ref="U18:AN18" si="32">U54+U78</f>
        <v>0</v>
      </c>
      <c r="V18" s="103">
        <f t="shared" si="32"/>
        <v>0</v>
      </c>
      <c r="W18" s="103">
        <f t="shared" si="32"/>
        <v>0</v>
      </c>
      <c r="X18" s="103">
        <f t="shared" si="32"/>
        <v>0</v>
      </c>
      <c r="Y18" s="103">
        <f t="shared" si="32"/>
        <v>0</v>
      </c>
      <c r="Z18" s="103">
        <f t="shared" si="32"/>
        <v>0</v>
      </c>
      <c r="AA18" s="103">
        <f t="shared" si="32"/>
        <v>0</v>
      </c>
      <c r="AB18" s="103">
        <f t="shared" si="32"/>
        <v>0</v>
      </c>
      <c r="AC18" s="103">
        <f t="shared" si="32"/>
        <v>0</v>
      </c>
      <c r="AD18" s="103">
        <f t="shared" si="32"/>
        <v>0</v>
      </c>
      <c r="AE18" s="103">
        <f t="shared" si="32"/>
        <v>0</v>
      </c>
      <c r="AF18" s="385">
        <f t="shared" si="32"/>
        <v>-9549356.9499999993</v>
      </c>
      <c r="AG18" s="103">
        <f t="shared" si="32"/>
        <v>-13769712.34</v>
      </c>
      <c r="AH18" s="103">
        <f t="shared" si="32"/>
        <v>-11443134.59</v>
      </c>
      <c r="AI18" s="103">
        <f t="shared" si="32"/>
        <v>-28431535.600000001</v>
      </c>
      <c r="AJ18" s="103">
        <f t="shared" si="32"/>
        <v>9157165.4471428618</v>
      </c>
      <c r="AK18" s="103">
        <f t="shared" si="32"/>
        <v>9157165.4471428618</v>
      </c>
      <c r="AL18" s="103">
        <f t="shared" si="32"/>
        <v>24975881.717142858</v>
      </c>
      <c r="AM18" s="103">
        <f t="shared" si="32"/>
        <v>24975881.717142858</v>
      </c>
      <c r="AN18" s="103">
        <f t="shared" si="32"/>
        <v>24975881.717142858</v>
      </c>
      <c r="AO18" s="103">
        <f t="shared" ref="AO18:AX18" si="33">AO54+AO78</f>
        <v>24975881.717142858</v>
      </c>
      <c r="AP18" s="103">
        <f t="shared" si="33"/>
        <v>24975881.717142858</v>
      </c>
      <c r="AQ18" s="103">
        <f t="shared" si="33"/>
        <v>0</v>
      </c>
      <c r="AR18" s="103">
        <f t="shared" si="33"/>
        <v>0</v>
      </c>
      <c r="AS18" s="103">
        <f t="shared" si="33"/>
        <v>0</v>
      </c>
      <c r="AT18" s="103">
        <f t="shared" si="33"/>
        <v>0</v>
      </c>
      <c r="AU18" s="103">
        <f t="shared" si="33"/>
        <v>0</v>
      </c>
      <c r="AV18" s="103">
        <f t="shared" si="33"/>
        <v>0</v>
      </c>
      <c r="AW18" s="103">
        <f t="shared" si="33"/>
        <v>0</v>
      </c>
      <c r="AX18" s="103">
        <f t="shared" si="33"/>
        <v>0</v>
      </c>
      <c r="AZ18" s="43" t="str">
        <f>+INDEX('Portfolio Listing'!$AO$7:$AO$28,MATCH('Portfolio Summary'!$C18,'Portfolio Listing'!$C$7:$C$28,0))</f>
        <v>DCP Capital Partners II, L.P.</v>
      </c>
    </row>
    <row r="19" spans="1:52" ht="13.35" customHeight="1">
      <c r="B19" s="32">
        <f t="shared" si="9"/>
        <v>14</v>
      </c>
      <c r="C19" s="43" t="s">
        <v>11</v>
      </c>
      <c r="D19" s="102">
        <f t="shared" si="6"/>
        <v>6.0594108552229242E-2</v>
      </c>
      <c r="E19" s="65">
        <f t="shared" si="13"/>
        <v>1.4305234500263637</v>
      </c>
      <c r="F19" s="102">
        <f>+INDEX('Portfolio Listing'!$U$7:$U$28,MATCH(C19,'Portfolio Listing'!$C$7:$C$28,0))</f>
        <v>-4.6108850836753854E-2</v>
      </c>
      <c r="G19" s="65">
        <f>'Portfolio Listing'!T20</f>
        <v>0.84289085537204278</v>
      </c>
      <c r="H19" s="89" t="str">
        <f>VLOOKUP($C19,'Portfolio Listing'!$C$7:$AF$28,2,FALSE)</f>
        <v>China</v>
      </c>
      <c r="I19" s="89" t="str">
        <f>VLOOKUP($C19,'Portfolio Listing'!$C$7:$AF$28,3,FALSE)</f>
        <v>Diversified</v>
      </c>
      <c r="J19" s="89" t="str">
        <f>VLOOKUP($C19,'Portfolio Listing'!$C$7:$AF$28,4,FALSE)</f>
        <v>PE - VC / Growth</v>
      </c>
      <c r="K19" s="441" t="s">
        <v>90</v>
      </c>
      <c r="L19" s="391">
        <f>'Portfolio Listing'!H20</f>
        <v>44166</v>
      </c>
      <c r="M19" s="89">
        <f>VLOOKUP(C19,'Portfolio Listing'!$C$7:$AF$28,7,FALSE)</f>
        <v>15000000</v>
      </c>
      <c r="N19" s="89">
        <f>VLOOKUP(C19,'Portfolio Listing'!$C$7:$AF$28,8,FALSE)</f>
        <v>15728508.330000002</v>
      </c>
      <c r="O19" s="89">
        <f t="shared" si="10"/>
        <v>0</v>
      </c>
      <c r="P19" s="612"/>
      <c r="Q19" s="89">
        <f>VLOOKUP(C19,'Portfolio Listing'!$C$7:$AF$28,11,FALSE)</f>
        <v>2197607.12</v>
      </c>
      <c r="R19" s="89">
        <f>VLOOKUP(C19,'Portfolio Listing'!$C$7:$AF$28,12,FALSE)</f>
        <v>0</v>
      </c>
      <c r="S19" s="384">
        <f>VLOOKUP(C19,'Portfolio Listing'!$C$7:$AF$28,14,FALSE)</f>
        <v>11059808.720000001</v>
      </c>
      <c r="T19" s="383">
        <f t="shared" si="3"/>
        <v>6771491.6699999981</v>
      </c>
      <c r="U19" s="103">
        <f t="shared" ref="U19:AN19" si="34">U55+U79</f>
        <v>0</v>
      </c>
      <c r="V19" s="103">
        <f t="shared" si="34"/>
        <v>0</v>
      </c>
      <c r="W19" s="103">
        <f t="shared" si="34"/>
        <v>0</v>
      </c>
      <c r="X19" s="103">
        <f t="shared" si="34"/>
        <v>0</v>
      </c>
      <c r="Y19" s="103">
        <f t="shared" si="34"/>
        <v>0</v>
      </c>
      <c r="Z19" s="103">
        <f t="shared" si="34"/>
        <v>0</v>
      </c>
      <c r="AA19" s="103">
        <f t="shared" si="34"/>
        <v>0</v>
      </c>
      <c r="AB19" s="103">
        <f t="shared" si="34"/>
        <v>0</v>
      </c>
      <c r="AC19" s="103">
        <f t="shared" si="34"/>
        <v>0</v>
      </c>
      <c r="AD19" s="103">
        <f t="shared" si="34"/>
        <v>0</v>
      </c>
      <c r="AE19" s="103">
        <f t="shared" si="34"/>
        <v>-15000000.000000002</v>
      </c>
      <c r="AF19" s="385">
        <f t="shared" si="34"/>
        <v>0</v>
      </c>
      <c r="AG19" s="103">
        <f t="shared" si="34"/>
        <v>91803.609999999986</v>
      </c>
      <c r="AH19" s="103">
        <f t="shared" si="34"/>
        <v>1377295.1800000002</v>
      </c>
      <c r="AI19" s="103">
        <f t="shared" si="34"/>
        <v>2133742.2599999998</v>
      </c>
      <c r="AJ19" s="103">
        <f t="shared" si="34"/>
        <v>3633730.1240000003</v>
      </c>
      <c r="AK19" s="103">
        <f t="shared" si="34"/>
        <v>3633730.1240000003</v>
      </c>
      <c r="AL19" s="103">
        <f t="shared" si="34"/>
        <v>3633730.1240000003</v>
      </c>
      <c r="AM19" s="103">
        <f t="shared" si="34"/>
        <v>3633730.1240000003</v>
      </c>
      <c r="AN19" s="103">
        <f t="shared" si="34"/>
        <v>3633730.1240000003</v>
      </c>
      <c r="AO19" s="103">
        <f t="shared" ref="AO19:AX19" si="35">AO55+AO79</f>
        <v>0</v>
      </c>
      <c r="AP19" s="103">
        <f t="shared" si="35"/>
        <v>0</v>
      </c>
      <c r="AQ19" s="103">
        <f t="shared" si="35"/>
        <v>0</v>
      </c>
      <c r="AR19" s="103">
        <f t="shared" si="35"/>
        <v>0</v>
      </c>
      <c r="AS19" s="103">
        <f t="shared" si="35"/>
        <v>0</v>
      </c>
      <c r="AT19" s="103">
        <f t="shared" si="35"/>
        <v>0</v>
      </c>
      <c r="AU19" s="103">
        <f t="shared" si="35"/>
        <v>0</v>
      </c>
      <c r="AV19" s="103">
        <f t="shared" si="35"/>
        <v>0</v>
      </c>
      <c r="AW19" s="103">
        <f t="shared" si="35"/>
        <v>0</v>
      </c>
      <c r="AX19" s="103">
        <f t="shared" si="35"/>
        <v>0</v>
      </c>
      <c r="AZ19" s="43" t="str">
        <f>+INDEX('Portfolio Listing'!$AO$7:$AO$28,MATCH('Portfolio Summary'!$C19,'Portfolio Listing'!$C$7:$C$28,0))</f>
        <v>Skycus USD Fund II ("Lionet Fund")</v>
      </c>
    </row>
    <row r="20" spans="1:52" ht="13.35" customHeight="1">
      <c r="B20" s="32">
        <f t="shared" si="9"/>
        <v>15</v>
      </c>
      <c r="C20" s="49" t="s">
        <v>12</v>
      </c>
      <c r="D20" s="102">
        <f t="shared" si="6"/>
        <v>0.22333993891916792</v>
      </c>
      <c r="E20" s="65">
        <f t="shared" si="13"/>
        <v>2.2999999999999998</v>
      </c>
      <c r="F20" s="102">
        <f>+INDEX('Portfolio Listing'!$U$7:$U$28,MATCH(C20,'Portfolio Listing'!$C$7:$C$28,0))</f>
        <v>-9.5536217093467699E-2</v>
      </c>
      <c r="G20" s="65">
        <f>'Portfolio Listing'!T21</f>
        <v>0.8437034293554625</v>
      </c>
      <c r="H20" s="89" t="str">
        <f>VLOOKUP($C20,'Portfolio Listing'!$C$7:$AF$28,2,FALSE)</f>
        <v>China</v>
      </c>
      <c r="I20" s="89" t="str">
        <f>VLOOKUP($C20,'Portfolio Listing'!$C$7:$AF$28,3,FALSE)</f>
        <v>Logistic/ Data Center</v>
      </c>
      <c r="J20" s="89" t="str">
        <f>VLOOKUP($C20,'Portfolio Listing'!$C$7:$AF$28,4,FALSE)</f>
        <v xml:space="preserve">PE - Real Estate </v>
      </c>
      <c r="K20" s="441" t="s">
        <v>106</v>
      </c>
      <c r="L20" s="391">
        <f>'Portfolio Listing'!H21</f>
        <v>44197</v>
      </c>
      <c r="M20" s="89">
        <f>VLOOKUP(C20,'Portfolio Listing'!$C$7:$AF$28,7,FALSE)</f>
        <v>30000000</v>
      </c>
      <c r="N20" s="89">
        <f>VLOOKUP(C20,'Portfolio Listing'!$C$7:$AF$28,8,FALSE)</f>
        <v>19364196.779999997</v>
      </c>
      <c r="O20" s="383">
        <f t="shared" si="10"/>
        <v>-10635803.220000003</v>
      </c>
      <c r="P20" s="612"/>
      <c r="Q20" s="89">
        <f>VLOOKUP(C20,'Portfolio Listing'!$C$7:$AF$28,11,FALSE)</f>
        <v>995489.23</v>
      </c>
      <c r="R20" s="89">
        <f>VLOOKUP(C20,'Portfolio Listing'!$C$7:$AF$28,12,FALSE)</f>
        <v>0</v>
      </c>
      <c r="S20" s="384">
        <f>VLOOKUP(C20,'Portfolio Listing'!$C$7:$AF$28,14,FALSE)</f>
        <v>15342150</v>
      </c>
      <c r="T20" s="383">
        <f t="shared" si="3"/>
        <v>39000000</v>
      </c>
      <c r="U20" s="103">
        <f t="shared" ref="U20:AN20" si="36">U56+U80</f>
        <v>0</v>
      </c>
      <c r="V20" s="103">
        <f t="shared" si="36"/>
        <v>0</v>
      </c>
      <c r="W20" s="103">
        <f t="shared" si="36"/>
        <v>0</v>
      </c>
      <c r="X20" s="103">
        <f t="shared" si="36"/>
        <v>0</v>
      </c>
      <c r="Y20" s="103">
        <f t="shared" si="36"/>
        <v>0</v>
      </c>
      <c r="Z20" s="103">
        <f t="shared" si="36"/>
        <v>0</v>
      </c>
      <c r="AA20" s="103">
        <f t="shared" si="36"/>
        <v>0</v>
      </c>
      <c r="AB20" s="103">
        <f t="shared" si="36"/>
        <v>0</v>
      </c>
      <c r="AC20" s="103">
        <f t="shared" si="36"/>
        <v>0</v>
      </c>
      <c r="AD20" s="103">
        <f t="shared" si="36"/>
        <v>0</v>
      </c>
      <c r="AE20" s="103">
        <f t="shared" si="36"/>
        <v>-4150967.3200000008</v>
      </c>
      <c r="AF20" s="385">
        <f t="shared" si="36"/>
        <v>-1983251.5500000003</v>
      </c>
      <c r="AG20" s="103">
        <f t="shared" si="36"/>
        <v>-7675386.1799999988</v>
      </c>
      <c r="AH20" s="103">
        <f t="shared" si="36"/>
        <v>-4559102.5</v>
      </c>
      <c r="AI20" s="103">
        <f t="shared" si="36"/>
        <v>-2458295.54</v>
      </c>
      <c r="AJ20" s="103">
        <f t="shared" si="36"/>
        <v>6912870.5539999977</v>
      </c>
      <c r="AK20" s="103">
        <f t="shared" si="36"/>
        <v>13228533.134</v>
      </c>
      <c r="AL20" s="103">
        <f t="shared" si="36"/>
        <v>13228533.134</v>
      </c>
      <c r="AM20" s="103">
        <f t="shared" si="36"/>
        <v>13228533.134</v>
      </c>
      <c r="AN20" s="103">
        <f t="shared" si="36"/>
        <v>13228533.134</v>
      </c>
      <c r="AO20" s="103">
        <f t="shared" ref="AO20:AX20" si="37">AO56+AO80</f>
        <v>0</v>
      </c>
      <c r="AP20" s="103">
        <f t="shared" si="37"/>
        <v>0</v>
      </c>
      <c r="AQ20" s="103">
        <f t="shared" si="37"/>
        <v>0</v>
      </c>
      <c r="AR20" s="103">
        <f t="shared" si="37"/>
        <v>0</v>
      </c>
      <c r="AS20" s="103">
        <f t="shared" si="37"/>
        <v>0</v>
      </c>
      <c r="AT20" s="103">
        <f t="shared" si="37"/>
        <v>0</v>
      </c>
      <c r="AU20" s="103">
        <f t="shared" si="37"/>
        <v>0</v>
      </c>
      <c r="AV20" s="103">
        <f t="shared" si="37"/>
        <v>0</v>
      </c>
      <c r="AW20" s="103">
        <f t="shared" si="37"/>
        <v>0</v>
      </c>
      <c r="AX20" s="103">
        <f t="shared" si="37"/>
        <v>0</v>
      </c>
      <c r="AZ20" s="43" t="str">
        <f>+INDEX('Portfolio Listing'!$AO$7:$AO$28,MATCH('Portfolio Summary'!$C20,'Portfolio Listing'!$C$7:$C$28,0))</f>
        <v>Boyu Real Estate Fund I, LP</v>
      </c>
    </row>
    <row r="21" spans="1:52" ht="13.35" customHeight="1">
      <c r="B21" s="32">
        <f t="shared" si="9"/>
        <v>16</v>
      </c>
      <c r="C21" s="49" t="s">
        <v>19</v>
      </c>
      <c r="D21" s="102">
        <f t="shared" si="6"/>
        <v>3.7867347580639619</v>
      </c>
      <c r="E21" s="65">
        <f t="shared" si="13"/>
        <v>3.992299086581236</v>
      </c>
      <c r="F21" s="102">
        <f>+INDEX('Portfolio Listing'!$U$7:$U$28,MATCH(C21,'Portfolio Listing'!$C$7:$C$28,0))</f>
        <v>4.474093198776246</v>
      </c>
      <c r="G21" s="65">
        <f>'Portfolio Listing'!T22</f>
        <v>4.1394420519344308</v>
      </c>
      <c r="H21" s="89" t="str">
        <f>VLOOKUP($C21,'Portfolio Listing'!$C$7:$AF$28,2,FALSE)</f>
        <v xml:space="preserve">Global </v>
      </c>
      <c r="I21" s="89" t="str">
        <f>VLOOKUP($C21,'Portfolio Listing'!$C$7:$AF$28,3,FALSE)</f>
        <v>Technology</v>
      </c>
      <c r="J21" s="89" t="str">
        <f>VLOOKUP($C21,'Portfolio Listing'!$C$7:$AF$28,4,FALSE)</f>
        <v>PE - VC / Growth</v>
      </c>
      <c r="K21" s="441" t="s">
        <v>100</v>
      </c>
      <c r="L21" s="391">
        <f>'Portfolio Listing'!H22</f>
        <v>44197</v>
      </c>
      <c r="M21" s="89">
        <f>VLOOKUP(C21,'Portfolio Listing'!$C$7:$AF$28,7,FALSE)</f>
        <v>10000000</v>
      </c>
      <c r="N21" s="89">
        <f>VLOOKUP(C21,'Portfolio Listing'!$C$7:$AF$28,8,FALSE)</f>
        <v>6595876.2599999998</v>
      </c>
      <c r="O21" s="383">
        <f t="shared" si="10"/>
        <v>-3404123.74</v>
      </c>
      <c r="P21" s="612"/>
      <c r="Q21" s="89">
        <f>VLOOKUP(C21,'Portfolio Listing'!$C$7:$AF$28,11,FALSE)</f>
        <v>24622247.559999999</v>
      </c>
      <c r="R21" s="89">
        <f>VLOOKUP(C21,'Portfolio Listing'!$C$7:$AF$28,12,FALSE)</f>
        <v>0</v>
      </c>
      <c r="S21" s="384">
        <f>VLOOKUP(C21,'Portfolio Listing'!$C$7:$AF$28,14,FALSE)</f>
        <v>2680999.9999999995</v>
      </c>
      <c r="T21" s="383">
        <f t="shared" si="3"/>
        <v>20439671.702055234</v>
      </c>
      <c r="U21" s="103">
        <f>U57+U81</f>
        <v>0</v>
      </c>
      <c r="V21" s="103">
        <f t="shared" ref="V21:AN24" si="38">V57+V81</f>
        <v>0</v>
      </c>
      <c r="W21" s="103">
        <f t="shared" si="38"/>
        <v>0</v>
      </c>
      <c r="X21" s="103">
        <f t="shared" si="38"/>
        <v>0</v>
      </c>
      <c r="Y21" s="103">
        <f t="shared" si="38"/>
        <v>0</v>
      </c>
      <c r="Z21" s="103">
        <f t="shared" si="38"/>
        <v>0</v>
      </c>
      <c r="AA21" s="103">
        <f t="shared" si="38"/>
        <v>0</v>
      </c>
      <c r="AB21" s="103">
        <f t="shared" si="38"/>
        <v>0</v>
      </c>
      <c r="AC21" s="103">
        <f t="shared" si="38"/>
        <v>0</v>
      </c>
      <c r="AD21" s="103">
        <f t="shared" si="38"/>
        <v>0</v>
      </c>
      <c r="AE21" s="103">
        <f t="shared" si="38"/>
        <v>-4772276.45</v>
      </c>
      <c r="AF21" s="103">
        <f t="shared" si="38"/>
        <v>22831030</v>
      </c>
      <c r="AG21" s="103">
        <f t="shared" si="38"/>
        <v>93844.75</v>
      </c>
      <c r="AH21" s="103">
        <f t="shared" si="38"/>
        <v>-126227</v>
      </c>
      <c r="AI21" s="103">
        <f t="shared" si="38"/>
        <v>-234881.99999999997</v>
      </c>
      <c r="AJ21" s="103">
        <f t="shared" si="38"/>
        <v>0</v>
      </c>
      <c r="AK21" s="103">
        <f t="shared" si="38"/>
        <v>1324091.2010276173</v>
      </c>
      <c r="AL21" s="103">
        <f t="shared" si="38"/>
        <v>1324091.2010276173</v>
      </c>
      <c r="AM21" s="103">
        <f t="shared" si="38"/>
        <v>0</v>
      </c>
      <c r="AN21" s="103">
        <f t="shared" si="38"/>
        <v>0</v>
      </c>
      <c r="AO21" s="103">
        <f t="shared" ref="AO21:AX21" si="39">AO57+AO81</f>
        <v>0</v>
      </c>
      <c r="AP21" s="103">
        <f t="shared" si="39"/>
        <v>0</v>
      </c>
      <c r="AQ21" s="103">
        <f t="shared" si="39"/>
        <v>0</v>
      </c>
      <c r="AR21" s="103">
        <f t="shared" si="39"/>
        <v>0</v>
      </c>
      <c r="AS21" s="103">
        <f t="shared" si="39"/>
        <v>0</v>
      </c>
      <c r="AT21" s="103">
        <f t="shared" si="39"/>
        <v>0</v>
      </c>
      <c r="AU21" s="103">
        <f t="shared" si="39"/>
        <v>0</v>
      </c>
      <c r="AV21" s="103">
        <f t="shared" si="39"/>
        <v>0</v>
      </c>
      <c r="AW21" s="103">
        <f t="shared" si="39"/>
        <v>0</v>
      </c>
      <c r="AX21" s="103">
        <f t="shared" si="39"/>
        <v>0</v>
      </c>
      <c r="AZ21" s="43" t="str">
        <f>+INDEX('Portfolio Listing'!$AO$7:$AO$28,MATCH('Portfolio Summary'!$C21,'Portfolio Listing'!$C$7:$C$28,0))</f>
        <v>E15 Fund II, LP</v>
      </c>
    </row>
    <row r="22" spans="1:52" ht="13.35" customHeight="1">
      <c r="B22" s="32">
        <f t="shared" si="9"/>
        <v>17</v>
      </c>
      <c r="C22" s="49" t="s">
        <v>13</v>
      </c>
      <c r="D22" s="102">
        <f t="shared" si="6"/>
        <v>0.28061346449072744</v>
      </c>
      <c r="E22" s="65">
        <f t="shared" si="13"/>
        <v>2.5099999999999998</v>
      </c>
      <c r="F22" s="102">
        <f>+INDEX('Portfolio Listing'!$U$7:$U$28,MATCH(C22,'Portfolio Listing'!$C$7:$C$28,0))</f>
        <v>0.44407231933593749</v>
      </c>
      <c r="G22" s="65">
        <f>'Portfolio Listing'!T23</f>
        <v>1.1995842124515674</v>
      </c>
      <c r="H22" s="89" t="str">
        <f>VLOOKUP($C22,'Portfolio Listing'!$C$7:$AF$28,2,FALSE)</f>
        <v>US</v>
      </c>
      <c r="I22" s="89" t="str">
        <f>VLOOKUP($C22,'Portfolio Listing'!$C$7:$AF$28,3,FALSE)</f>
        <v>Real Estate</v>
      </c>
      <c r="J22" s="89" t="str">
        <f>VLOOKUP($C22,'Portfolio Listing'!$C$7:$AF$28,4,FALSE)</f>
        <v>PE - Special Situations</v>
      </c>
      <c r="K22" s="441" t="s">
        <v>90</v>
      </c>
      <c r="L22" s="391">
        <f>'Portfolio Listing'!H23</f>
        <v>45393</v>
      </c>
      <c r="M22" s="89">
        <f>VLOOKUP(C22,'Portfolio Listing'!$C$7:$AF$28,7,FALSE)</f>
        <v>12500000</v>
      </c>
      <c r="N22" s="89">
        <f>VLOOKUP(C22,'Portfolio Listing'!$C$7:$AF$28,8,FALSE)</f>
        <v>3150647.5</v>
      </c>
      <c r="O22" s="383">
        <f>IF(N22-M22&gt;0,0,N22-M22)</f>
        <v>-9349352.5</v>
      </c>
      <c r="P22" s="612"/>
      <c r="Q22" s="89">
        <f>VLOOKUP(C22,'Portfolio Listing'!$C$7:$AF$28,11,FALSE)</f>
        <v>0</v>
      </c>
      <c r="R22" s="89">
        <f>VLOOKUP(C22,'Portfolio Listing'!$C$7:$AF$28,12,FALSE)</f>
        <v>0</v>
      </c>
      <c r="S22" s="384">
        <f>VLOOKUP(C22,'Portfolio Listing'!$C$7:$AF$28,14,FALSE)</f>
        <v>3779467</v>
      </c>
      <c r="T22" s="383">
        <f t="shared" si="3"/>
        <v>18875000</v>
      </c>
      <c r="U22" s="103">
        <f>U58+U82</f>
        <v>0</v>
      </c>
      <c r="V22" s="103">
        <f t="shared" ref="V22:AJ22" si="40">V58+V82</f>
        <v>0</v>
      </c>
      <c r="W22" s="103">
        <f t="shared" si="40"/>
        <v>0</v>
      </c>
      <c r="X22" s="103">
        <f t="shared" si="40"/>
        <v>0</v>
      </c>
      <c r="Y22" s="103">
        <f t="shared" si="40"/>
        <v>0</v>
      </c>
      <c r="Z22" s="103">
        <f t="shared" si="40"/>
        <v>0</v>
      </c>
      <c r="AA22" s="103">
        <f t="shared" si="40"/>
        <v>0</v>
      </c>
      <c r="AB22" s="103">
        <f t="shared" si="40"/>
        <v>0</v>
      </c>
      <c r="AC22" s="103">
        <f t="shared" si="40"/>
        <v>0</v>
      </c>
      <c r="AD22" s="103">
        <f t="shared" si="40"/>
        <v>0</v>
      </c>
      <c r="AE22" s="103">
        <f t="shared" si="40"/>
        <v>0</v>
      </c>
      <c r="AF22" s="103">
        <f t="shared" si="40"/>
        <v>0</v>
      </c>
      <c r="AG22" s="103">
        <f t="shared" si="40"/>
        <v>0</v>
      </c>
      <c r="AH22" s="103">
        <f t="shared" si="40"/>
        <v>-3150647.5</v>
      </c>
      <c r="AI22" s="103">
        <f t="shared" si="40"/>
        <v>-6215843.06773993</v>
      </c>
      <c r="AJ22" s="103">
        <f t="shared" si="40"/>
        <v>-1504254.716130035</v>
      </c>
      <c r="AK22" s="103">
        <f t="shared" si="38"/>
        <v>4745745.283869965</v>
      </c>
      <c r="AL22" s="103">
        <f t="shared" si="38"/>
        <v>6250000</v>
      </c>
      <c r="AM22" s="103">
        <f t="shared" si="38"/>
        <v>6250000</v>
      </c>
      <c r="AN22" s="103">
        <f t="shared" si="38"/>
        <v>6250000</v>
      </c>
      <c r="AO22" s="103">
        <f t="shared" ref="AO22:AX22" si="41">AO58+AO82</f>
        <v>6250000</v>
      </c>
      <c r="AP22" s="103">
        <f t="shared" si="41"/>
        <v>0</v>
      </c>
      <c r="AQ22" s="103">
        <f t="shared" si="41"/>
        <v>0</v>
      </c>
      <c r="AR22" s="103">
        <f t="shared" si="41"/>
        <v>0</v>
      </c>
      <c r="AS22" s="103">
        <f t="shared" si="41"/>
        <v>0</v>
      </c>
      <c r="AT22" s="103">
        <f t="shared" si="41"/>
        <v>0</v>
      </c>
      <c r="AU22" s="103">
        <f t="shared" si="41"/>
        <v>0</v>
      </c>
      <c r="AV22" s="103">
        <f t="shared" si="41"/>
        <v>0</v>
      </c>
      <c r="AW22" s="103">
        <f t="shared" si="41"/>
        <v>0</v>
      </c>
      <c r="AX22" s="103">
        <f t="shared" si="41"/>
        <v>0</v>
      </c>
      <c r="AZ22" s="43" t="str">
        <f>+INDEX('Portfolio Listing'!$AO$7:$AO$28,MATCH('Portfolio Summary'!$C22,'Portfolio Listing'!$C$7:$C$28,0))</f>
        <v>Cottonwood-WTT Real Estate Special Situations Fund, LP</v>
      </c>
    </row>
    <row r="23" spans="1:52" ht="12.75" customHeight="1">
      <c r="B23" s="32">
        <f t="shared" si="9"/>
        <v>18</v>
      </c>
      <c r="C23" s="49" t="s">
        <v>14</v>
      </c>
      <c r="D23" s="102">
        <f t="shared" si="6"/>
        <v>0.18861382496506685</v>
      </c>
      <c r="E23" s="65">
        <f t="shared" si="13"/>
        <v>3.5</v>
      </c>
      <c r="F23" s="102">
        <f>+INDEX('Portfolio Listing'!$U$7:$U$28,MATCH(C23,'Portfolio Listing'!$C$7:$C$28,0))</f>
        <v>-0.676577963635698</v>
      </c>
      <c r="G23" s="65">
        <f>'Portfolio Listing'!T24</f>
        <v>0.7399247241628939</v>
      </c>
      <c r="H23" s="89" t="str">
        <f>VLOOKUP($C23,'Portfolio Listing'!$C$7:$AF$28,2,FALSE)</f>
        <v xml:space="preserve">Global </v>
      </c>
      <c r="I23" s="89" t="str">
        <f>VLOOKUP($C23,'Portfolio Listing'!$C$7:$AF$28,3,FALSE)</f>
        <v>Diversified</v>
      </c>
      <c r="J23" s="89" t="str">
        <f>VLOOKUP($C23,'Portfolio Listing'!$C$7:$AF$28,4,FALSE)</f>
        <v>PE - VC / Growth</v>
      </c>
      <c r="K23" s="435" t="s">
        <v>100</v>
      </c>
      <c r="L23" s="391">
        <v>45518</v>
      </c>
      <c r="M23" s="89">
        <f>VLOOKUP(C23,'Portfolio Listing'!$C$7:$AF$28,7,FALSE)</f>
        <v>37600000</v>
      </c>
      <c r="N23" s="89">
        <f>VLOOKUP(C23,'Portfolio Listing'!$C$7:$AF$28,8,FALSE)</f>
        <v>2954733</v>
      </c>
      <c r="O23" s="383">
        <f>IF(N23-M23&gt;0,0,N23-M23)</f>
        <v>-34645267</v>
      </c>
      <c r="P23" s="612"/>
      <c r="Q23" s="89">
        <f>VLOOKUP(C23,'Portfolio Listing'!$C$7:$AF$28,11,FALSE)</f>
        <v>0</v>
      </c>
      <c r="R23" s="89">
        <f>VLOOKUP(C23,'Portfolio Listing'!$C$7:$AF$28,12,FALSE)</f>
        <v>0</v>
      </c>
      <c r="S23" s="384">
        <f>VLOOKUP(C23,'Portfolio Listing'!$C$7:$AF$28,14,FALSE)</f>
        <v>2186280</v>
      </c>
      <c r="T23" s="383">
        <f t="shared" si="3"/>
        <v>7386832.5</v>
      </c>
      <c r="U23" s="103">
        <f>U59+U83</f>
        <v>0</v>
      </c>
      <c r="V23" s="103">
        <f t="shared" si="38"/>
        <v>0</v>
      </c>
      <c r="W23" s="103">
        <f t="shared" si="38"/>
        <v>0</v>
      </c>
      <c r="X23" s="103">
        <f t="shared" si="38"/>
        <v>0</v>
      </c>
      <c r="Y23" s="103">
        <f t="shared" si="38"/>
        <v>0</v>
      </c>
      <c r="Z23" s="103">
        <f t="shared" si="38"/>
        <v>0</v>
      </c>
      <c r="AA23" s="103">
        <f t="shared" si="38"/>
        <v>0</v>
      </c>
      <c r="AB23" s="103">
        <f t="shared" si="38"/>
        <v>0</v>
      </c>
      <c r="AC23" s="103">
        <f t="shared" si="38"/>
        <v>0</v>
      </c>
      <c r="AD23" s="103">
        <f t="shared" si="38"/>
        <v>0</v>
      </c>
      <c r="AE23" s="103">
        <f t="shared" si="38"/>
        <v>0</v>
      </c>
      <c r="AF23" s="103">
        <f t="shared" si="38"/>
        <v>0</v>
      </c>
      <c r="AG23" s="103">
        <f t="shared" si="38"/>
        <v>0</v>
      </c>
      <c r="AH23" s="103">
        <f t="shared" si="38"/>
        <v>-2954733</v>
      </c>
      <c r="AI23" s="103">
        <f t="shared" si="38"/>
        <v>0</v>
      </c>
      <c r="AJ23" s="103">
        <f t="shared" si="38"/>
        <v>0</v>
      </c>
      <c r="AK23" s="103">
        <f t="shared" si="38"/>
        <v>0</v>
      </c>
      <c r="AL23" s="103">
        <f t="shared" si="38"/>
        <v>0</v>
      </c>
      <c r="AM23" s="103">
        <f t="shared" si="38"/>
        <v>1723594.25</v>
      </c>
      <c r="AN23" s="103">
        <f t="shared" si="38"/>
        <v>1723594.25</v>
      </c>
      <c r="AO23" s="103">
        <f t="shared" ref="AO23:AX23" si="42">AO59+AO83</f>
        <v>1723594.25</v>
      </c>
      <c r="AP23" s="103">
        <f t="shared" si="42"/>
        <v>1723594.25</v>
      </c>
      <c r="AQ23" s="103">
        <f t="shared" si="42"/>
        <v>1723594.25</v>
      </c>
      <c r="AR23" s="103">
        <f t="shared" si="42"/>
        <v>1723594.25</v>
      </c>
      <c r="AS23" s="103">
        <f t="shared" si="42"/>
        <v>0</v>
      </c>
      <c r="AT23" s="103">
        <f t="shared" si="42"/>
        <v>0</v>
      </c>
      <c r="AU23" s="103">
        <f t="shared" si="42"/>
        <v>0</v>
      </c>
      <c r="AV23" s="103">
        <f t="shared" si="42"/>
        <v>0</v>
      </c>
      <c r="AW23" s="103">
        <f t="shared" si="42"/>
        <v>0</v>
      </c>
      <c r="AX23" s="103">
        <f t="shared" si="42"/>
        <v>0</v>
      </c>
      <c r="AZ23" s="43" t="str">
        <f>+INDEX('Portfolio Listing'!$AO$7:$AO$28,MATCH('Portfolio Summary'!$C23,'Portfolio Listing'!$C$7:$C$28,0))</f>
        <v>Genedant Ventures I</v>
      </c>
    </row>
    <row r="24" spans="1:52" ht="13.35" customHeight="1">
      <c r="B24" s="32">
        <f t="shared" si="9"/>
        <v>19</v>
      </c>
      <c r="C24" s="49" t="s">
        <v>22</v>
      </c>
      <c r="D24" s="102">
        <f t="shared" si="6"/>
        <v>0.22347825416884648</v>
      </c>
      <c r="E24" s="65">
        <f t="shared" si="13"/>
        <v>2.5</v>
      </c>
      <c r="F24" s="102">
        <f>+INDEX('Portfolio Listing'!$U$7:$U$28,MATCH(C24,'Portfolio Listing'!$C$7:$C$28,0))</f>
        <v>1.5680467382812502</v>
      </c>
      <c r="G24" s="65">
        <f>'Portfolio Listing'!T25</f>
        <v>1.1920914843624297</v>
      </c>
      <c r="H24" s="89" t="str">
        <f>VLOOKUP($C24,'Portfolio Listing'!$C$7:$AF$28,2,FALSE)</f>
        <v>US</v>
      </c>
      <c r="I24" s="89" t="str">
        <f>VLOOKUP($C24,'Portfolio Listing'!$C$7:$AF$28,3,FALSE)</f>
        <v>Diversified</v>
      </c>
      <c r="J24" s="89" t="str">
        <f>VLOOKUP($C24,'Portfolio Listing'!$C$7:$AF$28,4,FALSE)</f>
        <v>PE - Buyout</v>
      </c>
      <c r="K24" s="435" t="s">
        <v>100</v>
      </c>
      <c r="L24" s="391">
        <v>45261</v>
      </c>
      <c r="M24" s="89">
        <f>VLOOKUP(C24,'Portfolio Listing'!$C$7:$AF$28,7,FALSE)</f>
        <v>16940000</v>
      </c>
      <c r="N24" s="89">
        <f>VLOOKUP(C24,'Portfolio Listing'!$C$7:$AF$28,8,FALSE)</f>
        <v>1756064.05</v>
      </c>
      <c r="O24" s="383">
        <f>IF(N24-M24&gt;0,0,N24-M24)</f>
        <v>-15183935.949999999</v>
      </c>
      <c r="P24" s="612"/>
      <c r="Q24" s="89">
        <f>VLOOKUP(C24,'Portfolio Listing'!$C$7:$AF$28,11,FALSE)</f>
        <v>0</v>
      </c>
      <c r="R24" s="89">
        <f>VLOOKUP(C24,'Portfolio Listing'!$C$7:$AF$28,12,FALSE)</f>
        <v>0</v>
      </c>
      <c r="S24" s="384">
        <f>VLOOKUP(C24,'Portfolio Listing'!$C$7:$AF$28,14,FALSE)</f>
        <v>2093389</v>
      </c>
      <c r="T24" s="383">
        <f t="shared" si="3"/>
        <v>25410000</v>
      </c>
      <c r="U24" s="103">
        <f>U60+U84</f>
        <v>0</v>
      </c>
      <c r="V24" s="103">
        <f t="shared" si="38"/>
        <v>0</v>
      </c>
      <c r="W24" s="103">
        <f t="shared" si="38"/>
        <v>0</v>
      </c>
      <c r="X24" s="103">
        <f t="shared" si="38"/>
        <v>0</v>
      </c>
      <c r="Y24" s="103">
        <f t="shared" si="38"/>
        <v>0</v>
      </c>
      <c r="Z24" s="103">
        <f t="shared" si="38"/>
        <v>0</v>
      </c>
      <c r="AA24" s="103">
        <f t="shared" si="38"/>
        <v>0</v>
      </c>
      <c r="AB24" s="103">
        <f t="shared" si="38"/>
        <v>0</v>
      </c>
      <c r="AC24" s="103">
        <f t="shared" si="38"/>
        <v>0</v>
      </c>
      <c r="AD24" s="103">
        <f t="shared" si="38"/>
        <v>0</v>
      </c>
      <c r="AE24" s="103">
        <f t="shared" si="38"/>
        <v>0</v>
      </c>
      <c r="AF24" s="103">
        <f t="shared" si="38"/>
        <v>0</v>
      </c>
      <c r="AG24" s="103">
        <f t="shared" si="38"/>
        <v>0</v>
      </c>
      <c r="AH24" s="103">
        <f t="shared" si="38"/>
        <v>-1756064.05</v>
      </c>
      <c r="AI24" s="103">
        <f t="shared" si="38"/>
        <v>-2217004.66</v>
      </c>
      <c r="AJ24" s="103">
        <f t="shared" si="38"/>
        <v>-4322310.43</v>
      </c>
      <c r="AK24" s="103">
        <f t="shared" si="38"/>
        <v>-4322310.43</v>
      </c>
      <c r="AL24" s="103">
        <f t="shared" si="38"/>
        <v>-4322310.43</v>
      </c>
      <c r="AM24" s="103">
        <f t="shared" si="38"/>
        <v>8470000</v>
      </c>
      <c r="AN24" s="103">
        <f>AN60+AN84</f>
        <v>8470000</v>
      </c>
      <c r="AO24" s="103">
        <f t="shared" ref="AO24:AX24" si="43">AO60+AO84</f>
        <v>8470000</v>
      </c>
      <c r="AP24" s="103">
        <f t="shared" si="43"/>
        <v>8470000</v>
      </c>
      <c r="AQ24" s="103">
        <f t="shared" si="43"/>
        <v>8470000</v>
      </c>
      <c r="AR24" s="103">
        <f t="shared" si="43"/>
        <v>0</v>
      </c>
      <c r="AS24" s="103">
        <f t="shared" si="43"/>
        <v>0</v>
      </c>
      <c r="AT24" s="103">
        <f t="shared" si="43"/>
        <v>0</v>
      </c>
      <c r="AU24" s="103">
        <f t="shared" si="43"/>
        <v>0</v>
      </c>
      <c r="AV24" s="103">
        <f t="shared" si="43"/>
        <v>0</v>
      </c>
      <c r="AW24" s="103">
        <f t="shared" si="43"/>
        <v>0</v>
      </c>
      <c r="AX24" s="103">
        <f t="shared" si="43"/>
        <v>0</v>
      </c>
      <c r="AZ24" s="43" t="str">
        <f>+INDEX('Portfolio Listing'!$AO$7:$AO$28,MATCH('Portfolio Summary'!$C24,'Portfolio Listing'!$C$7:$C$28,0))</f>
        <v>GTCR XIV Access Offshore LP</v>
      </c>
    </row>
    <row r="25" spans="1:52" ht="12.75" customHeight="1">
      <c r="B25" s="64"/>
      <c r="C25" s="64"/>
      <c r="D25" s="92"/>
      <c r="E25" s="93"/>
      <c r="F25" s="92"/>
      <c r="G25" s="92"/>
      <c r="H25" s="92"/>
      <c r="I25" s="92"/>
      <c r="J25" s="92"/>
      <c r="K25" s="442"/>
      <c r="L25" s="94"/>
      <c r="M25" s="405"/>
      <c r="N25" s="95"/>
      <c r="O25" s="95"/>
      <c r="P25" s="95"/>
      <c r="Q25" s="95"/>
      <c r="R25" s="95"/>
      <c r="S25" s="95"/>
      <c r="AH25" s="53"/>
      <c r="AI25" s="53"/>
      <c r="AJ25" s="53"/>
      <c r="AK25" s="53"/>
      <c r="AL25" s="53"/>
      <c r="AM25" s="53"/>
      <c r="AN25" s="53"/>
      <c r="AO25" s="53"/>
      <c r="AP25" s="53"/>
      <c r="AQ25" s="53"/>
      <c r="AR25" s="53"/>
      <c r="AS25" s="53"/>
      <c r="AT25" s="53"/>
      <c r="AU25" s="53"/>
      <c r="AV25" s="53"/>
      <c r="AW25" s="53"/>
      <c r="AX25" s="53"/>
    </row>
    <row r="26" spans="1:52" s="72" customFormat="1" ht="12.75" customHeight="1" thickBot="1">
      <c r="A26" s="491"/>
      <c r="B26" s="96"/>
      <c r="C26" s="96"/>
      <c r="D26" s="97">
        <f>IRR(U26:AR26)</f>
        <v>0.19990546517798502</v>
      </c>
      <c r="E26" s="98">
        <f>(Q26+R26+S26)/(M26+O26)</f>
        <v>1.4469843442117836</v>
      </c>
      <c r="F26" s="97"/>
      <c r="G26" s="98"/>
      <c r="H26" s="98"/>
      <c r="I26" s="98"/>
      <c r="J26" s="98"/>
      <c r="K26" s="443"/>
      <c r="L26" s="99"/>
      <c r="M26" s="100">
        <f>SUM(M6:M25)</f>
        <v>479290000</v>
      </c>
      <c r="N26" s="100">
        <f>SUM(N6:N25)</f>
        <v>329514372.29999995</v>
      </c>
      <c r="O26" s="100">
        <f>SUM(O6:O25)</f>
        <v>-160229806.35999998</v>
      </c>
      <c r="P26" s="100"/>
      <c r="Q26" s="100">
        <f t="shared" ref="Q26:AX26" si="44">SUM(Q6:Q25)</f>
        <v>225007127.69826004</v>
      </c>
      <c r="R26" s="100">
        <f t="shared" si="44"/>
        <v>0</v>
      </c>
      <c r="S26" s="100">
        <f t="shared" si="44"/>
        <v>236667977.35999998</v>
      </c>
      <c r="T26" s="100">
        <f t="shared" si="44"/>
        <v>438646043.90031528</v>
      </c>
      <c r="U26" s="100">
        <f t="shared" si="44"/>
        <v>-2738663.8000000003</v>
      </c>
      <c r="V26" s="100">
        <f t="shared" si="44"/>
        <v>-14361450.9</v>
      </c>
      <c r="W26" s="100">
        <f t="shared" si="44"/>
        <v>-3014034.2100000004</v>
      </c>
      <c r="X26" s="100">
        <f t="shared" si="44"/>
        <v>-4327936.3499999996</v>
      </c>
      <c r="Y26" s="100">
        <f t="shared" si="44"/>
        <v>15653747.23</v>
      </c>
      <c r="Z26" s="100">
        <f t="shared" si="44"/>
        <v>5426217.8599999994</v>
      </c>
      <c r="AA26" s="100">
        <f t="shared" si="44"/>
        <v>20093103.57</v>
      </c>
      <c r="AB26" s="100">
        <f t="shared" si="44"/>
        <v>-11873619.390000001</v>
      </c>
      <c r="AC26" s="100">
        <f t="shared" si="44"/>
        <v>-6136409.1099999994</v>
      </c>
      <c r="AD26" s="100">
        <f t="shared" si="44"/>
        <v>-18360919.73</v>
      </c>
      <c r="AE26" s="100">
        <f t="shared" si="44"/>
        <v>-54860184.119999997</v>
      </c>
      <c r="AF26" s="100">
        <f t="shared" si="44"/>
        <v>10740817.109999999</v>
      </c>
      <c r="AG26" s="100">
        <f t="shared" si="44"/>
        <v>-18063169.730000004</v>
      </c>
      <c r="AH26" s="100">
        <f t="shared" si="44"/>
        <v>-23020907.231740002</v>
      </c>
      <c r="AI26" s="100">
        <f t="shared" si="44"/>
        <v>-9115878.6577399299</v>
      </c>
      <c r="AJ26" s="100">
        <f t="shared" si="44"/>
        <v>76709870.896512836</v>
      </c>
      <c r="AK26" s="100">
        <f t="shared" si="44"/>
        <v>94603576.677540451</v>
      </c>
      <c r="AL26" s="100">
        <f t="shared" si="44"/>
        <v>108126325.50367045</v>
      </c>
      <c r="AM26" s="100">
        <f t="shared" si="44"/>
        <v>99313036.822642863</v>
      </c>
      <c r="AN26" s="100">
        <f t="shared" si="44"/>
        <v>85346381.025142863</v>
      </c>
      <c r="AO26" s="100">
        <f t="shared" si="44"/>
        <v>41419475.967142858</v>
      </c>
      <c r="AP26" s="100">
        <f t="shared" si="44"/>
        <v>35169475.967142858</v>
      </c>
      <c r="AQ26" s="100">
        <f t="shared" si="44"/>
        <v>10193594.25</v>
      </c>
      <c r="AR26" s="100">
        <f t="shared" si="44"/>
        <v>1723594.25</v>
      </c>
      <c r="AS26" s="100">
        <f t="shared" si="44"/>
        <v>0</v>
      </c>
      <c r="AT26" s="100">
        <f t="shared" si="44"/>
        <v>0</v>
      </c>
      <c r="AU26" s="100">
        <f t="shared" si="44"/>
        <v>0</v>
      </c>
      <c r="AV26" s="100">
        <f t="shared" si="44"/>
        <v>0</v>
      </c>
      <c r="AW26" s="100">
        <f t="shared" si="44"/>
        <v>0</v>
      </c>
      <c r="AX26" s="100">
        <f t="shared" si="44"/>
        <v>0</v>
      </c>
    </row>
    <row r="27" spans="1:52" ht="13.35" customHeight="1" thickTop="1">
      <c r="B27" s="64"/>
      <c r="C27" s="64"/>
      <c r="D27" s="65"/>
      <c r="E27" s="65"/>
      <c r="F27" s="65"/>
      <c r="G27" s="65"/>
      <c r="H27" s="65"/>
      <c r="I27" s="65"/>
      <c r="J27" s="65"/>
      <c r="K27" s="444"/>
      <c r="L27" s="66"/>
      <c r="M27" s="65"/>
      <c r="N27" s="65"/>
      <c r="O27" s="65"/>
      <c r="P27" s="65"/>
      <c r="Q27" s="65"/>
      <c r="R27" s="65"/>
      <c r="S27" s="65"/>
      <c r="T27" s="101"/>
      <c r="U27" s="101">
        <f>+SUM($U$26:U26)</f>
        <v>-2738663.8000000003</v>
      </c>
      <c r="V27" s="101">
        <f>+SUM($U$26:V26)</f>
        <v>-17100114.699999999</v>
      </c>
      <c r="W27" s="101">
        <f>+SUM($U$26:W26)</f>
        <v>-20114148.91</v>
      </c>
      <c r="X27" s="101">
        <f>+SUM($U$26:X26)</f>
        <v>-24442085.259999998</v>
      </c>
      <c r="Y27" s="101">
        <f>+SUM($U$26:Y26)</f>
        <v>-8788338.0299999975</v>
      </c>
      <c r="Z27" s="101">
        <f>+SUM($U$26:Z26)</f>
        <v>-3362120.1699999981</v>
      </c>
      <c r="AA27" s="101">
        <f>+SUM($U$26:AA26)</f>
        <v>16730983.400000002</v>
      </c>
      <c r="AB27" s="101">
        <f>+SUM($U$26:AB26)</f>
        <v>4857364.0100000016</v>
      </c>
      <c r="AC27" s="101">
        <f>+SUM($U$26:AC26)</f>
        <v>-1279045.0999999978</v>
      </c>
      <c r="AD27" s="101">
        <f>+SUM($U$26:AD26)</f>
        <v>-19639964.829999998</v>
      </c>
      <c r="AE27" s="101">
        <f>+SUM($U$26:AE26)</f>
        <v>-74500148.949999988</v>
      </c>
      <c r="AF27" s="101">
        <f>+SUM($U$26:AF26)</f>
        <v>-63759331.839999989</v>
      </c>
      <c r="AG27" s="101">
        <f>+SUM($U$26:AG26)</f>
        <v>-81822501.569999993</v>
      </c>
      <c r="AH27" s="101">
        <f>+SUM($U$26:AH26)</f>
        <v>-104843408.80173999</v>
      </c>
      <c r="AI27" s="101">
        <f>+SUM($U$26:AI26)</f>
        <v>-113959287.45947993</v>
      </c>
      <c r="AJ27" s="101">
        <f>+SUM($U$26:AJ26)</f>
        <v>-37249416.562967092</v>
      </c>
      <c r="AK27" s="101">
        <f>+SUM($U$26:AK26)</f>
        <v>57354160.114573359</v>
      </c>
      <c r="AL27" s="101">
        <f>+SUM($U$26:AL26)</f>
        <v>165480485.61824381</v>
      </c>
      <c r="AM27" s="101">
        <f>+SUM($U$26:AM26)</f>
        <v>264793522.44088668</v>
      </c>
      <c r="AN27" s="101">
        <f>+SUM($U$26:AN26)</f>
        <v>350139903.46602952</v>
      </c>
      <c r="AO27" s="101">
        <f>+SUM($U$26:AO26)</f>
        <v>391559379.4331724</v>
      </c>
      <c r="AP27" s="101">
        <f>+SUM($U$26:AP26)</f>
        <v>426728855.40031528</v>
      </c>
      <c r="AQ27" s="101">
        <f>+SUM($U$26:AQ26)</f>
        <v>436922449.65031528</v>
      </c>
      <c r="AR27" s="101">
        <f>+SUM($U$26:AR26)</f>
        <v>438646043.90031528</v>
      </c>
      <c r="AS27" s="101"/>
      <c r="AT27" s="101"/>
      <c r="AU27" s="101"/>
      <c r="AV27" s="101"/>
      <c r="AW27" s="101"/>
      <c r="AX27" s="101"/>
    </row>
    <row r="28" spans="1:52">
      <c r="B28" s="76"/>
      <c r="C28" s="64"/>
      <c r="D28" s="65"/>
      <c r="E28" s="65"/>
      <c r="F28" s="65"/>
      <c r="G28" s="65"/>
      <c r="H28" s="65"/>
      <c r="I28" s="65"/>
      <c r="J28" s="65"/>
      <c r="K28" s="444"/>
      <c r="L28" s="66"/>
      <c r="M28" s="65"/>
      <c r="N28" s="65"/>
      <c r="O28" s="65"/>
      <c r="P28" s="65"/>
      <c r="Q28" s="65"/>
      <c r="R28" s="65"/>
      <c r="S28" s="65"/>
      <c r="T28" s="101"/>
      <c r="U28" s="101"/>
      <c r="V28" s="101"/>
      <c r="W28" s="101"/>
      <c r="X28" s="101"/>
      <c r="Y28" s="101"/>
      <c r="Z28" s="101"/>
      <c r="AA28" s="101"/>
      <c r="AB28" s="101"/>
      <c r="AC28" s="101"/>
      <c r="AD28" s="101"/>
      <c r="AE28" s="101"/>
      <c r="AF28" s="361"/>
      <c r="AG28" s="101"/>
      <c r="AH28" s="101"/>
      <c r="AI28" s="101"/>
      <c r="AJ28" s="101"/>
      <c r="AK28" s="101"/>
      <c r="AL28" s="101"/>
      <c r="AM28" s="101"/>
      <c r="AN28" s="101"/>
      <c r="AO28" s="101"/>
      <c r="AP28" s="101"/>
      <c r="AQ28" s="101"/>
      <c r="AR28" s="101"/>
      <c r="AS28" s="101"/>
      <c r="AT28" s="101"/>
      <c r="AU28" s="101"/>
      <c r="AV28" s="101"/>
      <c r="AW28" s="101"/>
      <c r="AX28" s="101"/>
    </row>
    <row r="29" spans="1:52" ht="13.35" customHeight="1">
      <c r="B29" s="64" t="s">
        <v>128</v>
      </c>
      <c r="C29" s="64"/>
      <c r="D29" s="65"/>
      <c r="E29" s="65"/>
      <c r="F29" s="65"/>
      <c r="G29" s="65"/>
      <c r="H29" s="65"/>
      <c r="I29" s="65"/>
      <c r="J29" s="65"/>
      <c r="K29" s="444"/>
      <c r="L29" s="66"/>
      <c r="M29" s="65"/>
      <c r="N29" s="65"/>
      <c r="O29" s="65"/>
      <c r="P29" s="65"/>
      <c r="Q29" s="65"/>
      <c r="R29" s="65"/>
      <c r="S29" s="65"/>
      <c r="T29" s="101"/>
      <c r="U29" s="101"/>
      <c r="V29" s="101"/>
      <c r="W29" s="101"/>
      <c r="X29" s="101"/>
      <c r="Y29" s="101"/>
      <c r="Z29" s="101"/>
      <c r="AA29" s="101"/>
      <c r="AB29" s="101"/>
      <c r="AC29" s="101"/>
      <c r="AD29" s="101"/>
      <c r="AE29" s="101"/>
      <c r="AF29" s="361"/>
      <c r="AG29" s="101"/>
      <c r="AH29" s="101"/>
      <c r="AI29" s="101"/>
      <c r="AJ29" s="101"/>
      <c r="AK29" s="101"/>
      <c r="AL29" s="101"/>
      <c r="AM29" s="101"/>
      <c r="AN29" s="101"/>
      <c r="AO29" s="101"/>
      <c r="AP29" s="101"/>
      <c r="AQ29" s="101"/>
      <c r="AR29" s="101"/>
      <c r="AS29" s="101"/>
      <c r="AT29" s="101"/>
      <c r="AU29" s="101"/>
      <c r="AV29" s="101"/>
      <c r="AW29" s="101"/>
      <c r="AX29" s="101"/>
    </row>
    <row r="30" spans="1:52" ht="13.35" customHeight="1">
      <c r="B30" s="64"/>
      <c r="C30" s="64" t="s">
        <v>129</v>
      </c>
      <c r="D30" s="65"/>
      <c r="E30" s="65"/>
      <c r="F30" s="65"/>
      <c r="G30" s="65"/>
      <c r="H30" s="65"/>
      <c r="I30" s="65"/>
      <c r="J30" s="65"/>
      <c r="K30" s="444"/>
      <c r="L30" s="66"/>
      <c r="M30" s="65"/>
      <c r="N30" s="65"/>
      <c r="O30" s="65"/>
      <c r="P30" s="65"/>
      <c r="Q30" s="65"/>
      <c r="R30" s="65"/>
      <c r="T30" s="101"/>
      <c r="U30" s="101"/>
      <c r="V30" s="101"/>
      <c r="W30" s="101"/>
      <c r="X30" s="101"/>
      <c r="Y30" s="101"/>
      <c r="Z30" s="101"/>
      <c r="AA30" s="101"/>
      <c r="AB30" s="101"/>
      <c r="AC30" s="101"/>
      <c r="AD30" s="101"/>
      <c r="AE30" s="101"/>
      <c r="AF30" s="361"/>
      <c r="AG30" s="101"/>
      <c r="AH30" s="101"/>
      <c r="AI30" s="101"/>
      <c r="AJ30" s="101"/>
      <c r="AK30" s="101"/>
      <c r="AL30" s="101"/>
      <c r="AM30" s="101"/>
      <c r="AN30" s="101"/>
      <c r="AO30" s="101"/>
      <c r="AP30" s="101"/>
      <c r="AQ30" s="101"/>
      <c r="AR30" s="101"/>
      <c r="AS30" s="101"/>
      <c r="AT30" s="101"/>
      <c r="AU30" s="101"/>
      <c r="AV30" s="101"/>
      <c r="AW30" s="101"/>
      <c r="AX30" s="101"/>
    </row>
    <row r="31" spans="1:52" ht="13.35" customHeight="1">
      <c r="B31" s="64"/>
      <c r="C31" s="64" t="s">
        <v>130</v>
      </c>
      <c r="D31" s="65"/>
      <c r="E31" s="65"/>
      <c r="F31" s="65"/>
      <c r="G31" s="65"/>
      <c r="H31" s="65"/>
      <c r="I31" s="65"/>
      <c r="J31" s="65"/>
      <c r="K31" s="444"/>
      <c r="L31" s="66"/>
      <c r="M31" s="65"/>
      <c r="N31" s="65"/>
      <c r="O31" s="65"/>
      <c r="P31" s="65"/>
      <c r="Q31" s="65"/>
      <c r="R31" s="65"/>
      <c r="S31" s="65"/>
      <c r="T31" s="101"/>
      <c r="U31" s="101"/>
      <c r="V31" s="101"/>
      <c r="W31" s="101"/>
      <c r="X31" s="101"/>
      <c r="Y31" s="101"/>
      <c r="Z31" s="101"/>
      <c r="AA31" s="101"/>
      <c r="AB31" s="101"/>
      <c r="AC31" s="101"/>
      <c r="AD31" s="101"/>
      <c r="AE31" s="101"/>
      <c r="AF31" s="361"/>
      <c r="AG31" s="101"/>
      <c r="AH31" s="101"/>
      <c r="AI31" s="101"/>
      <c r="AJ31" s="101"/>
      <c r="AK31" s="101"/>
      <c r="AL31" s="101"/>
      <c r="AM31" s="101"/>
      <c r="AN31" s="101"/>
      <c r="AO31" s="101"/>
      <c r="AP31" s="101"/>
      <c r="AQ31" s="101"/>
      <c r="AR31" s="101"/>
      <c r="AS31" s="101"/>
      <c r="AT31" s="101"/>
      <c r="AU31" s="101"/>
      <c r="AV31" s="101"/>
      <c r="AW31" s="101"/>
      <c r="AX31" s="101"/>
    </row>
    <row r="32" spans="1:52" ht="13.35" customHeight="1">
      <c r="B32" s="64"/>
      <c r="C32" s="64" t="s">
        <v>131</v>
      </c>
      <c r="D32" s="65"/>
      <c r="E32" s="65"/>
      <c r="F32" s="65"/>
      <c r="G32" s="65"/>
      <c r="H32" s="65"/>
      <c r="I32" s="65"/>
      <c r="J32" s="65"/>
      <c r="K32" s="444"/>
      <c r="L32" s="66"/>
      <c r="M32" s="65"/>
      <c r="N32" s="65"/>
      <c r="O32" s="65"/>
      <c r="P32" s="65"/>
      <c r="Q32" s="65"/>
      <c r="R32" s="65"/>
      <c r="S32" s="65"/>
      <c r="T32" s="101"/>
      <c r="U32" s="101"/>
      <c r="V32" s="101"/>
      <c r="W32" s="101"/>
      <c r="X32" s="101"/>
      <c r="Y32" s="101"/>
      <c r="Z32" s="101"/>
      <c r="AA32" s="101"/>
      <c r="AB32" s="101"/>
      <c r="AC32" s="101"/>
      <c r="AD32" s="101"/>
      <c r="AE32" s="101"/>
      <c r="AF32" s="361"/>
      <c r="AG32" s="101"/>
      <c r="AH32" s="101"/>
      <c r="AI32" s="101"/>
      <c r="AJ32" s="101"/>
      <c r="AK32" s="101"/>
      <c r="AL32" s="101"/>
      <c r="AM32" s="101"/>
      <c r="AN32" s="101"/>
      <c r="AO32" s="101"/>
      <c r="AP32" s="101"/>
      <c r="AQ32" s="101"/>
      <c r="AR32" s="101"/>
      <c r="AS32" s="101"/>
      <c r="AT32" s="101"/>
      <c r="AU32" s="101"/>
      <c r="AV32" s="101"/>
      <c r="AW32" s="101"/>
      <c r="AX32" s="101"/>
    </row>
    <row r="33" spans="1:51" ht="13.35" customHeight="1">
      <c r="B33" s="64"/>
      <c r="C33" s="64" t="s">
        <v>132</v>
      </c>
      <c r="D33" s="65"/>
      <c r="E33" s="65"/>
      <c r="F33" s="65"/>
      <c r="G33" s="65"/>
      <c r="H33" s="65"/>
      <c r="I33" s="65"/>
      <c r="J33" s="65"/>
      <c r="K33" s="444"/>
      <c r="L33" s="66"/>
      <c r="M33" s="65"/>
      <c r="N33" s="65"/>
      <c r="O33" s="65"/>
      <c r="P33" s="65"/>
      <c r="Q33" s="65"/>
      <c r="R33" s="65"/>
      <c r="S33" s="65"/>
      <c r="T33" s="101"/>
      <c r="U33" s="101"/>
      <c r="V33" s="101"/>
      <c r="W33" s="101"/>
      <c r="X33" s="101"/>
      <c r="Y33" s="101"/>
      <c r="Z33" s="101"/>
      <c r="AA33" s="101"/>
      <c r="AB33" s="101"/>
      <c r="AC33" s="101"/>
      <c r="AD33" s="101"/>
      <c r="AE33" s="101"/>
      <c r="AF33" s="361"/>
      <c r="AG33" s="101"/>
      <c r="AH33" s="101"/>
      <c r="AI33" s="101"/>
      <c r="AJ33" s="101"/>
      <c r="AK33" s="101"/>
      <c r="AL33" s="101"/>
      <c r="AM33" s="101"/>
      <c r="AN33" s="101"/>
      <c r="AO33" s="101"/>
      <c r="AP33" s="101"/>
      <c r="AQ33" s="101"/>
      <c r="AR33" s="101"/>
      <c r="AS33" s="101"/>
      <c r="AT33" s="101"/>
      <c r="AU33" s="101"/>
      <c r="AV33" s="101"/>
      <c r="AW33" s="101"/>
      <c r="AX33" s="101"/>
    </row>
    <row r="34" spans="1:51" ht="13.35" customHeight="1">
      <c r="B34" s="64"/>
      <c r="C34" s="64" t="s">
        <v>133</v>
      </c>
      <c r="D34" s="65"/>
      <c r="E34" s="65"/>
      <c r="F34" s="65"/>
      <c r="G34" s="65"/>
      <c r="H34" s="65"/>
      <c r="I34" s="65"/>
      <c r="J34" s="65"/>
      <c r="K34" s="444"/>
      <c r="L34" s="66"/>
      <c r="M34" s="65"/>
      <c r="N34" s="65"/>
      <c r="O34" s="65"/>
      <c r="P34" s="65"/>
      <c r="Q34" s="65"/>
      <c r="R34" s="65"/>
      <c r="S34" s="65"/>
      <c r="T34" s="101"/>
      <c r="U34" s="101"/>
      <c r="V34" s="101"/>
      <c r="W34" s="101"/>
      <c r="X34" s="101"/>
      <c r="Y34" s="101"/>
      <c r="Z34" s="101"/>
      <c r="AA34" s="101"/>
      <c r="AB34" s="101"/>
      <c r="AC34" s="101"/>
      <c r="AD34" s="101"/>
      <c r="AE34" s="101"/>
      <c r="AF34" s="361"/>
      <c r="AG34" s="101"/>
      <c r="AH34" s="101"/>
      <c r="AI34" s="101"/>
      <c r="AJ34" s="101"/>
      <c r="AK34" s="101"/>
      <c r="AL34" s="101"/>
      <c r="AM34" s="101"/>
      <c r="AN34" s="101"/>
      <c r="AO34" s="101"/>
      <c r="AP34" s="101"/>
      <c r="AQ34" s="101"/>
      <c r="AR34" s="101"/>
      <c r="AS34" s="101"/>
      <c r="AT34" s="101"/>
      <c r="AU34" s="101"/>
      <c r="AV34" s="101"/>
      <c r="AW34" s="101"/>
      <c r="AX34" s="101"/>
    </row>
    <row r="35" spans="1:51" ht="13.35" customHeight="1">
      <c r="B35" s="64"/>
      <c r="C35" s="64" t="s">
        <v>134</v>
      </c>
      <c r="D35" s="65"/>
      <c r="E35" s="65"/>
      <c r="F35" s="65"/>
      <c r="G35" s="65"/>
      <c r="H35" s="65"/>
      <c r="I35" s="65"/>
      <c r="J35" s="65"/>
      <c r="K35" s="444"/>
      <c r="L35" s="66"/>
      <c r="M35" s="65"/>
      <c r="N35" s="65"/>
      <c r="O35" s="65"/>
      <c r="P35" s="65"/>
      <c r="Q35" s="65"/>
      <c r="R35" s="65"/>
      <c r="S35" s="65"/>
      <c r="T35" s="101"/>
      <c r="U35" s="101"/>
      <c r="V35" s="101"/>
      <c r="W35" s="101"/>
      <c r="X35" s="101"/>
      <c r="Y35" s="101"/>
      <c r="Z35" s="101"/>
      <c r="AA35" s="101"/>
      <c r="AB35" s="101"/>
      <c r="AC35" s="101"/>
      <c r="AD35" s="101"/>
      <c r="AE35" s="101"/>
      <c r="AF35" s="361"/>
      <c r="AG35" s="101"/>
      <c r="AH35" s="101"/>
      <c r="AI35" s="101"/>
      <c r="AJ35" s="101"/>
      <c r="AK35" s="101"/>
      <c r="AL35" s="101"/>
      <c r="AM35" s="101"/>
      <c r="AN35" s="101"/>
      <c r="AO35" s="101"/>
      <c r="AP35" s="101"/>
      <c r="AQ35" s="101"/>
      <c r="AR35" s="101"/>
      <c r="AS35" s="101"/>
      <c r="AT35" s="101"/>
      <c r="AU35" s="101"/>
      <c r="AV35" s="101"/>
      <c r="AW35" s="101"/>
      <c r="AX35" s="101"/>
    </row>
    <row r="36" spans="1:51" ht="13.35" customHeight="1">
      <c r="C36" s="43" t="s">
        <v>135</v>
      </c>
    </row>
    <row r="38" spans="1:51" s="72" customFormat="1" ht="15" customHeight="1">
      <c r="A38" s="491"/>
      <c r="B38" s="67" t="s">
        <v>58</v>
      </c>
      <c r="C38" s="67"/>
      <c r="D38" s="68"/>
      <c r="E38" s="68"/>
      <c r="F38" s="68"/>
      <c r="G38" s="68"/>
      <c r="H38" s="68"/>
      <c r="I38" s="68"/>
      <c r="J38" s="68"/>
      <c r="K38" s="438"/>
      <c r="L38" s="77"/>
      <c r="M38" s="625" t="s">
        <v>122</v>
      </c>
      <c r="N38" s="625"/>
      <c r="O38" s="625"/>
      <c r="P38" s="78"/>
      <c r="Q38" s="625" t="s">
        <v>61</v>
      </c>
      <c r="R38" s="625"/>
      <c r="S38" s="105" t="s">
        <v>62</v>
      </c>
      <c r="T38" s="70"/>
      <c r="U38" s="71">
        <v>2011</v>
      </c>
      <c r="V38" s="71">
        <f>U38+1</f>
        <v>2012</v>
      </c>
      <c r="W38" s="71">
        <f t="shared" ref="W38:AL39" si="45">V38+1</f>
        <v>2013</v>
      </c>
      <c r="X38" s="71">
        <f t="shared" si="45"/>
        <v>2014</v>
      </c>
      <c r="Y38" s="71">
        <f t="shared" si="45"/>
        <v>2015</v>
      </c>
      <c r="Z38" s="71">
        <f t="shared" si="45"/>
        <v>2016</v>
      </c>
      <c r="AA38" s="71">
        <f t="shared" si="45"/>
        <v>2017</v>
      </c>
      <c r="AB38" s="71">
        <f t="shared" si="45"/>
        <v>2018</v>
      </c>
      <c r="AC38" s="71">
        <f t="shared" si="45"/>
        <v>2019</v>
      </c>
      <c r="AD38" s="71">
        <f t="shared" si="45"/>
        <v>2020</v>
      </c>
      <c r="AE38" s="71">
        <f t="shared" si="45"/>
        <v>2021</v>
      </c>
      <c r="AF38" s="71">
        <f t="shared" si="45"/>
        <v>2022</v>
      </c>
      <c r="AG38" s="71">
        <f t="shared" si="45"/>
        <v>2023</v>
      </c>
      <c r="AH38" s="71">
        <f t="shared" si="45"/>
        <v>2024</v>
      </c>
      <c r="AI38" s="71">
        <f t="shared" si="45"/>
        <v>2025</v>
      </c>
      <c r="AJ38" s="71">
        <f t="shared" si="45"/>
        <v>2026</v>
      </c>
      <c r="AK38" s="71">
        <f t="shared" si="45"/>
        <v>2027</v>
      </c>
      <c r="AL38" s="71">
        <f t="shared" si="45"/>
        <v>2028</v>
      </c>
      <c r="AM38" s="71">
        <f>AL38+1</f>
        <v>2029</v>
      </c>
      <c r="AN38" s="71">
        <f>AM38+1</f>
        <v>2030</v>
      </c>
      <c r="AO38" s="71">
        <f t="shared" ref="AO38:AX38" si="46">AN38+1</f>
        <v>2031</v>
      </c>
      <c r="AP38" s="71">
        <f t="shared" si="46"/>
        <v>2032</v>
      </c>
      <c r="AQ38" s="71">
        <f t="shared" si="46"/>
        <v>2033</v>
      </c>
      <c r="AR38" s="71">
        <f t="shared" si="46"/>
        <v>2034</v>
      </c>
      <c r="AS38" s="71">
        <f t="shared" si="46"/>
        <v>2035</v>
      </c>
      <c r="AT38" s="71">
        <f t="shared" si="46"/>
        <v>2036</v>
      </c>
      <c r="AU38" s="71">
        <f t="shared" si="46"/>
        <v>2037</v>
      </c>
      <c r="AV38" s="71">
        <f t="shared" si="46"/>
        <v>2038</v>
      </c>
      <c r="AW38" s="71">
        <f t="shared" si="46"/>
        <v>2039</v>
      </c>
      <c r="AX38" s="71">
        <f t="shared" si="46"/>
        <v>2040</v>
      </c>
    </row>
    <row r="39" spans="1:51" s="72" customFormat="1" ht="22.5">
      <c r="A39" s="491"/>
      <c r="B39" s="80" t="s">
        <v>66</v>
      </c>
      <c r="C39" s="67" t="s">
        <v>136</v>
      </c>
      <c r="D39" s="69"/>
      <c r="E39" s="69"/>
      <c r="F39" s="69"/>
      <c r="G39" s="69"/>
      <c r="H39" s="69"/>
      <c r="I39" s="69"/>
      <c r="J39" s="69"/>
      <c r="K39" s="445" t="s">
        <v>59</v>
      </c>
      <c r="L39" s="106" t="s">
        <v>71</v>
      </c>
      <c r="M39" s="82" t="s">
        <v>72</v>
      </c>
      <c r="N39" s="82" t="s">
        <v>51</v>
      </c>
      <c r="O39" s="83" t="s">
        <v>73</v>
      </c>
      <c r="P39" s="83"/>
      <c r="Q39" s="77" t="s">
        <v>49</v>
      </c>
      <c r="R39" s="82" t="s">
        <v>124</v>
      </c>
      <c r="S39" s="77" t="s">
        <v>125</v>
      </c>
      <c r="T39" s="77" t="s">
        <v>25</v>
      </c>
      <c r="U39" s="71">
        <v>0</v>
      </c>
      <c r="V39" s="71">
        <f>U39+1</f>
        <v>1</v>
      </c>
      <c r="W39" s="71">
        <f t="shared" si="45"/>
        <v>2</v>
      </c>
      <c r="X39" s="71">
        <f t="shared" si="45"/>
        <v>3</v>
      </c>
      <c r="Y39" s="71">
        <f t="shared" si="45"/>
        <v>4</v>
      </c>
      <c r="Z39" s="71">
        <f t="shared" si="45"/>
        <v>5</v>
      </c>
      <c r="AA39" s="71">
        <f t="shared" si="45"/>
        <v>6</v>
      </c>
      <c r="AB39" s="71">
        <f t="shared" si="45"/>
        <v>7</v>
      </c>
      <c r="AC39" s="71">
        <f t="shared" si="45"/>
        <v>8</v>
      </c>
      <c r="AD39" s="71">
        <f t="shared" si="45"/>
        <v>9</v>
      </c>
      <c r="AE39" s="71">
        <f t="shared" si="45"/>
        <v>10</v>
      </c>
      <c r="AF39" s="71">
        <f t="shared" si="45"/>
        <v>11</v>
      </c>
      <c r="AG39" s="71">
        <f t="shared" si="45"/>
        <v>12</v>
      </c>
      <c r="AH39" s="71">
        <f t="shared" si="45"/>
        <v>13</v>
      </c>
      <c r="AI39" s="71">
        <f t="shared" si="45"/>
        <v>14</v>
      </c>
      <c r="AJ39" s="71">
        <f t="shared" si="45"/>
        <v>15</v>
      </c>
      <c r="AK39" s="71">
        <f t="shared" si="45"/>
        <v>16</v>
      </c>
      <c r="AL39" s="71">
        <f t="shared" si="45"/>
        <v>17</v>
      </c>
      <c r="AM39" s="71">
        <f>AL39+1</f>
        <v>18</v>
      </c>
      <c r="AN39" s="71">
        <f>AM39+1</f>
        <v>19</v>
      </c>
      <c r="AO39" s="71">
        <f t="shared" ref="AO39:AX39" si="47">AN39+1</f>
        <v>20</v>
      </c>
      <c r="AP39" s="71">
        <f t="shared" si="47"/>
        <v>21</v>
      </c>
      <c r="AQ39" s="71">
        <f t="shared" si="47"/>
        <v>22</v>
      </c>
      <c r="AR39" s="71">
        <f t="shared" si="47"/>
        <v>23</v>
      </c>
      <c r="AS39" s="71">
        <f t="shared" si="47"/>
        <v>24</v>
      </c>
      <c r="AT39" s="71">
        <f t="shared" si="47"/>
        <v>25</v>
      </c>
      <c r="AU39" s="71">
        <f t="shared" si="47"/>
        <v>26</v>
      </c>
      <c r="AV39" s="71">
        <f t="shared" si="47"/>
        <v>27</v>
      </c>
      <c r="AW39" s="71">
        <f t="shared" si="47"/>
        <v>28</v>
      </c>
      <c r="AX39" s="71">
        <f t="shared" si="47"/>
        <v>29</v>
      </c>
    </row>
    <row r="40" spans="1:51">
      <c r="B40" s="84" t="s">
        <v>137</v>
      </c>
      <c r="C40" s="85"/>
      <c r="D40" s="87"/>
      <c r="E40" s="87"/>
      <c r="F40" s="87"/>
      <c r="G40" s="87"/>
      <c r="H40" s="87"/>
      <c r="I40" s="87"/>
      <c r="J40" s="87"/>
      <c r="K40" s="440"/>
      <c r="L40" s="86"/>
      <c r="M40" s="87"/>
      <c r="N40" s="87"/>
      <c r="O40" s="87"/>
      <c r="P40" s="87"/>
      <c r="Q40" s="87"/>
      <c r="R40" s="87"/>
      <c r="S40" s="87"/>
      <c r="T40" s="85"/>
      <c r="U40" s="88"/>
      <c r="V40" s="88"/>
      <c r="W40" s="88"/>
      <c r="X40" s="88"/>
      <c r="Y40" s="88"/>
      <c r="Z40" s="88"/>
      <c r="AA40" s="88"/>
      <c r="AB40" s="88"/>
      <c r="AC40" s="88"/>
      <c r="AD40" s="88"/>
      <c r="AE40" s="88"/>
      <c r="AF40" s="360"/>
      <c r="AG40" s="88"/>
      <c r="AH40" s="88"/>
      <c r="AI40" s="88"/>
      <c r="AJ40" s="88"/>
      <c r="AK40" s="88"/>
      <c r="AL40" s="88"/>
      <c r="AM40" s="88"/>
      <c r="AN40" s="88"/>
      <c r="AO40" s="88"/>
      <c r="AP40" s="88"/>
      <c r="AQ40" s="88"/>
      <c r="AR40" s="88"/>
      <c r="AS40" s="88"/>
      <c r="AT40" s="88"/>
      <c r="AU40" s="88"/>
      <c r="AV40" s="88"/>
      <c r="AW40" s="88"/>
      <c r="AX40" s="88"/>
    </row>
    <row r="41" spans="1:51" ht="13.35" customHeight="1">
      <c r="B41" s="32">
        <v>1</v>
      </c>
      <c r="C41" s="49" t="s">
        <v>2</v>
      </c>
      <c r="D41" s="49"/>
      <c r="E41" s="65"/>
      <c r="F41" s="65"/>
      <c r="G41" s="65"/>
      <c r="H41" s="65"/>
      <c r="I41" s="65"/>
      <c r="J41" s="65"/>
      <c r="K41" s="444"/>
      <c r="L41" s="66"/>
      <c r="M41" s="89">
        <f>M6</f>
        <v>30000000</v>
      </c>
      <c r="N41" s="65"/>
      <c r="O41" s="65"/>
      <c r="P41" s="65"/>
      <c r="Q41" s="65"/>
      <c r="R41" s="65"/>
      <c r="S41" s="65"/>
      <c r="T41" s="101">
        <f t="shared" ref="T41:T60" si="48">SUM(U41:AX41)</f>
        <v>-29742026.32</v>
      </c>
      <c r="U41" s="385">
        <f>'BOYU Capital Fund I CF'!L10</f>
        <v>-3026238.1</v>
      </c>
      <c r="V41" s="385">
        <f>'BOYU Capital Fund I CF'!L12+'BOYU Capital Fund I CF'!L14+'BOYU Capital Fund I CF'!L15+'BOYU Capital Fund I CF'!L16+'BOYU Capital Fund I CF'!L18</f>
        <v>-13434434.539999999</v>
      </c>
      <c r="W41" s="385">
        <f>'BOYU Capital Fund I CF'!L20+'BOYU Capital Fund I CF'!L21+'BOYU Capital Fund I CF'!L23</f>
        <v>-2311707</v>
      </c>
      <c r="X41" s="385">
        <f>'BOYU Capital Fund I CF'!L26+'BOYU Capital Fund I CF'!L27+'BOYU Capital Fund I CF'!L29+'BOYU Capital Fund I CF'!L30+'BOYU Capital Fund I CF'!L31+'BOYU Capital Fund I CF'!L34</f>
        <v>-6199025.8300000001</v>
      </c>
      <c r="Y41" s="385">
        <f>'BOYU Capital Fund I CF'!L36+'BOYU Capital Fund I CF'!L37+'BOYU Capital Fund I CF'!L40+'BOYU Capital Fund I CF'!L43+'BOYU Capital Fund I CF'!L46</f>
        <v>-3309201.96</v>
      </c>
      <c r="Z41" s="385">
        <f>'BOYU Capital Fund I CF'!L49+'BOYU Capital Fund I CF'!L51+'BOYU Capital Fund I CF'!L52</f>
        <v>-488498.81999999995</v>
      </c>
      <c r="AA41" s="385">
        <f>'BOYU Capital Fund I CF'!L56+'BOYU Capital Fund I CF'!L60+'BOYU Capital Fund I CF'!L65</f>
        <v>-273132.08999999997</v>
      </c>
      <c r="AB41" s="385">
        <f>'BOYU Capital Fund I CF'!L66+'BOYU Capital Fund I CF'!L70</f>
        <v>-182878.86</v>
      </c>
      <c r="AC41" s="385">
        <f>'BOYU Capital Fund I CF'!L72+'BOYU Capital Fund I CF'!L74+'BOYU Capital Fund I CF'!L77</f>
        <v>-157424.57999999999</v>
      </c>
      <c r="AD41" s="385">
        <f>'BOYU Capital Fund I CF'!L82+'BOYU Capital Fund I CF'!L85</f>
        <v>-120277.23</v>
      </c>
      <c r="AE41" s="385">
        <f>'BOYU Capital Fund I CF'!L87+'BOYU Capital Fund I CF'!L90</f>
        <v>-72816.23</v>
      </c>
      <c r="AF41" s="385">
        <f>'BOYU Capital Fund I CF'!L92+'BOYU Capital Fund I CF'!L94</f>
        <v>-57293.78</v>
      </c>
      <c r="AG41" s="103">
        <f>'BOYU Capital Fund I CF'!L95+'BOYU Capital Fund I CF'!L96</f>
        <v>-109097.3</v>
      </c>
      <c r="AH41" s="103">
        <v>0</v>
      </c>
      <c r="AI41" s="111">
        <v>0</v>
      </c>
      <c r="AJ41" s="111">
        <v>0</v>
      </c>
      <c r="AK41" s="111">
        <v>0</v>
      </c>
      <c r="AL41" s="111">
        <v>0</v>
      </c>
      <c r="AM41" s="111">
        <v>0</v>
      </c>
      <c r="AN41" s="111">
        <v>0</v>
      </c>
      <c r="AY41" s="43" t="s">
        <v>138</v>
      </c>
    </row>
    <row r="42" spans="1:51" ht="13.35" customHeight="1">
      <c r="B42" s="32">
        <f>B41+1</f>
        <v>2</v>
      </c>
      <c r="C42" s="49" t="s">
        <v>3</v>
      </c>
      <c r="D42" s="49"/>
      <c r="E42" s="65"/>
      <c r="F42" s="65"/>
      <c r="G42" s="65"/>
      <c r="H42" s="65"/>
      <c r="I42" s="65"/>
      <c r="J42" s="65"/>
      <c r="K42" s="444"/>
      <c r="L42" s="66"/>
      <c r="M42" s="89">
        <f>M7</f>
        <v>10000000</v>
      </c>
      <c r="N42" s="65"/>
      <c r="O42" s="65"/>
      <c r="P42" s="65"/>
      <c r="Q42" s="65"/>
      <c r="R42" s="65"/>
      <c r="S42" s="65"/>
      <c r="T42" s="101">
        <f t="shared" si="48"/>
        <v>-9155663.4199999981</v>
      </c>
      <c r="U42" s="103">
        <v>0</v>
      </c>
      <c r="V42" s="103">
        <f>'Ascendant CP I CF'!L11+'Ascendant CP I CF'!L12+'Ascendant CP I CF'!L13+'Ascendant CP I CF'!L15</f>
        <v>-2938196.14</v>
      </c>
      <c r="W42" s="103">
        <f>'Ascendant CP I CF'!L17+'Ascendant CP I CF'!L18+'Ascendant CP I CF'!L19+'Ascendant CP I CF'!L20+'Ascendant CP I CF'!L21</f>
        <v>-2121566.1900000004</v>
      </c>
      <c r="X42" s="103">
        <f>'Ascendant CP I CF'!L22+'Ascendant CP I CF'!L24+'Ascendant CP I CF'!L25+'Ascendant CP I CF'!L26+'Ascendant CP I CF'!L31</f>
        <v>-2214175.84</v>
      </c>
      <c r="Y42" s="103">
        <f>'Ascendant CP I CF'!L34+'Ascendant CP I CF'!L37</f>
        <v>-1275365.5299999998</v>
      </c>
      <c r="Z42" s="103">
        <f>'Ascendant CP I CF'!L38+'Ascendant CP I CF'!L40</f>
        <v>-225358.24</v>
      </c>
      <c r="AA42" s="103">
        <f>'Ascendant CP I CF'!L42</f>
        <v>-126777</v>
      </c>
      <c r="AB42" s="103">
        <f>'Ascendant CP I CF'!L45+'Ascendant CP I CF'!L46+'Ascendant CP I CF'!L47+'Ascendant CP I CF'!L49</f>
        <v>-109918.94</v>
      </c>
      <c r="AC42" s="385">
        <f>'Ascendant CP I CF'!L51+'Ascendant CP I CF'!L52</f>
        <v>-53912.04</v>
      </c>
      <c r="AD42" s="385">
        <f>'Ascendant CP I CF'!L53+'Ascendant CP I CF'!L54</f>
        <v>-58314.38</v>
      </c>
      <c r="AE42" s="103">
        <f>'Ascendant CP I CF'!L56+'Ascendant CP I CF'!L58</f>
        <v>-26929.11</v>
      </c>
      <c r="AF42" s="385">
        <f>'Ascendant CP I CF'!L61</f>
        <v>-4396.9399999999996</v>
      </c>
      <c r="AG42" s="103">
        <f>'Ascendant CP I CF'!L63</f>
        <v>-753.07</v>
      </c>
      <c r="AH42" s="111">
        <v>0</v>
      </c>
      <c r="AI42" s="111">
        <v>0</v>
      </c>
      <c r="AJ42" s="111">
        <v>0</v>
      </c>
      <c r="AK42" s="111">
        <v>0</v>
      </c>
      <c r="AL42" s="111">
        <v>0</v>
      </c>
      <c r="AM42" s="111">
        <v>0</v>
      </c>
      <c r="AN42" s="111">
        <v>0</v>
      </c>
      <c r="AY42" s="43" t="s">
        <v>139</v>
      </c>
    </row>
    <row r="43" spans="1:51" ht="13.35" customHeight="1">
      <c r="B43" s="32">
        <f t="shared" ref="B43:B60" si="49">B42+1</f>
        <v>3</v>
      </c>
      <c r="C43" s="49" t="s">
        <v>4</v>
      </c>
      <c r="D43" s="49"/>
      <c r="E43" s="65"/>
      <c r="F43" s="65"/>
      <c r="G43" s="65"/>
      <c r="H43" s="65"/>
      <c r="I43" s="65"/>
      <c r="J43" s="65"/>
      <c r="K43" s="444"/>
      <c r="L43" s="66"/>
      <c r="M43" s="89">
        <f>M8</f>
        <v>10000000</v>
      </c>
      <c r="N43" s="65"/>
      <c r="O43" s="65"/>
      <c r="P43" s="65"/>
      <c r="Q43" s="65"/>
      <c r="R43" s="65"/>
      <c r="S43" s="65"/>
      <c r="T43" s="101">
        <f t="shared" si="48"/>
        <v>-10000000</v>
      </c>
      <c r="U43" s="103">
        <v>0</v>
      </c>
      <c r="V43" s="103">
        <v>0</v>
      </c>
      <c r="W43" s="103">
        <v>0</v>
      </c>
      <c r="X43" s="103">
        <v>0</v>
      </c>
      <c r="Y43" s="103">
        <v>0</v>
      </c>
      <c r="Z43" s="103">
        <v>-10000000</v>
      </c>
      <c r="AA43" s="103">
        <v>0</v>
      </c>
      <c r="AB43" s="103">
        <v>0</v>
      </c>
      <c r="AC43" s="103">
        <v>0</v>
      </c>
      <c r="AD43" s="103">
        <v>0</v>
      </c>
      <c r="AE43" s="103">
        <v>0</v>
      </c>
      <c r="AF43" s="385">
        <v>0</v>
      </c>
      <c r="AG43" s="111">
        <v>0</v>
      </c>
      <c r="AH43" s="111">
        <v>0</v>
      </c>
      <c r="AI43" s="111">
        <v>0</v>
      </c>
      <c r="AJ43" s="111">
        <v>0</v>
      </c>
      <c r="AK43" s="111">
        <v>0</v>
      </c>
      <c r="AL43" s="111">
        <v>0</v>
      </c>
      <c r="AM43" s="111">
        <v>0</v>
      </c>
      <c r="AN43" s="111">
        <v>0</v>
      </c>
      <c r="AY43" s="43" t="s">
        <v>139</v>
      </c>
    </row>
    <row r="44" spans="1:51" ht="13.35" customHeight="1">
      <c r="B44" s="32">
        <f t="shared" si="49"/>
        <v>4</v>
      </c>
      <c r="C44" s="49" t="s">
        <v>117</v>
      </c>
      <c r="D44" s="49"/>
      <c r="E44" s="65"/>
      <c r="F44" s="65"/>
      <c r="G44" s="65"/>
      <c r="H44" s="65"/>
      <c r="I44" s="65"/>
      <c r="J44" s="65"/>
      <c r="K44" s="444"/>
      <c r="L44" s="66"/>
      <c r="M44" s="104"/>
      <c r="N44" s="65"/>
      <c r="O44" s="65"/>
      <c r="P44" s="65"/>
      <c r="Q44" s="65"/>
      <c r="R44" s="65"/>
      <c r="S44" s="65"/>
      <c r="T44" s="101">
        <f t="shared" si="48"/>
        <v>-3413271.44</v>
      </c>
      <c r="U44" s="103">
        <v>0</v>
      </c>
      <c r="V44" s="103">
        <v>0</v>
      </c>
      <c r="W44" s="103">
        <v>0</v>
      </c>
      <c r="X44" s="103">
        <v>0</v>
      </c>
      <c r="Y44" s="385">
        <v>-1973271.44</v>
      </c>
      <c r="Z44" s="385">
        <v>0</v>
      </c>
      <c r="AA44" s="385">
        <v>-1440000</v>
      </c>
      <c r="AB44" s="385">
        <v>0</v>
      </c>
      <c r="AC44" s="385">
        <v>0</v>
      </c>
      <c r="AD44" s="385">
        <v>0</v>
      </c>
      <c r="AE44" s="111">
        <v>0</v>
      </c>
      <c r="AF44" s="385">
        <v>0</v>
      </c>
      <c r="AG44" s="111">
        <v>0</v>
      </c>
      <c r="AH44" s="111">
        <v>0</v>
      </c>
      <c r="AI44" s="111">
        <v>0</v>
      </c>
      <c r="AJ44" s="111">
        <v>0</v>
      </c>
      <c r="AK44" s="111">
        <v>0</v>
      </c>
      <c r="AL44" s="111">
        <v>0</v>
      </c>
      <c r="AM44" s="111">
        <v>0</v>
      </c>
      <c r="AN44" s="111">
        <v>0</v>
      </c>
      <c r="AY44" s="43" t="s">
        <v>139</v>
      </c>
    </row>
    <row r="45" spans="1:51" ht="13.35" customHeight="1">
      <c r="B45" s="32">
        <f t="shared" si="49"/>
        <v>5</v>
      </c>
      <c r="C45" s="49" t="s">
        <v>17</v>
      </c>
      <c r="D45" s="49"/>
      <c r="E45" s="65"/>
      <c r="F45" s="65"/>
      <c r="G45" s="65"/>
      <c r="H45" s="65"/>
      <c r="I45" s="65"/>
      <c r="J45" s="65"/>
      <c r="K45" s="444"/>
      <c r="L45" s="66"/>
      <c r="M45" s="89">
        <f>M9</f>
        <v>6000000</v>
      </c>
      <c r="N45" s="65"/>
      <c r="O45" s="65"/>
      <c r="P45" s="65"/>
      <c r="Q45" s="65"/>
      <c r="R45" s="65"/>
      <c r="S45" s="65"/>
      <c r="T45" s="101">
        <f t="shared" si="48"/>
        <v>-6000000</v>
      </c>
      <c r="U45" s="103">
        <v>0</v>
      </c>
      <c r="V45" s="103">
        <v>0</v>
      </c>
      <c r="W45" s="103">
        <v>0</v>
      </c>
      <c r="X45" s="103">
        <v>0</v>
      </c>
      <c r="Y45" s="103">
        <v>0</v>
      </c>
      <c r="Z45" s="103">
        <v>0</v>
      </c>
      <c r="AA45" s="103">
        <f>'E15 Fund I (CF) '!J10+'E15 Fund I (CF) '!J11</f>
        <v>-6000000</v>
      </c>
      <c r="AB45" s="103">
        <v>0</v>
      </c>
      <c r="AC45" s="103">
        <v>0</v>
      </c>
      <c r="AD45" s="103">
        <v>0</v>
      </c>
      <c r="AE45" s="103">
        <v>0</v>
      </c>
      <c r="AF45" s="385">
        <v>0</v>
      </c>
      <c r="AG45" s="110">
        <v>0</v>
      </c>
      <c r="AH45" s="110">
        <v>0</v>
      </c>
      <c r="AI45" s="110">
        <v>0</v>
      </c>
      <c r="AJ45" s="110">
        <v>0</v>
      </c>
      <c r="AK45" s="110">
        <v>0</v>
      </c>
      <c r="AL45" s="110">
        <v>0</v>
      </c>
      <c r="AM45" s="110">
        <v>0</v>
      </c>
      <c r="AN45" s="110">
        <v>0</v>
      </c>
      <c r="AY45" s="43" t="s">
        <v>139</v>
      </c>
    </row>
    <row r="46" spans="1:51" ht="13.35" customHeight="1">
      <c r="B46" s="32">
        <f t="shared" si="49"/>
        <v>6</v>
      </c>
      <c r="C46" s="49" t="s">
        <v>20</v>
      </c>
      <c r="D46" s="49"/>
      <c r="E46" s="65"/>
      <c r="F46" s="65"/>
      <c r="G46" s="65"/>
      <c r="H46" s="65"/>
      <c r="I46" s="65"/>
      <c r="J46" s="65"/>
      <c r="K46" s="444"/>
      <c r="L46" s="66"/>
      <c r="M46" s="89">
        <f>M10</f>
        <v>25000000</v>
      </c>
      <c r="N46" s="65"/>
      <c r="O46" s="65"/>
      <c r="P46" s="65"/>
      <c r="Q46" s="65"/>
      <c r="R46" s="65"/>
      <c r="S46" s="65"/>
      <c r="T46" s="101">
        <f t="shared" si="48"/>
        <v>-25000000</v>
      </c>
      <c r="U46" s="103">
        <v>0</v>
      </c>
      <c r="V46" s="103">
        <v>0</v>
      </c>
      <c r="W46" s="103">
        <v>0</v>
      </c>
      <c r="X46" s="103">
        <v>0</v>
      </c>
      <c r="Y46" s="103">
        <v>0</v>
      </c>
      <c r="Z46" s="103">
        <v>0</v>
      </c>
      <c r="AA46" s="103">
        <v>0</v>
      </c>
      <c r="AB46" s="103">
        <v>0</v>
      </c>
      <c r="AC46" s="103">
        <v>0</v>
      </c>
      <c r="AD46" s="103">
        <f>'West Street VII (CF)'!L11</f>
        <v>-17882500</v>
      </c>
      <c r="AE46" s="103">
        <f>'West Street VII (CF)'!L12+'West Street VII (CF)'!L13+'West Street VII (CF)'!L15</f>
        <v>-2050000</v>
      </c>
      <c r="AF46" s="385">
        <f>'West Street VII (CF)'!L20</f>
        <v>-250000</v>
      </c>
      <c r="AG46" s="103">
        <f>'West Street VII (CF)'!L27</f>
        <v>-163548</v>
      </c>
      <c r="AH46" s="103">
        <f>'West Street VII (CF)'!L29</f>
        <v>-650000</v>
      </c>
      <c r="AI46" s="498">
        <f>[4]Cashflow!$P$38</f>
        <v>0</v>
      </c>
      <c r="AJ46" s="110">
        <f>(M10+SUM(AD46:AI46))*-1</f>
        <v>-4003952</v>
      </c>
      <c r="AK46" s="110">
        <v>0</v>
      </c>
      <c r="AL46" s="110">
        <v>0</v>
      </c>
      <c r="AM46" s="110">
        <v>0</v>
      </c>
      <c r="AN46" s="110">
        <v>0</v>
      </c>
      <c r="AY46" s="53" t="s">
        <v>140</v>
      </c>
    </row>
    <row r="47" spans="1:51" ht="13.35" customHeight="1">
      <c r="B47" s="32">
        <f t="shared" si="49"/>
        <v>7</v>
      </c>
      <c r="C47" s="49" t="s">
        <v>141</v>
      </c>
      <c r="D47" s="49"/>
      <c r="E47" s="65"/>
      <c r="F47" s="65"/>
      <c r="G47" s="65"/>
      <c r="H47" s="65"/>
      <c r="I47" s="65"/>
      <c r="J47" s="65"/>
      <c r="K47" s="444"/>
      <c r="L47" s="66"/>
      <c r="M47" s="89">
        <f>M11</f>
        <v>20000000</v>
      </c>
      <c r="N47" s="65"/>
      <c r="O47" s="65"/>
      <c r="P47" s="65"/>
      <c r="Q47" s="65"/>
      <c r="R47" s="65"/>
      <c r="S47" s="65"/>
      <c r="T47" s="101">
        <f t="shared" si="48"/>
        <v>-20933286.050000001</v>
      </c>
      <c r="U47" s="103">
        <v>0</v>
      </c>
      <c r="V47" s="103">
        <v>0</v>
      </c>
      <c r="W47" s="103">
        <v>0</v>
      </c>
      <c r="X47" s="103">
        <v>0</v>
      </c>
      <c r="Y47" s="103">
        <v>0</v>
      </c>
      <c r="Z47" s="103">
        <v>0</v>
      </c>
      <c r="AA47" s="103">
        <v>0</v>
      </c>
      <c r="AB47" s="385">
        <f>'C Ventures II CF '!K11</f>
        <v>-2000000</v>
      </c>
      <c r="AC47" s="385">
        <f>'C Ventures II CF '!K12+'C Ventures II CF '!K13+'C Ventures II CF '!K14</f>
        <v>-5850861.0600000005</v>
      </c>
      <c r="AD47" s="385">
        <f>'C Ventures II CF '!K15+'C Ventures II CF '!K16+'C Ventures II CF '!K17</f>
        <v>-3629119.3600000003</v>
      </c>
      <c r="AE47" s="103">
        <f>'C Ventures II CF '!K19+'C Ventures II CF '!K20+'C Ventures II CF '!K21+'C Ventures II CF '!K22+'C Ventures II CF '!K23+'C Ventures II CF '!K24+'C Ventures II CF '!K28+'C Ventures II CF '!K29</f>
        <v>-7942857.1299999999</v>
      </c>
      <c r="AF47" s="385">
        <f>'C Ventures II CF '!K30+'C Ventures II CF '!K31</f>
        <v>-561208.62</v>
      </c>
      <c r="AG47" s="103">
        <f>'C Ventures II CF '!K35+'C Ventures II CF '!K37</f>
        <v>-297854.99</v>
      </c>
      <c r="AH47" s="103">
        <f>'C Ventures II CF '!K39+'C Ventures II CF '!K40</f>
        <v>-580784.89</v>
      </c>
      <c r="AI47" s="498">
        <f>[4]Cashflow!$P$34</f>
        <v>-70600</v>
      </c>
      <c r="AJ47" s="110">
        <v>0</v>
      </c>
      <c r="AK47" s="104">
        <v>0</v>
      </c>
      <c r="AL47" s="104">
        <v>0</v>
      </c>
      <c r="AM47" s="104">
        <v>0</v>
      </c>
      <c r="AN47" s="104">
        <v>0</v>
      </c>
      <c r="AY47" s="43" t="s">
        <v>142</v>
      </c>
    </row>
    <row r="48" spans="1:51" ht="13.35" customHeight="1">
      <c r="B48" s="32">
        <f t="shared" si="49"/>
        <v>8</v>
      </c>
      <c r="C48" s="49" t="s">
        <v>6</v>
      </c>
      <c r="D48" s="49"/>
      <c r="E48" s="65"/>
      <c r="F48" s="65"/>
      <c r="G48" s="65"/>
      <c r="H48" s="65"/>
      <c r="I48" s="65"/>
      <c r="J48" s="65"/>
      <c r="K48" s="444"/>
      <c r="L48" s="66"/>
      <c r="M48" s="89">
        <f>M12</f>
        <v>50000000</v>
      </c>
      <c r="N48" s="65"/>
      <c r="O48" s="65"/>
      <c r="P48" s="65"/>
      <c r="Q48" s="65"/>
      <c r="R48" s="65"/>
      <c r="S48" s="65"/>
      <c r="T48" s="101">
        <f t="shared" si="48"/>
        <v>-63725670.329999998</v>
      </c>
      <c r="U48" s="103">
        <v>0</v>
      </c>
      <c r="V48" s="103">
        <v>0</v>
      </c>
      <c r="W48" s="103">
        <v>0</v>
      </c>
      <c r="X48" s="103">
        <v>0</v>
      </c>
      <c r="Y48" s="103">
        <v>0</v>
      </c>
      <c r="Z48" s="103">
        <v>0</v>
      </c>
      <c r="AA48" s="103">
        <v>0</v>
      </c>
      <c r="AB48" s="103">
        <v>0</v>
      </c>
      <c r="AC48" s="385">
        <f>'DCP I (CF)'!L28+'DCP I (CF)'!L29+'DCP I (CF)'!L31</f>
        <v>-11384333.649999999</v>
      </c>
      <c r="AD48" s="385">
        <f>'DCP I (CF)'!L32</f>
        <v>-4860719.16</v>
      </c>
      <c r="AE48" s="103">
        <f>'DCP I (CF)'!L37+'DCP I (CF)'!L39+'DCP I (CF)'!L40+'DCP I (CF)'!L41+'DCP I (CF)'!L43+'DCP I (CF)'!L34</f>
        <v>-22147614.759999998</v>
      </c>
      <c r="AF48" s="385">
        <f>'DCP I (CF)'!L46+'DCP I (CF)'!L49+'DCP I (CF)'!L52</f>
        <v>-7096172.0100000007</v>
      </c>
      <c r="AG48" s="103">
        <f>'DCP I (CF)'!L55+'DCP I (CF)'!L58+'DCP I (CF)'!L61+'DCP I (CF)'!L64+'DCP I (CF)'!L67</f>
        <v>-11184830.940000005</v>
      </c>
      <c r="AH48" s="103">
        <f>SUM('DCP I (CF)'!L70,'DCP I (CF)'!L74,'DCP I (CF)'!L78,'DCP I (CF)'!L80,'DCP I (CF)'!L82,'DCP I (CF)'!L83,'DCP I (CF)'!L88)</f>
        <v>-3051999.81</v>
      </c>
      <c r="AI48" s="498">
        <f>[4]Cashflow!$P$31</f>
        <v>-4000000</v>
      </c>
      <c r="AJ48" s="110"/>
      <c r="AK48" s="110"/>
      <c r="AL48" s="110"/>
      <c r="AM48" s="104">
        <v>0</v>
      </c>
      <c r="AN48" s="104">
        <v>0</v>
      </c>
      <c r="AY48" s="53" t="s">
        <v>143</v>
      </c>
    </row>
    <row r="49" spans="1:51" ht="13.35" customHeight="1">
      <c r="B49" s="32">
        <f t="shared" si="49"/>
        <v>9</v>
      </c>
      <c r="C49" s="49" t="s">
        <v>18</v>
      </c>
      <c r="D49" s="49"/>
      <c r="E49" s="65"/>
      <c r="F49" s="65"/>
      <c r="G49" s="65"/>
      <c r="H49" s="65"/>
      <c r="I49" s="65"/>
      <c r="J49" s="65"/>
      <c r="K49" s="444"/>
      <c r="L49" s="66"/>
      <c r="M49" s="89">
        <f>M13</f>
        <v>6000000</v>
      </c>
      <c r="N49" s="65"/>
      <c r="O49" s="65"/>
      <c r="P49" s="65"/>
      <c r="Q49" s="65"/>
      <c r="R49" s="65"/>
      <c r="S49" s="65"/>
      <c r="T49" s="101">
        <f t="shared" si="48"/>
        <v>-4500000</v>
      </c>
      <c r="U49" s="103">
        <v>0</v>
      </c>
      <c r="V49" s="103">
        <v>0</v>
      </c>
      <c r="W49" s="103">
        <v>0</v>
      </c>
      <c r="X49" s="103">
        <v>0</v>
      </c>
      <c r="Y49" s="103">
        <v>0</v>
      </c>
      <c r="Z49" s="103">
        <v>0</v>
      </c>
      <c r="AA49" s="103">
        <v>0</v>
      </c>
      <c r="AB49" s="103">
        <v>0</v>
      </c>
      <c r="AC49" s="385">
        <v>-4500000</v>
      </c>
      <c r="AD49" s="385">
        <v>0</v>
      </c>
      <c r="AE49" s="110">
        <v>0</v>
      </c>
      <c r="AF49" s="385">
        <v>0</v>
      </c>
      <c r="AG49" s="110">
        <v>0</v>
      </c>
      <c r="AH49" s="103">
        <v>0</v>
      </c>
      <c r="AI49" s="110">
        <v>0</v>
      </c>
      <c r="AJ49" s="110">
        <v>0</v>
      </c>
      <c r="AK49" s="110">
        <v>0</v>
      </c>
      <c r="AL49" s="110">
        <v>0</v>
      </c>
      <c r="AM49" s="110">
        <v>0</v>
      </c>
      <c r="AN49" s="104">
        <v>0</v>
      </c>
      <c r="AY49" s="43" t="s">
        <v>139</v>
      </c>
    </row>
    <row r="50" spans="1:51" ht="13.35" customHeight="1">
      <c r="B50" s="32">
        <f t="shared" si="49"/>
        <v>10</v>
      </c>
      <c r="C50" s="49" t="s">
        <v>7</v>
      </c>
      <c r="D50" s="43"/>
      <c r="E50" s="65"/>
      <c r="F50" s="65"/>
      <c r="G50" s="65"/>
      <c r="H50" s="65"/>
      <c r="I50" s="65"/>
      <c r="J50" s="65"/>
      <c r="K50" s="444"/>
      <c r="L50" s="66"/>
      <c r="M50" s="89">
        <f>M14</f>
        <v>30000000</v>
      </c>
      <c r="N50" s="65"/>
      <c r="O50" s="65"/>
      <c r="P50" s="65"/>
      <c r="Q50" s="65"/>
      <c r="R50" s="65"/>
      <c r="S50" s="65"/>
      <c r="T50" s="101">
        <f t="shared" si="48"/>
        <v>-30000000</v>
      </c>
      <c r="U50" s="103">
        <v>0</v>
      </c>
      <c r="V50" s="103">
        <v>0</v>
      </c>
      <c r="W50" s="103">
        <v>0</v>
      </c>
      <c r="X50" s="103">
        <v>0</v>
      </c>
      <c r="Y50" s="103">
        <v>0</v>
      </c>
      <c r="Z50" s="103">
        <v>0</v>
      </c>
      <c r="AA50" s="103">
        <v>0</v>
      </c>
      <c r="AB50" s="385">
        <f>'Skycus China CF'!L11+'Skycus China CF'!L12</f>
        <v>-18000000</v>
      </c>
      <c r="AC50" s="385">
        <v>0</v>
      </c>
      <c r="AD50" s="385">
        <f>'Skycus China CF'!L13+'Skycus China CF'!L14+'Skycus China CF'!L15</f>
        <v>-12000000</v>
      </c>
      <c r="AE50" s="104">
        <v>0</v>
      </c>
      <c r="AF50" s="385">
        <v>0</v>
      </c>
      <c r="AG50" s="104">
        <v>0</v>
      </c>
      <c r="AH50" s="103">
        <v>0</v>
      </c>
      <c r="AI50" s="104">
        <v>0</v>
      </c>
      <c r="AJ50" s="104">
        <v>0</v>
      </c>
      <c r="AK50" s="104">
        <v>0</v>
      </c>
      <c r="AL50" s="104">
        <v>0</v>
      </c>
      <c r="AM50" s="104">
        <v>0</v>
      </c>
      <c r="AN50" s="104">
        <v>0</v>
      </c>
      <c r="AY50" s="43" t="s">
        <v>139</v>
      </c>
    </row>
    <row r="51" spans="1:51" ht="13.35" customHeight="1">
      <c r="B51" s="32">
        <f t="shared" si="49"/>
        <v>11</v>
      </c>
      <c r="C51" s="43" t="s">
        <v>8</v>
      </c>
      <c r="D51" s="49"/>
      <c r="E51" s="65"/>
      <c r="F51" s="65"/>
      <c r="G51" s="65"/>
      <c r="H51" s="65"/>
      <c r="I51" s="65"/>
      <c r="J51" s="65"/>
      <c r="K51" s="444"/>
      <c r="L51" s="66"/>
      <c r="M51" s="89">
        <f>M15</f>
        <v>4500000</v>
      </c>
      <c r="N51" s="65"/>
      <c r="O51" s="65"/>
      <c r="P51" s="65"/>
      <c r="Q51" s="65"/>
      <c r="R51" s="65"/>
      <c r="S51" s="65"/>
      <c r="T51" s="101">
        <f t="shared" si="48"/>
        <v>-4500000</v>
      </c>
      <c r="U51" s="103">
        <v>0</v>
      </c>
      <c r="V51" s="103">
        <v>0</v>
      </c>
      <c r="W51" s="103">
        <v>0</v>
      </c>
      <c r="X51" s="103">
        <v>0</v>
      </c>
      <c r="Y51" s="103">
        <v>0</v>
      </c>
      <c r="Z51" s="103">
        <v>0</v>
      </c>
      <c r="AA51" s="103">
        <v>0</v>
      </c>
      <c r="AB51" s="103">
        <v>0</v>
      </c>
      <c r="AC51" s="103">
        <v>0</v>
      </c>
      <c r="AD51" s="103">
        <f>'HSG Growth VIII (CF)'!K10+'HSG Growth VIII (CF)'!K11</f>
        <v>-900000</v>
      </c>
      <c r="AE51" s="103">
        <f>'HSG Growth VIII (CF)'!K12+'HSG Growth VIII (CF)'!K13+'HSG Growth VIII (CF)'!K14+'HSG Growth VIII (CF)'!K15</f>
        <v>-2925000</v>
      </c>
      <c r="AF51" s="385">
        <f>'HSG Growth VIII (CF)'!K16+'HSG Growth VIII (CF)'!K17</f>
        <v>-450000</v>
      </c>
      <c r="AG51" s="103">
        <f>'HSG Growth VIII (CF)'!K18</f>
        <v>-225000</v>
      </c>
      <c r="AH51" s="103"/>
      <c r="AI51" s="110">
        <v>0</v>
      </c>
      <c r="AJ51" s="110">
        <v>0</v>
      </c>
      <c r="AK51" s="110">
        <v>0</v>
      </c>
      <c r="AL51" s="110">
        <v>0</v>
      </c>
      <c r="AM51" s="110">
        <v>0</v>
      </c>
      <c r="AN51" s="110">
        <v>0</v>
      </c>
      <c r="AY51" s="43" t="s">
        <v>139</v>
      </c>
    </row>
    <row r="52" spans="1:51" ht="13.35" customHeight="1">
      <c r="B52" s="32">
        <f t="shared" si="49"/>
        <v>12</v>
      </c>
      <c r="C52" s="49" t="s">
        <v>9</v>
      </c>
      <c r="D52" s="49"/>
      <c r="E52" s="65"/>
      <c r="F52" s="65"/>
      <c r="G52" s="65"/>
      <c r="H52" s="65"/>
      <c r="I52" s="65"/>
      <c r="J52" s="65"/>
      <c r="K52" s="444"/>
      <c r="L52" s="66"/>
      <c r="M52" s="89">
        <f>M16</f>
        <v>15750000</v>
      </c>
      <c r="N52" s="65"/>
      <c r="O52" s="65"/>
      <c r="P52" s="65"/>
      <c r="Q52" s="65"/>
      <c r="R52" s="65"/>
      <c r="S52" s="65"/>
      <c r="T52" s="101">
        <f t="shared" si="48"/>
        <v>-15793291.370000001</v>
      </c>
      <c r="U52" s="103">
        <v>0</v>
      </c>
      <c r="V52" s="103">
        <v>0</v>
      </c>
      <c r="W52" s="103">
        <v>0</v>
      </c>
      <c r="X52" s="103">
        <v>0</v>
      </c>
      <c r="Y52" s="103">
        <v>0</v>
      </c>
      <c r="Z52" s="103">
        <v>0</v>
      </c>
      <c r="AA52" s="103">
        <v>0</v>
      </c>
      <c r="AB52" s="103">
        <v>0</v>
      </c>
      <c r="AC52" s="103">
        <v>0</v>
      </c>
      <c r="AD52" s="103">
        <f>'HSG Growth VI (CF) '!K10</f>
        <v>-3150000</v>
      </c>
      <c r="AE52" s="103">
        <f>'HSG Growth VI (CF) '!K11+'HSG Growth VI (CF) '!K12+'HSG Growth VI (CF) '!K13+'HSG Growth VI (CF) '!K14+'HSG Growth VI (CF) '!K16</f>
        <v>-9036409</v>
      </c>
      <c r="AF52" s="385">
        <f>'HSG Growth VI (CF) '!K17+'HSG Growth VI (CF) '!K18+'HSG Growth VI (CF) '!K19</f>
        <v>-2032516.37</v>
      </c>
      <c r="AG52" s="103">
        <f>'HSG Growth VI (CF) '!K20</f>
        <v>-1574366</v>
      </c>
      <c r="AH52" s="110">
        <v>0</v>
      </c>
      <c r="AI52" s="110">
        <v>0</v>
      </c>
      <c r="AJ52" s="110">
        <v>0</v>
      </c>
      <c r="AK52" s="110">
        <v>0</v>
      </c>
      <c r="AL52" s="110">
        <v>0</v>
      </c>
      <c r="AM52" s="110">
        <v>0</v>
      </c>
      <c r="AN52" s="110">
        <v>0</v>
      </c>
      <c r="AY52" s="43" t="s">
        <v>139</v>
      </c>
    </row>
    <row r="53" spans="1:51" ht="13.35" customHeight="1">
      <c r="B53" s="32">
        <f t="shared" si="49"/>
        <v>13</v>
      </c>
      <c r="C53" s="49" t="s">
        <v>21</v>
      </c>
      <c r="D53" s="49"/>
      <c r="E53" s="65"/>
      <c r="F53" s="65"/>
      <c r="G53" s="65"/>
      <c r="H53" s="65"/>
      <c r="I53" s="65"/>
      <c r="J53" s="65"/>
      <c r="K53" s="444"/>
      <c r="L53" s="66"/>
      <c r="M53" s="89">
        <f>M17</f>
        <v>50000000</v>
      </c>
      <c r="N53" s="65"/>
      <c r="O53" s="65"/>
      <c r="P53" s="65"/>
      <c r="Q53" s="65"/>
      <c r="R53" s="65"/>
      <c r="S53" s="419"/>
      <c r="T53" s="101">
        <f t="shared" si="48"/>
        <v>-50000000</v>
      </c>
      <c r="U53" s="103">
        <v>0</v>
      </c>
      <c r="V53" s="103">
        <v>0</v>
      </c>
      <c r="W53" s="103">
        <v>0</v>
      </c>
      <c r="X53" s="103">
        <v>0</v>
      </c>
      <c r="Y53" s="103">
        <v>0</v>
      </c>
      <c r="Z53" s="103">
        <v>0</v>
      </c>
      <c r="AA53" s="103">
        <v>0</v>
      </c>
      <c r="AB53" s="103">
        <v>0</v>
      </c>
      <c r="AC53" s="103">
        <v>0</v>
      </c>
      <c r="AD53" s="103">
        <f>'West Street VIII (CF)'!L11</f>
        <v>-1500000</v>
      </c>
      <c r="AE53" s="103">
        <f>'West Street VIII (CF)'!L12+'West Street VIII (CF)'!L13+'West Street VIII (CF)'!L14+'West Street VIII (CF)'!L15+'West Street VIII (CF)'!L16</f>
        <v>-10375000</v>
      </c>
      <c r="AF53" s="385">
        <f>'West Street VIII (CF)'!L17+'West Street VIII (CF)'!L18</f>
        <v>-7325000</v>
      </c>
      <c r="AG53" s="103">
        <f>'West Street VIII (CF)'!L20+'West Street VIII (CF)'!L21+'West Street VIII (CF)'!L22+'West Street VIII (CF)'!L23</f>
        <v>-8950000</v>
      </c>
      <c r="AH53" s="103">
        <f>SUM('West Street VIII (CF)'!L24:L26)</f>
        <v>-4950000</v>
      </c>
      <c r="AI53" s="498">
        <f>[4]Cashflow!$P$36</f>
        <v>-2758657</v>
      </c>
      <c r="AJ53" s="110">
        <f>(-M17-SUM(AD53:AI53))/2</f>
        <v>-7070671.5</v>
      </c>
      <c r="AK53" s="110">
        <f>AJ53</f>
        <v>-7070671.5</v>
      </c>
      <c r="AL53" s="110">
        <v>0</v>
      </c>
      <c r="AM53" s="110">
        <v>0</v>
      </c>
      <c r="AN53" s="110">
        <v>0</v>
      </c>
      <c r="AY53" s="53" t="s">
        <v>144</v>
      </c>
    </row>
    <row r="54" spans="1:51" s="53" customFormat="1" ht="13.35" customHeight="1">
      <c r="A54" s="485"/>
      <c r="B54" s="32">
        <f t="shared" si="49"/>
        <v>14</v>
      </c>
      <c r="C54" s="49" t="s">
        <v>10</v>
      </c>
      <c r="D54" s="43"/>
      <c r="E54" s="65"/>
      <c r="F54" s="65"/>
      <c r="G54" s="65"/>
      <c r="H54" s="65"/>
      <c r="I54" s="65"/>
      <c r="J54" s="65"/>
      <c r="K54" s="66"/>
      <c r="L54" s="66"/>
      <c r="M54" s="89">
        <f>M18</f>
        <v>100000000</v>
      </c>
      <c r="N54" s="65"/>
      <c r="O54" s="65"/>
      <c r="P54" s="65"/>
      <c r="Q54" s="65"/>
      <c r="R54" s="65"/>
      <c r="S54" s="419"/>
      <c r="T54" s="384">
        <f t="shared" si="48"/>
        <v>-100000000</v>
      </c>
      <c r="U54" s="103">
        <v>0</v>
      </c>
      <c r="V54" s="103">
        <v>0</v>
      </c>
      <c r="W54" s="103">
        <v>0</v>
      </c>
      <c r="X54" s="103">
        <v>0</v>
      </c>
      <c r="Y54" s="103">
        <v>0</v>
      </c>
      <c r="Z54" s="103">
        <v>0</v>
      </c>
      <c r="AA54" s="103">
        <v>0</v>
      </c>
      <c r="AB54" s="103">
        <v>0</v>
      </c>
      <c r="AC54" s="103">
        <v>0</v>
      </c>
      <c r="AD54" s="103">
        <v>0</v>
      </c>
      <c r="AE54" s="103">
        <v>0</v>
      </c>
      <c r="AF54" s="385">
        <f>'DCP II (CF) '!L10</f>
        <v>-10041861.489999998</v>
      </c>
      <c r="AG54" s="103">
        <f>'DCP II (CF) '!L13+'DCP II (CF) '!L15</f>
        <v>-13859135.4</v>
      </c>
      <c r="AH54" s="103">
        <f>SUM('DCP II (CF) '!L16,'DCP II (CF) '!L18,'DCP II (CF) '!L20,'DCP II (CF) '!L21)</f>
        <v>-14030034.969999999</v>
      </c>
      <c r="AI54" s="498">
        <f>[4]Cashflow!$P$32</f>
        <v>-30431535.600000001</v>
      </c>
      <c r="AJ54" s="103">
        <f>(-M18-SUM(AF54:AI54))/2</f>
        <v>-15818716.269999996</v>
      </c>
      <c r="AK54" s="103">
        <f>AJ54</f>
        <v>-15818716.269999996</v>
      </c>
      <c r="AL54" s="103"/>
      <c r="AM54" s="103"/>
      <c r="AN54" s="103"/>
      <c r="AY54" s="53" t="s">
        <v>145</v>
      </c>
    </row>
    <row r="55" spans="1:51" s="53" customFormat="1" ht="13.35" customHeight="1">
      <c r="A55" s="485"/>
      <c r="B55" s="32">
        <f t="shared" si="49"/>
        <v>15</v>
      </c>
      <c r="C55" s="53" t="s">
        <v>11</v>
      </c>
      <c r="D55" s="49"/>
      <c r="E55" s="65"/>
      <c r="F55" s="65"/>
      <c r="G55" s="65"/>
      <c r="H55" s="65"/>
      <c r="I55" s="65"/>
      <c r="J55" s="65"/>
      <c r="K55" s="66"/>
      <c r="L55" s="66"/>
      <c r="M55" s="89">
        <f>M19</f>
        <v>15000000</v>
      </c>
      <c r="N55" s="65"/>
      <c r="O55" s="65"/>
      <c r="P55" s="65"/>
      <c r="Q55" s="65"/>
      <c r="R55" s="65"/>
      <c r="S55" s="419"/>
      <c r="T55" s="384">
        <f t="shared" si="48"/>
        <v>-15728508.330000002</v>
      </c>
      <c r="U55" s="103">
        <v>0</v>
      </c>
      <c r="V55" s="103">
        <v>0</v>
      </c>
      <c r="W55" s="103">
        <v>0</v>
      </c>
      <c r="X55" s="103">
        <v>0</v>
      </c>
      <c r="Y55" s="103">
        <v>0</v>
      </c>
      <c r="Z55" s="103">
        <v>0</v>
      </c>
      <c r="AA55" s="103">
        <v>0</v>
      </c>
      <c r="AB55" s="103">
        <v>0</v>
      </c>
      <c r="AC55" s="103">
        <v>0</v>
      </c>
      <c r="AD55" s="385">
        <v>0</v>
      </c>
      <c r="AE55" s="103">
        <f>'Lionet Fund CF'!L11+'Lionet Fund CF'!L12+'Lionet Fund CF'!L14+'Lionet Fund CF'!L15+'Lionet Fund CF'!L17+'Lionet Fund CF'!L19</f>
        <v>-15607971.200000001</v>
      </c>
      <c r="AF55" s="385">
        <v>0</v>
      </c>
      <c r="AG55" s="103">
        <f>'Lionet Fund CF'!L21</f>
        <v>-120537.13</v>
      </c>
      <c r="AH55" s="103">
        <v>0</v>
      </c>
      <c r="AI55" s="103">
        <v>0</v>
      </c>
      <c r="AJ55" s="103">
        <v>0</v>
      </c>
      <c r="AK55" s="103">
        <v>0</v>
      </c>
      <c r="AL55" s="103">
        <v>0</v>
      </c>
      <c r="AM55" s="103">
        <v>0</v>
      </c>
      <c r="AN55" s="103">
        <v>0</v>
      </c>
      <c r="AY55" s="53" t="s">
        <v>139</v>
      </c>
    </row>
    <row r="56" spans="1:51" s="53" customFormat="1" ht="13.35" customHeight="1">
      <c r="A56" s="485"/>
      <c r="B56" s="32">
        <f t="shared" si="49"/>
        <v>16</v>
      </c>
      <c r="C56" s="49" t="s">
        <v>12</v>
      </c>
      <c r="D56" s="49"/>
      <c r="E56" s="65"/>
      <c r="F56" s="65"/>
      <c r="G56" s="65"/>
      <c r="H56" s="65"/>
      <c r="I56" s="65"/>
      <c r="J56" s="65"/>
      <c r="K56" s="66"/>
      <c r="L56" s="66"/>
      <c r="M56" s="89">
        <f>M20</f>
        <v>30000000</v>
      </c>
      <c r="N56" s="65"/>
      <c r="O56" s="65"/>
      <c r="P56" s="65"/>
      <c r="Q56" s="65"/>
      <c r="R56" s="65"/>
      <c r="S56" s="65"/>
      <c r="T56" s="384">
        <f t="shared" si="48"/>
        <v>-30000000</v>
      </c>
      <c r="U56" s="103">
        <v>0</v>
      </c>
      <c r="V56" s="103">
        <v>0</v>
      </c>
      <c r="W56" s="103">
        <v>0</v>
      </c>
      <c r="X56" s="103">
        <v>0</v>
      </c>
      <c r="Y56" s="103">
        <v>0</v>
      </c>
      <c r="Z56" s="103">
        <v>0</v>
      </c>
      <c r="AA56" s="103">
        <v>0</v>
      </c>
      <c r="AB56" s="103">
        <v>0</v>
      </c>
      <c r="AC56" s="103">
        <v>0</v>
      </c>
      <c r="AD56" s="103">
        <v>0</v>
      </c>
      <c r="AE56" s="103">
        <f>'Boyu Real Estate CF'!K10+'Boyu Real Estate CF'!K11+'Boyu Real Estate CF'!K12+'Boyu Real Estate CF'!K14+'Boyu Real Estate CF'!K15+'Boyu Real Estate CF'!K16+'Boyu Real Estate CF'!K21</f>
        <v>-5603950.3400000008</v>
      </c>
      <c r="AF56" s="385">
        <f>'Boyu Real Estate CF'!K23+'Boyu Real Estate CF'!K25+'Boyu Real Estate CF'!K27+'Boyu Real Estate CF'!K28+'Boyu Real Estate CF'!K29</f>
        <v>-2675446.9600000004</v>
      </c>
      <c r="AG56" s="103">
        <f>'Boyu Real Estate CF'!K30+'Boyu Real Estate CF'!K31+'Boyu Real Estate CF'!K33</f>
        <v>-8387542.0799999991</v>
      </c>
      <c r="AH56" s="103">
        <f>SUM('Boyu Real Estate CF'!K35:K38)</f>
        <v>-4559102.5</v>
      </c>
      <c r="AI56" s="498">
        <f>[4]Cashflow!$P$30</f>
        <v>-2458295.54</v>
      </c>
      <c r="AJ56" s="103">
        <f>(M20+SUM(AE56:AI56))*-1</f>
        <v>-6315662.5800000019</v>
      </c>
      <c r="AK56" s="103"/>
      <c r="AL56" s="103"/>
      <c r="AM56" s="103"/>
      <c r="AN56" s="103"/>
      <c r="AY56" s="53" t="s">
        <v>146</v>
      </c>
    </row>
    <row r="57" spans="1:51" s="53" customFormat="1" ht="13.35" customHeight="1">
      <c r="A57" s="485"/>
      <c r="B57" s="32">
        <f t="shared" si="49"/>
        <v>17</v>
      </c>
      <c r="C57" s="49" t="s">
        <v>19</v>
      </c>
      <c r="D57" s="49"/>
      <c r="E57" s="65"/>
      <c r="F57" s="65"/>
      <c r="G57" s="65"/>
      <c r="H57" s="65"/>
      <c r="I57" s="65"/>
      <c r="J57" s="65"/>
      <c r="K57" s="66"/>
      <c r="L57" s="66"/>
      <c r="M57" s="89">
        <f>M21</f>
        <v>10000000</v>
      </c>
      <c r="N57" s="65"/>
      <c r="O57" s="65"/>
      <c r="P57" s="65"/>
      <c r="Q57" s="65"/>
      <c r="R57" s="65"/>
      <c r="S57" s="65"/>
      <c r="T57" s="384">
        <f t="shared" si="48"/>
        <v>-6830758.2599999998</v>
      </c>
      <c r="U57" s="103">
        <v>0</v>
      </c>
      <c r="V57" s="103">
        <v>0</v>
      </c>
      <c r="W57" s="103">
        <v>0</v>
      </c>
      <c r="X57" s="103">
        <v>0</v>
      </c>
      <c r="Y57" s="103">
        <v>0</v>
      </c>
      <c r="Z57" s="103">
        <v>0</v>
      </c>
      <c r="AA57" s="103">
        <v>0</v>
      </c>
      <c r="AB57" s="103">
        <v>0</v>
      </c>
      <c r="AC57" s="103">
        <v>0</v>
      </c>
      <c r="AD57" s="103">
        <v>0</v>
      </c>
      <c r="AE57" s="103">
        <f>'E15 Fund II CF'!J10+'E15 Fund II CF'!J11+'E15 Fund II CF'!J12+'E15 Fund II CF'!J13</f>
        <v>-4772276.45</v>
      </c>
      <c r="AF57" s="385">
        <f>'E15 Fund II CF'!J15+'E15 Fund II CF'!J16+'E15 Fund II CF'!J17+'E15 Fund II CF'!J18</f>
        <v>-1108049</v>
      </c>
      <c r="AG57" s="103">
        <f>'E15 Fund II CF'!J20+'E15 Fund II CF'!J21+'E15 Fund II CF'!J22+'E15 Fund II CF'!J23</f>
        <v>-589323.81000000006</v>
      </c>
      <c r="AH57" s="103">
        <f>SUM('E15 Fund II CF'!J24:J26)</f>
        <v>-126227</v>
      </c>
      <c r="AI57" s="498">
        <f>[4]Cashflow!$P$37</f>
        <v>-234881.99999999997</v>
      </c>
      <c r="AJ57" s="103">
        <v>0</v>
      </c>
      <c r="AK57" s="103">
        <v>0</v>
      </c>
      <c r="AL57" s="103">
        <v>0</v>
      </c>
      <c r="AM57" s="103">
        <v>0</v>
      </c>
      <c r="AN57" s="103">
        <v>0</v>
      </c>
      <c r="AY57" s="53" t="s">
        <v>147</v>
      </c>
    </row>
    <row r="58" spans="1:51" s="53" customFormat="1" ht="13.35" customHeight="1">
      <c r="A58" s="485"/>
      <c r="B58" s="32">
        <f t="shared" si="49"/>
        <v>18</v>
      </c>
      <c r="C58" s="49" t="s">
        <v>13</v>
      </c>
      <c r="D58" s="49"/>
      <c r="E58" s="65"/>
      <c r="F58" s="65"/>
      <c r="G58" s="65"/>
      <c r="H58" s="65"/>
      <c r="I58" s="65"/>
      <c r="J58" s="65"/>
      <c r="K58" s="66"/>
      <c r="L58" s="66"/>
      <c r="M58" s="89">
        <f>M22</f>
        <v>12500000</v>
      </c>
      <c r="N58" s="65"/>
      <c r="O58" s="65"/>
      <c r="P58" s="65"/>
      <c r="Q58" s="65"/>
      <c r="R58" s="65"/>
      <c r="S58" s="419"/>
      <c r="T58" s="384">
        <f t="shared" si="48"/>
        <v>-12500000</v>
      </c>
      <c r="U58" s="103">
        <v>0</v>
      </c>
      <c r="V58" s="103">
        <v>0</v>
      </c>
      <c r="W58" s="103">
        <v>0</v>
      </c>
      <c r="X58" s="103">
        <v>0</v>
      </c>
      <c r="Y58" s="103">
        <v>0</v>
      </c>
      <c r="Z58" s="103">
        <v>0</v>
      </c>
      <c r="AA58" s="103">
        <v>0</v>
      </c>
      <c r="AB58" s="103">
        <v>0</v>
      </c>
      <c r="AC58" s="103">
        <v>0</v>
      </c>
      <c r="AD58" s="103">
        <v>0</v>
      </c>
      <c r="AE58" s="103">
        <v>0</v>
      </c>
      <c r="AF58" s="103">
        <v>0</v>
      </c>
      <c r="AG58" s="103">
        <v>0</v>
      </c>
      <c r="AH58" s="103">
        <f>'Cottonwood (CF)'!N2</f>
        <v>-3150647.5</v>
      </c>
      <c r="AI58" s="498">
        <f>[4]Cashflow!$P$33</f>
        <v>-6340843.06773993</v>
      </c>
      <c r="AJ58" s="103">
        <f>(-M22-AH58-AI58)/2</f>
        <v>-1504254.716130035</v>
      </c>
      <c r="AK58" s="103">
        <f>AJ58</f>
        <v>-1504254.716130035</v>
      </c>
      <c r="AL58" s="103"/>
      <c r="AM58" s="103"/>
      <c r="AN58" s="103"/>
      <c r="AY58" s="53" t="s">
        <v>148</v>
      </c>
    </row>
    <row r="59" spans="1:51" s="53" customFormat="1" ht="13.35" customHeight="1">
      <c r="A59" s="485"/>
      <c r="B59" s="32">
        <f t="shared" si="49"/>
        <v>19</v>
      </c>
      <c r="C59" s="49" t="s">
        <v>14</v>
      </c>
      <c r="D59" s="49"/>
      <c r="E59" s="65"/>
      <c r="F59" s="65"/>
      <c r="G59" s="65"/>
      <c r="H59" s="65"/>
      <c r="I59" s="65"/>
      <c r="J59" s="65"/>
      <c r="K59" s="66"/>
      <c r="L59" s="66"/>
      <c r="M59" s="89">
        <f>M23</f>
        <v>37600000</v>
      </c>
      <c r="N59" s="65"/>
      <c r="O59" s="65"/>
      <c r="P59" s="65"/>
      <c r="Q59" s="65"/>
      <c r="R59" s="65"/>
      <c r="S59" s="65"/>
      <c r="T59" s="384">
        <f t="shared" si="48"/>
        <v>-2954733</v>
      </c>
      <c r="U59" s="103">
        <v>0</v>
      </c>
      <c r="V59" s="103">
        <v>0</v>
      </c>
      <c r="W59" s="103">
        <v>0</v>
      </c>
      <c r="X59" s="103">
        <v>0</v>
      </c>
      <c r="Y59" s="103">
        <v>0</v>
      </c>
      <c r="Z59" s="103">
        <v>0</v>
      </c>
      <c r="AA59" s="103">
        <v>0</v>
      </c>
      <c r="AB59" s="103">
        <v>0</v>
      </c>
      <c r="AC59" s="103">
        <v>0</v>
      </c>
      <c r="AD59" s="103">
        <v>0</v>
      </c>
      <c r="AE59" s="103">
        <v>0</v>
      </c>
      <c r="AF59" s="103">
        <v>0</v>
      </c>
      <c r="AG59" s="103">
        <v>0</v>
      </c>
      <c r="AH59" s="103">
        <f>SUM('Genedent Ventures (CF)'!L10:L11)</f>
        <v>-2954733</v>
      </c>
      <c r="AI59" s="498">
        <v>0</v>
      </c>
      <c r="AJ59" s="103">
        <v>0</v>
      </c>
      <c r="AK59" s="103">
        <v>0</v>
      </c>
      <c r="AL59" s="103">
        <v>0</v>
      </c>
      <c r="AM59" s="103"/>
      <c r="AN59" s="103"/>
      <c r="AY59" s="53" t="s">
        <v>149</v>
      </c>
    </row>
    <row r="60" spans="1:51" s="53" customFormat="1" ht="13.35" customHeight="1">
      <c r="A60" s="485"/>
      <c r="B60" s="32">
        <f t="shared" si="49"/>
        <v>20</v>
      </c>
      <c r="C60" s="49" t="s">
        <v>22</v>
      </c>
      <c r="D60" s="65"/>
      <c r="E60" s="65"/>
      <c r="F60" s="65"/>
      <c r="G60" s="65"/>
      <c r="H60" s="65"/>
      <c r="I60" s="65"/>
      <c r="J60" s="65"/>
      <c r="K60" s="66"/>
      <c r="L60" s="66"/>
      <c r="M60" s="89">
        <f>M24</f>
        <v>16940000</v>
      </c>
      <c r="N60" s="65"/>
      <c r="O60" s="65"/>
      <c r="P60" s="65"/>
      <c r="Q60" s="65"/>
      <c r="R60" s="65"/>
      <c r="S60" s="419"/>
      <c r="T60" s="384">
        <f t="shared" si="48"/>
        <v>-16940000</v>
      </c>
      <c r="U60" s="103">
        <v>0</v>
      </c>
      <c r="V60" s="103">
        <v>0</v>
      </c>
      <c r="W60" s="103">
        <v>0</v>
      </c>
      <c r="X60" s="103">
        <v>0</v>
      </c>
      <c r="Y60" s="103">
        <v>0</v>
      </c>
      <c r="Z60" s="103">
        <v>0</v>
      </c>
      <c r="AA60" s="103">
        <v>0</v>
      </c>
      <c r="AB60" s="103">
        <v>0</v>
      </c>
      <c r="AC60" s="103">
        <v>0</v>
      </c>
      <c r="AD60" s="103">
        <v>0</v>
      </c>
      <c r="AE60" s="103">
        <v>0</v>
      </c>
      <c r="AF60" s="103">
        <v>0</v>
      </c>
      <c r="AG60" s="103">
        <v>0</v>
      </c>
      <c r="AH60" s="103">
        <f>'GTCR (CF)'!L10</f>
        <v>-1756064.05</v>
      </c>
      <c r="AI60" s="498">
        <f>[4]Cashflow!$P$35</f>
        <v>-2217004.66</v>
      </c>
      <c r="AJ60" s="103">
        <f>(-M24-AH60-AI60)/3</f>
        <v>-4322310.43</v>
      </c>
      <c r="AK60" s="103">
        <f>AJ60</f>
        <v>-4322310.43</v>
      </c>
      <c r="AL60" s="103">
        <f>AK60</f>
        <v>-4322310.43</v>
      </c>
      <c r="AM60" s="103">
        <f>-M24-SUM(AH60:AL60)</f>
        <v>0</v>
      </c>
      <c r="AN60" s="103"/>
      <c r="AY60" s="53" t="s">
        <v>150</v>
      </c>
    </row>
    <row r="61" spans="1:51" s="53" customFormat="1" ht="13.35" customHeight="1">
      <c r="A61" s="485"/>
      <c r="B61" s="32"/>
      <c r="C61" s="49"/>
      <c r="D61" s="65"/>
      <c r="E61" s="65"/>
      <c r="F61" s="65"/>
      <c r="G61" s="65"/>
      <c r="H61" s="65"/>
      <c r="I61" s="65"/>
      <c r="J61" s="65"/>
      <c r="K61" s="66"/>
      <c r="L61" s="66"/>
      <c r="M61" s="65"/>
      <c r="N61" s="65"/>
      <c r="O61" s="65"/>
      <c r="P61" s="65"/>
      <c r="Q61" s="65"/>
      <c r="R61" s="65"/>
      <c r="S61" s="65"/>
      <c r="T61" s="384"/>
      <c r="U61" s="103"/>
      <c r="V61" s="103"/>
      <c r="W61" s="103"/>
      <c r="X61" s="103"/>
      <c r="Y61" s="103"/>
      <c r="Z61" s="103"/>
      <c r="AA61" s="103"/>
      <c r="AB61" s="103"/>
      <c r="AC61" s="103"/>
      <c r="AD61" s="103"/>
      <c r="AE61" s="103"/>
      <c r="AF61" s="385"/>
      <c r="AG61" s="103"/>
      <c r="AH61" s="103"/>
      <c r="AI61" s="103"/>
      <c r="AJ61" s="103"/>
      <c r="AK61" s="103"/>
      <c r="AL61" s="103"/>
      <c r="AM61" s="103"/>
      <c r="AN61" s="103"/>
    </row>
    <row r="62" spans="1:51" s="53" customFormat="1" ht="13.35" customHeight="1" thickBot="1">
      <c r="A62" s="485"/>
      <c r="B62" s="32"/>
      <c r="C62" s="64"/>
      <c r="D62" s="65"/>
      <c r="E62" s="65"/>
      <c r="F62" s="65"/>
      <c r="G62" s="65"/>
      <c r="H62" s="65"/>
      <c r="I62" s="65"/>
      <c r="J62" s="65"/>
      <c r="K62" s="66"/>
      <c r="L62" s="66"/>
      <c r="M62" s="65"/>
      <c r="N62" s="65"/>
      <c r="O62" s="65"/>
      <c r="P62" s="65"/>
      <c r="Q62" s="65"/>
      <c r="R62" s="65"/>
      <c r="S62" s="65"/>
      <c r="T62" s="472">
        <f t="shared" ref="T62:AN62" si="50">SUM(T41:T61)</f>
        <v>-457717208.51999998</v>
      </c>
      <c r="U62" s="472">
        <f t="shared" si="50"/>
        <v>-3026238.1</v>
      </c>
      <c r="V62" s="472">
        <f t="shared" si="50"/>
        <v>-16372630.68</v>
      </c>
      <c r="W62" s="472">
        <f t="shared" si="50"/>
        <v>-4433273.1900000004</v>
      </c>
      <c r="X62" s="472">
        <f t="shared" si="50"/>
        <v>-8413201.6699999999</v>
      </c>
      <c r="Y62" s="472">
        <f t="shared" si="50"/>
        <v>-6557838.9299999997</v>
      </c>
      <c r="Z62" s="472">
        <f t="shared" si="50"/>
        <v>-10713857.060000001</v>
      </c>
      <c r="AA62" s="472">
        <f t="shared" si="50"/>
        <v>-7839909.0899999999</v>
      </c>
      <c r="AB62" s="472">
        <f t="shared" si="50"/>
        <v>-20292797.800000001</v>
      </c>
      <c r="AC62" s="472">
        <f t="shared" si="50"/>
        <v>-21946531.329999998</v>
      </c>
      <c r="AD62" s="472">
        <f t="shared" si="50"/>
        <v>-44100930.129999995</v>
      </c>
      <c r="AE62" s="472">
        <f t="shared" si="50"/>
        <v>-80560824.219999999</v>
      </c>
      <c r="AF62" s="472">
        <f t="shared" si="50"/>
        <v>-31601945.170000002</v>
      </c>
      <c r="AG62" s="472">
        <f t="shared" si="50"/>
        <v>-45461988.720000006</v>
      </c>
      <c r="AH62" s="565">
        <f t="shared" si="50"/>
        <v>-35809593.719999999</v>
      </c>
      <c r="AI62" s="472">
        <f t="shared" si="50"/>
        <v>-48511817.867739931</v>
      </c>
      <c r="AJ62" s="472">
        <f t="shared" si="50"/>
        <v>-39035567.496130034</v>
      </c>
      <c r="AK62" s="472">
        <f t="shared" si="50"/>
        <v>-28715952.916130029</v>
      </c>
      <c r="AL62" s="472">
        <f t="shared" si="50"/>
        <v>-4322310.43</v>
      </c>
      <c r="AM62" s="472">
        <f t="shared" si="50"/>
        <v>0</v>
      </c>
      <c r="AN62" s="472">
        <f t="shared" si="50"/>
        <v>0</v>
      </c>
      <c r="AO62" s="472">
        <f t="shared" ref="AO62:AX62" si="51">SUM(AO41:AO61)</f>
        <v>0</v>
      </c>
      <c r="AP62" s="472">
        <f t="shared" si="51"/>
        <v>0</v>
      </c>
      <c r="AQ62" s="472">
        <f t="shared" si="51"/>
        <v>0</v>
      </c>
      <c r="AR62" s="472">
        <f t="shared" si="51"/>
        <v>0</v>
      </c>
      <c r="AS62" s="472">
        <f t="shared" si="51"/>
        <v>0</v>
      </c>
      <c r="AT62" s="472">
        <f t="shared" si="51"/>
        <v>0</v>
      </c>
      <c r="AU62" s="472">
        <f t="shared" si="51"/>
        <v>0</v>
      </c>
      <c r="AV62" s="472">
        <f t="shared" si="51"/>
        <v>0</v>
      </c>
      <c r="AW62" s="472">
        <f t="shared" si="51"/>
        <v>0</v>
      </c>
      <c r="AX62" s="472">
        <f t="shared" si="51"/>
        <v>0</v>
      </c>
    </row>
    <row r="63" spans="1:51" s="53" customFormat="1" ht="12" thickTop="1">
      <c r="A63" s="485"/>
      <c r="D63" s="471"/>
      <c r="E63" s="471"/>
      <c r="F63" s="471"/>
      <c r="G63" s="471"/>
      <c r="H63" s="471"/>
      <c r="I63" s="471"/>
      <c r="J63" s="471"/>
      <c r="K63" s="473"/>
      <c r="L63" s="473"/>
      <c r="M63" s="471"/>
      <c r="N63" s="471"/>
      <c r="O63" s="471"/>
      <c r="P63" s="471"/>
      <c r="Q63" s="471"/>
      <c r="R63" s="471"/>
      <c r="S63" s="471"/>
    </row>
    <row r="64" spans="1:51" s="53" customFormat="1" ht="13.35" customHeight="1">
      <c r="A64" s="485"/>
      <c r="B64" s="474" t="s">
        <v>151</v>
      </c>
      <c r="C64" s="475"/>
      <c r="D64" s="476"/>
      <c r="E64" s="476"/>
      <c r="F64" s="476"/>
      <c r="G64" s="476"/>
      <c r="H64" s="476"/>
      <c r="I64" s="476"/>
      <c r="J64" s="476"/>
      <c r="K64" s="476"/>
      <c r="L64" s="476"/>
      <c r="M64" s="476"/>
      <c r="N64" s="476"/>
      <c r="O64" s="476"/>
      <c r="P64" s="476"/>
      <c r="Q64" s="476"/>
      <c r="R64" s="476"/>
      <c r="S64" s="476"/>
      <c r="T64" s="475"/>
      <c r="U64" s="477"/>
      <c r="V64" s="477"/>
      <c r="W64" s="477"/>
      <c r="X64" s="477"/>
      <c r="Y64" s="477"/>
      <c r="Z64" s="477"/>
      <c r="AA64" s="477"/>
      <c r="AB64" s="477"/>
      <c r="AC64" s="477"/>
      <c r="AD64" s="477"/>
      <c r="AE64" s="477"/>
      <c r="AF64" s="477"/>
      <c r="AG64" s="477"/>
      <c r="AH64" s="477"/>
      <c r="AI64" s="477"/>
      <c r="AJ64" s="477"/>
      <c r="AK64" s="477"/>
      <c r="AL64" s="477"/>
      <c r="AM64" s="477"/>
      <c r="AN64" s="477"/>
      <c r="AO64" s="477"/>
      <c r="AP64" s="477"/>
      <c r="AQ64" s="477"/>
      <c r="AR64" s="477"/>
      <c r="AS64" s="477"/>
      <c r="AT64" s="477"/>
      <c r="AU64" s="477"/>
      <c r="AV64" s="477"/>
      <c r="AW64" s="477"/>
      <c r="AX64" s="477"/>
    </row>
    <row r="65" spans="1:51" s="53" customFormat="1" ht="13.35" customHeight="1">
      <c r="A65" s="485"/>
      <c r="B65" s="32">
        <v>1</v>
      </c>
      <c r="C65" s="49" t="s">
        <v>2</v>
      </c>
      <c r="D65" s="65"/>
      <c r="E65" s="65"/>
      <c r="F65" s="65"/>
      <c r="G65" s="65"/>
      <c r="H65" s="65"/>
      <c r="I65" s="65"/>
      <c r="J65" s="65"/>
      <c r="K65" s="66"/>
      <c r="L65" s="66"/>
      <c r="M65" s="65"/>
      <c r="N65" s="65"/>
      <c r="O65" s="65"/>
      <c r="P65" s="65"/>
      <c r="Q65" s="65"/>
      <c r="R65" s="65"/>
      <c r="S65" s="65"/>
      <c r="T65" s="478">
        <f t="shared" ref="T65:T84" si="52">SUM(U65:AX65)</f>
        <v>92326399.919999987</v>
      </c>
      <c r="U65" s="103">
        <f>'BOYU Capital Fund I CF'!L11</f>
        <v>287574.3</v>
      </c>
      <c r="V65" s="103">
        <f>'BOYU Capital Fund I CF'!L13+'BOYU Capital Fund I CF'!L17+'BOYU Capital Fund I CF'!L19</f>
        <v>1410267.36</v>
      </c>
      <c r="W65" s="103">
        <f>'BOYU Capital Fund I CF'!L22+'BOYU Capital Fund I CF'!L24+'BOYU Capital Fund I CF'!L25</f>
        <v>1419238.98</v>
      </c>
      <c r="X65" s="103">
        <f>'BOYU Capital Fund I CF'!L28+'BOYU Capital Fund I CF'!L32+'BOYU Capital Fund I CF'!L33</f>
        <v>1989253.7</v>
      </c>
      <c r="Y65" s="103">
        <f>'BOYU Capital Fund I CF'!L35+'BOYU Capital Fund I CF'!L38+'BOYU Capital Fund I CF'!L39+'BOYU Capital Fund I CF'!L41+'BOYU Capital Fund I CF'!L42+'BOYU Capital Fund I CF'!L44+'BOYU Capital Fund I CF'!L45+'BOYU Capital Fund I CF'!L47+'BOYU Capital Fund I CF'!L48</f>
        <v>19272477.16</v>
      </c>
      <c r="Z65" s="103">
        <f>'BOYU Capital Fund I CF'!L50+'BOYU Capital Fund I CF'!L53+'BOYU Capital Fund I CF'!L54+'BOYU Capital Fund I CF'!L55</f>
        <v>13050584.609999999</v>
      </c>
      <c r="AA65" s="103">
        <f>'BOYU Capital Fund I CF'!L57+'BOYU Capital Fund I CF'!L58+'BOYU Capital Fund I CF'!L59+'BOYU Capital Fund I CF'!L61+'BOYU Capital Fund I CF'!L62+'BOYU Capital Fund I CF'!L63+'BOYU Capital Fund I CF'!L64</f>
        <v>22887747.379999999</v>
      </c>
      <c r="AB65" s="103">
        <f>'BOYU Capital Fund I CF'!L67+'BOYU Capital Fund I CF'!L68+'BOYU Capital Fund I CF'!L69+'BOYU Capital Fund I CF'!L71</f>
        <v>6392112.9199999999</v>
      </c>
      <c r="AC65" s="103">
        <f>'BOYU Capital Fund I CF'!L73+'BOYU Capital Fund I CF'!L75+'BOYU Capital Fund I CF'!L76+'BOYU Capital Fund I CF'!L78+'BOYU Capital Fund I CF'!L79+'BOYU Capital Fund I CF'!L80</f>
        <v>8357339.5599999996</v>
      </c>
      <c r="AD65" s="385">
        <f>'BOYU Capital Fund I CF'!L81+'BOYU Capital Fund I CF'!L83+'BOYU Capital Fund I CF'!L84+'BOYU Capital Fund I CF'!L86</f>
        <v>9152374.9399999995</v>
      </c>
      <c r="AE65" s="103">
        <f>'BOYU Capital Fund I CF'!L88+'BOYU Capital Fund I CF'!L89+'BOYU Capital Fund I CF'!L91</f>
        <v>2802734.45</v>
      </c>
      <c r="AF65" s="103">
        <v>717981.21</v>
      </c>
      <c r="AG65" s="103">
        <v>4586713.3500000006</v>
      </c>
      <c r="AH65" s="103">
        <v>0</v>
      </c>
      <c r="AI65" s="498">
        <v>0</v>
      </c>
      <c r="AJ65" s="103">
        <v>0</v>
      </c>
      <c r="AK65" s="103">
        <v>0</v>
      </c>
      <c r="AL65" s="103">
        <v>0</v>
      </c>
      <c r="AM65" s="103">
        <v>0</v>
      </c>
      <c r="AN65" s="103">
        <v>0</v>
      </c>
      <c r="AO65" s="103"/>
      <c r="AP65" s="103"/>
      <c r="AQ65" s="103"/>
      <c r="AR65" s="103"/>
      <c r="AS65" s="103"/>
      <c r="AT65" s="103"/>
      <c r="AU65" s="103"/>
      <c r="AV65" s="103"/>
      <c r="AW65" s="103"/>
      <c r="AX65" s="103"/>
      <c r="AY65" s="54" t="s">
        <v>152</v>
      </c>
    </row>
    <row r="66" spans="1:51" s="53" customFormat="1" ht="13.35" customHeight="1">
      <c r="A66" s="592"/>
      <c r="B66" s="32">
        <f>B65+1</f>
        <v>2</v>
      </c>
      <c r="C66" s="49" t="s">
        <v>3</v>
      </c>
      <c r="D66" s="65"/>
      <c r="E66" s="65"/>
      <c r="F66" s="65"/>
      <c r="G66" s="65"/>
      <c r="H66" s="65"/>
      <c r="I66" s="65"/>
      <c r="J66" s="65"/>
      <c r="K66" s="66"/>
      <c r="L66" s="66"/>
      <c r="M66" s="65"/>
      <c r="N66" s="65"/>
      <c r="O66" s="65"/>
      <c r="P66" s="65"/>
      <c r="Q66" s="65"/>
      <c r="R66" s="65"/>
      <c r="S66" s="65"/>
      <c r="T66" s="478">
        <f t="shared" si="52"/>
        <v>21392851.900000002</v>
      </c>
      <c r="U66" s="103">
        <v>0</v>
      </c>
      <c r="V66" s="103">
        <f>'Ascendant CP I CF'!L14+'Ascendant CP I CF'!L16</f>
        <v>600912.41999999993</v>
      </c>
      <c r="W66" s="103">
        <v>0</v>
      </c>
      <c r="X66" s="103">
        <f>'Ascendant CP I CF'!L23+'Ascendant CP I CF'!L27+'Ascendant CP I CF'!L28+'Ascendant CP I CF'!L29+'Ascendant CP I CF'!L30+'Ascendant CP I CF'!L32+'Ascendant CP I CF'!L33</f>
        <v>2096011.62</v>
      </c>
      <c r="Y66" s="103">
        <f>'Ascendant CP I CF'!L35+'Ascendant CP I CF'!L36</f>
        <v>965837.56</v>
      </c>
      <c r="Z66" s="103">
        <f>'Ascendant CP I CF'!L39+'Ascendant CP I CF'!L41</f>
        <v>3089490.31</v>
      </c>
      <c r="AA66" s="103">
        <f>'Ascendant CP I CF'!L43+'Ascendant CP I CF'!L44</f>
        <v>3605265.2800000003</v>
      </c>
      <c r="AB66" s="103">
        <f>'Ascendant CP I CF'!L48+'Ascendant CP I CF'!L50</f>
        <v>2027065.49</v>
      </c>
      <c r="AC66" s="103">
        <v>0</v>
      </c>
      <c r="AD66" s="385">
        <f>'Ascendant CP I CF'!L55</f>
        <v>1551192.38</v>
      </c>
      <c r="AE66" s="103">
        <f>'Ascendant CP I CF'!L57+'Ascendant CP I CF'!L59+'Ascendant CP I CF'!L60</f>
        <v>6155883.4000000004</v>
      </c>
      <c r="AF66" s="103">
        <v>198397.62</v>
      </c>
      <c r="AG66" s="103">
        <v>502795.82</v>
      </c>
      <c r="AH66" s="103">
        <v>0</v>
      </c>
      <c r="AI66" s="498">
        <v>600000</v>
      </c>
      <c r="AJ66" s="103">
        <v>0</v>
      </c>
      <c r="AK66" s="103">
        <v>0</v>
      </c>
      <c r="AL66" s="103">
        <v>0</v>
      </c>
      <c r="AM66" s="103">
        <v>0</v>
      </c>
      <c r="AN66" s="103">
        <v>0</v>
      </c>
      <c r="AO66" s="103"/>
      <c r="AP66" s="103"/>
      <c r="AQ66" s="103"/>
      <c r="AR66" s="103"/>
      <c r="AS66" s="103"/>
      <c r="AT66" s="103"/>
      <c r="AU66" s="103"/>
      <c r="AV66" s="103"/>
      <c r="AW66" s="103"/>
      <c r="AX66" s="103"/>
      <c r="AY66" s="54" t="s">
        <v>153</v>
      </c>
    </row>
    <row r="67" spans="1:51" s="53" customFormat="1" ht="13.35" customHeight="1">
      <c r="A67" s="592"/>
      <c r="B67" s="32">
        <f t="shared" ref="B67:B84" si="53">B66+1</f>
        <v>3</v>
      </c>
      <c r="C67" s="49" t="s">
        <v>4</v>
      </c>
      <c r="D67" s="65"/>
      <c r="E67" s="65"/>
      <c r="F67" s="65"/>
      <c r="G67" s="65"/>
      <c r="H67" s="65"/>
      <c r="I67" s="65"/>
      <c r="J67" s="65"/>
      <c r="K67" s="66"/>
      <c r="L67" s="66"/>
      <c r="M67" s="65"/>
      <c r="N67" s="65"/>
      <c r="O67" s="65"/>
      <c r="P67" s="65"/>
      <c r="Q67" s="65"/>
      <c r="R67" s="65"/>
      <c r="S67" s="65"/>
      <c r="T67" s="478">
        <f t="shared" si="52"/>
        <v>20506162.998259999</v>
      </c>
      <c r="U67" s="103">
        <v>0</v>
      </c>
      <c r="V67" s="103">
        <v>0</v>
      </c>
      <c r="W67" s="103">
        <v>0</v>
      </c>
      <c r="X67" s="103">
        <v>0</v>
      </c>
      <c r="Y67" s="103">
        <v>0</v>
      </c>
      <c r="Z67" s="103">
        <v>0</v>
      </c>
      <c r="AA67" s="103">
        <v>0</v>
      </c>
      <c r="AB67" s="103">
        <v>0</v>
      </c>
      <c r="AC67" s="103">
        <v>0</v>
      </c>
      <c r="AD67" s="103">
        <f>'BOYU Offshore CF'!D6+'BOYU Offshore CF'!D7+'BOYU Offshore CF'!D8+'BOYU Offshore CF'!D9</f>
        <v>11884980</v>
      </c>
      <c r="AE67" s="103">
        <f>'BOYU Offshore CF'!D11</f>
        <v>4435365</v>
      </c>
      <c r="AF67" s="103">
        <v>0</v>
      </c>
      <c r="AG67" s="103">
        <v>2720240.9299999997</v>
      </c>
      <c r="AH67" s="103">
        <v>1155577.0682600001</v>
      </c>
      <c r="AI67" s="498">
        <v>310000</v>
      </c>
      <c r="AJ67" s="103">
        <v>0</v>
      </c>
      <c r="AK67" s="103">
        <v>0</v>
      </c>
      <c r="AL67" s="103">
        <v>0</v>
      </c>
      <c r="AM67" s="103">
        <v>0</v>
      </c>
      <c r="AN67" s="103">
        <v>0</v>
      </c>
      <c r="AO67" s="103"/>
      <c r="AP67" s="103"/>
      <c r="AQ67" s="103"/>
      <c r="AR67" s="103"/>
      <c r="AS67" s="103"/>
      <c r="AT67" s="103"/>
      <c r="AU67" s="103"/>
      <c r="AV67" s="103"/>
      <c r="AW67" s="103"/>
      <c r="AX67" s="103"/>
      <c r="AY67" s="54" t="s">
        <v>154</v>
      </c>
    </row>
    <row r="68" spans="1:51" s="53" customFormat="1" ht="13.35" customHeight="1">
      <c r="A68" s="592"/>
      <c r="B68" s="32">
        <f t="shared" si="53"/>
        <v>4</v>
      </c>
      <c r="C68" s="49" t="s">
        <v>117</v>
      </c>
      <c r="D68" s="65"/>
      <c r="E68" s="65"/>
      <c r="F68" s="65"/>
      <c r="G68" s="65"/>
      <c r="H68" s="65"/>
      <c r="I68" s="65"/>
      <c r="J68" s="65"/>
      <c r="K68" s="66"/>
      <c r="L68" s="66"/>
      <c r="M68" s="65"/>
      <c r="N68" s="65"/>
      <c r="O68" s="65"/>
      <c r="P68" s="65"/>
      <c r="Q68" s="65"/>
      <c r="R68" s="65"/>
      <c r="S68" s="65"/>
      <c r="T68" s="478">
        <f t="shared" si="52"/>
        <v>3636000</v>
      </c>
      <c r="U68" s="103">
        <v>0</v>
      </c>
      <c r="V68" s="103">
        <v>0</v>
      </c>
      <c r="W68" s="103">
        <v>0</v>
      </c>
      <c r="X68" s="103">
        <v>0</v>
      </c>
      <c r="Y68" s="103">
        <v>0</v>
      </c>
      <c r="Z68" s="103">
        <v>0</v>
      </c>
      <c r="AA68" s="103">
        <v>0</v>
      </c>
      <c r="AB68" s="103">
        <v>0</v>
      </c>
      <c r="AC68" s="103">
        <v>0</v>
      </c>
      <c r="AD68" s="385">
        <v>2232000</v>
      </c>
      <c r="AE68" s="103">
        <v>1200000</v>
      </c>
      <c r="AF68" s="103">
        <v>204000</v>
      </c>
      <c r="AG68" s="103">
        <v>0</v>
      </c>
      <c r="AH68" s="103">
        <v>0</v>
      </c>
      <c r="AI68" s="103">
        <v>0</v>
      </c>
      <c r="AJ68" s="103">
        <v>0</v>
      </c>
      <c r="AK68" s="103">
        <v>0</v>
      </c>
      <c r="AL68" s="103">
        <v>0</v>
      </c>
      <c r="AM68" s="103">
        <v>0</v>
      </c>
      <c r="AN68" s="103">
        <v>0</v>
      </c>
      <c r="AO68" s="103"/>
      <c r="AP68" s="103"/>
      <c r="AQ68" s="103"/>
      <c r="AR68" s="103"/>
      <c r="AS68" s="103"/>
      <c r="AT68" s="103"/>
      <c r="AU68" s="103"/>
      <c r="AV68" s="103"/>
      <c r="AW68" s="103"/>
      <c r="AX68" s="103"/>
      <c r="AY68" s="54" t="s">
        <v>155</v>
      </c>
    </row>
    <row r="69" spans="1:51" s="53" customFormat="1" ht="13.35" customHeight="1">
      <c r="A69" s="592"/>
      <c r="B69" s="32">
        <f t="shared" si="53"/>
        <v>5</v>
      </c>
      <c r="C69" s="49" t="s">
        <v>17</v>
      </c>
      <c r="D69" s="65"/>
      <c r="E69" s="65"/>
      <c r="F69" s="65"/>
      <c r="G69" s="65"/>
      <c r="H69" s="65"/>
      <c r="I69" s="65"/>
      <c r="J69" s="65"/>
      <c r="K69" s="66"/>
      <c r="L69" s="66"/>
      <c r="M69" s="65"/>
      <c r="N69" s="65"/>
      <c r="O69" s="65"/>
      <c r="P69" s="65"/>
      <c r="Q69" s="65"/>
      <c r="R69" s="65"/>
      <c r="S69" s="65"/>
      <c r="T69" s="478">
        <f t="shared" si="52"/>
        <v>4858210.79</v>
      </c>
      <c r="U69" s="103">
        <v>0</v>
      </c>
      <c r="V69" s="103">
        <v>0</v>
      </c>
      <c r="W69" s="103">
        <v>0</v>
      </c>
      <c r="X69" s="103">
        <v>0</v>
      </c>
      <c r="Y69" s="103">
        <v>0</v>
      </c>
      <c r="Z69" s="103">
        <v>0</v>
      </c>
      <c r="AA69" s="103">
        <v>0</v>
      </c>
      <c r="AB69" s="103">
        <v>0</v>
      </c>
      <c r="AC69" s="103">
        <f>'E15 Fund I (CF) '!J12+'E15 Fund I (CF) '!J13</f>
        <v>3982313.66</v>
      </c>
      <c r="AD69" s="103">
        <f>'E15 Fund I (CF) '!J14+'E15 Fund I (CF) '!J15</f>
        <v>175897.13</v>
      </c>
      <c r="AE69" s="103">
        <v>0</v>
      </c>
      <c r="AF69" s="103">
        <v>0</v>
      </c>
      <c r="AG69" s="103">
        <v>0</v>
      </c>
      <c r="AH69" s="103">
        <v>0</v>
      </c>
      <c r="AI69" s="498">
        <v>700000</v>
      </c>
      <c r="AJ69" s="103">
        <v>0</v>
      </c>
      <c r="AK69" s="103">
        <v>0</v>
      </c>
      <c r="AL69" s="103">
        <v>0</v>
      </c>
      <c r="AM69" s="103">
        <v>0</v>
      </c>
      <c r="AN69" s="103">
        <v>0</v>
      </c>
      <c r="AO69" s="103"/>
      <c r="AP69" s="103"/>
      <c r="AQ69" s="103"/>
      <c r="AR69" s="103"/>
      <c r="AS69" s="103"/>
      <c r="AT69" s="103"/>
      <c r="AU69" s="103"/>
      <c r="AV69" s="103"/>
      <c r="AW69" s="103"/>
      <c r="AX69" s="103"/>
      <c r="AY69" s="54" t="s">
        <v>156</v>
      </c>
    </row>
    <row r="70" spans="1:51" s="53" customFormat="1" ht="13.35" customHeight="1">
      <c r="A70" s="592"/>
      <c r="B70" s="32">
        <f t="shared" si="53"/>
        <v>6</v>
      </c>
      <c r="C70" s="49" t="s">
        <v>20</v>
      </c>
      <c r="D70" s="65"/>
      <c r="E70" s="65"/>
      <c r="F70" s="65"/>
      <c r="G70" s="65"/>
      <c r="H70" s="65"/>
      <c r="I70" s="65"/>
      <c r="J70" s="65"/>
      <c r="K70" s="66"/>
      <c r="L70" s="66"/>
      <c r="M70" s="65"/>
      <c r="N70" s="65"/>
      <c r="O70" s="65"/>
      <c r="P70" s="65"/>
      <c r="Q70" s="65"/>
      <c r="R70" s="65"/>
      <c r="S70" s="65"/>
      <c r="T70" s="478">
        <f t="shared" si="52"/>
        <v>49999999.999999993</v>
      </c>
      <c r="U70" s="103">
        <v>0</v>
      </c>
      <c r="V70" s="103">
        <v>0</v>
      </c>
      <c r="W70" s="103">
        <v>0</v>
      </c>
      <c r="X70" s="103">
        <v>0</v>
      </c>
      <c r="Y70" s="103">
        <v>0</v>
      </c>
      <c r="Z70" s="103">
        <v>0</v>
      </c>
      <c r="AA70" s="103">
        <v>0</v>
      </c>
      <c r="AB70" s="103">
        <v>0</v>
      </c>
      <c r="AC70" s="103">
        <v>0</v>
      </c>
      <c r="AD70" s="103">
        <v>0</v>
      </c>
      <c r="AE70" s="103">
        <f>'West Street VII (CF)'!L14+'West Street VII (CF)'!L16+'West Street VII (CF)'!L17+'West Street VII (CF)'!L18</f>
        <v>3309646</v>
      </c>
      <c r="AF70" s="103">
        <v>10334517</v>
      </c>
      <c r="AG70" s="103">
        <v>352405</v>
      </c>
      <c r="AH70" s="103">
        <v>792997</v>
      </c>
      <c r="AI70" s="498">
        <v>2267217</v>
      </c>
      <c r="AJ70" s="103">
        <v>10981072.666666666</v>
      </c>
      <c r="AK70" s="103">
        <v>10981072.666666666</v>
      </c>
      <c r="AL70" s="103">
        <v>10981072.666666666</v>
      </c>
      <c r="AM70" s="103"/>
      <c r="AN70" s="103"/>
      <c r="AO70" s="103"/>
      <c r="AP70" s="103"/>
      <c r="AQ70" s="103"/>
      <c r="AR70" s="103"/>
      <c r="AS70" s="103"/>
      <c r="AT70" s="103"/>
      <c r="AU70" s="103"/>
      <c r="AV70" s="103"/>
      <c r="AW70" s="103"/>
      <c r="AX70" s="103"/>
      <c r="AY70" s="54" t="s">
        <v>157</v>
      </c>
    </row>
    <row r="71" spans="1:51" s="53" customFormat="1" ht="13.35" customHeight="1">
      <c r="A71" s="592"/>
      <c r="B71" s="32">
        <f t="shared" si="53"/>
        <v>7</v>
      </c>
      <c r="C71" s="49" t="s">
        <v>5</v>
      </c>
      <c r="D71" s="65"/>
      <c r="E71" s="65"/>
      <c r="F71" s="65"/>
      <c r="G71" s="65"/>
      <c r="H71" s="65"/>
      <c r="I71" s="65"/>
      <c r="J71" s="65"/>
      <c r="K71" s="66"/>
      <c r="L71" s="66"/>
      <c r="M71" s="65"/>
      <c r="N71" s="65"/>
      <c r="O71" s="65"/>
      <c r="P71" s="65"/>
      <c r="Q71" s="65"/>
      <c r="R71" s="65"/>
      <c r="S71" s="65"/>
      <c r="T71" s="478">
        <f t="shared" si="52"/>
        <v>30000000</v>
      </c>
      <c r="U71" s="103">
        <v>0</v>
      </c>
      <c r="V71" s="103">
        <v>0</v>
      </c>
      <c r="W71" s="103">
        <v>0</v>
      </c>
      <c r="X71" s="103">
        <v>0</v>
      </c>
      <c r="Y71" s="103">
        <v>0</v>
      </c>
      <c r="Z71" s="103">
        <v>0</v>
      </c>
      <c r="AA71" s="103">
        <v>0</v>
      </c>
      <c r="AB71" s="103">
        <v>0</v>
      </c>
      <c r="AC71" s="103">
        <v>0</v>
      </c>
      <c r="AD71" s="385">
        <f>'C Ventures II CF '!K18</f>
        <v>214285.72</v>
      </c>
      <c r="AE71" s="103">
        <f>'C Ventures II CF '!K25+'C Ventures II CF '!K26+'C Ventures II CF '!K27</f>
        <v>666514.19999999995</v>
      </c>
      <c r="AF71" s="103">
        <v>2136450.5499999998</v>
      </c>
      <c r="AG71" s="103">
        <v>3240962.21</v>
      </c>
      <c r="AH71" s="103">
        <v>0</v>
      </c>
      <c r="AI71" s="498">
        <v>2000000</v>
      </c>
      <c r="AJ71" s="103">
        <v>10870893.66</v>
      </c>
      <c r="AK71" s="103">
        <v>10870893.66</v>
      </c>
      <c r="AL71" s="103">
        <v>0</v>
      </c>
      <c r="AM71" s="103">
        <v>0</v>
      </c>
      <c r="AN71" s="103">
        <v>0</v>
      </c>
      <c r="AO71" s="103"/>
      <c r="AP71" s="103"/>
      <c r="AQ71" s="103"/>
      <c r="AR71" s="103"/>
      <c r="AS71" s="103"/>
      <c r="AT71" s="103"/>
      <c r="AU71" s="103"/>
      <c r="AV71" s="103"/>
      <c r="AW71" s="103"/>
      <c r="AX71" s="103"/>
      <c r="AY71" s="54" t="s">
        <v>158</v>
      </c>
    </row>
    <row r="72" spans="1:51" s="53" customFormat="1" ht="13.35" customHeight="1">
      <c r="A72" s="592"/>
      <c r="B72" s="32">
        <f t="shared" si="53"/>
        <v>8</v>
      </c>
      <c r="C72" s="49" t="s">
        <v>6</v>
      </c>
      <c r="D72" s="65"/>
      <c r="E72" s="65"/>
      <c r="F72" s="65"/>
      <c r="G72" s="65"/>
      <c r="H72" s="65"/>
      <c r="I72" s="65"/>
      <c r="J72" s="65"/>
      <c r="K72" s="66"/>
      <c r="L72" s="66"/>
      <c r="M72" s="65"/>
      <c r="N72" s="65"/>
      <c r="O72" s="65"/>
      <c r="P72" s="65"/>
      <c r="Q72" s="65"/>
      <c r="R72" s="65"/>
      <c r="S72" s="65"/>
      <c r="T72" s="478">
        <f t="shared" si="52"/>
        <v>90000000</v>
      </c>
      <c r="U72" s="103">
        <v>0</v>
      </c>
      <c r="V72" s="103">
        <v>0</v>
      </c>
      <c r="W72" s="103">
        <v>0</v>
      </c>
      <c r="X72" s="103">
        <v>0</v>
      </c>
      <c r="Y72" s="103">
        <v>0</v>
      </c>
      <c r="Z72" s="103">
        <v>0</v>
      </c>
      <c r="AA72" s="103">
        <v>0</v>
      </c>
      <c r="AB72" s="103">
        <v>0</v>
      </c>
      <c r="AC72" s="103">
        <f>'DCP I (CF)'!L30</f>
        <v>662589.26</v>
      </c>
      <c r="AD72" s="385">
        <f>'DCP I (CF)'!L33+'DCP I (CF)'!L35+'DCP I (CF)'!L36</f>
        <v>2639800.06</v>
      </c>
      <c r="AE72" s="103">
        <f>'DCP I (CF)'!L38+'DCP I (CF)'!L42+'DCP I (CF)'!L44+'DCP I (CF)'!L45</f>
        <v>3227173.9200000004</v>
      </c>
      <c r="AF72" s="103">
        <v>3181636.9499999997</v>
      </c>
      <c r="AG72" s="103">
        <v>13446533.48</v>
      </c>
      <c r="AH72" s="103">
        <v>5320663.1900000004</v>
      </c>
      <c r="AI72" s="498">
        <v>5654979.9500000011</v>
      </c>
      <c r="AJ72" s="103">
        <v>13966655.797499999</v>
      </c>
      <c r="AK72" s="103">
        <v>13966655.797499999</v>
      </c>
      <c r="AL72" s="103">
        <v>13966655.797499999</v>
      </c>
      <c r="AM72" s="103">
        <v>13966655.797499999</v>
      </c>
      <c r="AN72" s="103">
        <v>0</v>
      </c>
      <c r="AO72" s="103"/>
      <c r="AP72" s="103"/>
      <c r="AQ72" s="103"/>
      <c r="AR72" s="103"/>
      <c r="AS72" s="103"/>
      <c r="AT72" s="103"/>
      <c r="AU72" s="103"/>
      <c r="AV72" s="103"/>
      <c r="AW72" s="103"/>
      <c r="AX72" s="103"/>
      <c r="AY72" s="54" t="s">
        <v>159</v>
      </c>
    </row>
    <row r="73" spans="1:51" s="53" customFormat="1" ht="13.35" customHeight="1">
      <c r="A73" s="592"/>
      <c r="B73" s="32">
        <f t="shared" si="53"/>
        <v>9</v>
      </c>
      <c r="C73" s="49" t="s">
        <v>18</v>
      </c>
      <c r="D73" s="65"/>
      <c r="E73" s="65"/>
      <c r="F73" s="65"/>
      <c r="G73" s="65"/>
      <c r="H73" s="65"/>
      <c r="I73" s="65"/>
      <c r="J73" s="65"/>
      <c r="K73" s="66"/>
      <c r="L73" s="66"/>
      <c r="M73" s="65"/>
      <c r="N73" s="65"/>
      <c r="O73" s="65"/>
      <c r="P73" s="65"/>
      <c r="Q73" s="65"/>
      <c r="R73" s="65"/>
      <c r="S73" s="65"/>
      <c r="T73" s="478">
        <f t="shared" si="52"/>
        <v>2929359.91</v>
      </c>
      <c r="U73" s="103">
        <v>0</v>
      </c>
      <c r="V73" s="103">
        <v>0</v>
      </c>
      <c r="W73" s="103">
        <v>0</v>
      </c>
      <c r="X73" s="103">
        <v>0</v>
      </c>
      <c r="Y73" s="103">
        <v>0</v>
      </c>
      <c r="Z73" s="103">
        <v>0</v>
      </c>
      <c r="AA73" s="103">
        <v>0</v>
      </c>
      <c r="AB73" s="103">
        <v>0</v>
      </c>
      <c r="AC73" s="479">
        <v>2807879.74</v>
      </c>
      <c r="AD73" s="103">
        <v>121480.17</v>
      </c>
      <c r="AE73" s="103">
        <v>0</v>
      </c>
      <c r="AF73" s="103">
        <v>0</v>
      </c>
      <c r="AG73" s="103">
        <v>0</v>
      </c>
      <c r="AH73" s="103">
        <v>0</v>
      </c>
      <c r="AI73" s="103">
        <v>0</v>
      </c>
      <c r="AJ73" s="103">
        <v>0</v>
      </c>
      <c r="AK73" s="103">
        <v>0</v>
      </c>
      <c r="AL73" s="103">
        <v>0</v>
      </c>
      <c r="AM73" s="103"/>
      <c r="AN73" s="103"/>
      <c r="AO73" s="103"/>
      <c r="AP73" s="103"/>
      <c r="AQ73" s="103"/>
      <c r="AR73" s="103"/>
      <c r="AS73" s="103"/>
      <c r="AT73" s="103"/>
      <c r="AU73" s="103"/>
      <c r="AV73" s="103"/>
      <c r="AW73" s="103"/>
      <c r="AX73" s="103"/>
      <c r="AY73" s="54" t="s">
        <v>160</v>
      </c>
    </row>
    <row r="74" spans="1:51" s="53" customFormat="1" ht="13.35" customHeight="1">
      <c r="A74" s="592"/>
      <c r="B74" s="32">
        <f t="shared" si="53"/>
        <v>10</v>
      </c>
      <c r="C74" s="49" t="s">
        <v>7</v>
      </c>
      <c r="D74" s="65"/>
      <c r="E74" s="65"/>
      <c r="F74" s="65"/>
      <c r="G74" s="65"/>
      <c r="H74" s="65"/>
      <c r="I74" s="65"/>
      <c r="J74" s="65"/>
      <c r="K74" s="66"/>
      <c r="L74" s="66"/>
      <c r="M74" s="65"/>
      <c r="N74" s="65"/>
      <c r="O74" s="65"/>
      <c r="P74" s="65"/>
      <c r="Q74" s="65"/>
      <c r="R74" s="65"/>
      <c r="S74" s="65"/>
      <c r="T74" s="478">
        <f t="shared" si="52"/>
        <v>54000000</v>
      </c>
      <c r="U74" s="103">
        <v>0</v>
      </c>
      <c r="V74" s="103">
        <v>0</v>
      </c>
      <c r="W74" s="103">
        <v>0</v>
      </c>
      <c r="X74" s="103">
        <v>0</v>
      </c>
      <c r="Y74" s="103">
        <v>0</v>
      </c>
      <c r="Z74" s="103">
        <v>0</v>
      </c>
      <c r="AA74" s="103">
        <v>0</v>
      </c>
      <c r="AB74" s="103">
        <v>0</v>
      </c>
      <c r="AC74" s="103">
        <v>0</v>
      </c>
      <c r="AD74" s="103">
        <v>0</v>
      </c>
      <c r="AE74" s="103">
        <f>'Skycus China CF'!L16+'Skycus China CF'!L17+'Skycus China CF'!L18</f>
        <v>2920577.9099999997</v>
      </c>
      <c r="AF74" s="103">
        <v>0</v>
      </c>
      <c r="AG74" s="103">
        <v>852079.94</v>
      </c>
      <c r="AH74" s="103">
        <v>1555253.67</v>
      </c>
      <c r="AI74" s="498">
        <v>15600000</v>
      </c>
      <c r="AJ74" s="103">
        <v>11024029.493333334</v>
      </c>
      <c r="AK74" s="103">
        <v>11024029.493333334</v>
      </c>
      <c r="AL74" s="103">
        <v>11024029.493333334</v>
      </c>
      <c r="AM74" s="103"/>
      <c r="AN74" s="103">
        <v>0</v>
      </c>
      <c r="AO74" s="103"/>
      <c r="AP74" s="103"/>
      <c r="AQ74" s="103"/>
      <c r="AR74" s="103"/>
      <c r="AS74" s="103"/>
      <c r="AT74" s="103"/>
      <c r="AU74" s="103"/>
      <c r="AV74" s="103"/>
      <c r="AW74" s="103"/>
      <c r="AX74" s="103"/>
      <c r="AY74" s="54" t="s">
        <v>161</v>
      </c>
    </row>
    <row r="75" spans="1:51" s="53" customFormat="1" ht="13.35" customHeight="1">
      <c r="A75" s="592"/>
      <c r="B75" s="32">
        <f t="shared" si="53"/>
        <v>11</v>
      </c>
      <c r="C75" s="53" t="s">
        <v>8</v>
      </c>
      <c r="D75" s="65"/>
      <c r="E75" s="65"/>
      <c r="F75" s="65"/>
      <c r="G75" s="65"/>
      <c r="H75" s="65"/>
      <c r="I75" s="65"/>
      <c r="J75" s="65"/>
      <c r="K75" s="66"/>
      <c r="L75" s="66"/>
      <c r="M75" s="65"/>
      <c r="N75" s="65"/>
      <c r="O75" s="65"/>
      <c r="P75" s="65"/>
      <c r="Q75" s="65"/>
      <c r="R75" s="65"/>
      <c r="S75" s="65"/>
      <c r="T75" s="478">
        <f t="shared" si="52"/>
        <v>12600000</v>
      </c>
      <c r="U75" s="103">
        <v>0</v>
      </c>
      <c r="V75" s="103">
        <v>0</v>
      </c>
      <c r="W75" s="103">
        <v>0</v>
      </c>
      <c r="X75" s="103">
        <v>0</v>
      </c>
      <c r="Y75" s="103">
        <v>0</v>
      </c>
      <c r="Z75" s="103">
        <v>0</v>
      </c>
      <c r="AA75" s="103">
        <v>0</v>
      </c>
      <c r="AB75" s="103">
        <v>0</v>
      </c>
      <c r="AC75" s="103">
        <v>0</v>
      </c>
      <c r="AD75" s="103">
        <v>0</v>
      </c>
      <c r="AE75" s="103">
        <v>0</v>
      </c>
      <c r="AF75" s="103">
        <v>0</v>
      </c>
      <c r="AG75" s="103">
        <v>0</v>
      </c>
      <c r="AH75" s="103">
        <v>0</v>
      </c>
      <c r="AI75" s="498">
        <v>2250000</v>
      </c>
      <c r="AJ75" s="103">
        <v>2070000</v>
      </c>
      <c r="AK75" s="103">
        <v>2070000</v>
      </c>
      <c r="AL75" s="103">
        <v>2070000</v>
      </c>
      <c r="AM75" s="103">
        <v>2070000</v>
      </c>
      <c r="AN75" s="103">
        <v>2070000</v>
      </c>
      <c r="AO75" s="103"/>
      <c r="AP75" s="103"/>
      <c r="AQ75" s="103"/>
      <c r="AR75" s="103"/>
      <c r="AS75" s="103"/>
      <c r="AT75" s="103"/>
      <c r="AU75" s="103"/>
      <c r="AV75" s="103"/>
      <c r="AW75" s="103"/>
      <c r="AX75" s="103"/>
      <c r="AY75" s="54" t="s">
        <v>162</v>
      </c>
    </row>
    <row r="76" spans="1:51" s="53" customFormat="1" ht="13.35" customHeight="1">
      <c r="A76" s="592"/>
      <c r="B76" s="32">
        <f t="shared" si="53"/>
        <v>12</v>
      </c>
      <c r="C76" s="49" t="s">
        <v>9</v>
      </c>
      <c r="D76" s="65"/>
      <c r="E76" s="65"/>
      <c r="F76" s="65"/>
      <c r="G76" s="65"/>
      <c r="H76" s="65"/>
      <c r="I76" s="65"/>
      <c r="J76" s="65"/>
      <c r="K76" s="66"/>
      <c r="L76" s="66"/>
      <c r="M76" s="65"/>
      <c r="N76" s="65"/>
      <c r="O76" s="65"/>
      <c r="P76" s="65"/>
      <c r="Q76" s="65"/>
      <c r="R76" s="65"/>
      <c r="S76" s="65"/>
      <c r="T76" s="478">
        <f t="shared" si="52"/>
        <v>31500000.000000004</v>
      </c>
      <c r="U76" s="103">
        <v>0</v>
      </c>
      <c r="V76" s="103">
        <v>0</v>
      </c>
      <c r="W76" s="103">
        <v>0</v>
      </c>
      <c r="X76" s="103">
        <v>0</v>
      </c>
      <c r="Y76" s="103">
        <v>0</v>
      </c>
      <c r="Z76" s="103">
        <v>0</v>
      </c>
      <c r="AA76" s="103">
        <v>0</v>
      </c>
      <c r="AB76" s="103">
        <v>0</v>
      </c>
      <c r="AC76" s="103">
        <v>0</v>
      </c>
      <c r="AD76" s="103">
        <v>0</v>
      </c>
      <c r="AE76" s="103">
        <f>'HSG Growth VI (CF) '!K15</f>
        <v>121791</v>
      </c>
      <c r="AF76" s="103">
        <v>0</v>
      </c>
      <c r="AG76" s="103">
        <v>0</v>
      </c>
      <c r="AH76" s="103">
        <v>0</v>
      </c>
      <c r="AI76" s="498">
        <v>5755000</v>
      </c>
      <c r="AJ76" s="103">
        <v>5124641.8</v>
      </c>
      <c r="AK76" s="103">
        <v>5124641.8</v>
      </c>
      <c r="AL76" s="103">
        <v>5124641.8</v>
      </c>
      <c r="AM76" s="103">
        <v>5124641.8</v>
      </c>
      <c r="AN76" s="103">
        <v>5124641.8</v>
      </c>
      <c r="AO76" s="103"/>
      <c r="AP76" s="103"/>
      <c r="AQ76" s="103"/>
      <c r="AR76" s="103"/>
      <c r="AS76" s="103"/>
      <c r="AT76" s="103"/>
      <c r="AU76" s="103"/>
      <c r="AV76" s="103"/>
      <c r="AW76" s="103"/>
      <c r="AX76" s="103"/>
      <c r="AY76" s="54" t="s">
        <v>163</v>
      </c>
    </row>
    <row r="77" spans="1:51" s="53" customFormat="1" ht="13.35" customHeight="1">
      <c r="A77" s="592"/>
      <c r="B77" s="32">
        <f t="shared" si="53"/>
        <v>13</v>
      </c>
      <c r="C77" s="49" t="s">
        <v>21</v>
      </c>
      <c r="D77" s="65"/>
      <c r="E77" s="65"/>
      <c r="F77" s="65"/>
      <c r="G77" s="65"/>
      <c r="H77" s="65"/>
      <c r="I77" s="65"/>
      <c r="J77" s="65"/>
      <c r="K77" s="66"/>
      <c r="L77" s="66"/>
      <c r="M77" s="65"/>
      <c r="N77" s="65"/>
      <c r="O77" s="65"/>
      <c r="P77" s="65"/>
      <c r="Q77" s="65"/>
      <c r="R77" s="65"/>
      <c r="S77" s="65"/>
      <c r="T77" s="478">
        <f t="shared" si="52"/>
        <v>100000000</v>
      </c>
      <c r="U77" s="103">
        <v>0</v>
      </c>
      <c r="V77" s="103">
        <v>0</v>
      </c>
      <c r="W77" s="103">
        <v>0</v>
      </c>
      <c r="X77" s="103">
        <v>0</v>
      </c>
      <c r="Y77" s="103">
        <v>0</v>
      </c>
      <c r="Z77" s="103">
        <v>0</v>
      </c>
      <c r="AA77" s="103">
        <v>0</v>
      </c>
      <c r="AB77" s="103">
        <v>0</v>
      </c>
      <c r="AC77" s="103">
        <v>0</v>
      </c>
      <c r="AD77" s="103">
        <v>0</v>
      </c>
      <c r="AE77" s="103">
        <v>0</v>
      </c>
      <c r="AF77" s="103">
        <v>650000</v>
      </c>
      <c r="AG77" s="103">
        <v>0</v>
      </c>
      <c r="AH77" s="103">
        <v>0</v>
      </c>
      <c r="AI77" s="498">
        <v>0</v>
      </c>
      <c r="AJ77" s="103">
        <v>19870000</v>
      </c>
      <c r="AK77" s="103">
        <v>19870000</v>
      </c>
      <c r="AL77" s="103">
        <v>19870000</v>
      </c>
      <c r="AM77" s="103">
        <v>19870000</v>
      </c>
      <c r="AN77" s="103">
        <v>19870000</v>
      </c>
      <c r="AO77" s="103"/>
      <c r="AP77" s="103"/>
      <c r="AQ77" s="103"/>
      <c r="AR77" s="103"/>
      <c r="AS77" s="103"/>
      <c r="AT77" s="103"/>
      <c r="AU77" s="103"/>
      <c r="AV77" s="103"/>
      <c r="AW77" s="103"/>
      <c r="AX77" s="103"/>
      <c r="AY77" s="54" t="s">
        <v>164</v>
      </c>
    </row>
    <row r="78" spans="1:51" s="53" customFormat="1" ht="13.35" customHeight="1">
      <c r="A78" s="592"/>
      <c r="B78" s="32">
        <f t="shared" si="53"/>
        <v>14</v>
      </c>
      <c r="C78" s="49" t="s">
        <v>10</v>
      </c>
      <c r="D78" s="65"/>
      <c r="E78" s="65"/>
      <c r="F78" s="65"/>
      <c r="G78" s="65"/>
      <c r="H78" s="65"/>
      <c r="I78" s="65"/>
      <c r="J78" s="65"/>
      <c r="K78" s="66"/>
      <c r="L78" s="66"/>
      <c r="M78" s="65"/>
      <c r="N78" s="65"/>
      <c r="O78" s="65"/>
      <c r="P78" s="65"/>
      <c r="Q78" s="65"/>
      <c r="R78" s="65"/>
      <c r="S78" s="65"/>
      <c r="T78" s="478">
        <f t="shared" si="52"/>
        <v>179999999.99999997</v>
      </c>
      <c r="U78" s="103">
        <v>0</v>
      </c>
      <c r="V78" s="103">
        <v>0</v>
      </c>
      <c r="W78" s="103">
        <v>0</v>
      </c>
      <c r="X78" s="103">
        <v>0</v>
      </c>
      <c r="Y78" s="103">
        <v>0</v>
      </c>
      <c r="Z78" s="103">
        <v>0</v>
      </c>
      <c r="AA78" s="103">
        <v>0</v>
      </c>
      <c r="AB78" s="103">
        <v>0</v>
      </c>
      <c r="AC78" s="103">
        <v>0</v>
      </c>
      <c r="AD78" s="103">
        <v>0</v>
      </c>
      <c r="AE78" s="103">
        <v>0</v>
      </c>
      <c r="AF78" s="103">
        <v>492504.54000000004</v>
      </c>
      <c r="AG78" s="103">
        <v>89423.06</v>
      </c>
      <c r="AH78" s="103">
        <v>2586900.38</v>
      </c>
      <c r="AI78" s="498">
        <v>2000000</v>
      </c>
      <c r="AJ78" s="103">
        <v>24975881.717142858</v>
      </c>
      <c r="AK78" s="103">
        <v>24975881.717142858</v>
      </c>
      <c r="AL78" s="103">
        <v>24975881.717142858</v>
      </c>
      <c r="AM78" s="103">
        <v>24975881.717142858</v>
      </c>
      <c r="AN78" s="103">
        <v>24975881.717142858</v>
      </c>
      <c r="AO78" s="103">
        <v>24975881.717142858</v>
      </c>
      <c r="AP78" s="103">
        <v>24975881.717142858</v>
      </c>
      <c r="AQ78" s="103"/>
      <c r="AR78" s="103"/>
      <c r="AS78" s="103"/>
      <c r="AT78" s="103"/>
      <c r="AU78" s="103"/>
      <c r="AV78" s="103"/>
      <c r="AW78" s="103"/>
      <c r="AX78" s="103"/>
      <c r="AY78" s="54" t="s">
        <v>165</v>
      </c>
    </row>
    <row r="79" spans="1:51" s="53" customFormat="1" ht="13.35" customHeight="1">
      <c r="A79" s="592"/>
      <c r="B79" s="32">
        <f t="shared" si="53"/>
        <v>15</v>
      </c>
      <c r="C79" s="53" t="s">
        <v>11</v>
      </c>
      <c r="D79" s="65"/>
      <c r="E79" s="65"/>
      <c r="F79" s="65"/>
      <c r="G79" s="65"/>
      <c r="H79" s="65"/>
      <c r="I79" s="65"/>
      <c r="J79" s="65"/>
      <c r="K79" s="66"/>
      <c r="L79" s="66"/>
      <c r="M79" s="65"/>
      <c r="N79" s="65"/>
      <c r="O79" s="65"/>
      <c r="P79" s="65"/>
      <c r="Q79" s="65"/>
      <c r="R79" s="65"/>
      <c r="S79" s="65"/>
      <c r="T79" s="478">
        <f t="shared" si="52"/>
        <v>22500000.000000004</v>
      </c>
      <c r="U79" s="103">
        <v>0</v>
      </c>
      <c r="V79" s="103">
        <v>0</v>
      </c>
      <c r="W79" s="103">
        <v>0</v>
      </c>
      <c r="X79" s="103">
        <v>0</v>
      </c>
      <c r="Y79" s="103">
        <v>0</v>
      </c>
      <c r="Z79" s="103">
        <v>0</v>
      </c>
      <c r="AA79" s="103">
        <v>0</v>
      </c>
      <c r="AB79" s="103">
        <v>0</v>
      </c>
      <c r="AC79" s="103">
        <v>0</v>
      </c>
      <c r="AD79" s="103">
        <v>0</v>
      </c>
      <c r="AE79" s="103">
        <f>'Lionet Fund CF'!L13+'Lionet Fund CF'!L16+'Lionet Fund CF'!L18</f>
        <v>607971.19999999995</v>
      </c>
      <c r="AF79" s="103">
        <v>0</v>
      </c>
      <c r="AG79" s="103">
        <v>212340.74</v>
      </c>
      <c r="AH79" s="103">
        <v>1377295.1800000002</v>
      </c>
      <c r="AI79" s="498">
        <v>2133742.2599999998</v>
      </c>
      <c r="AJ79" s="103">
        <v>3633730.1240000003</v>
      </c>
      <c r="AK79" s="103">
        <v>3633730.1240000003</v>
      </c>
      <c r="AL79" s="103">
        <v>3633730.1240000003</v>
      </c>
      <c r="AM79" s="103">
        <v>3633730.1240000003</v>
      </c>
      <c r="AN79" s="103">
        <v>3633730.1240000003</v>
      </c>
      <c r="AO79" s="103"/>
      <c r="AP79" s="103"/>
      <c r="AQ79" s="103"/>
      <c r="AR79" s="103"/>
      <c r="AS79" s="103"/>
      <c r="AT79" s="103"/>
      <c r="AU79" s="103"/>
      <c r="AV79" s="103"/>
      <c r="AW79" s="103"/>
      <c r="AX79" s="103"/>
      <c r="AY79" s="54" t="s">
        <v>166</v>
      </c>
    </row>
    <row r="80" spans="1:51" s="53" customFormat="1" ht="13.35" customHeight="1">
      <c r="A80" s="592"/>
      <c r="B80" s="32">
        <f t="shared" si="53"/>
        <v>16</v>
      </c>
      <c r="C80" s="49" t="s">
        <v>12</v>
      </c>
      <c r="D80" s="65"/>
      <c r="E80" s="65"/>
      <c r="F80" s="65"/>
      <c r="G80" s="65"/>
      <c r="H80" s="65"/>
      <c r="I80" s="65"/>
      <c r="J80" s="65"/>
      <c r="K80" s="66"/>
      <c r="L80" s="66"/>
      <c r="M80" s="65"/>
      <c r="N80" s="65"/>
      <c r="O80" s="65"/>
      <c r="P80" s="65"/>
      <c r="Q80" s="65"/>
      <c r="R80" s="65"/>
      <c r="S80" s="65"/>
      <c r="T80" s="478">
        <f t="shared" si="52"/>
        <v>69000000</v>
      </c>
      <c r="U80" s="103">
        <v>0</v>
      </c>
      <c r="V80" s="103">
        <v>0</v>
      </c>
      <c r="W80" s="103">
        <v>0</v>
      </c>
      <c r="X80" s="103">
        <v>0</v>
      </c>
      <c r="Y80" s="103">
        <v>0</v>
      </c>
      <c r="Z80" s="103">
        <v>0</v>
      </c>
      <c r="AA80" s="103">
        <v>0</v>
      </c>
      <c r="AB80" s="103">
        <v>0</v>
      </c>
      <c r="AC80" s="103">
        <v>0</v>
      </c>
      <c r="AD80" s="103">
        <v>0</v>
      </c>
      <c r="AE80" s="103">
        <f>'Boyu Real Estate CF'!K13+'Boyu Real Estate CF'!K17+'Boyu Real Estate CF'!K18+'Boyu Real Estate CF'!K19+'Boyu Real Estate CF'!K20+'Boyu Real Estate CF'!K22</f>
        <v>1452983.02</v>
      </c>
      <c r="AF80" s="103">
        <v>692195.41</v>
      </c>
      <c r="AG80" s="103">
        <v>712155.9</v>
      </c>
      <c r="AH80" s="103">
        <v>0</v>
      </c>
      <c r="AI80" s="498">
        <v>0</v>
      </c>
      <c r="AJ80" s="103">
        <v>13228533.134</v>
      </c>
      <c r="AK80" s="103">
        <v>13228533.134</v>
      </c>
      <c r="AL80" s="103">
        <v>13228533.134</v>
      </c>
      <c r="AM80" s="103">
        <v>13228533.134</v>
      </c>
      <c r="AN80" s="103">
        <v>13228533.134</v>
      </c>
      <c r="AO80" s="103"/>
      <c r="AP80" s="103"/>
      <c r="AQ80" s="103"/>
      <c r="AR80" s="103"/>
      <c r="AS80" s="103"/>
      <c r="AT80" s="103"/>
      <c r="AU80" s="103"/>
      <c r="AV80" s="103"/>
      <c r="AW80" s="103"/>
      <c r="AX80" s="103"/>
      <c r="AY80" s="54" t="s">
        <v>167</v>
      </c>
    </row>
    <row r="81" spans="1:51" s="53" customFormat="1" ht="13.35" customHeight="1">
      <c r="A81" s="592"/>
      <c r="B81" s="32">
        <f t="shared" si="53"/>
        <v>17</v>
      </c>
      <c r="C81" s="49" t="s">
        <v>19</v>
      </c>
      <c r="D81" s="65"/>
      <c r="E81" s="65"/>
      <c r="F81" s="65"/>
      <c r="G81" s="65"/>
      <c r="H81" s="65"/>
      <c r="I81" s="65"/>
      <c r="J81" s="65"/>
      <c r="K81" s="66"/>
      <c r="L81" s="66"/>
      <c r="M81" s="65"/>
      <c r="N81" s="65"/>
      <c r="O81" s="65"/>
      <c r="P81" s="65"/>
      <c r="Q81" s="65"/>
      <c r="R81" s="65"/>
      <c r="S81" s="65"/>
      <c r="T81" s="478">
        <f t="shared" si="52"/>
        <v>27270429.962055232</v>
      </c>
      <c r="U81" s="103">
        <v>0</v>
      </c>
      <c r="V81" s="103">
        <v>0</v>
      </c>
      <c r="W81" s="103">
        <v>0</v>
      </c>
      <c r="X81" s="103">
        <v>0</v>
      </c>
      <c r="Y81" s="103">
        <v>0</v>
      </c>
      <c r="Z81" s="103">
        <v>0</v>
      </c>
      <c r="AA81" s="103">
        <v>0</v>
      </c>
      <c r="AB81" s="103">
        <v>0</v>
      </c>
      <c r="AC81" s="103">
        <v>0</v>
      </c>
      <c r="AD81" s="103">
        <v>0</v>
      </c>
      <c r="AE81" s="103">
        <v>0</v>
      </c>
      <c r="AF81" s="103">
        <v>23939079</v>
      </c>
      <c r="AG81" s="103">
        <v>683168.56</v>
      </c>
      <c r="AH81" s="103">
        <v>0</v>
      </c>
      <c r="AI81" s="103">
        <v>0</v>
      </c>
      <c r="AJ81" s="103">
        <v>0</v>
      </c>
      <c r="AK81" s="103">
        <v>1324091.2010276173</v>
      </c>
      <c r="AL81" s="103">
        <v>1324091.2010276173</v>
      </c>
      <c r="AM81" s="103"/>
      <c r="AN81" s="103"/>
      <c r="AO81" s="103"/>
      <c r="AP81" s="103"/>
      <c r="AQ81" s="103"/>
      <c r="AR81" s="103"/>
      <c r="AS81" s="103"/>
      <c r="AT81" s="103"/>
      <c r="AU81" s="103"/>
      <c r="AV81" s="103"/>
      <c r="AW81" s="103"/>
      <c r="AX81" s="103"/>
      <c r="AY81" s="54" t="s">
        <v>168</v>
      </c>
    </row>
    <row r="82" spans="1:51" s="53" customFormat="1" ht="13.35" customHeight="1">
      <c r="A82" s="592"/>
      <c r="B82" s="32">
        <f t="shared" si="53"/>
        <v>18</v>
      </c>
      <c r="C82" s="49" t="s">
        <v>13</v>
      </c>
      <c r="D82" s="65"/>
      <c r="E82" s="65"/>
      <c r="F82" s="65"/>
      <c r="G82" s="65"/>
      <c r="H82" s="65"/>
      <c r="I82" s="65"/>
      <c r="J82" s="65"/>
      <c r="K82" s="66"/>
      <c r="L82" s="66"/>
      <c r="M82" s="65"/>
      <c r="N82" s="65"/>
      <c r="O82" s="65"/>
      <c r="P82" s="65"/>
      <c r="Q82" s="65"/>
      <c r="R82" s="65"/>
      <c r="S82" s="65"/>
      <c r="T82" s="478">
        <f t="shared" si="52"/>
        <v>31375000</v>
      </c>
      <c r="U82" s="103">
        <v>0</v>
      </c>
      <c r="V82" s="103">
        <v>0</v>
      </c>
      <c r="W82" s="103">
        <v>0</v>
      </c>
      <c r="X82" s="103">
        <v>0</v>
      </c>
      <c r="Y82" s="103">
        <v>0</v>
      </c>
      <c r="Z82" s="103">
        <v>0</v>
      </c>
      <c r="AA82" s="103">
        <v>0</v>
      </c>
      <c r="AB82" s="103">
        <v>0</v>
      </c>
      <c r="AC82" s="103">
        <v>0</v>
      </c>
      <c r="AD82" s="103">
        <v>0</v>
      </c>
      <c r="AE82" s="103">
        <v>0</v>
      </c>
      <c r="AF82" s="103">
        <v>0</v>
      </c>
      <c r="AG82" s="103">
        <v>0</v>
      </c>
      <c r="AH82" s="103">
        <v>0</v>
      </c>
      <c r="AI82" s="498">
        <v>125000</v>
      </c>
      <c r="AJ82" s="103">
        <v>0</v>
      </c>
      <c r="AK82" s="103">
        <v>6250000</v>
      </c>
      <c r="AL82" s="103">
        <v>6250000</v>
      </c>
      <c r="AM82" s="103">
        <v>6250000</v>
      </c>
      <c r="AN82" s="103">
        <v>6250000</v>
      </c>
      <c r="AO82" s="103">
        <v>6250000</v>
      </c>
      <c r="AP82" s="103"/>
      <c r="AQ82" s="103"/>
      <c r="AR82" s="103"/>
      <c r="AS82" s="103"/>
      <c r="AT82" s="103"/>
      <c r="AU82" s="103"/>
      <c r="AV82" s="103"/>
      <c r="AW82" s="103"/>
      <c r="AX82" s="103"/>
      <c r="AY82" s="54" t="s">
        <v>169</v>
      </c>
    </row>
    <row r="83" spans="1:51" s="53" customFormat="1" ht="13.35" customHeight="1">
      <c r="A83" s="592"/>
      <c r="B83" s="32">
        <f t="shared" si="53"/>
        <v>19</v>
      </c>
      <c r="C83" s="49" t="s">
        <v>14</v>
      </c>
      <c r="D83" s="65"/>
      <c r="E83" s="65"/>
      <c r="F83" s="65"/>
      <c r="G83" s="65"/>
      <c r="H83" s="65"/>
      <c r="I83" s="65"/>
      <c r="J83" s="65"/>
      <c r="K83" s="66"/>
      <c r="L83" s="66"/>
      <c r="M83" s="65"/>
      <c r="N83" s="65"/>
      <c r="O83" s="65"/>
      <c r="P83" s="65"/>
      <c r="Q83" s="65"/>
      <c r="R83" s="65"/>
      <c r="S83" s="65"/>
      <c r="T83" s="478">
        <f t="shared" si="52"/>
        <v>10341565.5</v>
      </c>
      <c r="U83" s="103"/>
      <c r="V83" s="103"/>
      <c r="W83" s="103"/>
      <c r="X83" s="103"/>
      <c r="Y83" s="103"/>
      <c r="Z83" s="103"/>
      <c r="AA83" s="103"/>
      <c r="AB83" s="103"/>
      <c r="AC83" s="103"/>
      <c r="AD83" s="103"/>
      <c r="AE83" s="103"/>
      <c r="AF83" s="103"/>
      <c r="AG83" s="103"/>
      <c r="AH83" s="103"/>
      <c r="AI83" s="103"/>
      <c r="AJ83" s="103"/>
      <c r="AK83" s="103"/>
      <c r="AL83" s="103"/>
      <c r="AM83" s="103">
        <v>1723594.25</v>
      </c>
      <c r="AN83" s="103">
        <v>1723594.25</v>
      </c>
      <c r="AO83" s="103">
        <v>1723594.25</v>
      </c>
      <c r="AP83" s="103">
        <v>1723594.25</v>
      </c>
      <c r="AQ83" s="103">
        <v>1723594.25</v>
      </c>
      <c r="AR83" s="103">
        <v>1723594.25</v>
      </c>
      <c r="AS83" s="103"/>
      <c r="AT83" s="103"/>
      <c r="AU83" s="103"/>
      <c r="AV83" s="103"/>
      <c r="AW83" s="103"/>
      <c r="AX83" s="103"/>
      <c r="AY83" s="54" t="s">
        <v>170</v>
      </c>
    </row>
    <row r="84" spans="1:51" s="53" customFormat="1" ht="13.35" customHeight="1">
      <c r="A84" s="592"/>
      <c r="B84" s="32">
        <f t="shared" si="53"/>
        <v>20</v>
      </c>
      <c r="C84" s="49" t="s">
        <v>22</v>
      </c>
      <c r="D84" s="65"/>
      <c r="E84" s="65"/>
      <c r="F84" s="65"/>
      <c r="G84" s="65"/>
      <c r="H84" s="65"/>
      <c r="I84" s="65"/>
      <c r="J84" s="65"/>
      <c r="K84" s="66"/>
      <c r="L84" s="66"/>
      <c r="M84" s="65"/>
      <c r="N84" s="65"/>
      <c r="O84" s="65"/>
      <c r="P84" s="65"/>
      <c r="Q84" s="65"/>
      <c r="R84" s="65"/>
      <c r="S84" s="65"/>
      <c r="T84" s="478">
        <f t="shared" si="52"/>
        <v>42350000</v>
      </c>
      <c r="U84" s="103"/>
      <c r="V84" s="103"/>
      <c r="W84" s="103"/>
      <c r="X84" s="103"/>
      <c r="Y84" s="103"/>
      <c r="Z84" s="103"/>
      <c r="AA84" s="103"/>
      <c r="AB84" s="103"/>
      <c r="AC84" s="103"/>
      <c r="AD84" s="103"/>
      <c r="AE84" s="103"/>
      <c r="AF84" s="103"/>
      <c r="AG84" s="103"/>
      <c r="AH84" s="103"/>
      <c r="AI84" s="103"/>
      <c r="AJ84" s="103"/>
      <c r="AK84" s="103"/>
      <c r="AL84" s="103"/>
      <c r="AM84" s="103">
        <v>8470000</v>
      </c>
      <c r="AN84" s="103">
        <v>8470000</v>
      </c>
      <c r="AO84" s="103">
        <v>8470000</v>
      </c>
      <c r="AP84" s="103">
        <v>8470000</v>
      </c>
      <c r="AQ84" s="103">
        <v>8470000</v>
      </c>
      <c r="AR84" s="103"/>
      <c r="AS84" s="103"/>
      <c r="AT84" s="103"/>
      <c r="AU84" s="103"/>
      <c r="AV84" s="103"/>
      <c r="AW84" s="103"/>
      <c r="AX84" s="103"/>
      <c r="AY84" s="54" t="s">
        <v>171</v>
      </c>
    </row>
    <row r="85" spans="1:51" s="53" customFormat="1" ht="13.35" customHeight="1">
      <c r="A85" s="485"/>
      <c r="B85" s="32"/>
      <c r="C85" s="49"/>
      <c r="D85" s="65"/>
      <c r="E85" s="65"/>
      <c r="F85" s="65"/>
      <c r="G85" s="65"/>
      <c r="H85" s="65"/>
      <c r="I85" s="65"/>
      <c r="J85" s="65"/>
      <c r="K85" s="66"/>
      <c r="L85" s="66"/>
      <c r="M85" s="65"/>
      <c r="N85" s="65"/>
      <c r="O85" s="65"/>
      <c r="P85" s="65"/>
      <c r="Q85" s="65"/>
      <c r="R85" s="65"/>
      <c r="S85" s="65"/>
      <c r="T85" s="478"/>
      <c r="U85" s="103"/>
      <c r="V85" s="103"/>
      <c r="W85" s="103"/>
      <c r="X85" s="103"/>
      <c r="Y85" s="103"/>
      <c r="Z85" s="103"/>
      <c r="AA85" s="103"/>
      <c r="AB85" s="103"/>
      <c r="AC85" s="103"/>
      <c r="AD85" s="103"/>
      <c r="AE85" s="103"/>
      <c r="AF85" s="103"/>
      <c r="AG85" s="103"/>
      <c r="AH85" s="611"/>
      <c r="AI85" s="103"/>
      <c r="AJ85" s="103"/>
      <c r="AK85" s="103"/>
      <c r="AL85" s="103"/>
      <c r="AM85" s="103"/>
      <c r="AN85" s="103"/>
      <c r="AO85" s="103"/>
      <c r="AP85" s="103"/>
      <c r="AQ85" s="103"/>
      <c r="AR85" s="103"/>
      <c r="AS85" s="103"/>
      <c r="AT85" s="103"/>
      <c r="AU85" s="103"/>
      <c r="AV85" s="103"/>
      <c r="AW85" s="103"/>
      <c r="AX85" s="103"/>
    </row>
    <row r="86" spans="1:51" s="53" customFormat="1" ht="12.75" customHeight="1" thickBot="1">
      <c r="A86" s="485"/>
      <c r="B86" s="64"/>
      <c r="C86" s="64"/>
      <c r="D86" s="65"/>
      <c r="E86" s="65"/>
      <c r="F86" s="65"/>
      <c r="G86" s="65"/>
      <c r="H86" s="65"/>
      <c r="I86" s="65"/>
      <c r="J86" s="65"/>
      <c r="K86" s="66"/>
      <c r="L86" s="66"/>
      <c r="M86" s="65"/>
      <c r="N86" s="65"/>
      <c r="O86" s="65"/>
      <c r="P86" s="65"/>
      <c r="Q86" s="65"/>
      <c r="R86" s="65"/>
      <c r="S86" s="65"/>
      <c r="T86" s="472">
        <f t="shared" ref="T86:AN86" si="54">SUM(T65:T85)</f>
        <v>896585980.98031521</v>
      </c>
      <c r="U86" s="472">
        <f t="shared" si="54"/>
        <v>287574.3</v>
      </c>
      <c r="V86" s="472">
        <f t="shared" si="54"/>
        <v>2011179.78</v>
      </c>
      <c r="W86" s="472">
        <f t="shared" si="54"/>
        <v>1419238.98</v>
      </c>
      <c r="X86" s="472">
        <f t="shared" si="54"/>
        <v>4085265.3200000003</v>
      </c>
      <c r="Y86" s="472">
        <f t="shared" si="54"/>
        <v>20238314.719999999</v>
      </c>
      <c r="Z86" s="472">
        <f t="shared" si="54"/>
        <v>16140074.92</v>
      </c>
      <c r="AA86" s="472">
        <f t="shared" si="54"/>
        <v>26493012.66</v>
      </c>
      <c r="AB86" s="472">
        <f t="shared" si="54"/>
        <v>8419178.4100000001</v>
      </c>
      <c r="AC86" s="472">
        <f t="shared" si="54"/>
        <v>15810122.219999999</v>
      </c>
      <c r="AD86" s="472">
        <f t="shared" si="54"/>
        <v>27972010.399999999</v>
      </c>
      <c r="AE86" s="472">
        <f t="shared" si="54"/>
        <v>26900640.100000001</v>
      </c>
      <c r="AF86" s="472">
        <f t="shared" si="54"/>
        <v>42546762.280000001</v>
      </c>
      <c r="AG86" s="472">
        <f t="shared" si="54"/>
        <v>27398818.989999995</v>
      </c>
      <c r="AH86" s="472">
        <f t="shared" si="54"/>
        <v>12788686.488260001</v>
      </c>
      <c r="AI86" s="472">
        <f t="shared" si="54"/>
        <v>39395939.210000001</v>
      </c>
      <c r="AJ86" s="472">
        <f t="shared" si="54"/>
        <v>115745438.39264284</v>
      </c>
      <c r="AK86" s="472">
        <f t="shared" si="54"/>
        <v>123319529.59367046</v>
      </c>
      <c r="AL86" s="472">
        <f t="shared" si="54"/>
        <v>112448635.93367046</v>
      </c>
      <c r="AM86" s="472">
        <f t="shared" si="54"/>
        <v>99313036.822642863</v>
      </c>
      <c r="AN86" s="472">
        <f t="shared" si="54"/>
        <v>85346381.025142863</v>
      </c>
      <c r="AO86" s="472"/>
      <c r="AP86" s="472"/>
      <c r="AQ86" s="472"/>
      <c r="AR86" s="472"/>
      <c r="AS86" s="472"/>
      <c r="AT86" s="472"/>
      <c r="AU86" s="472"/>
      <c r="AV86" s="472"/>
      <c r="AW86" s="472"/>
      <c r="AX86" s="472"/>
    </row>
    <row r="87" spans="1:51" s="53" customFormat="1" ht="13.35" customHeight="1" thickTop="1">
      <c r="A87" s="485"/>
      <c r="B87" s="64"/>
      <c r="C87" s="64"/>
      <c r="D87" s="65"/>
      <c r="E87" s="65"/>
      <c r="F87" s="65"/>
      <c r="G87" s="65"/>
      <c r="H87" s="65"/>
      <c r="I87" s="65"/>
      <c r="J87" s="65"/>
      <c r="K87" s="66"/>
      <c r="L87" s="66"/>
      <c r="M87" s="65"/>
      <c r="N87" s="65"/>
      <c r="O87" s="65"/>
      <c r="P87" s="65"/>
      <c r="Q87" s="65"/>
      <c r="R87" s="65"/>
      <c r="S87" s="65"/>
    </row>
    <row r="88" spans="1:51" s="53" customFormat="1" ht="13.35" customHeight="1">
      <c r="A88" s="593"/>
      <c r="B88" s="474" t="s">
        <v>127</v>
      </c>
      <c r="C88" s="480"/>
      <c r="D88" s="480"/>
      <c r="E88" s="480"/>
      <c r="F88" s="480"/>
      <c r="G88" s="480"/>
      <c r="H88" s="480"/>
      <c r="I88" s="480"/>
      <c r="J88" s="480"/>
      <c r="K88" s="480"/>
      <c r="L88" s="480"/>
      <c r="M88" s="480"/>
      <c r="N88" s="480"/>
      <c r="O88" s="480"/>
      <c r="P88" s="480"/>
      <c r="Q88" s="480"/>
      <c r="R88" s="480"/>
      <c r="S88" s="480"/>
      <c r="T88" s="481">
        <f t="shared" ref="T88:AN88" si="55">T62+T86</f>
        <v>438868772.46031523</v>
      </c>
      <c r="U88" s="481">
        <f t="shared" si="55"/>
        <v>-2738663.8000000003</v>
      </c>
      <c r="V88" s="481">
        <f t="shared" si="55"/>
        <v>-14361450.9</v>
      </c>
      <c r="W88" s="481">
        <f t="shared" si="55"/>
        <v>-3014034.2100000004</v>
      </c>
      <c r="X88" s="481">
        <f t="shared" si="55"/>
        <v>-4327936.3499999996</v>
      </c>
      <c r="Y88" s="481">
        <f t="shared" si="55"/>
        <v>13680475.789999999</v>
      </c>
      <c r="Z88" s="481">
        <f t="shared" si="55"/>
        <v>5426217.8599999994</v>
      </c>
      <c r="AA88" s="481">
        <f t="shared" si="55"/>
        <v>18653103.57</v>
      </c>
      <c r="AB88" s="481">
        <f t="shared" si="55"/>
        <v>-11873619.390000001</v>
      </c>
      <c r="AC88" s="481">
        <f t="shared" si="55"/>
        <v>-6136409.1099999994</v>
      </c>
      <c r="AD88" s="481">
        <f t="shared" si="55"/>
        <v>-16128919.729999997</v>
      </c>
      <c r="AE88" s="481">
        <f t="shared" si="55"/>
        <v>-53660184.119999997</v>
      </c>
      <c r="AF88" s="481">
        <f t="shared" si="55"/>
        <v>10944817.109999999</v>
      </c>
      <c r="AG88" s="481">
        <f t="shared" si="55"/>
        <v>-18063169.730000012</v>
      </c>
      <c r="AH88" s="481">
        <f t="shared" si="55"/>
        <v>-23020907.231739998</v>
      </c>
      <c r="AI88" s="481">
        <f t="shared" si="55"/>
        <v>-9115878.6577399299</v>
      </c>
      <c r="AJ88" s="481">
        <f t="shared" si="55"/>
        <v>76709870.896512806</v>
      </c>
      <c r="AK88" s="481">
        <f t="shared" si="55"/>
        <v>94603576.677540421</v>
      </c>
      <c r="AL88" s="481">
        <f t="shared" si="55"/>
        <v>108126325.50367045</v>
      </c>
      <c r="AM88" s="481">
        <f t="shared" si="55"/>
        <v>99313036.822642863</v>
      </c>
      <c r="AN88" s="481">
        <f t="shared" si="55"/>
        <v>85346381.025142863</v>
      </c>
      <c r="AO88" s="481"/>
      <c r="AP88" s="481"/>
      <c r="AQ88" s="481"/>
      <c r="AR88" s="481"/>
      <c r="AS88" s="481"/>
      <c r="AT88" s="481"/>
      <c r="AU88" s="481"/>
      <c r="AV88" s="481"/>
      <c r="AW88" s="481"/>
      <c r="AX88" s="481"/>
    </row>
    <row r="89" spans="1:51" s="53" customFormat="1" ht="13.35" customHeight="1">
      <c r="A89" s="594"/>
      <c r="B89" s="482" t="s">
        <v>172</v>
      </c>
      <c r="D89" s="471"/>
      <c r="E89" s="471"/>
      <c r="F89" s="471"/>
      <c r="G89" s="471"/>
      <c r="H89" s="471"/>
      <c r="I89" s="471"/>
      <c r="J89" s="471"/>
      <c r="K89" s="473"/>
      <c r="L89" s="473"/>
      <c r="M89" s="471"/>
      <c r="N89" s="471"/>
      <c r="O89" s="471"/>
      <c r="P89" s="471"/>
      <c r="Q89" s="471"/>
      <c r="R89" s="471"/>
      <c r="S89" s="471"/>
      <c r="T89" s="483">
        <v>0.08</v>
      </c>
    </row>
    <row r="90" spans="1:51" s="53" customFormat="1" ht="13.35" customHeight="1">
      <c r="A90" s="485"/>
      <c r="B90" s="474" t="s">
        <v>173</v>
      </c>
      <c r="C90" s="474"/>
      <c r="D90" s="474"/>
      <c r="E90" s="474"/>
      <c r="F90" s="474"/>
      <c r="G90" s="474"/>
      <c r="H90" s="474"/>
      <c r="I90" s="474"/>
      <c r="J90" s="474"/>
      <c r="K90" s="484"/>
      <c r="L90" s="484"/>
      <c r="M90" s="474"/>
      <c r="N90" s="474"/>
      <c r="O90" s="474"/>
      <c r="P90" s="474"/>
      <c r="Q90" s="474"/>
      <c r="R90" s="474"/>
      <c r="S90" s="474"/>
      <c r="T90" s="481">
        <f>AN90</f>
        <v>2.487298399551226E+93</v>
      </c>
      <c r="U90" s="481">
        <f>U88</f>
        <v>-2738663.8000000003</v>
      </c>
      <c r="V90" s="481">
        <f t="shared" ref="V90:AH90" si="56">V88</f>
        <v>-14361450.9</v>
      </c>
      <c r="W90" s="481">
        <f t="shared" si="56"/>
        <v>-3014034.2100000004</v>
      </c>
      <c r="X90" s="481">
        <f t="shared" si="56"/>
        <v>-4327936.3499999996</v>
      </c>
      <c r="Y90" s="481">
        <f t="shared" si="56"/>
        <v>13680475.789999999</v>
      </c>
      <c r="Z90" s="481">
        <f t="shared" si="56"/>
        <v>5426217.8599999994</v>
      </c>
      <c r="AA90" s="481">
        <f t="shared" si="56"/>
        <v>18653103.57</v>
      </c>
      <c r="AB90" s="481">
        <f t="shared" si="56"/>
        <v>-11873619.390000001</v>
      </c>
      <c r="AC90" s="481">
        <f t="shared" si="56"/>
        <v>-6136409.1099999994</v>
      </c>
      <c r="AD90" s="481">
        <f t="shared" si="56"/>
        <v>-16128919.729999997</v>
      </c>
      <c r="AE90" s="481">
        <f t="shared" si="56"/>
        <v>-53660184.119999997</v>
      </c>
      <c r="AF90" s="481">
        <f t="shared" si="56"/>
        <v>10944817.109999999</v>
      </c>
      <c r="AG90" s="481">
        <f t="shared" si="56"/>
        <v>-18063169.730000012</v>
      </c>
      <c r="AH90" s="109">
        <f t="shared" si="56"/>
        <v>-23020907.231739998</v>
      </c>
      <c r="AI90" s="481">
        <f>AI88*(1+$T$89)^(AI3-$AG$3)</f>
        <v>-2.4692428027318358E+31</v>
      </c>
      <c r="AJ90" s="481">
        <f>AJ88*(1+$T$89)^(AJ3-$AG$3)</f>
        <v>3.2906922283045059E+44</v>
      </c>
      <c r="AK90" s="481">
        <f>AK88*(1+$T$89)^(AK3-$AG$3)</f>
        <v>6.427089127464002E+56</v>
      </c>
      <c r="AL90" s="481">
        <f>AL88*(1+$T$89)^(AL3-$AG$3)</f>
        <v>1.256413861397031E+69</v>
      </c>
      <c r="AM90" s="481">
        <f>AM88*(1+$T$89)^(AM3-$AG$3)</f>
        <v>1.8275879649350427E+81</v>
      </c>
      <c r="AN90" s="481">
        <f>AN88*(1+$T$89)^(AN3-$AG$3)</f>
        <v>2.487298399551226E+93</v>
      </c>
      <c r="AO90" s="481"/>
      <c r="AP90" s="481"/>
      <c r="AQ90" s="481"/>
      <c r="AR90" s="481"/>
      <c r="AS90" s="481"/>
      <c r="AT90" s="481"/>
      <c r="AU90" s="481"/>
      <c r="AV90" s="481"/>
      <c r="AW90" s="481"/>
      <c r="AX90" s="481"/>
    </row>
    <row r="91" spans="1:51" s="53" customFormat="1">
      <c r="A91" s="485"/>
      <c r="D91" s="471"/>
      <c r="E91" s="471"/>
      <c r="F91" s="471"/>
      <c r="G91" s="471"/>
      <c r="H91" s="471"/>
      <c r="I91" s="471"/>
      <c r="J91" s="471"/>
      <c r="K91" s="473"/>
      <c r="L91" s="473"/>
      <c r="M91" s="471"/>
      <c r="N91" s="471"/>
      <c r="O91" s="471"/>
      <c r="P91" s="471"/>
      <c r="Q91" s="471"/>
      <c r="R91" s="471"/>
      <c r="S91" s="471"/>
    </row>
    <row r="92" spans="1:51" s="53" customFormat="1">
      <c r="A92" s="485"/>
      <c r="D92" s="471"/>
      <c r="E92" s="471"/>
      <c r="F92" s="471"/>
      <c r="G92" s="471"/>
      <c r="H92" s="471"/>
      <c r="I92" s="471"/>
      <c r="J92" s="471"/>
      <c r="K92" s="473"/>
      <c r="L92" s="473"/>
      <c r="M92" s="471"/>
      <c r="N92" s="471"/>
      <c r="O92" s="471"/>
      <c r="P92" s="471"/>
      <c r="Q92" s="471"/>
      <c r="R92" s="471"/>
      <c r="S92" s="471"/>
    </row>
  </sheetData>
  <mergeCells count="7">
    <mergeCell ref="F3:G3"/>
    <mergeCell ref="D3:E3"/>
    <mergeCell ref="M38:O38"/>
    <mergeCell ref="Q38:R38"/>
    <mergeCell ref="M3:O3"/>
    <mergeCell ref="Q3:R3"/>
    <mergeCell ref="H3:J3"/>
  </mergeCells>
  <phoneticPr fontId="62" type="noConversion"/>
  <pageMargins left="0.25" right="0.25" top="0.75" bottom="0.75" header="0.3" footer="0.3"/>
  <pageSetup paperSize="8" scale="9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2E76E-8957-4EC5-ACD8-261AEECEC0CB}">
  <sheetPr>
    <tabColor rgb="FFFF0000"/>
  </sheetPr>
  <dimension ref="A1"/>
  <sheetViews>
    <sheetView workbookViewId="0"/>
  </sheetViews>
  <sheetFormatPr defaultColWidth="8.7109375" defaultRowHeight="15"/>
  <cols>
    <col min="1" max="16384" width="8.7109375" style="486"/>
  </cols>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07A0B-3336-4E6A-82D3-9802E87C8C1D}">
  <sheetPr>
    <tabColor theme="8"/>
    <outlinePr showOutlineSymbols="0"/>
    <pageSetUpPr fitToPage="1"/>
  </sheetPr>
  <dimension ref="A1:AN48"/>
  <sheetViews>
    <sheetView workbookViewId="0"/>
  </sheetViews>
  <sheetFormatPr defaultColWidth="9" defaultRowHeight="11.25" outlineLevelRow="1" outlineLevelCol="1"/>
  <cols>
    <col min="1" max="1" width="32.140625" style="2" customWidth="1"/>
    <col min="2" max="2" width="79.42578125" style="2" bestFit="1" customWidth="1"/>
    <col min="3" max="3" width="15.7109375" style="2" customWidth="1"/>
    <col min="4" max="4" width="31.140625" style="2" customWidth="1"/>
    <col min="5" max="5" width="14.42578125" style="2" bestFit="1" customWidth="1"/>
    <col min="6" max="7" width="10.7109375" style="2" customWidth="1"/>
    <col min="8" max="8" width="38" style="2" bestFit="1" customWidth="1"/>
    <col min="9" max="9" width="19.28515625" style="2" bestFit="1" customWidth="1"/>
    <col min="10" max="10" width="19.28515625" style="2" customWidth="1"/>
    <col min="11" max="11" width="12.7109375" style="367" customWidth="1" outlineLevel="1"/>
    <col min="12" max="12" width="12.7109375" style="2" customWidth="1" outlineLevel="1"/>
    <col min="13" max="15" width="14.7109375" style="2" customWidth="1" outlineLevel="1"/>
    <col min="16" max="17" width="7.7109375" style="2" customWidth="1" outlineLevel="1"/>
    <col min="18" max="19" width="15.7109375" style="2" customWidth="1" outlineLevel="1"/>
    <col min="20" max="20" width="12.7109375" style="367" customWidth="1"/>
    <col min="21" max="21" width="12.7109375" style="2" customWidth="1"/>
    <col min="22" max="24" width="14.7109375" style="2" customWidth="1"/>
    <col min="25" max="26" width="7.7109375" style="2" customWidth="1"/>
    <col min="27" max="28" width="15.7109375" style="2" customWidth="1"/>
    <col min="29" max="29" width="12.7109375" style="367" customWidth="1"/>
    <col min="30" max="30" width="12.7109375" style="2" customWidth="1"/>
    <col min="31" max="33" width="14.7109375" style="2" customWidth="1"/>
    <col min="34" max="35" width="7.7109375" style="2" customWidth="1"/>
    <col min="36" max="39" width="15.7109375" style="2" customWidth="1"/>
    <col min="40" max="40" width="9" style="367"/>
    <col min="41" max="16384" width="9" style="2"/>
  </cols>
  <sheetData>
    <row r="1" spans="1:20">
      <c r="A1" s="117" t="s">
        <v>179</v>
      </c>
      <c r="B1" s="118"/>
      <c r="C1" s="74"/>
      <c r="D1" s="117" t="s">
        <v>180</v>
      </c>
      <c r="E1" s="219">
        <v>45657</v>
      </c>
      <c r="H1" s="117" t="s">
        <v>181</v>
      </c>
      <c r="I1" s="118"/>
      <c r="J1" s="74"/>
    </row>
    <row r="2" spans="1:20" outlineLevel="1">
      <c r="A2" s="2" t="s">
        <v>182</v>
      </c>
      <c r="B2" s="120" t="s">
        <v>27</v>
      </c>
      <c r="D2" s="2" t="s">
        <v>183</v>
      </c>
      <c r="E2" s="220">
        <f>W40</f>
        <v>6.4</v>
      </c>
      <c r="H2" s="2" t="s">
        <v>184</v>
      </c>
      <c r="I2" s="120" t="s">
        <v>185</v>
      </c>
      <c r="J2" s="120"/>
    </row>
    <row r="3" spans="1:20" outlineLevel="1">
      <c r="A3" s="2" t="s">
        <v>186</v>
      </c>
      <c r="B3" s="122">
        <v>40651</v>
      </c>
      <c r="D3" s="2" t="s">
        <v>187</v>
      </c>
      <c r="E3" s="220">
        <v>9.4904309999999992</v>
      </c>
      <c r="H3" s="2" t="s">
        <v>188</v>
      </c>
      <c r="I3" s="120" t="s">
        <v>189</v>
      </c>
      <c r="J3" s="120"/>
    </row>
    <row r="4" spans="1:20" outlineLevel="1">
      <c r="A4" s="2" t="s">
        <v>190</v>
      </c>
      <c r="B4" s="122">
        <v>41016</v>
      </c>
      <c r="D4" s="2" t="s">
        <v>191</v>
      </c>
      <c r="E4" s="125">
        <v>2.9</v>
      </c>
      <c r="H4" s="2" t="s">
        <v>192</v>
      </c>
      <c r="I4" s="124">
        <v>0.08</v>
      </c>
      <c r="J4" s="320"/>
    </row>
    <row r="5" spans="1:20" outlineLevel="1">
      <c r="A5" s="2" t="s">
        <v>193</v>
      </c>
      <c r="B5" s="120">
        <v>2012</v>
      </c>
      <c r="D5" s="2" t="s">
        <v>194</v>
      </c>
      <c r="E5" s="125">
        <v>2.1</v>
      </c>
      <c r="H5" s="2" t="s">
        <v>195</v>
      </c>
      <c r="I5" s="126">
        <v>0.2</v>
      </c>
      <c r="J5" s="126"/>
    </row>
    <row r="6" spans="1:20" outlineLevel="1">
      <c r="A6" s="2" t="s">
        <v>196</v>
      </c>
      <c r="B6" s="120" t="s">
        <v>197</v>
      </c>
      <c r="D6" s="2" t="s">
        <v>198</v>
      </c>
      <c r="E6" s="221">
        <v>0.28999999999999998</v>
      </c>
      <c r="H6" s="117" t="s">
        <v>199</v>
      </c>
      <c r="I6" s="118"/>
      <c r="J6" s="74"/>
    </row>
    <row r="7" spans="1:20" outlineLevel="1">
      <c r="A7" s="2" t="s">
        <v>200</v>
      </c>
      <c r="B7" s="120" t="s">
        <v>201</v>
      </c>
      <c r="D7" s="2" t="s">
        <v>202</v>
      </c>
      <c r="E7" s="221">
        <v>0.20100000000000001</v>
      </c>
      <c r="H7" s="2" t="s">
        <v>203</v>
      </c>
      <c r="I7" s="2" t="s">
        <v>204</v>
      </c>
    </row>
    <row r="8" spans="1:20" outlineLevel="1">
      <c r="A8" s="2" t="s">
        <v>205</v>
      </c>
      <c r="B8" s="120" t="s">
        <v>206</v>
      </c>
      <c r="D8" s="2" t="s">
        <v>207</v>
      </c>
      <c r="E8" s="221">
        <f>738.4/309.8</f>
        <v>2.3834732085216266</v>
      </c>
      <c r="H8" s="2" t="s">
        <v>208</v>
      </c>
      <c r="I8" s="2" t="s">
        <v>209</v>
      </c>
    </row>
    <row r="9" spans="1:20" outlineLevel="1">
      <c r="A9" s="2" t="s">
        <v>65</v>
      </c>
      <c r="B9" s="120" t="s">
        <v>210</v>
      </c>
      <c r="D9" s="128" t="s">
        <v>211</v>
      </c>
      <c r="E9" s="291"/>
    </row>
    <row r="10" spans="1:20" outlineLevel="1">
      <c r="A10" s="2" t="s">
        <v>212</v>
      </c>
      <c r="B10" s="120" t="s">
        <v>213</v>
      </c>
      <c r="D10" s="2" t="s">
        <v>214</v>
      </c>
      <c r="E10" s="129">
        <v>10</v>
      </c>
    </row>
    <row r="11" spans="1:20" outlineLevel="1">
      <c r="A11" s="2" t="s">
        <v>215</v>
      </c>
      <c r="B11" s="122">
        <v>42277</v>
      </c>
      <c r="D11" s="2" t="s">
        <v>216</v>
      </c>
      <c r="E11" s="223">
        <f>10/365.4</f>
        <v>2.7367268746579094E-2</v>
      </c>
    </row>
    <row r="12" spans="1:20" outlineLevel="1">
      <c r="A12" s="2" t="s">
        <v>217</v>
      </c>
      <c r="B12" s="120" t="s">
        <v>24</v>
      </c>
      <c r="D12" s="2" t="s">
        <v>218</v>
      </c>
      <c r="E12" s="224">
        <f>-'Ascendant CP I CF'!N2/10^6</f>
        <v>8.5702763500000039</v>
      </c>
      <c r="T12" s="502"/>
    </row>
    <row r="13" spans="1:20" outlineLevel="1">
      <c r="A13" s="2" t="s">
        <v>219</v>
      </c>
      <c r="B13" s="120" t="s">
        <v>220</v>
      </c>
      <c r="D13" s="2" t="s">
        <v>221</v>
      </c>
      <c r="E13" s="224">
        <f>E10-E12</f>
        <v>1.4297236499999961</v>
      </c>
      <c r="N13" s="314"/>
      <c r="T13" s="502"/>
    </row>
    <row r="14" spans="1:20" outlineLevel="1">
      <c r="A14" s="2" t="s">
        <v>222</v>
      </c>
      <c r="B14" s="120" t="s">
        <v>223</v>
      </c>
      <c r="D14" s="2" t="s">
        <v>224</v>
      </c>
      <c r="E14" s="121">
        <f>'Ascendant CP I CF'!N3/10^6</f>
        <v>20.207464430000002</v>
      </c>
      <c r="N14" s="314"/>
      <c r="T14" s="502"/>
    </row>
    <row r="15" spans="1:20" outlineLevel="1">
      <c r="A15" s="2" t="s">
        <v>225</v>
      </c>
      <c r="B15" s="120" t="s">
        <v>226</v>
      </c>
      <c r="D15" s="2" t="s">
        <v>227</v>
      </c>
      <c r="E15" s="121">
        <f>'Ascendant CP I CF'!N4/10^6</f>
        <v>0.24962699999999999</v>
      </c>
      <c r="N15" s="314"/>
    </row>
    <row r="16" spans="1:20" outlineLevel="1">
      <c r="A16" s="2" t="s">
        <v>228</v>
      </c>
      <c r="B16" s="134">
        <v>44196</v>
      </c>
      <c r="D16" s="2" t="s">
        <v>229</v>
      </c>
      <c r="E16" s="225">
        <f>E12/E10</f>
        <v>0.85702763500000034</v>
      </c>
      <c r="N16" s="314"/>
    </row>
    <row r="17" spans="1:40" outlineLevel="1">
      <c r="A17" s="2" t="s">
        <v>230</v>
      </c>
      <c r="B17" s="120" t="s">
        <v>231</v>
      </c>
      <c r="D17" s="2" t="s">
        <v>232</v>
      </c>
      <c r="E17" s="136">
        <f>E14/E12</f>
        <v>2.357854473385796</v>
      </c>
    </row>
    <row r="18" spans="1:40" outlineLevel="1">
      <c r="A18" s="117" t="s">
        <v>233</v>
      </c>
      <c r="B18" s="118"/>
      <c r="D18" s="2" t="s">
        <v>234</v>
      </c>
      <c r="E18" s="137">
        <f>(E14+E15)/E12</f>
        <v>2.3869815388158391</v>
      </c>
    </row>
    <row r="19" spans="1:40" outlineLevel="1">
      <c r="A19" s="2" t="s">
        <v>235</v>
      </c>
      <c r="B19" s="120">
        <v>7</v>
      </c>
      <c r="D19" s="2" t="s">
        <v>177</v>
      </c>
      <c r="E19" s="226">
        <f>'Ascendant CP I CF'!N5</f>
        <v>0.22429716308593756</v>
      </c>
    </row>
    <row r="20" spans="1:40" ht="13.5" customHeight="1"/>
    <row r="30" spans="1:40" ht="13.5" customHeight="1">
      <c r="K30" s="503" t="s">
        <v>236</v>
      </c>
      <c r="L30" s="504"/>
      <c r="M30" s="504"/>
      <c r="N30" s="504"/>
      <c r="O30" s="504"/>
      <c r="P30" s="504"/>
      <c r="Q30" s="505"/>
      <c r="R30" s="505"/>
      <c r="S30" s="504"/>
      <c r="T30" s="503" t="s">
        <v>237</v>
      </c>
      <c r="U30" s="504"/>
      <c r="V30" s="504"/>
      <c r="W30" s="504"/>
      <c r="X30" s="504"/>
      <c r="Y30" s="504"/>
      <c r="Z30" s="505"/>
      <c r="AA30" s="505"/>
      <c r="AB30" s="504"/>
      <c r="AC30" s="503" t="s">
        <v>238</v>
      </c>
      <c r="AD30" s="504"/>
      <c r="AE30" s="504"/>
      <c r="AF30" s="504"/>
      <c r="AG30" s="504"/>
      <c r="AH30" s="504"/>
      <c r="AI30" s="505"/>
      <c r="AJ30" s="505"/>
      <c r="AK30" s="505"/>
      <c r="AL30" s="505"/>
      <c r="AM30" s="504"/>
    </row>
    <row r="31" spans="1:40" s="141" customFormat="1" ht="39.75" customHeight="1">
      <c r="A31" s="138" t="s">
        <v>239</v>
      </c>
      <c r="B31" s="139" t="s">
        <v>240</v>
      </c>
      <c r="C31" s="139" t="s">
        <v>69</v>
      </c>
      <c r="D31" s="139" t="s">
        <v>241</v>
      </c>
      <c r="E31" s="139" t="s">
        <v>242</v>
      </c>
      <c r="F31" s="139" t="s">
        <v>243</v>
      </c>
      <c r="G31" s="139" t="s">
        <v>244</v>
      </c>
      <c r="H31" s="139" t="s">
        <v>245</v>
      </c>
      <c r="I31" s="139" t="s">
        <v>246</v>
      </c>
      <c r="J31" s="501" t="s">
        <v>247</v>
      </c>
      <c r="K31" s="506" t="s">
        <v>248</v>
      </c>
      <c r="L31" s="506" t="s">
        <v>249</v>
      </c>
      <c r="M31" s="507" t="s">
        <v>250</v>
      </c>
      <c r="N31" s="506" t="s">
        <v>251</v>
      </c>
      <c r="O31" s="507" t="s">
        <v>252</v>
      </c>
      <c r="P31" s="506" t="s">
        <v>115</v>
      </c>
      <c r="Q31" s="507" t="s">
        <v>253</v>
      </c>
      <c r="R31" s="508" t="s">
        <v>254</v>
      </c>
      <c r="S31" s="509" t="s">
        <v>255</v>
      </c>
      <c r="T31" s="506" t="s">
        <v>248</v>
      </c>
      <c r="U31" s="506" t="s">
        <v>249</v>
      </c>
      <c r="V31" s="507" t="s">
        <v>250</v>
      </c>
      <c r="W31" s="506" t="s">
        <v>251</v>
      </c>
      <c r="X31" s="507" t="s">
        <v>252</v>
      </c>
      <c r="Y31" s="506" t="s">
        <v>115</v>
      </c>
      <c r="Z31" s="507" t="s">
        <v>253</v>
      </c>
      <c r="AA31" s="508" t="s">
        <v>254</v>
      </c>
      <c r="AB31" s="509" t="s">
        <v>255</v>
      </c>
      <c r="AC31" s="506" t="s">
        <v>248</v>
      </c>
      <c r="AD31" s="506" t="s">
        <v>249</v>
      </c>
      <c r="AE31" s="507" t="s">
        <v>250</v>
      </c>
      <c r="AF31" s="506" t="s">
        <v>251</v>
      </c>
      <c r="AG31" s="507" t="s">
        <v>252</v>
      </c>
      <c r="AH31" s="506" t="s">
        <v>115</v>
      </c>
      <c r="AI31" s="507" t="s">
        <v>253</v>
      </c>
      <c r="AJ31" s="508" t="s">
        <v>254</v>
      </c>
      <c r="AK31" s="509" t="s">
        <v>255</v>
      </c>
      <c r="AL31" s="508" t="s">
        <v>256</v>
      </c>
      <c r="AM31" s="509" t="s">
        <v>257</v>
      </c>
      <c r="AN31" s="510"/>
    </row>
    <row r="32" spans="1:40">
      <c r="A32" s="2" t="s">
        <v>258</v>
      </c>
      <c r="B32" s="2" t="s">
        <v>259</v>
      </c>
      <c r="C32" s="235" t="s">
        <v>260</v>
      </c>
      <c r="D32" s="374" t="s">
        <v>261</v>
      </c>
      <c r="E32" s="374">
        <v>40909</v>
      </c>
      <c r="F32" s="374"/>
      <c r="G32" s="374"/>
      <c r="H32" s="374"/>
      <c r="I32" s="235"/>
      <c r="J32" s="512" t="s">
        <v>44</v>
      </c>
      <c r="K32" s="513">
        <v>40.200000000000003</v>
      </c>
      <c r="L32" s="514" t="s">
        <v>44</v>
      </c>
      <c r="M32" s="513">
        <v>69.599999999999994</v>
      </c>
      <c r="N32" s="513">
        <v>0</v>
      </c>
      <c r="O32" s="513">
        <f>M32+N32</f>
        <v>69.599999999999994</v>
      </c>
      <c r="P32" s="268">
        <f>O32/K32</f>
        <v>1.7313432835820892</v>
      </c>
      <c r="Q32" s="515">
        <v>0.23200000000000001</v>
      </c>
      <c r="R32" s="513">
        <v>0</v>
      </c>
      <c r="S32" s="515" t="s">
        <v>44</v>
      </c>
      <c r="T32" s="516">
        <v>40.200000000000003</v>
      </c>
      <c r="U32" s="514" t="s">
        <v>44</v>
      </c>
      <c r="V32" s="513">
        <v>69.599999999999994</v>
      </c>
      <c r="W32" s="513">
        <v>0</v>
      </c>
      <c r="X32" s="513">
        <f>V32+W32</f>
        <v>69.599999999999994</v>
      </c>
      <c r="Y32" s="268">
        <f>X32/T32</f>
        <v>1.7313432835820892</v>
      </c>
      <c r="Z32" s="513">
        <v>0</v>
      </c>
      <c r="AA32" s="513">
        <f>X32-O32</f>
        <v>0</v>
      </c>
      <c r="AB32" s="515">
        <f>IFERROR(X32/O32-1,0)</f>
        <v>0</v>
      </c>
      <c r="AC32" s="517"/>
      <c r="AD32" s="514"/>
      <c r="AE32" s="513"/>
      <c r="AF32" s="513"/>
      <c r="AG32" s="513"/>
      <c r="AH32" s="268"/>
      <c r="AI32" s="513"/>
      <c r="AJ32" s="513"/>
      <c r="AK32" s="515"/>
      <c r="AL32" s="513"/>
      <c r="AM32" s="515"/>
    </row>
    <row r="33" spans="1:40">
      <c r="A33" s="2" t="s">
        <v>262</v>
      </c>
      <c r="B33" s="2" t="s">
        <v>263</v>
      </c>
      <c r="C33" s="235" t="s">
        <v>264</v>
      </c>
      <c r="D33" s="374" t="s">
        <v>261</v>
      </c>
      <c r="E33" s="374">
        <v>41244</v>
      </c>
      <c r="F33" s="374"/>
      <c r="G33" s="374"/>
      <c r="H33" s="374"/>
      <c r="I33" s="235"/>
      <c r="J33" s="518" t="s">
        <v>44</v>
      </c>
      <c r="K33" s="513">
        <v>32</v>
      </c>
      <c r="L33" s="514" t="s">
        <v>44</v>
      </c>
      <c r="M33" s="513">
        <v>163.1</v>
      </c>
      <c r="N33" s="513">
        <v>0</v>
      </c>
      <c r="O33" s="513">
        <f>N33+M33</f>
        <v>163.1</v>
      </c>
      <c r="P33" s="269">
        <f>O33/K33</f>
        <v>5.0968749999999998</v>
      </c>
      <c r="Q33" s="515">
        <v>0.64900000000000002</v>
      </c>
      <c r="R33" s="513">
        <v>0</v>
      </c>
      <c r="S33" s="515" t="s">
        <v>44</v>
      </c>
      <c r="T33" s="519">
        <v>32</v>
      </c>
      <c r="U33" s="514" t="s">
        <v>44</v>
      </c>
      <c r="V33" s="513">
        <v>163.1</v>
      </c>
      <c r="W33" s="513">
        <v>0</v>
      </c>
      <c r="X33" s="513">
        <f>W33+V33</f>
        <v>163.1</v>
      </c>
      <c r="Y33" s="268">
        <f>X33/T33</f>
        <v>5.0968749999999998</v>
      </c>
      <c r="Z33" s="513">
        <v>0</v>
      </c>
      <c r="AA33" s="513">
        <f t="shared" ref="AA33:AA38" si="0">X33-O33</f>
        <v>0</v>
      </c>
      <c r="AB33" s="515">
        <f t="shared" ref="AB33:AB38" si="1">IFERROR(X33/O33-1,0)</f>
        <v>0</v>
      </c>
      <c r="AC33" s="517"/>
      <c r="AD33" s="514"/>
      <c r="AE33" s="513"/>
      <c r="AF33" s="513"/>
      <c r="AG33" s="513"/>
      <c r="AH33" s="268"/>
      <c r="AI33" s="513"/>
      <c r="AJ33" s="513"/>
      <c r="AK33" s="515"/>
      <c r="AL33" s="513"/>
      <c r="AM33" s="515"/>
    </row>
    <row r="34" spans="1:40">
      <c r="A34" s="2" t="s">
        <v>265</v>
      </c>
      <c r="B34" s="2" t="s">
        <v>266</v>
      </c>
      <c r="C34" s="235" t="s">
        <v>260</v>
      </c>
      <c r="D34" s="374" t="s">
        <v>261</v>
      </c>
      <c r="E34" s="374">
        <v>41395</v>
      </c>
      <c r="F34" s="374"/>
      <c r="G34" s="374"/>
      <c r="H34" s="374"/>
      <c r="I34" s="235"/>
      <c r="J34" s="518" t="s">
        <v>44</v>
      </c>
      <c r="K34" s="513">
        <v>70</v>
      </c>
      <c r="L34" s="514" t="s">
        <v>44</v>
      </c>
      <c r="M34" s="513">
        <v>140.30000000000001</v>
      </c>
      <c r="N34" s="513">
        <v>0</v>
      </c>
      <c r="O34" s="513">
        <f t="shared" ref="O34:O38" si="2">N34+M34</f>
        <v>140.30000000000001</v>
      </c>
      <c r="P34" s="269">
        <f t="shared" ref="P34:P43" si="3">O34/K34</f>
        <v>2.0042857142857144</v>
      </c>
      <c r="Q34" s="515">
        <v>0.223</v>
      </c>
      <c r="R34" s="513">
        <v>0</v>
      </c>
      <c r="S34" s="515" t="s">
        <v>44</v>
      </c>
      <c r="T34" s="519">
        <v>70</v>
      </c>
      <c r="U34" s="514" t="s">
        <v>44</v>
      </c>
      <c r="V34" s="513">
        <v>140.30000000000001</v>
      </c>
      <c r="W34" s="513">
        <v>0</v>
      </c>
      <c r="X34" s="513">
        <f t="shared" ref="X34:X38" si="4">W34+V34</f>
        <v>140.30000000000001</v>
      </c>
      <c r="Y34" s="268">
        <f t="shared" ref="Y34:Y38" si="5">X34/T34</f>
        <v>2.0042857142857144</v>
      </c>
      <c r="Z34" s="513">
        <v>0</v>
      </c>
      <c r="AA34" s="513">
        <f t="shared" si="0"/>
        <v>0</v>
      </c>
      <c r="AB34" s="515">
        <f t="shared" si="1"/>
        <v>0</v>
      </c>
      <c r="AC34" s="517"/>
      <c r="AD34" s="514"/>
      <c r="AE34" s="513"/>
      <c r="AF34" s="513"/>
      <c r="AG34" s="513"/>
      <c r="AH34" s="268"/>
      <c r="AI34" s="513"/>
      <c r="AJ34" s="513"/>
      <c r="AK34" s="515"/>
      <c r="AL34" s="513"/>
      <c r="AM34" s="515"/>
    </row>
    <row r="35" spans="1:40">
      <c r="A35" s="2" t="s">
        <v>267</v>
      </c>
      <c r="B35" s="2" t="s">
        <v>268</v>
      </c>
      <c r="C35" s="235" t="s">
        <v>260</v>
      </c>
      <c r="D35" s="374" t="s">
        <v>261</v>
      </c>
      <c r="E35" s="374">
        <v>42005</v>
      </c>
      <c r="F35" s="374"/>
      <c r="G35" s="374"/>
      <c r="H35" s="374"/>
      <c r="I35" s="235"/>
      <c r="J35" s="518">
        <f>YEAR(H35)-YEAR(E35)</f>
        <v>-115</v>
      </c>
      <c r="K35" s="513">
        <v>20</v>
      </c>
      <c r="L35" s="514" t="s">
        <v>44</v>
      </c>
      <c r="M35" s="513">
        <v>49.9</v>
      </c>
      <c r="N35" s="513">
        <v>0</v>
      </c>
      <c r="O35" s="513">
        <f t="shared" si="2"/>
        <v>49.9</v>
      </c>
      <c r="P35" s="269">
        <f t="shared" si="3"/>
        <v>2.4950000000000001</v>
      </c>
      <c r="Q35" s="515">
        <v>0.28399999999999997</v>
      </c>
      <c r="R35" s="513">
        <v>0</v>
      </c>
      <c r="S35" s="515" t="s">
        <v>44</v>
      </c>
      <c r="T35" s="519">
        <v>20</v>
      </c>
      <c r="U35" s="514" t="s">
        <v>44</v>
      </c>
      <c r="V35" s="513">
        <v>49.9</v>
      </c>
      <c r="W35" s="513">
        <v>0</v>
      </c>
      <c r="X35" s="513">
        <f t="shared" si="4"/>
        <v>49.9</v>
      </c>
      <c r="Y35" s="268">
        <f t="shared" si="5"/>
        <v>2.4950000000000001</v>
      </c>
      <c r="Z35" s="513">
        <v>0</v>
      </c>
      <c r="AA35" s="513">
        <f t="shared" si="0"/>
        <v>0</v>
      </c>
      <c r="AB35" s="515">
        <f t="shared" si="1"/>
        <v>0</v>
      </c>
      <c r="AC35" s="517"/>
      <c r="AD35" s="514"/>
      <c r="AE35" s="513"/>
      <c r="AF35" s="513"/>
      <c r="AG35" s="513"/>
      <c r="AH35" s="268"/>
      <c r="AI35" s="513"/>
      <c r="AJ35" s="513"/>
      <c r="AK35" s="515"/>
      <c r="AL35" s="513"/>
      <c r="AM35" s="515"/>
    </row>
    <row r="36" spans="1:40">
      <c r="A36" s="2" t="s">
        <v>269</v>
      </c>
      <c r="B36" s="2" t="s">
        <v>270</v>
      </c>
      <c r="C36" s="235" t="s">
        <v>260</v>
      </c>
      <c r="D36" s="374" t="s">
        <v>261</v>
      </c>
      <c r="E36" s="374">
        <v>41791</v>
      </c>
      <c r="F36" s="374"/>
      <c r="G36" s="374"/>
      <c r="H36" s="374"/>
      <c r="I36" s="235"/>
      <c r="J36" s="518" t="s">
        <v>44</v>
      </c>
      <c r="K36" s="513">
        <v>46</v>
      </c>
      <c r="L36" s="514" t="s">
        <v>44</v>
      </c>
      <c r="M36" s="513">
        <v>100.5</v>
      </c>
      <c r="N36" s="513">
        <v>0</v>
      </c>
      <c r="O36" s="513">
        <f t="shared" si="2"/>
        <v>100.5</v>
      </c>
      <c r="P36" s="269">
        <f t="shared" si="3"/>
        <v>2.1847826086956523</v>
      </c>
      <c r="Q36" s="515">
        <v>0.13100000000000001</v>
      </c>
      <c r="R36" s="513">
        <v>0</v>
      </c>
      <c r="S36" s="515" t="s">
        <v>44</v>
      </c>
      <c r="T36" s="519">
        <v>46</v>
      </c>
      <c r="U36" s="514" t="s">
        <v>44</v>
      </c>
      <c r="V36" s="513">
        <v>100.5</v>
      </c>
      <c r="W36" s="513">
        <v>0</v>
      </c>
      <c r="X36" s="513">
        <f t="shared" si="4"/>
        <v>100.5</v>
      </c>
      <c r="Y36" s="268">
        <f t="shared" si="5"/>
        <v>2.1847826086956523</v>
      </c>
      <c r="Z36" s="513">
        <v>0</v>
      </c>
      <c r="AA36" s="513">
        <f t="shared" si="0"/>
        <v>0</v>
      </c>
      <c r="AB36" s="515">
        <f t="shared" si="1"/>
        <v>0</v>
      </c>
      <c r="AC36" s="517"/>
      <c r="AD36" s="514"/>
      <c r="AE36" s="513"/>
      <c r="AF36" s="513"/>
      <c r="AG36" s="513"/>
      <c r="AH36" s="268"/>
      <c r="AI36" s="513"/>
      <c r="AJ36" s="513"/>
      <c r="AK36" s="515"/>
      <c r="AL36" s="513"/>
      <c r="AM36" s="515"/>
    </row>
    <row r="37" spans="1:40">
      <c r="A37" s="2" t="s">
        <v>271</v>
      </c>
      <c r="B37" s="2" t="s">
        <v>272</v>
      </c>
      <c r="C37" s="235" t="s">
        <v>273</v>
      </c>
      <c r="D37" s="374" t="s">
        <v>261</v>
      </c>
      <c r="E37" s="374">
        <v>41791</v>
      </c>
      <c r="F37" s="374"/>
      <c r="G37" s="374"/>
      <c r="H37" s="374"/>
      <c r="I37" s="235"/>
      <c r="J37" s="518" t="s">
        <v>44</v>
      </c>
      <c r="K37" s="513">
        <v>36.299999999999997</v>
      </c>
      <c r="L37" s="514" t="s">
        <v>44</v>
      </c>
      <c r="M37" s="513">
        <v>199</v>
      </c>
      <c r="N37" s="513">
        <v>0</v>
      </c>
      <c r="O37" s="513">
        <f t="shared" si="2"/>
        <v>199</v>
      </c>
      <c r="P37" s="269">
        <f t="shared" si="3"/>
        <v>5.4820936639118463</v>
      </c>
      <c r="Q37" s="515">
        <v>0.307</v>
      </c>
      <c r="R37" s="513">
        <v>0</v>
      </c>
      <c r="S37" s="515" t="s">
        <v>44</v>
      </c>
      <c r="T37" s="519">
        <v>36.299999999999997</v>
      </c>
      <c r="U37" s="514" t="s">
        <v>44</v>
      </c>
      <c r="V37" s="513">
        <v>199</v>
      </c>
      <c r="W37" s="513">
        <v>0</v>
      </c>
      <c r="X37" s="513">
        <f t="shared" si="4"/>
        <v>199</v>
      </c>
      <c r="Y37" s="268">
        <f t="shared" si="5"/>
        <v>5.4820936639118463</v>
      </c>
      <c r="Z37" s="513">
        <v>0</v>
      </c>
      <c r="AA37" s="513">
        <f t="shared" si="0"/>
        <v>0</v>
      </c>
      <c r="AB37" s="515">
        <f t="shared" si="1"/>
        <v>0</v>
      </c>
      <c r="AC37" s="517"/>
      <c r="AD37" s="514"/>
      <c r="AE37" s="513"/>
      <c r="AF37" s="513"/>
      <c r="AG37" s="513"/>
      <c r="AH37" s="268"/>
      <c r="AI37" s="513"/>
      <c r="AJ37" s="513"/>
      <c r="AK37" s="515"/>
      <c r="AL37" s="513"/>
      <c r="AM37" s="515"/>
    </row>
    <row r="38" spans="1:40">
      <c r="A38" s="2" t="s">
        <v>274</v>
      </c>
      <c r="B38" s="2" t="s">
        <v>275</v>
      </c>
      <c r="C38" s="235" t="s">
        <v>273</v>
      </c>
      <c r="D38" s="374" t="s">
        <v>276</v>
      </c>
      <c r="E38" s="374">
        <v>42248</v>
      </c>
      <c r="F38" s="374" t="s">
        <v>44</v>
      </c>
      <c r="G38" s="374" t="s">
        <v>44</v>
      </c>
      <c r="H38" s="374" t="s">
        <v>44</v>
      </c>
      <c r="I38" s="235" t="s">
        <v>44</v>
      </c>
      <c r="J38" s="518" t="s">
        <v>44</v>
      </c>
      <c r="K38" s="513">
        <v>16.2</v>
      </c>
      <c r="L38" s="514" t="s">
        <v>44</v>
      </c>
      <c r="M38" s="513">
        <v>16.5</v>
      </c>
      <c r="N38" s="513">
        <v>8.1999999999999993</v>
      </c>
      <c r="O38" s="513">
        <f t="shared" si="2"/>
        <v>24.7</v>
      </c>
      <c r="P38" s="269">
        <f t="shared" si="3"/>
        <v>1.5246913580246915</v>
      </c>
      <c r="Q38" s="515">
        <v>5.6000000000000001E-2</v>
      </c>
      <c r="R38" s="513">
        <v>0</v>
      </c>
      <c r="S38" s="515" t="s">
        <v>44</v>
      </c>
      <c r="T38" s="519">
        <v>16.2</v>
      </c>
      <c r="U38" s="514" t="s">
        <v>44</v>
      </c>
      <c r="V38" s="513">
        <v>19.2</v>
      </c>
      <c r="W38" s="513">
        <v>6.4</v>
      </c>
      <c r="X38" s="513">
        <f t="shared" si="4"/>
        <v>25.6</v>
      </c>
      <c r="Y38" s="268">
        <f t="shared" si="5"/>
        <v>1.580246913580247</v>
      </c>
      <c r="Z38" s="513">
        <v>0</v>
      </c>
      <c r="AA38" s="513">
        <f t="shared" si="0"/>
        <v>0.90000000000000213</v>
      </c>
      <c r="AB38" s="515">
        <f t="shared" si="1"/>
        <v>3.6437246963562764E-2</v>
      </c>
    </row>
    <row r="40" spans="1:40" s="520" customFormat="1" ht="12" thickBot="1">
      <c r="A40" s="520" t="s">
        <v>45</v>
      </c>
      <c r="K40" s="521">
        <f>SUM(K32:K38)</f>
        <v>260.7</v>
      </c>
      <c r="M40" s="522">
        <f>SUM(M32:M38)</f>
        <v>738.9</v>
      </c>
      <c r="N40" s="522">
        <f>SUM(N32:N38)</f>
        <v>8.1999999999999993</v>
      </c>
      <c r="O40" s="522">
        <f>SUM(O32:O38)</f>
        <v>747.1</v>
      </c>
      <c r="P40" s="523">
        <f t="shared" si="3"/>
        <v>2.8657460682777143</v>
      </c>
      <c r="Q40" s="524" t="s">
        <v>44</v>
      </c>
      <c r="R40" s="524" t="s">
        <v>44</v>
      </c>
      <c r="S40" s="524" t="s">
        <v>44</v>
      </c>
      <c r="T40" s="521">
        <f>SUM(T32:T38)</f>
        <v>260.7</v>
      </c>
      <c r="V40" s="522">
        <f>SUM(V32:V38)</f>
        <v>741.6</v>
      </c>
      <c r="W40" s="522">
        <f>SUM(W32:W38)</f>
        <v>6.4</v>
      </c>
      <c r="X40" s="522">
        <f>SUM(X32:X38)</f>
        <v>748</v>
      </c>
      <c r="Y40" s="523">
        <f t="shared" ref="Y40" si="6">X40/T40</f>
        <v>2.869198312236287</v>
      </c>
      <c r="Z40" s="525" t="s">
        <v>44</v>
      </c>
      <c r="AA40" s="525">
        <f t="shared" ref="AA40" si="7">X40-O40</f>
        <v>0.89999999999997726</v>
      </c>
      <c r="AB40" s="526">
        <f t="shared" ref="AB40" si="8">IFERROR(X40/O40-1,0)</f>
        <v>1.2046580109756899E-3</v>
      </c>
      <c r="AC40" s="527"/>
      <c r="AN40" s="527"/>
    </row>
    <row r="42" spans="1:40" s="389" customFormat="1">
      <c r="A42" s="388" t="s">
        <v>277</v>
      </c>
      <c r="K42" s="528">
        <f>SUMIF($D$32:$D$38,"Unrealized",K$32:K$38)+SUMIF($D$32:$D$38,"Partial Realized",K$32:K$38)</f>
        <v>16.2</v>
      </c>
      <c r="M42" s="529">
        <f>SUMIF($D$32:$D$38,"Unrealized",M$32:M$38)+SUMIF($D$32:$D$38,"Partial Realized",M$32:M$38)</f>
        <v>16.5</v>
      </c>
      <c r="N42" s="529">
        <f>SUMIF($D$32:$D$38,"Unrealized",N$32:N$38)+SUMIF($D$32:$D$38,"Partial Realized",N$32:N$38)</f>
        <v>8.1999999999999993</v>
      </c>
      <c r="O42" s="529">
        <f>SUMIF($D$32:$D$38,"Unrealized",O$32:O$38)+SUMIF($D$32:$D$38,"Partial Realized",O$32:O$38)</f>
        <v>24.7</v>
      </c>
      <c r="P42" s="530">
        <f t="shared" si="3"/>
        <v>1.5246913580246915</v>
      </c>
      <c r="R42" s="531" t="s">
        <v>44</v>
      </c>
      <c r="S42" s="532" t="s">
        <v>44</v>
      </c>
      <c r="T42" s="528">
        <f>SUMIF($D$32:$D$38,"Unrealized",T$32:T$38)+SUMIF($D$32:$D$38,"Partial Realized",T$32:T$38)</f>
        <v>16.2</v>
      </c>
      <c r="V42" s="529">
        <f>SUMIF($D$32:$D$38,"Unrealized",V$32:V$38)+SUMIF($D$32:$D$38,"Partial Realized",V$32:V$38)</f>
        <v>19.2</v>
      </c>
      <c r="W42" s="529">
        <f>SUMIF($D$32:$D$38,"Unrealized",W$32:W$38)+SUMIF($D$32:$D$38,"Partial Realized",W$32:W$38)</f>
        <v>6.4</v>
      </c>
      <c r="X42" s="529">
        <f>SUMIF($D$32:$D$38,"Unrealized",X$32:X$38)+SUMIF($D$32:$D$38,"Partial Realized",X$32:X$38)</f>
        <v>25.6</v>
      </c>
      <c r="Y42" s="530">
        <f t="shared" ref="Y42:Y43" si="9">X42/T42</f>
        <v>1.580246913580247</v>
      </c>
      <c r="AA42" s="533">
        <f t="shared" ref="AA42:AA43" si="10">X42-O42</f>
        <v>0.90000000000000213</v>
      </c>
      <c r="AB42" s="534">
        <f t="shared" ref="AB42:AB43" si="11">IFERROR(X42/O42-1,0)</f>
        <v>3.6437246963562764E-2</v>
      </c>
      <c r="AN42" s="535"/>
    </row>
    <row r="43" spans="1:40" s="389" customFormat="1">
      <c r="A43" s="388" t="s">
        <v>278</v>
      </c>
      <c r="K43" s="528">
        <f>SUMIF($D$32:$D$38,"Realized",K$32:K$38)+SUMIF($D$32:$D$38,"Write-off",K$32:K$38)</f>
        <v>244.5</v>
      </c>
      <c r="M43" s="529">
        <f>SUMIF($D$32:$D$38,"Realized",M$32:M$38)+SUMIF($D$32:$D$38,"Write-off",M$32:M$38)</f>
        <v>722.4</v>
      </c>
      <c r="N43" s="529">
        <f>SUMIF($D$32:$D$38,"Realized",N$32:N$38)+SUMIF($D$32:$D$38,"Write-off",N$32:N$38)</f>
        <v>0</v>
      </c>
      <c r="O43" s="529">
        <f>SUMIF($D$32:$D$38,"Realized",O$32:O$38)+SUMIF($D$32:$D$38,"Write-off",O$32:O$38)</f>
        <v>722.4</v>
      </c>
      <c r="P43" s="530">
        <f t="shared" si="3"/>
        <v>2.9546012269938648</v>
      </c>
      <c r="R43" s="531" t="s">
        <v>44</v>
      </c>
      <c r="S43" s="532" t="s">
        <v>44</v>
      </c>
      <c r="T43" s="528">
        <f>SUMIF($D$32:$D$38,"Realized",T$32:T$38)+SUMIF($D$32:$D$38,"Write-off",T$32:T$38)</f>
        <v>244.5</v>
      </c>
      <c r="V43" s="529">
        <f>SUMIF($D$32:$D$38,"Realized",V$32:V$38)+SUMIF($D$32:$D$38,"Write-off",V$32:V$38)</f>
        <v>722.4</v>
      </c>
      <c r="W43" s="529">
        <f>SUMIF($D$32:$D$38,"Realized",W$32:W$38)+SUMIF($D$32:$D$38,"Write-off",W$32:W$38)</f>
        <v>0</v>
      </c>
      <c r="X43" s="529">
        <f>SUMIF($D$32:$D$38,"Realized",X$32:X$38)+SUMIF($D$32:$D$38,"Write-off",X$32:X$38)</f>
        <v>722.4</v>
      </c>
      <c r="Y43" s="530">
        <f t="shared" si="9"/>
        <v>2.9546012269938648</v>
      </c>
      <c r="AA43" s="533">
        <f t="shared" si="10"/>
        <v>0</v>
      </c>
      <c r="AB43" s="534">
        <f t="shared" si="11"/>
        <v>0</v>
      </c>
      <c r="AN43" s="535"/>
    </row>
    <row r="46" spans="1:40" s="536" customFormat="1">
      <c r="A46" s="536" t="s">
        <v>279</v>
      </c>
      <c r="K46" s="537"/>
      <c r="T46" s="537"/>
      <c r="AC46" s="537"/>
      <c r="AN46" s="537"/>
    </row>
    <row r="47" spans="1:40" ht="13.5" customHeight="1">
      <c r="K47" s="538" t="s">
        <v>236</v>
      </c>
      <c r="L47" s="539"/>
      <c r="M47" s="539"/>
      <c r="N47" s="539"/>
      <c r="O47" s="539"/>
      <c r="P47" s="539"/>
      <c r="Q47" s="540"/>
      <c r="R47" s="540"/>
      <c r="S47" s="539"/>
      <c r="T47" s="503" t="s">
        <v>237</v>
      </c>
      <c r="U47" s="504"/>
      <c r="V47" s="504"/>
      <c r="W47" s="504"/>
      <c r="X47" s="504"/>
      <c r="Y47" s="504"/>
      <c r="Z47" s="505"/>
      <c r="AA47" s="505"/>
      <c r="AB47" s="504"/>
      <c r="AC47" s="503" t="s">
        <v>238</v>
      </c>
      <c r="AD47" s="504"/>
      <c r="AE47" s="504"/>
      <c r="AF47" s="504"/>
      <c r="AG47" s="539"/>
      <c r="AH47" s="539"/>
      <c r="AI47" s="540"/>
      <c r="AJ47" s="540"/>
      <c r="AK47" s="540"/>
      <c r="AL47" s="540"/>
      <c r="AM47" s="539"/>
    </row>
    <row r="48" spans="1:40" s="141" customFormat="1" ht="39.75" customHeight="1">
      <c r="A48" s="138" t="s">
        <v>239</v>
      </c>
      <c r="B48" s="139" t="s">
        <v>240</v>
      </c>
      <c r="C48" s="139" t="s">
        <v>69</v>
      </c>
      <c r="D48" s="139" t="s">
        <v>241</v>
      </c>
      <c r="E48" s="139" t="s">
        <v>242</v>
      </c>
      <c r="F48" s="139" t="s">
        <v>243</v>
      </c>
      <c r="G48" s="139" t="s">
        <v>244</v>
      </c>
      <c r="H48" s="139" t="s">
        <v>245</v>
      </c>
      <c r="I48" s="139" t="s">
        <v>246</v>
      </c>
      <c r="J48" s="501" t="s">
        <v>247</v>
      </c>
      <c r="K48" s="541" t="s">
        <v>280</v>
      </c>
      <c r="L48" s="542"/>
      <c r="M48" s="543"/>
      <c r="N48" s="542"/>
      <c r="O48" s="541" t="s">
        <v>281</v>
      </c>
      <c r="P48" s="542"/>
      <c r="Q48" s="543"/>
      <c r="R48" s="542"/>
      <c r="S48" s="544"/>
      <c r="T48" s="541" t="s">
        <v>280</v>
      </c>
      <c r="U48" s="542"/>
      <c r="V48" s="543"/>
      <c r="W48" s="542"/>
      <c r="X48" s="541" t="s">
        <v>281</v>
      </c>
      <c r="Y48" s="542"/>
      <c r="Z48" s="543"/>
      <c r="AA48" s="542"/>
      <c r="AB48" s="544"/>
      <c r="AC48" s="541" t="s">
        <v>280</v>
      </c>
      <c r="AD48" s="542"/>
      <c r="AE48" s="543"/>
      <c r="AF48" s="542"/>
      <c r="AG48" s="541" t="s">
        <v>281</v>
      </c>
      <c r="AH48" s="542"/>
      <c r="AI48" s="543"/>
      <c r="AJ48" s="542"/>
      <c r="AK48" s="545"/>
      <c r="AL48" s="545"/>
      <c r="AM48" s="544"/>
      <c r="AN48" s="510"/>
    </row>
  </sheetData>
  <conditionalFormatting sqref="R32:S38">
    <cfRule type="cellIs" dxfId="171" priority="5" operator="lessThan">
      <formula>0</formula>
    </cfRule>
    <cfRule type="cellIs" dxfId="170" priority="6" operator="greaterThan">
      <formula>0</formula>
    </cfRule>
  </conditionalFormatting>
  <conditionalFormatting sqref="AA32:AB38">
    <cfRule type="cellIs" dxfId="169" priority="9" operator="lessThan">
      <formula>0</formula>
    </cfRule>
    <cfRule type="cellIs" dxfId="168" priority="10" operator="greaterThan">
      <formula>0</formula>
    </cfRule>
  </conditionalFormatting>
  <conditionalFormatting sqref="AA40:AB40">
    <cfRule type="cellIs" dxfId="167" priority="3" operator="lessThan">
      <formula>0</formula>
    </cfRule>
    <cfRule type="cellIs" dxfId="166" priority="4" operator="greaterThan">
      <formula>0</formula>
    </cfRule>
  </conditionalFormatting>
  <conditionalFormatting sqref="AA42:AB43">
    <cfRule type="cellIs" dxfId="165" priority="1" operator="lessThan">
      <formula>0</formula>
    </cfRule>
    <cfRule type="cellIs" dxfId="164" priority="2" operator="greaterThan">
      <formula>0</formula>
    </cfRule>
  </conditionalFormatting>
  <conditionalFormatting sqref="AJ32:AM33">
    <cfRule type="cellIs" dxfId="163" priority="7" operator="lessThan">
      <formula>0</formula>
    </cfRule>
    <cfRule type="cellIs" dxfId="162" priority="8" operator="greaterThan">
      <formula>0</formula>
    </cfRule>
  </conditionalFormatting>
  <printOptions horizontalCentered="1"/>
  <pageMargins left="0.23622047244094491" right="0" top="0.35433070866141736" bottom="0.19685039370078741" header="0.15748031496062992" footer="0.15748031496062992"/>
  <pageSetup paperSize="8" scale="31"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AF618-3657-487C-833B-130197AE88DB}">
  <sheetPr>
    <tabColor theme="8"/>
  </sheetPr>
  <dimension ref="B1:T67"/>
  <sheetViews>
    <sheetView workbookViewId="0">
      <selection activeCell="I36" sqref="I36"/>
    </sheetView>
  </sheetViews>
  <sheetFormatPr defaultColWidth="9" defaultRowHeight="11.25"/>
  <cols>
    <col min="1" max="1" width="2.28515625" style="2" customWidth="1"/>
    <col min="2" max="2" width="24.42578125" style="2" customWidth="1"/>
    <col min="3" max="3" width="15.140625" style="2" customWidth="1"/>
    <col min="4" max="4" width="12.7109375" style="2" hidden="1" customWidth="1"/>
    <col min="5" max="5" width="13.42578125" style="2" customWidth="1"/>
    <col min="6" max="6" width="10.42578125" style="2" bestFit="1" customWidth="1"/>
    <col min="7" max="7" width="14" style="2" customWidth="1"/>
    <col min="8" max="8" width="16.42578125" style="2" customWidth="1"/>
    <col min="9" max="9" width="12.42578125" style="2" customWidth="1"/>
    <col min="10" max="11" width="13.7109375" style="2" customWidth="1"/>
    <col min="12" max="12" width="16.28515625" style="2" customWidth="1"/>
    <col min="13" max="13" width="22.7109375" style="2" customWidth="1"/>
    <col min="14" max="14" width="15" style="2" customWidth="1"/>
    <col min="15" max="15" width="16.7109375" style="2" customWidth="1"/>
    <col min="16" max="16" width="20.28515625" style="2" customWidth="1"/>
    <col min="17" max="17" width="15" style="200" customWidth="1"/>
    <col min="18" max="18" width="16" style="200" customWidth="1"/>
    <col min="19" max="19" width="18" style="2" customWidth="1"/>
    <col min="20" max="16384" width="9" style="2"/>
  </cols>
  <sheetData>
    <row r="1" spans="2:20">
      <c r="B1" s="75" t="s">
        <v>282</v>
      </c>
      <c r="C1" s="75"/>
      <c r="M1" s="626">
        <f>C3</f>
        <v>45657</v>
      </c>
      <c r="N1" s="626"/>
      <c r="O1" s="198" t="s">
        <v>283</v>
      </c>
      <c r="P1" s="199" t="s">
        <v>284</v>
      </c>
    </row>
    <row r="2" spans="2:20" ht="12" thickBot="1">
      <c r="M2" s="172" t="s">
        <v>285</v>
      </c>
      <c r="N2" s="173">
        <f>M65</f>
        <v>-8570276.3500000034</v>
      </c>
      <c r="O2" s="201">
        <v>-8570277</v>
      </c>
      <c r="P2" s="189">
        <f>N2-O2</f>
        <v>0.64999999664723873</v>
      </c>
    </row>
    <row r="3" spans="2:20" ht="12" thickBot="1">
      <c r="B3" s="202" t="s">
        <v>286</v>
      </c>
      <c r="C3" s="203">
        <f>'Ascendent CP I'!E1</f>
        <v>45657</v>
      </c>
      <c r="I3" s="204"/>
      <c r="J3" s="131"/>
      <c r="M3" s="172" t="s">
        <v>287</v>
      </c>
      <c r="N3" s="173">
        <f>R65</f>
        <v>20207464.430000003</v>
      </c>
      <c r="O3" s="201">
        <v>20207464</v>
      </c>
      <c r="P3" s="189">
        <f>N3-O3</f>
        <v>0.43000000342726707</v>
      </c>
    </row>
    <row r="4" spans="2:20">
      <c r="M4" s="175" t="s">
        <v>288</v>
      </c>
      <c r="N4" s="176">
        <f>L67</f>
        <v>249627</v>
      </c>
    </row>
    <row r="5" spans="2:20" s="75" customFormat="1">
      <c r="B5" s="75" t="s">
        <v>289</v>
      </c>
      <c r="C5" s="75" t="s">
        <v>290</v>
      </c>
      <c r="M5" s="172" t="s">
        <v>75</v>
      </c>
      <c r="N5" s="180">
        <f>XIRR(L11:L67,E11:E67,0)</f>
        <v>0.22429716308593756</v>
      </c>
      <c r="Q5" s="206"/>
      <c r="R5" s="206"/>
    </row>
    <row r="6" spans="2:20">
      <c r="B6" s="75" t="s">
        <v>291</v>
      </c>
      <c r="C6" s="75" t="s">
        <v>24</v>
      </c>
    </row>
    <row r="7" spans="2:20">
      <c r="B7" s="75" t="s">
        <v>52</v>
      </c>
      <c r="C7" s="207">
        <v>10000000</v>
      </c>
    </row>
    <row r="8" spans="2:20">
      <c r="B8" s="182"/>
      <c r="C8" s="182"/>
    </row>
    <row r="10" spans="2:20" s="186" customFormat="1" ht="22.5">
      <c r="B10" s="183" t="s">
        <v>292</v>
      </c>
      <c r="C10" s="183" t="s">
        <v>0</v>
      </c>
      <c r="D10" s="183" t="s">
        <v>293</v>
      </c>
      <c r="E10" s="183" t="s">
        <v>294</v>
      </c>
      <c r="F10" s="183" t="s">
        <v>295</v>
      </c>
      <c r="G10" s="183" t="s">
        <v>176</v>
      </c>
      <c r="H10" s="208" t="s">
        <v>296</v>
      </c>
      <c r="I10" s="183" t="s">
        <v>297</v>
      </c>
      <c r="J10" s="183" t="s">
        <v>298</v>
      </c>
      <c r="K10" s="185" t="s">
        <v>299</v>
      </c>
      <c r="L10" s="183" t="s">
        <v>300</v>
      </c>
      <c r="M10" s="183" t="s">
        <v>301</v>
      </c>
      <c r="N10" s="183" t="s">
        <v>302</v>
      </c>
      <c r="O10" s="183" t="s">
        <v>303</v>
      </c>
      <c r="P10" s="183" t="s">
        <v>304</v>
      </c>
      <c r="Q10" s="209" t="s">
        <v>305</v>
      </c>
      <c r="R10" s="183" t="s">
        <v>306</v>
      </c>
      <c r="S10" s="183" t="s">
        <v>288</v>
      </c>
    </row>
    <row r="11" spans="2:20">
      <c r="B11" s="2" t="s">
        <v>307</v>
      </c>
      <c r="C11" s="2" t="s">
        <v>308</v>
      </c>
      <c r="D11" s="187">
        <v>40893</v>
      </c>
      <c r="E11" s="187">
        <v>40912</v>
      </c>
      <c r="F11" s="210">
        <f t="shared" ref="F11:F57" si="0">YEAR(E11)</f>
        <v>2012</v>
      </c>
      <c r="G11" s="2" t="s">
        <v>309</v>
      </c>
      <c r="H11" s="211">
        <v>-1661500.31</v>
      </c>
      <c r="I11" s="211">
        <v>-49315.07</v>
      </c>
      <c r="J11" s="211"/>
      <c r="K11" s="211">
        <v>-170695.38</v>
      </c>
      <c r="L11" s="211">
        <f t="shared" ref="L11:L60" si="1">SUM(H11:K11)</f>
        <v>-1881510.7600000002</v>
      </c>
      <c r="M11" s="108">
        <f>IF(L11&lt;0,L11,0)</f>
        <v>-1881510.7600000002</v>
      </c>
      <c r="N11" s="211">
        <f t="shared" ref="N11:N60" si="2">M11+$C$7</f>
        <v>8118489.2400000002</v>
      </c>
      <c r="O11" s="131">
        <f>IF(L11&gt;0,L11,0)</f>
        <v>0</v>
      </c>
      <c r="P11" s="131">
        <f>O11</f>
        <v>0</v>
      </c>
      <c r="Q11" s="212"/>
      <c r="R11" s="212"/>
    </row>
    <row r="12" spans="2:20">
      <c r="B12" s="2" t="s">
        <v>307</v>
      </c>
      <c r="C12" s="2" t="s">
        <v>310</v>
      </c>
      <c r="D12" s="187">
        <v>40994</v>
      </c>
      <c r="E12" s="213">
        <v>41011</v>
      </c>
      <c r="F12" s="210">
        <f t="shared" si="0"/>
        <v>2012</v>
      </c>
      <c r="I12" s="211">
        <v>-49863.01</v>
      </c>
      <c r="J12" s="211">
        <v>-4133.09</v>
      </c>
      <c r="K12" s="211">
        <v>-20665.43</v>
      </c>
      <c r="L12" s="211">
        <f t="shared" si="1"/>
        <v>-74661.53</v>
      </c>
      <c r="M12" s="108">
        <f>M11+IF(L12&lt;0,L12,0)</f>
        <v>-1956172.2900000003</v>
      </c>
      <c r="N12" s="211">
        <f t="shared" si="2"/>
        <v>8043827.71</v>
      </c>
      <c r="O12" s="131">
        <f>IF(L12&gt;0,L12,0)</f>
        <v>0</v>
      </c>
      <c r="P12" s="131">
        <f>P11+O12</f>
        <v>0</v>
      </c>
      <c r="Q12" s="212"/>
      <c r="R12" s="212"/>
    </row>
    <row r="13" spans="2:20">
      <c r="B13" s="2" t="s">
        <v>307</v>
      </c>
      <c r="C13" s="2" t="s">
        <v>311</v>
      </c>
      <c r="D13" s="187">
        <v>41075</v>
      </c>
      <c r="E13" s="213">
        <v>41093</v>
      </c>
      <c r="F13" s="210">
        <f t="shared" si="0"/>
        <v>2012</v>
      </c>
      <c r="I13" s="211">
        <v>-50410.96</v>
      </c>
      <c r="J13" s="211"/>
      <c r="K13" s="211"/>
      <c r="L13" s="211">
        <f t="shared" si="1"/>
        <v>-50410.96</v>
      </c>
      <c r="M13" s="108">
        <f>M12+IF(L13&lt;0,L13,0)</f>
        <v>-2006583.2500000002</v>
      </c>
      <c r="N13" s="211">
        <f t="shared" si="2"/>
        <v>7993416.75</v>
      </c>
      <c r="O13" s="131">
        <f>IF(L13&gt;0,L13,0)</f>
        <v>0</v>
      </c>
      <c r="P13" s="131">
        <f>P12+O13</f>
        <v>0</v>
      </c>
      <c r="Q13" s="212"/>
      <c r="R13" s="212"/>
      <c r="T13" s="2" t="s">
        <v>312</v>
      </c>
    </row>
    <row r="14" spans="2:20">
      <c r="B14" s="2" t="s">
        <v>313</v>
      </c>
      <c r="C14" s="2" t="s">
        <v>314</v>
      </c>
      <c r="D14" s="187">
        <v>41246</v>
      </c>
      <c r="E14" s="213">
        <v>41260</v>
      </c>
      <c r="F14" s="210">
        <f t="shared" si="0"/>
        <v>2012</v>
      </c>
      <c r="H14" s="211">
        <v>561366.21</v>
      </c>
      <c r="I14" s="211"/>
      <c r="J14" s="211">
        <v>1396.44</v>
      </c>
      <c r="K14" s="211">
        <v>22624.42</v>
      </c>
      <c r="L14" s="211">
        <f t="shared" si="1"/>
        <v>585387.06999999995</v>
      </c>
      <c r="M14" s="108">
        <f>M13+IF(L14&lt;0,L14,0)+L14</f>
        <v>-1421196.1800000002</v>
      </c>
      <c r="N14" s="211">
        <f t="shared" si="2"/>
        <v>8578803.8200000003</v>
      </c>
      <c r="O14" s="131">
        <v>0</v>
      </c>
      <c r="P14" s="131">
        <f>P13+O14</f>
        <v>0</v>
      </c>
      <c r="Q14" s="212"/>
      <c r="R14" s="212"/>
      <c r="T14" s="2" t="s">
        <v>315</v>
      </c>
    </row>
    <row r="15" spans="2:20">
      <c r="B15" s="2" t="s">
        <v>307</v>
      </c>
      <c r="C15" s="2" t="s">
        <v>316</v>
      </c>
      <c r="D15" s="187">
        <v>41246</v>
      </c>
      <c r="E15" s="213">
        <v>41260</v>
      </c>
      <c r="F15" s="210">
        <f t="shared" si="0"/>
        <v>2012</v>
      </c>
      <c r="G15" s="2" t="s">
        <v>317</v>
      </c>
      <c r="H15" s="211">
        <v>-875728.63</v>
      </c>
      <c r="I15" s="211">
        <f>-50410.96</f>
        <v>-50410.96</v>
      </c>
      <c r="J15" s="211">
        <v>-5473.3</v>
      </c>
      <c r="K15" s="211"/>
      <c r="L15" s="211">
        <f t="shared" si="1"/>
        <v>-931612.89</v>
      </c>
      <c r="M15" s="108">
        <f t="shared" ref="M15:M26" si="3">M14+IF(L15&lt;0,L15,0)</f>
        <v>-2352809.0700000003</v>
      </c>
      <c r="N15" s="211">
        <f t="shared" si="2"/>
        <v>7647190.9299999997</v>
      </c>
      <c r="O15" s="131">
        <f t="shared" ref="O15:O62" si="4">IF(L15&gt;0,L15,0)</f>
        <v>0</v>
      </c>
      <c r="P15" s="131">
        <f>P14+O15</f>
        <v>0</v>
      </c>
      <c r="Q15" s="212"/>
      <c r="R15" s="212"/>
    </row>
    <row r="16" spans="2:20">
      <c r="B16" s="2" t="s">
        <v>49</v>
      </c>
      <c r="C16" s="2" t="s">
        <v>314</v>
      </c>
      <c r="D16" s="187">
        <v>41246</v>
      </c>
      <c r="E16" s="213">
        <v>41260</v>
      </c>
      <c r="F16" s="210">
        <f t="shared" si="0"/>
        <v>2012</v>
      </c>
      <c r="G16" s="2" t="s">
        <v>318</v>
      </c>
      <c r="H16" s="211">
        <v>15525.35</v>
      </c>
      <c r="I16" s="211"/>
      <c r="J16" s="211"/>
      <c r="K16" s="211"/>
      <c r="L16" s="211">
        <f t="shared" si="1"/>
        <v>15525.35</v>
      </c>
      <c r="M16" s="108">
        <f t="shared" si="3"/>
        <v>-2352809.0700000003</v>
      </c>
      <c r="N16" s="211">
        <f t="shared" si="2"/>
        <v>7647190.9299999997</v>
      </c>
      <c r="O16" s="131">
        <f t="shared" si="4"/>
        <v>15525.35</v>
      </c>
      <c r="P16" s="131">
        <f>P15+O16</f>
        <v>15525.35</v>
      </c>
      <c r="Q16" s="212"/>
      <c r="R16" s="212">
        <f t="shared" ref="R16:R38" si="5">P15+O16</f>
        <v>15525.35</v>
      </c>
      <c r="T16" s="2" t="s">
        <v>319</v>
      </c>
    </row>
    <row r="17" spans="2:20">
      <c r="B17" s="2" t="s">
        <v>307</v>
      </c>
      <c r="C17" s="2" t="s">
        <v>320</v>
      </c>
      <c r="D17" s="187">
        <v>41000</v>
      </c>
      <c r="E17" s="213">
        <v>41292</v>
      </c>
      <c r="F17" s="210">
        <f t="shared" si="0"/>
        <v>2013</v>
      </c>
      <c r="H17" s="211"/>
      <c r="I17" s="211">
        <v>-49315.07</v>
      </c>
      <c r="J17" s="211"/>
      <c r="K17" s="211"/>
      <c r="L17" s="211">
        <f t="shared" si="1"/>
        <v>-49315.07</v>
      </c>
      <c r="M17" s="108">
        <f t="shared" si="3"/>
        <v>-2402124.14</v>
      </c>
      <c r="N17" s="211">
        <f t="shared" si="2"/>
        <v>7597875.8599999994</v>
      </c>
      <c r="O17" s="131">
        <f t="shared" si="4"/>
        <v>0</v>
      </c>
      <c r="P17" s="131">
        <f t="shared" ref="P17:P38" si="6">P16+O17</f>
        <v>15525.35</v>
      </c>
      <c r="Q17" s="212"/>
      <c r="R17" s="212">
        <f t="shared" si="5"/>
        <v>15525.35</v>
      </c>
      <c r="T17" s="2" t="s">
        <v>321</v>
      </c>
    </row>
    <row r="18" spans="2:20">
      <c r="B18" s="2" t="s">
        <v>307</v>
      </c>
      <c r="C18" s="2" t="s">
        <v>322</v>
      </c>
      <c r="D18" s="187">
        <v>41415</v>
      </c>
      <c r="E18" s="213">
        <v>41428</v>
      </c>
      <c r="F18" s="210">
        <f t="shared" si="0"/>
        <v>2013</v>
      </c>
      <c r="G18" s="2" t="s">
        <v>323</v>
      </c>
      <c r="H18" s="211">
        <v>-1477792.07</v>
      </c>
      <c r="I18" s="211"/>
      <c r="J18" s="211"/>
      <c r="K18" s="211"/>
      <c r="L18" s="211">
        <f t="shared" si="1"/>
        <v>-1477792.07</v>
      </c>
      <c r="M18" s="170">
        <f t="shared" si="3"/>
        <v>-3879916.21</v>
      </c>
      <c r="N18" s="132">
        <f t="shared" si="2"/>
        <v>6120083.79</v>
      </c>
      <c r="O18" s="131">
        <f t="shared" si="4"/>
        <v>0</v>
      </c>
      <c r="P18" s="131">
        <f t="shared" si="6"/>
        <v>15525.35</v>
      </c>
      <c r="R18" s="200">
        <f t="shared" si="5"/>
        <v>15525.35</v>
      </c>
    </row>
    <row r="19" spans="2:20">
      <c r="B19" s="2" t="s">
        <v>307</v>
      </c>
      <c r="C19" s="2" t="s">
        <v>324</v>
      </c>
      <c r="D19" s="187">
        <v>41439</v>
      </c>
      <c r="E19" s="213">
        <v>41452</v>
      </c>
      <c r="F19" s="210">
        <f t="shared" si="0"/>
        <v>2013</v>
      </c>
      <c r="G19" s="2" t="s">
        <v>323</v>
      </c>
      <c r="H19" s="211">
        <v>-437864.32</v>
      </c>
      <c r="I19" s="211">
        <v>-50410.96</v>
      </c>
      <c r="J19" s="211"/>
      <c r="K19" s="211"/>
      <c r="L19" s="211">
        <f t="shared" si="1"/>
        <v>-488275.28</v>
      </c>
      <c r="M19" s="170">
        <f t="shared" si="3"/>
        <v>-4368191.49</v>
      </c>
      <c r="N19" s="132">
        <f t="shared" si="2"/>
        <v>5631808.5099999998</v>
      </c>
      <c r="O19" s="131">
        <f t="shared" si="4"/>
        <v>0</v>
      </c>
      <c r="P19" s="131">
        <f t="shared" si="6"/>
        <v>15525.35</v>
      </c>
      <c r="R19" s="200">
        <f t="shared" si="5"/>
        <v>15525.35</v>
      </c>
    </row>
    <row r="20" spans="2:20">
      <c r="B20" s="2" t="s">
        <v>307</v>
      </c>
      <c r="C20" s="2" t="s">
        <v>325</v>
      </c>
      <c r="D20" s="187">
        <v>41382</v>
      </c>
      <c r="E20" s="213">
        <v>41336</v>
      </c>
      <c r="F20" s="210">
        <f t="shared" si="0"/>
        <v>2013</v>
      </c>
      <c r="H20" s="211"/>
      <c r="I20" s="211">
        <v>-49863.01</v>
      </c>
      <c r="J20" s="211">
        <v>-8209.9599999999991</v>
      </c>
      <c r="K20" s="211">
        <v>2300.16</v>
      </c>
      <c r="L20" s="211">
        <f t="shared" si="1"/>
        <v>-55772.81</v>
      </c>
      <c r="M20" s="170">
        <f t="shared" si="3"/>
        <v>-4423964.3</v>
      </c>
      <c r="N20" s="132">
        <f t="shared" si="2"/>
        <v>5576035.7000000002</v>
      </c>
      <c r="O20" s="131">
        <f t="shared" si="4"/>
        <v>0</v>
      </c>
      <c r="P20" s="131">
        <f t="shared" si="6"/>
        <v>15525.35</v>
      </c>
      <c r="R20" s="200">
        <f t="shared" si="5"/>
        <v>15525.35</v>
      </c>
      <c r="T20" s="2" t="s">
        <v>326</v>
      </c>
    </row>
    <row r="21" spans="2:20">
      <c r="B21" s="2" t="s">
        <v>307</v>
      </c>
      <c r="C21" s="2" t="s">
        <v>327</v>
      </c>
      <c r="D21" s="187">
        <v>41544</v>
      </c>
      <c r="E21" s="187">
        <v>41562</v>
      </c>
      <c r="F21" s="210">
        <f t="shared" si="0"/>
        <v>2013</v>
      </c>
      <c r="H21" s="211"/>
      <c r="I21" s="211">
        <v>-50410.96</v>
      </c>
      <c r="J21" s="211"/>
      <c r="K21" s="211"/>
      <c r="L21" s="211">
        <f t="shared" si="1"/>
        <v>-50410.96</v>
      </c>
      <c r="M21" s="170">
        <f t="shared" si="3"/>
        <v>-4474375.26</v>
      </c>
      <c r="N21" s="132">
        <f t="shared" si="2"/>
        <v>5525624.7400000002</v>
      </c>
      <c r="O21" s="131">
        <f t="shared" si="4"/>
        <v>0</v>
      </c>
      <c r="P21" s="131">
        <f t="shared" si="6"/>
        <v>15525.35</v>
      </c>
      <c r="R21" s="200">
        <f t="shared" si="5"/>
        <v>15525.35</v>
      </c>
      <c r="T21" s="2" t="s">
        <v>328</v>
      </c>
    </row>
    <row r="22" spans="2:20">
      <c r="B22" s="2" t="s">
        <v>307</v>
      </c>
      <c r="C22" s="2" t="s">
        <v>329</v>
      </c>
      <c r="D22" s="187">
        <v>41626</v>
      </c>
      <c r="E22" s="187">
        <v>41645</v>
      </c>
      <c r="F22" s="210">
        <f t="shared" si="0"/>
        <v>2014</v>
      </c>
      <c r="H22" s="211"/>
      <c r="I22" s="211">
        <v>-49315.07</v>
      </c>
      <c r="J22" s="211">
        <v>-5473.3</v>
      </c>
      <c r="K22" s="211"/>
      <c r="L22" s="211">
        <f t="shared" si="1"/>
        <v>-54788.37</v>
      </c>
      <c r="M22" s="170">
        <f t="shared" si="3"/>
        <v>-4529163.63</v>
      </c>
      <c r="N22" s="132">
        <f t="shared" si="2"/>
        <v>5470836.3700000001</v>
      </c>
      <c r="O22" s="131">
        <f t="shared" si="4"/>
        <v>0</v>
      </c>
      <c r="P22" s="131">
        <f t="shared" si="6"/>
        <v>15525.35</v>
      </c>
      <c r="R22" s="200">
        <f t="shared" si="5"/>
        <v>15525.35</v>
      </c>
    </row>
    <row r="23" spans="2:20">
      <c r="B23" s="2" t="s">
        <v>49</v>
      </c>
      <c r="C23" s="2" t="s">
        <v>330</v>
      </c>
      <c r="D23" s="187">
        <v>41626</v>
      </c>
      <c r="E23" s="187">
        <v>41645</v>
      </c>
      <c r="F23" s="210">
        <f t="shared" si="0"/>
        <v>2014</v>
      </c>
      <c r="H23" s="211">
        <v>41256.550000000003</v>
      </c>
      <c r="I23" s="211"/>
      <c r="J23" s="211"/>
      <c r="K23" s="211"/>
      <c r="L23" s="211">
        <f t="shared" si="1"/>
        <v>41256.550000000003</v>
      </c>
      <c r="M23" s="170">
        <f t="shared" si="3"/>
        <v>-4529163.63</v>
      </c>
      <c r="N23" s="132">
        <f t="shared" si="2"/>
        <v>5470836.3700000001</v>
      </c>
      <c r="O23" s="131">
        <f t="shared" si="4"/>
        <v>41256.550000000003</v>
      </c>
      <c r="P23" s="131">
        <f t="shared" si="6"/>
        <v>56781.9</v>
      </c>
      <c r="R23" s="200">
        <f t="shared" si="5"/>
        <v>56781.9</v>
      </c>
    </row>
    <row r="24" spans="2:20">
      <c r="B24" s="2" t="s">
        <v>307</v>
      </c>
      <c r="C24" s="2" t="s">
        <v>331</v>
      </c>
      <c r="D24" s="187">
        <v>41717</v>
      </c>
      <c r="E24" s="187">
        <v>41732</v>
      </c>
      <c r="F24" s="210">
        <f t="shared" si="0"/>
        <v>2014</v>
      </c>
      <c r="H24" s="211"/>
      <c r="I24" s="211">
        <v>-49863.01</v>
      </c>
      <c r="J24" s="211">
        <v>-5473.3</v>
      </c>
      <c r="K24" s="211"/>
      <c r="L24" s="211">
        <f t="shared" si="1"/>
        <v>-55336.310000000005</v>
      </c>
      <c r="M24" s="170">
        <f t="shared" si="3"/>
        <v>-4584499.9399999995</v>
      </c>
      <c r="N24" s="132">
        <f t="shared" si="2"/>
        <v>5415500.0600000005</v>
      </c>
      <c r="O24" s="131">
        <f t="shared" si="4"/>
        <v>0</v>
      </c>
      <c r="P24" s="131">
        <f t="shared" si="6"/>
        <v>56781.9</v>
      </c>
      <c r="R24" s="200">
        <f t="shared" si="5"/>
        <v>56781.9</v>
      </c>
      <c r="T24" s="2" t="s">
        <v>332</v>
      </c>
    </row>
    <row r="25" spans="2:20">
      <c r="B25" s="2" t="s">
        <v>307</v>
      </c>
      <c r="C25" s="2" t="s">
        <v>333</v>
      </c>
      <c r="D25" s="187">
        <v>41779</v>
      </c>
      <c r="E25" s="187">
        <v>41794</v>
      </c>
      <c r="F25" s="210">
        <f t="shared" si="0"/>
        <v>2014</v>
      </c>
      <c r="G25" s="2" t="s">
        <v>334</v>
      </c>
      <c r="H25" s="211">
        <v>-738896.03</v>
      </c>
      <c r="I25" s="211"/>
      <c r="J25" s="211"/>
      <c r="K25" s="211"/>
      <c r="L25" s="211">
        <f t="shared" si="1"/>
        <v>-738896.03</v>
      </c>
      <c r="M25" s="170">
        <f t="shared" si="3"/>
        <v>-5323395.97</v>
      </c>
      <c r="N25" s="132">
        <f t="shared" si="2"/>
        <v>4676604.03</v>
      </c>
      <c r="O25" s="131">
        <f t="shared" si="4"/>
        <v>0</v>
      </c>
      <c r="P25" s="131">
        <f t="shared" si="6"/>
        <v>56781.9</v>
      </c>
      <c r="R25" s="200">
        <f t="shared" si="5"/>
        <v>56781.9</v>
      </c>
    </row>
    <row r="26" spans="2:20">
      <c r="B26" s="2" t="s">
        <v>307</v>
      </c>
      <c r="C26" s="2" t="s">
        <v>335</v>
      </c>
      <c r="D26" s="187">
        <v>41794</v>
      </c>
      <c r="E26" s="187">
        <v>41809</v>
      </c>
      <c r="F26" s="210">
        <f t="shared" si="0"/>
        <v>2014</v>
      </c>
      <c r="G26" s="2" t="s">
        <v>336</v>
      </c>
      <c r="H26" s="211">
        <v>-1258859.9099999999</v>
      </c>
      <c r="I26" s="211">
        <v>-50410.96</v>
      </c>
      <c r="J26" s="211">
        <v>-5473.3</v>
      </c>
      <c r="K26" s="211"/>
      <c r="L26" s="211">
        <f t="shared" si="1"/>
        <v>-1314744.17</v>
      </c>
      <c r="M26" s="170">
        <f t="shared" si="3"/>
        <v>-6638140.1399999997</v>
      </c>
      <c r="N26" s="132">
        <f t="shared" si="2"/>
        <v>3361859.8600000003</v>
      </c>
      <c r="O26" s="131">
        <f t="shared" si="4"/>
        <v>0</v>
      </c>
      <c r="P26" s="131">
        <f t="shared" si="6"/>
        <v>56781.9</v>
      </c>
      <c r="R26" s="200">
        <f t="shared" si="5"/>
        <v>56781.9</v>
      </c>
    </row>
    <row r="27" spans="2:20">
      <c r="B27" s="2" t="s">
        <v>313</v>
      </c>
      <c r="C27" s="2" t="s">
        <v>337</v>
      </c>
      <c r="D27" s="187">
        <v>41794</v>
      </c>
      <c r="E27" s="187">
        <v>41809</v>
      </c>
      <c r="F27" s="210">
        <f t="shared" si="0"/>
        <v>2014</v>
      </c>
      <c r="G27" s="2" t="s">
        <v>323</v>
      </c>
      <c r="H27" s="211">
        <v>437864.32</v>
      </c>
      <c r="I27" s="211"/>
      <c r="J27" s="211"/>
      <c r="K27" s="211"/>
      <c r="L27" s="211">
        <f t="shared" si="1"/>
        <v>437864.32</v>
      </c>
      <c r="M27" s="170">
        <f>M26</f>
        <v>-6638140.1399999997</v>
      </c>
      <c r="N27" s="132">
        <f t="shared" si="2"/>
        <v>3361859.8600000003</v>
      </c>
      <c r="O27" s="131">
        <f t="shared" si="4"/>
        <v>437864.32</v>
      </c>
      <c r="P27" s="131">
        <f t="shared" si="6"/>
        <v>494646.22000000003</v>
      </c>
      <c r="R27" s="200">
        <f t="shared" si="5"/>
        <v>494646.22000000003</v>
      </c>
    </row>
    <row r="28" spans="2:20">
      <c r="B28" s="2" t="s">
        <v>49</v>
      </c>
      <c r="C28" s="2" t="s">
        <v>337</v>
      </c>
      <c r="D28" s="187">
        <v>41794</v>
      </c>
      <c r="E28" s="187">
        <v>41809</v>
      </c>
      <c r="F28" s="210">
        <f t="shared" si="0"/>
        <v>2014</v>
      </c>
      <c r="G28" s="2" t="s">
        <v>323</v>
      </c>
      <c r="H28" s="211">
        <v>53912.04</v>
      </c>
      <c r="I28" s="211"/>
      <c r="J28" s="211"/>
      <c r="K28" s="211"/>
      <c r="L28" s="211">
        <f t="shared" si="1"/>
        <v>53912.04</v>
      </c>
      <c r="M28" s="170">
        <f>M27+IF(L28&lt;0,L28,0)</f>
        <v>-6638140.1399999997</v>
      </c>
      <c r="N28" s="132">
        <f t="shared" si="2"/>
        <v>3361859.8600000003</v>
      </c>
      <c r="O28" s="131">
        <f t="shared" si="4"/>
        <v>53912.04</v>
      </c>
      <c r="P28" s="131">
        <f t="shared" si="6"/>
        <v>548558.26</v>
      </c>
      <c r="R28" s="200">
        <f t="shared" si="5"/>
        <v>548558.26</v>
      </c>
    </row>
    <row r="29" spans="2:20">
      <c r="B29" s="2" t="s">
        <v>49</v>
      </c>
      <c r="C29" s="2" t="s">
        <v>338</v>
      </c>
      <c r="D29" s="187">
        <v>41836</v>
      </c>
      <c r="E29" s="187">
        <v>41850</v>
      </c>
      <c r="F29" s="210">
        <f t="shared" si="0"/>
        <v>2014</v>
      </c>
      <c r="G29" s="2" t="s">
        <v>339</v>
      </c>
      <c r="H29" s="211">
        <v>100690.83</v>
      </c>
      <c r="I29" s="211"/>
      <c r="J29" s="211"/>
      <c r="K29" s="211"/>
      <c r="L29" s="211">
        <f t="shared" si="1"/>
        <v>100690.83</v>
      </c>
      <c r="M29" s="170">
        <f>M28+IF(L29&lt;0,L29,0)</f>
        <v>-6638140.1399999997</v>
      </c>
      <c r="N29" s="132">
        <f t="shared" si="2"/>
        <v>3361859.8600000003</v>
      </c>
      <c r="O29" s="131">
        <f t="shared" si="4"/>
        <v>100690.83</v>
      </c>
      <c r="P29" s="131">
        <f t="shared" si="6"/>
        <v>649249.09</v>
      </c>
      <c r="R29" s="200">
        <f t="shared" si="5"/>
        <v>649249.09</v>
      </c>
    </row>
    <row r="30" spans="2:20">
      <c r="B30" s="2" t="s">
        <v>49</v>
      </c>
      <c r="C30" s="2" t="s">
        <v>340</v>
      </c>
      <c r="D30" s="187">
        <v>41872</v>
      </c>
      <c r="E30" s="187">
        <v>41880</v>
      </c>
      <c r="F30" s="210">
        <f t="shared" si="0"/>
        <v>2014</v>
      </c>
      <c r="G30" s="2" t="s">
        <v>309</v>
      </c>
      <c r="H30" s="211">
        <v>1169767.8500000001</v>
      </c>
      <c r="I30" s="211"/>
      <c r="J30" s="211"/>
      <c r="K30" s="211"/>
      <c r="L30" s="211">
        <f t="shared" si="1"/>
        <v>1169767.8500000001</v>
      </c>
      <c r="M30" s="170">
        <f>M29+IF(L30&lt;0,L30,0)</f>
        <v>-6638140.1399999997</v>
      </c>
      <c r="N30" s="132">
        <f t="shared" si="2"/>
        <v>3361859.8600000003</v>
      </c>
      <c r="O30" s="131">
        <f t="shared" si="4"/>
        <v>1169767.8500000001</v>
      </c>
      <c r="P30" s="131">
        <f t="shared" si="6"/>
        <v>1819016.94</v>
      </c>
      <c r="R30" s="200">
        <f t="shared" si="5"/>
        <v>1819016.94</v>
      </c>
      <c r="T30" s="2" t="s">
        <v>341</v>
      </c>
    </row>
    <row r="31" spans="2:20">
      <c r="B31" s="2" t="s">
        <v>307</v>
      </c>
      <c r="C31" s="2" t="s">
        <v>342</v>
      </c>
      <c r="D31" s="187">
        <v>41968</v>
      </c>
      <c r="E31" s="187">
        <v>41971</v>
      </c>
      <c r="F31" s="210">
        <f t="shared" si="0"/>
        <v>2014</v>
      </c>
      <c r="H31" s="211"/>
      <c r="I31" s="211">
        <v>-50410.96</v>
      </c>
      <c r="J31" s="211"/>
      <c r="K31" s="211"/>
      <c r="L31" s="211">
        <f t="shared" si="1"/>
        <v>-50410.96</v>
      </c>
      <c r="M31" s="170">
        <f>M30+IF(L31&lt;0,L31,0)</f>
        <v>-6688551.0999999996</v>
      </c>
      <c r="N31" s="132">
        <f t="shared" si="2"/>
        <v>3311448.9000000004</v>
      </c>
      <c r="O31" s="131">
        <f t="shared" si="4"/>
        <v>0</v>
      </c>
      <c r="P31" s="131">
        <f t="shared" si="6"/>
        <v>1819016.94</v>
      </c>
      <c r="R31" s="200">
        <f t="shared" si="5"/>
        <v>1819016.94</v>
      </c>
    </row>
    <row r="32" spans="2:20">
      <c r="B32" s="2" t="s">
        <v>49</v>
      </c>
      <c r="C32" s="2" t="s">
        <v>343</v>
      </c>
      <c r="D32" s="187">
        <v>41968</v>
      </c>
      <c r="E32" s="187">
        <v>41971</v>
      </c>
      <c r="F32" s="210">
        <f t="shared" si="0"/>
        <v>2014</v>
      </c>
      <c r="G32" s="2" t="s">
        <v>344</v>
      </c>
      <c r="H32" s="211">
        <v>197424</v>
      </c>
      <c r="I32" s="211"/>
      <c r="J32" s="211"/>
      <c r="K32" s="211"/>
      <c r="L32" s="211">
        <f t="shared" si="1"/>
        <v>197424</v>
      </c>
      <c r="M32" s="170">
        <f>M31+IF(L32&lt;0,L32,0)</f>
        <v>-6688551.0999999996</v>
      </c>
      <c r="N32" s="211">
        <f t="shared" si="2"/>
        <v>3311448.9000000004</v>
      </c>
      <c r="O32" s="131">
        <f t="shared" si="4"/>
        <v>197424</v>
      </c>
      <c r="P32" s="131">
        <f t="shared" si="6"/>
        <v>2016440.94</v>
      </c>
      <c r="R32" s="200">
        <f t="shared" si="5"/>
        <v>2016440.94</v>
      </c>
    </row>
    <row r="33" spans="2:20">
      <c r="B33" s="2" t="s">
        <v>313</v>
      </c>
      <c r="C33" s="2" t="s">
        <v>343</v>
      </c>
      <c r="D33" s="187">
        <v>41968</v>
      </c>
      <c r="E33" s="187">
        <v>41971</v>
      </c>
      <c r="F33" s="210">
        <f t="shared" si="0"/>
        <v>2014</v>
      </c>
      <c r="G33" s="2" t="s">
        <v>323</v>
      </c>
      <c r="H33" s="211">
        <v>95096.03</v>
      </c>
      <c r="I33" s="211"/>
      <c r="J33" s="211"/>
      <c r="K33" s="211"/>
      <c r="L33" s="211">
        <f t="shared" si="1"/>
        <v>95096.03</v>
      </c>
      <c r="M33" s="170">
        <f>M32</f>
        <v>-6688551.0999999996</v>
      </c>
      <c r="N33" s="211">
        <f t="shared" si="2"/>
        <v>3311448.9000000004</v>
      </c>
      <c r="O33" s="131">
        <f t="shared" si="4"/>
        <v>95096.03</v>
      </c>
      <c r="P33" s="131">
        <f t="shared" si="6"/>
        <v>2111536.9699999997</v>
      </c>
      <c r="R33" s="200">
        <f t="shared" si="5"/>
        <v>2111536.9699999997</v>
      </c>
      <c r="T33" s="2" t="s">
        <v>345</v>
      </c>
    </row>
    <row r="34" spans="2:20">
      <c r="B34" s="2" t="s">
        <v>307</v>
      </c>
      <c r="C34" s="2" t="s">
        <v>346</v>
      </c>
      <c r="D34" s="187">
        <v>42018</v>
      </c>
      <c r="E34" s="187">
        <v>42023</v>
      </c>
      <c r="F34" s="210">
        <f t="shared" si="0"/>
        <v>2015</v>
      </c>
      <c r="G34" s="2" t="s">
        <v>347</v>
      </c>
      <c r="H34" s="211">
        <v>-547330.4</v>
      </c>
      <c r="I34" s="211">
        <v>-99178</v>
      </c>
      <c r="J34" s="211">
        <v>-8209.9599999999991</v>
      </c>
      <c r="K34" s="211"/>
      <c r="L34" s="211">
        <f t="shared" si="1"/>
        <v>-654718.36</v>
      </c>
      <c r="M34" s="170">
        <f t="shared" ref="M34:M55" si="7">M33+IF(L34&lt;0,L34,0)</f>
        <v>-7343269.46</v>
      </c>
      <c r="N34" s="211">
        <f t="shared" si="2"/>
        <v>2656730.54</v>
      </c>
      <c r="O34" s="131">
        <f t="shared" si="4"/>
        <v>0</v>
      </c>
      <c r="P34" s="131">
        <f t="shared" si="6"/>
        <v>2111536.9699999997</v>
      </c>
      <c r="R34" s="200">
        <f t="shared" si="5"/>
        <v>2111536.9699999997</v>
      </c>
      <c r="T34" s="2" t="s">
        <v>348</v>
      </c>
    </row>
    <row r="35" spans="2:20">
      <c r="B35" s="2" t="s">
        <v>49</v>
      </c>
      <c r="C35" s="2" t="s">
        <v>349</v>
      </c>
      <c r="D35" s="187">
        <v>42018</v>
      </c>
      <c r="E35" s="187">
        <v>42023</v>
      </c>
      <c r="F35" s="210">
        <f t="shared" si="0"/>
        <v>2015</v>
      </c>
      <c r="G35" s="2" t="s">
        <v>350</v>
      </c>
      <c r="H35" s="211">
        <v>822168.26</v>
      </c>
      <c r="I35" s="211"/>
      <c r="J35" s="211"/>
      <c r="K35" s="211"/>
      <c r="L35" s="211">
        <f t="shared" si="1"/>
        <v>822168.26</v>
      </c>
      <c r="M35" s="170">
        <f t="shared" si="7"/>
        <v>-7343269.46</v>
      </c>
      <c r="N35" s="211">
        <f t="shared" si="2"/>
        <v>2656730.54</v>
      </c>
      <c r="O35" s="131">
        <f t="shared" si="4"/>
        <v>822168.26</v>
      </c>
      <c r="P35" s="131">
        <f t="shared" si="6"/>
        <v>2933705.2299999995</v>
      </c>
      <c r="R35" s="200">
        <f t="shared" si="5"/>
        <v>2933705.2299999995</v>
      </c>
    </row>
    <row r="36" spans="2:20">
      <c r="B36" s="2" t="s">
        <v>49</v>
      </c>
      <c r="C36" s="2" t="s">
        <v>351</v>
      </c>
      <c r="D36" s="187">
        <v>42229</v>
      </c>
      <c r="E36" s="187">
        <v>42243</v>
      </c>
      <c r="F36" s="210">
        <f t="shared" si="0"/>
        <v>2015</v>
      </c>
      <c r="G36" s="2" t="s">
        <v>352</v>
      </c>
      <c r="H36" s="211">
        <v>143669.29999999999</v>
      </c>
      <c r="I36" s="211"/>
      <c r="J36" s="211"/>
      <c r="K36" s="211"/>
      <c r="L36" s="211">
        <f t="shared" si="1"/>
        <v>143669.29999999999</v>
      </c>
      <c r="M36" s="170">
        <f t="shared" si="7"/>
        <v>-7343269.46</v>
      </c>
      <c r="N36" s="132">
        <f t="shared" si="2"/>
        <v>2656730.54</v>
      </c>
      <c r="O36" s="131">
        <f t="shared" si="4"/>
        <v>143669.29999999999</v>
      </c>
      <c r="P36" s="131">
        <f t="shared" si="6"/>
        <v>3077374.5299999993</v>
      </c>
      <c r="R36" s="200">
        <f t="shared" si="5"/>
        <v>3077374.5299999993</v>
      </c>
    </row>
    <row r="37" spans="2:20">
      <c r="B37" s="2" t="s">
        <v>307</v>
      </c>
      <c r="C37" s="2" t="s">
        <v>353</v>
      </c>
      <c r="D37" s="187">
        <v>42229</v>
      </c>
      <c r="E37" s="187">
        <v>42243</v>
      </c>
      <c r="F37" s="210">
        <f t="shared" si="0"/>
        <v>2015</v>
      </c>
      <c r="G37" s="2" t="s">
        <v>354</v>
      </c>
      <c r="H37" s="211">
        <f>-443337.62-115951.98</f>
        <v>-559289.59999999998</v>
      </c>
      <c r="I37" s="211">
        <v>-50410.96</v>
      </c>
      <c r="J37" s="211">
        <v>-10946.61</v>
      </c>
      <c r="K37" s="211"/>
      <c r="L37" s="211">
        <f t="shared" si="1"/>
        <v>-620647.16999999993</v>
      </c>
      <c r="M37" s="170">
        <f>M36+IF(L37&lt;0,L37,0)</f>
        <v>-7963916.6299999999</v>
      </c>
      <c r="N37" s="211">
        <f t="shared" si="2"/>
        <v>2036083.37</v>
      </c>
      <c r="O37" s="131">
        <f t="shared" si="4"/>
        <v>0</v>
      </c>
      <c r="P37" s="131">
        <f t="shared" si="6"/>
        <v>3077374.5299999993</v>
      </c>
      <c r="Q37" s="214"/>
      <c r="R37" s="200">
        <f t="shared" si="5"/>
        <v>3077374.5299999993</v>
      </c>
      <c r="T37" s="2" t="s">
        <v>355</v>
      </c>
    </row>
    <row r="38" spans="2:20">
      <c r="B38" s="2" t="s">
        <v>307</v>
      </c>
      <c r="C38" s="2" t="s">
        <v>356</v>
      </c>
      <c r="D38" s="187">
        <v>42401</v>
      </c>
      <c r="E38" s="187">
        <v>42404</v>
      </c>
      <c r="F38" s="210">
        <f t="shared" si="0"/>
        <v>2016</v>
      </c>
      <c r="H38" s="211"/>
      <c r="I38" s="211">
        <v>-53481.08</v>
      </c>
      <c r="J38" s="211">
        <v>-10946.61</v>
      </c>
      <c r="K38" s="211"/>
      <c r="L38" s="211">
        <f t="shared" si="1"/>
        <v>-64427.69</v>
      </c>
      <c r="M38" s="170">
        <f t="shared" si="7"/>
        <v>-8028344.3200000003</v>
      </c>
      <c r="N38" s="132">
        <f t="shared" si="2"/>
        <v>1971655.6799999997</v>
      </c>
      <c r="O38" s="131">
        <f t="shared" si="4"/>
        <v>0</v>
      </c>
      <c r="P38" s="131">
        <f t="shared" si="6"/>
        <v>3077374.5299999993</v>
      </c>
      <c r="R38" s="200">
        <f t="shared" si="5"/>
        <v>3077374.5299999993</v>
      </c>
    </row>
    <row r="39" spans="2:20">
      <c r="B39" s="2" t="s">
        <v>49</v>
      </c>
      <c r="C39" s="2" t="s">
        <v>357</v>
      </c>
      <c r="D39" s="187">
        <v>42401</v>
      </c>
      <c r="E39" s="187">
        <v>42404</v>
      </c>
      <c r="F39" s="210">
        <f t="shared" si="0"/>
        <v>2016</v>
      </c>
      <c r="G39" s="2" t="s">
        <v>350</v>
      </c>
      <c r="H39" s="211">
        <f>2374372.74+89913</f>
        <v>2464285.7400000002</v>
      </c>
      <c r="I39" s="211"/>
      <c r="J39" s="211"/>
      <c r="K39" s="211"/>
      <c r="L39" s="211">
        <f t="shared" si="1"/>
        <v>2464285.7400000002</v>
      </c>
      <c r="M39" s="170">
        <f t="shared" si="7"/>
        <v>-8028344.3200000003</v>
      </c>
      <c r="N39" s="132">
        <f t="shared" si="2"/>
        <v>1971655.6799999997</v>
      </c>
      <c r="O39" s="131">
        <f t="shared" si="4"/>
        <v>2464285.7400000002</v>
      </c>
      <c r="P39" s="131">
        <f>P38+O39+Q39</f>
        <v>5631573.2699999996</v>
      </c>
      <c r="Q39" s="212">
        <v>89913</v>
      </c>
      <c r="R39" s="200">
        <f>P38+O39-0.4</f>
        <v>5541659.8699999992</v>
      </c>
      <c r="T39" s="2" t="s">
        <v>358</v>
      </c>
    </row>
    <row r="40" spans="2:20">
      <c r="B40" s="2" t="s">
        <v>307</v>
      </c>
      <c r="C40" s="2" t="s">
        <v>359</v>
      </c>
      <c r="D40" s="187">
        <v>42496</v>
      </c>
      <c r="E40" s="187">
        <v>42500</v>
      </c>
      <c r="F40" s="210">
        <f t="shared" si="0"/>
        <v>2016</v>
      </c>
      <c r="G40" s="2" t="s">
        <v>334</v>
      </c>
      <c r="H40" s="211">
        <v>-138556.66</v>
      </c>
      <c r="I40" s="211">
        <v>-22373.89</v>
      </c>
      <c r="J40" s="211"/>
      <c r="K40" s="211"/>
      <c r="L40" s="211">
        <f t="shared" si="1"/>
        <v>-160930.54999999999</v>
      </c>
      <c r="M40" s="170">
        <f t="shared" si="7"/>
        <v>-8189274.8700000001</v>
      </c>
      <c r="N40" s="132">
        <f t="shared" si="2"/>
        <v>1810725.13</v>
      </c>
      <c r="O40" s="131">
        <f t="shared" si="4"/>
        <v>0</v>
      </c>
      <c r="P40" s="131">
        <f>P39+O40+Q40</f>
        <v>5631573.2699999996</v>
      </c>
      <c r="Q40" s="212"/>
      <c r="R40" s="200">
        <f t="shared" ref="R40:R64" si="8">R39+O40</f>
        <v>5541659.8699999992</v>
      </c>
    </row>
    <row r="41" spans="2:20">
      <c r="B41" s="2" t="s">
        <v>49</v>
      </c>
      <c r="C41" s="2" t="s">
        <v>360</v>
      </c>
      <c r="D41" s="187">
        <v>42496</v>
      </c>
      <c r="E41" s="187">
        <v>42500</v>
      </c>
      <c r="F41" s="210">
        <f t="shared" si="0"/>
        <v>2016</v>
      </c>
      <c r="G41" s="2" t="s">
        <v>361</v>
      </c>
      <c r="H41" s="211">
        <v>625204.56999999995</v>
      </c>
      <c r="I41" s="211"/>
      <c r="J41" s="211"/>
      <c r="K41" s="211"/>
      <c r="L41" s="211">
        <f t="shared" si="1"/>
        <v>625204.56999999995</v>
      </c>
      <c r="M41" s="170">
        <f t="shared" si="7"/>
        <v>-8189274.8700000001</v>
      </c>
      <c r="N41" s="132">
        <f t="shared" si="2"/>
        <v>1810725.13</v>
      </c>
      <c r="O41" s="131">
        <f t="shared" si="4"/>
        <v>625204.56999999995</v>
      </c>
      <c r="P41" s="131">
        <f>P40+O41</f>
        <v>6256777.8399999999</v>
      </c>
      <c r="Q41" s="212">
        <v>110000.91</v>
      </c>
      <c r="R41" s="212">
        <f t="shared" si="8"/>
        <v>6166864.4399999995</v>
      </c>
      <c r="T41" s="2" t="s">
        <v>362</v>
      </c>
    </row>
    <row r="42" spans="2:20">
      <c r="B42" s="2" t="s">
        <v>307</v>
      </c>
      <c r="C42" s="2" t="s">
        <v>363</v>
      </c>
      <c r="D42" s="187">
        <v>42865</v>
      </c>
      <c r="E42" s="187">
        <v>42870</v>
      </c>
      <c r="F42" s="210">
        <f t="shared" si="0"/>
        <v>2017</v>
      </c>
      <c r="H42" s="211"/>
      <c r="I42" s="211">
        <v>-126777</v>
      </c>
      <c r="J42" s="211"/>
      <c r="K42" s="211"/>
      <c r="L42" s="211">
        <f t="shared" si="1"/>
        <v>-126777</v>
      </c>
      <c r="M42" s="170">
        <f t="shared" si="7"/>
        <v>-8316051.8700000001</v>
      </c>
      <c r="N42" s="132">
        <f t="shared" si="2"/>
        <v>1683948.13</v>
      </c>
      <c r="O42" s="131">
        <f t="shared" si="4"/>
        <v>0</v>
      </c>
      <c r="P42" s="131">
        <f t="shared" ref="P42:P60" si="9">P41+O42+Q42</f>
        <v>6256777.8399999999</v>
      </c>
      <c r="Q42" s="212"/>
      <c r="R42" s="200">
        <f t="shared" si="8"/>
        <v>6166864.4399999995</v>
      </c>
    </row>
    <row r="43" spans="2:20">
      <c r="B43" s="2" t="s">
        <v>49</v>
      </c>
      <c r="C43" s="2" t="s">
        <v>364</v>
      </c>
      <c r="D43" s="187">
        <v>42865</v>
      </c>
      <c r="E43" s="187">
        <v>42870</v>
      </c>
      <c r="F43" s="210">
        <f t="shared" si="0"/>
        <v>2017</v>
      </c>
      <c r="H43" s="211">
        <f>552530</f>
        <v>552530</v>
      </c>
      <c r="I43" s="211"/>
      <c r="J43" s="211"/>
      <c r="K43" s="211"/>
      <c r="L43" s="211">
        <f t="shared" si="1"/>
        <v>552530</v>
      </c>
      <c r="M43" s="170">
        <f t="shared" si="7"/>
        <v>-8316051.8700000001</v>
      </c>
      <c r="N43" s="132">
        <f t="shared" si="2"/>
        <v>1683948.13</v>
      </c>
      <c r="O43" s="131">
        <f t="shared" si="4"/>
        <v>552530</v>
      </c>
      <c r="P43" s="131">
        <f t="shared" si="9"/>
        <v>6811404.8399999999</v>
      </c>
      <c r="Q43" s="212">
        <v>2097</v>
      </c>
      <c r="R43" s="200">
        <f t="shared" si="8"/>
        <v>6719394.4399999995</v>
      </c>
      <c r="T43" s="2" t="s">
        <v>365</v>
      </c>
    </row>
    <row r="44" spans="2:20">
      <c r="B44" s="2" t="s">
        <v>49</v>
      </c>
      <c r="C44" s="2" t="s">
        <v>366</v>
      </c>
      <c r="D44" s="187">
        <v>42982</v>
      </c>
      <c r="E44" s="187">
        <v>42989</v>
      </c>
      <c r="F44" s="210">
        <f t="shared" si="0"/>
        <v>2017</v>
      </c>
      <c r="G44" s="2" t="s">
        <v>367</v>
      </c>
      <c r="H44" s="211">
        <f>2983649.1+69086.18</f>
        <v>3052735.2800000003</v>
      </c>
      <c r="I44" s="211"/>
      <c r="J44" s="211"/>
      <c r="K44" s="211"/>
      <c r="L44" s="211">
        <f>SUM(H44:K44)</f>
        <v>3052735.2800000003</v>
      </c>
      <c r="M44" s="170">
        <f t="shared" si="7"/>
        <v>-8316051.8700000001</v>
      </c>
      <c r="N44" s="132">
        <f t="shared" si="2"/>
        <v>1683948.13</v>
      </c>
      <c r="O44" s="131">
        <f t="shared" si="4"/>
        <v>3052735.2800000003</v>
      </c>
      <c r="P44" s="131">
        <f t="shared" si="9"/>
        <v>9933226.3000000007</v>
      </c>
      <c r="Q44" s="212">
        <v>69086.179999999993</v>
      </c>
      <c r="R44" s="200">
        <f t="shared" si="8"/>
        <v>9772129.7199999988</v>
      </c>
      <c r="T44" s="2" t="s">
        <v>368</v>
      </c>
    </row>
    <row r="45" spans="2:20">
      <c r="B45" s="2" t="s">
        <v>307</v>
      </c>
      <c r="C45" s="2" t="s">
        <v>369</v>
      </c>
      <c r="D45" s="187">
        <v>43123</v>
      </c>
      <c r="E45" s="187">
        <v>43136</v>
      </c>
      <c r="F45" s="210">
        <f t="shared" si="0"/>
        <v>2018</v>
      </c>
      <c r="H45" s="211"/>
      <c r="I45" s="211">
        <v>-32340.48</v>
      </c>
      <c r="J45" s="211">
        <v>-10946.61</v>
      </c>
      <c r="K45" s="211"/>
      <c r="L45" s="211">
        <f t="shared" si="1"/>
        <v>-43287.09</v>
      </c>
      <c r="M45" s="170">
        <f t="shared" si="7"/>
        <v>-8359338.96</v>
      </c>
      <c r="N45" s="132">
        <f t="shared" si="2"/>
        <v>1640661.04</v>
      </c>
      <c r="O45" s="131">
        <f t="shared" si="4"/>
        <v>0</v>
      </c>
      <c r="P45" s="131">
        <f t="shared" si="9"/>
        <v>9933226.3000000007</v>
      </c>
      <c r="R45" s="200">
        <f t="shared" si="8"/>
        <v>9772129.7199999988</v>
      </c>
    </row>
    <row r="46" spans="2:20">
      <c r="B46" s="2" t="s">
        <v>307</v>
      </c>
      <c r="C46" s="2" t="s">
        <v>370</v>
      </c>
      <c r="D46" s="187">
        <v>43175</v>
      </c>
      <c r="E46" s="187">
        <v>43193</v>
      </c>
      <c r="F46" s="210">
        <f t="shared" si="0"/>
        <v>2018</v>
      </c>
      <c r="H46" s="211"/>
      <c r="I46" s="211">
        <v>-16170.24</v>
      </c>
      <c r="J46" s="211"/>
      <c r="K46" s="211"/>
      <c r="L46" s="211">
        <f t="shared" si="1"/>
        <v>-16170.24</v>
      </c>
      <c r="M46" s="170">
        <f t="shared" si="7"/>
        <v>-8375509.2000000002</v>
      </c>
      <c r="N46" s="132">
        <f t="shared" si="2"/>
        <v>1624490.7999999998</v>
      </c>
      <c r="O46" s="131">
        <f t="shared" si="4"/>
        <v>0</v>
      </c>
      <c r="P46" s="131">
        <f t="shared" si="9"/>
        <v>9933226.3000000007</v>
      </c>
      <c r="R46" s="200">
        <f t="shared" si="8"/>
        <v>9772129.7199999988</v>
      </c>
      <c r="T46" s="2" t="s">
        <v>371</v>
      </c>
    </row>
    <row r="47" spans="2:20">
      <c r="B47" s="2" t="s">
        <v>307</v>
      </c>
      <c r="C47" s="2" t="s">
        <v>372</v>
      </c>
      <c r="D47" s="187">
        <v>43266</v>
      </c>
      <c r="E47" s="187">
        <v>43272</v>
      </c>
      <c r="F47" s="210">
        <f t="shared" si="0"/>
        <v>2018</v>
      </c>
      <c r="H47" s="211"/>
      <c r="I47" s="211">
        <v>-16347.93</v>
      </c>
      <c r="J47" s="211">
        <v>-8209.9599999999991</v>
      </c>
      <c r="K47" s="211"/>
      <c r="L47" s="211">
        <f t="shared" si="1"/>
        <v>-24557.89</v>
      </c>
      <c r="M47" s="170">
        <f t="shared" si="7"/>
        <v>-8400067.0899999999</v>
      </c>
      <c r="N47" s="132">
        <f t="shared" si="2"/>
        <v>1599932.9100000001</v>
      </c>
      <c r="O47" s="131">
        <f t="shared" si="4"/>
        <v>0</v>
      </c>
      <c r="P47" s="131">
        <f t="shared" si="9"/>
        <v>9933226.3000000007</v>
      </c>
      <c r="R47" s="200">
        <f t="shared" si="8"/>
        <v>9772129.7199999988</v>
      </c>
    </row>
    <row r="48" spans="2:20">
      <c r="B48" s="2" t="s">
        <v>49</v>
      </c>
      <c r="C48" s="2" t="s">
        <v>373</v>
      </c>
      <c r="D48" s="187">
        <v>43266</v>
      </c>
      <c r="E48" s="187">
        <v>43272</v>
      </c>
      <c r="F48" s="210">
        <f t="shared" si="0"/>
        <v>2018</v>
      </c>
      <c r="G48" s="2" t="s">
        <v>374</v>
      </c>
      <c r="H48" s="211">
        <v>664212.80000000005</v>
      </c>
      <c r="I48" s="211"/>
      <c r="J48" s="211"/>
      <c r="K48" s="211"/>
      <c r="L48" s="211">
        <f t="shared" si="1"/>
        <v>664212.80000000005</v>
      </c>
      <c r="M48" s="170">
        <f t="shared" si="7"/>
        <v>-8400067.0899999999</v>
      </c>
      <c r="N48" s="132">
        <f t="shared" si="2"/>
        <v>1599932.9100000001</v>
      </c>
      <c r="O48" s="131">
        <f t="shared" si="4"/>
        <v>664212.80000000005</v>
      </c>
      <c r="P48" s="131">
        <f t="shared" si="9"/>
        <v>10665295.070000002</v>
      </c>
      <c r="Q48" s="200">
        <v>67855.97</v>
      </c>
      <c r="R48" s="200">
        <f t="shared" si="8"/>
        <v>10436342.52</v>
      </c>
      <c r="T48" s="2" t="s">
        <v>375</v>
      </c>
    </row>
    <row r="49" spans="2:20">
      <c r="B49" s="2" t="s">
        <v>307</v>
      </c>
      <c r="C49" s="2" t="s">
        <v>376</v>
      </c>
      <c r="D49" s="187">
        <v>43370</v>
      </c>
      <c r="E49" s="187">
        <v>43378</v>
      </c>
      <c r="F49" s="210">
        <f t="shared" si="0"/>
        <v>2018</v>
      </c>
      <c r="H49" s="211"/>
      <c r="I49" s="211">
        <v>-13588.79</v>
      </c>
      <c r="J49" s="211">
        <v>-12314.93</v>
      </c>
      <c r="K49" s="211"/>
      <c r="L49" s="211">
        <f t="shared" si="1"/>
        <v>-25903.72</v>
      </c>
      <c r="M49" s="170">
        <f t="shared" si="7"/>
        <v>-8425970.8100000005</v>
      </c>
      <c r="N49" s="132">
        <f t="shared" si="2"/>
        <v>1574029.1899999995</v>
      </c>
      <c r="O49" s="131">
        <f t="shared" si="4"/>
        <v>0</v>
      </c>
      <c r="P49" s="131">
        <f t="shared" si="9"/>
        <v>10665295.070000002</v>
      </c>
      <c r="R49" s="200">
        <f t="shared" si="8"/>
        <v>10436342.52</v>
      </c>
    </row>
    <row r="50" spans="2:20">
      <c r="B50" s="2" t="s">
        <v>49</v>
      </c>
      <c r="C50" s="2" t="s">
        <v>377</v>
      </c>
      <c r="D50" s="187">
        <v>43370</v>
      </c>
      <c r="E50" s="187">
        <v>43378</v>
      </c>
      <c r="F50" s="210">
        <f t="shared" si="0"/>
        <v>2018</v>
      </c>
      <c r="G50" s="2" t="s">
        <v>174</v>
      </c>
      <c r="H50" s="211">
        <v>1362852.69</v>
      </c>
      <c r="I50" s="211"/>
      <c r="J50" s="211"/>
      <c r="K50" s="211"/>
      <c r="L50" s="211">
        <f t="shared" si="1"/>
        <v>1362852.69</v>
      </c>
      <c r="M50" s="170">
        <f t="shared" si="7"/>
        <v>-8425970.8100000005</v>
      </c>
      <c r="N50" s="132">
        <f t="shared" si="2"/>
        <v>1574029.1899999995</v>
      </c>
      <c r="O50" s="131">
        <f t="shared" si="4"/>
        <v>1362852.69</v>
      </c>
      <c r="P50" s="131">
        <f t="shared" si="9"/>
        <v>13019867.240000002</v>
      </c>
      <c r="Q50" s="200">
        <v>991719.48</v>
      </c>
      <c r="R50" s="200">
        <f t="shared" si="8"/>
        <v>11799195.209999999</v>
      </c>
      <c r="T50" s="2" t="s">
        <v>378</v>
      </c>
    </row>
    <row r="51" spans="2:20">
      <c r="B51" s="2" t="s">
        <v>307</v>
      </c>
      <c r="C51" s="2" t="s">
        <v>379</v>
      </c>
      <c r="D51" s="187">
        <v>43545</v>
      </c>
      <c r="E51" s="187">
        <v>43559</v>
      </c>
      <c r="F51" s="210">
        <f t="shared" si="0"/>
        <v>2019</v>
      </c>
      <c r="H51" s="211"/>
      <c r="I51" s="211">
        <v>-26734.46</v>
      </c>
      <c r="J51" s="211"/>
      <c r="K51" s="211"/>
      <c r="L51" s="211">
        <f t="shared" si="1"/>
        <v>-26734.46</v>
      </c>
      <c r="M51" s="170">
        <f t="shared" si="7"/>
        <v>-8452705.2700000014</v>
      </c>
      <c r="N51" s="132">
        <f t="shared" si="2"/>
        <v>1547294.7299999986</v>
      </c>
      <c r="O51" s="131">
        <f t="shared" si="4"/>
        <v>0</v>
      </c>
      <c r="P51" s="131">
        <f t="shared" si="9"/>
        <v>13019867.240000002</v>
      </c>
      <c r="R51" s="200">
        <f t="shared" si="8"/>
        <v>11799195.209999999</v>
      </c>
      <c r="T51" s="2" t="s">
        <v>380</v>
      </c>
    </row>
    <row r="52" spans="2:20">
      <c r="B52" s="2" t="s">
        <v>307</v>
      </c>
      <c r="C52" s="2" t="s">
        <v>381</v>
      </c>
      <c r="D52" s="187">
        <v>43769</v>
      </c>
      <c r="E52" s="187">
        <v>43784</v>
      </c>
      <c r="F52" s="210">
        <f t="shared" si="0"/>
        <v>2019</v>
      </c>
      <c r="H52" s="211"/>
      <c r="I52" s="211">
        <v>-27177.58</v>
      </c>
      <c r="J52" s="211"/>
      <c r="K52" s="211"/>
      <c r="L52" s="211">
        <f t="shared" si="1"/>
        <v>-27177.58</v>
      </c>
      <c r="M52" s="170">
        <f t="shared" si="7"/>
        <v>-8479882.8500000015</v>
      </c>
      <c r="N52" s="132">
        <f t="shared" si="2"/>
        <v>1520117.1499999985</v>
      </c>
      <c r="O52" s="131">
        <f t="shared" si="4"/>
        <v>0</v>
      </c>
      <c r="P52" s="131">
        <f t="shared" si="9"/>
        <v>13019867.240000002</v>
      </c>
      <c r="R52" s="200">
        <f t="shared" si="8"/>
        <v>11799195.209999999</v>
      </c>
      <c r="T52" s="2" t="s">
        <v>382</v>
      </c>
    </row>
    <row r="53" spans="2:20">
      <c r="B53" s="2" t="s">
        <v>307</v>
      </c>
      <c r="C53" s="2" t="s">
        <v>383</v>
      </c>
      <c r="D53" s="187">
        <v>43910</v>
      </c>
      <c r="E53" s="187">
        <v>43924</v>
      </c>
      <c r="F53" s="210">
        <f t="shared" si="0"/>
        <v>2020</v>
      </c>
      <c r="H53" s="211"/>
      <c r="I53" s="211">
        <v>-26734.46</v>
      </c>
      <c r="J53" s="211"/>
      <c r="K53" s="211"/>
      <c r="L53" s="211">
        <f t="shared" si="1"/>
        <v>-26734.46</v>
      </c>
      <c r="M53" s="108">
        <f t="shared" si="7"/>
        <v>-8506617.3100000024</v>
      </c>
      <c r="N53" s="211">
        <f t="shared" si="2"/>
        <v>1493382.6899999976</v>
      </c>
      <c r="O53" s="131">
        <f t="shared" si="4"/>
        <v>0</v>
      </c>
      <c r="P53" s="131">
        <f t="shared" si="9"/>
        <v>13019867.240000002</v>
      </c>
      <c r="Q53" s="212"/>
      <c r="R53" s="212">
        <f t="shared" si="8"/>
        <v>11799195.209999999</v>
      </c>
      <c r="T53" s="2" t="s">
        <v>384</v>
      </c>
    </row>
    <row r="54" spans="2:20">
      <c r="B54" s="2" t="s">
        <v>307</v>
      </c>
      <c r="C54" s="2" t="s">
        <v>385</v>
      </c>
      <c r="D54" s="187">
        <v>44069</v>
      </c>
      <c r="E54" s="187">
        <v>44076</v>
      </c>
      <c r="F54" s="210">
        <f t="shared" si="0"/>
        <v>2020</v>
      </c>
      <c r="H54" s="211"/>
      <c r="I54" s="211">
        <v>-23369.96</v>
      </c>
      <c r="J54" s="211">
        <v>-8209.9599999999991</v>
      </c>
      <c r="K54" s="211"/>
      <c r="L54" s="211">
        <f t="shared" si="1"/>
        <v>-31579.919999999998</v>
      </c>
      <c r="M54" s="108">
        <f t="shared" si="7"/>
        <v>-8538197.2300000023</v>
      </c>
      <c r="N54" s="211">
        <f t="shared" si="2"/>
        <v>1461802.7699999977</v>
      </c>
      <c r="O54" s="131">
        <f t="shared" si="4"/>
        <v>0</v>
      </c>
      <c r="P54" s="131">
        <f t="shared" si="9"/>
        <v>13019867.240000002</v>
      </c>
      <c r="Q54" s="212"/>
      <c r="R54" s="212">
        <f t="shared" si="8"/>
        <v>11799195.209999999</v>
      </c>
    </row>
    <row r="55" spans="2:20">
      <c r="B55" s="2" t="s">
        <v>49</v>
      </c>
      <c r="C55" s="2" t="s">
        <v>386</v>
      </c>
      <c r="D55" s="187">
        <v>44069</v>
      </c>
      <c r="E55" s="187">
        <v>44076</v>
      </c>
      <c r="F55" s="210">
        <f t="shared" si="0"/>
        <v>2020</v>
      </c>
      <c r="G55" s="2" t="s">
        <v>387</v>
      </c>
      <c r="H55" s="212">
        <v>1551192.38</v>
      </c>
      <c r="I55" s="211"/>
      <c r="J55" s="211"/>
      <c r="K55" s="211"/>
      <c r="L55" s="211">
        <f t="shared" si="1"/>
        <v>1551192.38</v>
      </c>
      <c r="M55" s="170">
        <f t="shared" si="7"/>
        <v>-8538197.2300000023</v>
      </c>
      <c r="N55" s="132">
        <f t="shared" si="2"/>
        <v>1461802.7699999977</v>
      </c>
      <c r="O55" s="131">
        <f t="shared" si="4"/>
        <v>1551192.38</v>
      </c>
      <c r="P55" s="131">
        <f t="shared" si="9"/>
        <v>14685844.890000001</v>
      </c>
      <c r="Q55" s="200">
        <v>114785.27</v>
      </c>
      <c r="R55" s="200">
        <f t="shared" si="8"/>
        <v>13350387.59</v>
      </c>
      <c r="T55" s="2" t="s">
        <v>388</v>
      </c>
    </row>
    <row r="56" spans="2:20">
      <c r="B56" s="2" t="s">
        <v>307</v>
      </c>
      <c r="C56" s="2" t="s">
        <v>389</v>
      </c>
      <c r="D56" s="187">
        <v>44201</v>
      </c>
      <c r="E56" s="187">
        <v>44208</v>
      </c>
      <c r="F56" s="210">
        <f t="shared" si="0"/>
        <v>2021</v>
      </c>
      <c r="I56" s="211">
        <v>-14249.34</v>
      </c>
      <c r="J56" s="211">
        <v>-8209.9599999999991</v>
      </c>
      <c r="L56" s="211">
        <f t="shared" si="1"/>
        <v>-22459.3</v>
      </c>
      <c r="M56" s="170">
        <f>M55+L56</f>
        <v>-8560656.5300000031</v>
      </c>
      <c r="N56" s="132">
        <f t="shared" si="2"/>
        <v>1439343.4699999969</v>
      </c>
      <c r="O56" s="131">
        <f t="shared" si="4"/>
        <v>0</v>
      </c>
      <c r="P56" s="131">
        <f t="shared" si="9"/>
        <v>14685844.890000001</v>
      </c>
      <c r="Q56" s="200">
        <v>0</v>
      </c>
      <c r="R56" s="200">
        <f t="shared" si="8"/>
        <v>13350387.59</v>
      </c>
    </row>
    <row r="57" spans="2:20">
      <c r="B57" s="2" t="s">
        <v>49</v>
      </c>
      <c r="C57" s="2" t="s">
        <v>390</v>
      </c>
      <c r="D57" s="187">
        <v>44201</v>
      </c>
      <c r="E57" s="187">
        <v>44208</v>
      </c>
      <c r="F57" s="210">
        <f t="shared" si="0"/>
        <v>2021</v>
      </c>
      <c r="G57" s="2" t="s">
        <v>391</v>
      </c>
      <c r="H57" s="211">
        <v>1198653.58</v>
      </c>
      <c r="I57" s="211"/>
      <c r="J57" s="211"/>
      <c r="K57" s="211"/>
      <c r="L57" s="211">
        <f t="shared" si="1"/>
        <v>1198653.58</v>
      </c>
      <c r="M57" s="170">
        <f t="shared" ref="M57:M65" si="10">M56+IF(L57&lt;0,L57,0)</f>
        <v>-8560656.5300000031</v>
      </c>
      <c r="N57" s="132">
        <f t="shared" si="2"/>
        <v>1439343.4699999969</v>
      </c>
      <c r="O57" s="131">
        <f t="shared" si="4"/>
        <v>1198653.58</v>
      </c>
      <c r="P57" s="131">
        <f t="shared" si="9"/>
        <v>15999977.42</v>
      </c>
      <c r="Q57" s="200">
        <v>115478.95</v>
      </c>
      <c r="R57" s="200">
        <f t="shared" si="8"/>
        <v>14549041.17</v>
      </c>
      <c r="T57" s="2" t="s">
        <v>392</v>
      </c>
    </row>
    <row r="58" spans="2:20">
      <c r="B58" s="2" t="s">
        <v>307</v>
      </c>
      <c r="C58" s="2" t="s">
        <v>393</v>
      </c>
      <c r="D58" s="187">
        <v>44365</v>
      </c>
      <c r="E58" s="187">
        <v>44372</v>
      </c>
      <c r="F58" s="210">
        <v>2021</v>
      </c>
      <c r="I58" s="211">
        <v>-4469.8100000000004</v>
      </c>
      <c r="J58" s="211"/>
      <c r="K58" s="211"/>
      <c r="L58" s="211">
        <f t="shared" si="1"/>
        <v>-4469.8100000000004</v>
      </c>
      <c r="M58" s="170">
        <f t="shared" si="10"/>
        <v>-8565126.3400000036</v>
      </c>
      <c r="N58" s="132">
        <f t="shared" si="2"/>
        <v>1434873.6599999964</v>
      </c>
      <c r="O58" s="131">
        <f t="shared" si="4"/>
        <v>0</v>
      </c>
      <c r="P58" s="131">
        <f>P57+O58+Q58</f>
        <v>15999977.42</v>
      </c>
      <c r="R58" s="200">
        <f>R57+O58</f>
        <v>14549041.17</v>
      </c>
    </row>
    <row r="59" spans="2:20">
      <c r="B59" s="2" t="s">
        <v>49</v>
      </c>
      <c r="C59" s="2" t="s">
        <v>394</v>
      </c>
      <c r="D59" s="187">
        <v>44329</v>
      </c>
      <c r="E59" s="187">
        <v>44334</v>
      </c>
      <c r="F59" s="210">
        <v>2021</v>
      </c>
      <c r="H59" s="211">
        <v>4445495.2</v>
      </c>
      <c r="I59" s="211"/>
      <c r="J59" s="211"/>
      <c r="K59" s="211"/>
      <c r="L59" s="211">
        <f t="shared" si="1"/>
        <v>4445495.2</v>
      </c>
      <c r="M59" s="170">
        <f t="shared" si="10"/>
        <v>-8565126.3400000036</v>
      </c>
      <c r="N59" s="132">
        <f t="shared" si="2"/>
        <v>1434873.6599999964</v>
      </c>
      <c r="O59" s="131">
        <f t="shared" si="4"/>
        <v>4445495.2</v>
      </c>
      <c r="P59" s="131">
        <f t="shared" si="9"/>
        <v>21149770.440000001</v>
      </c>
      <c r="Q59" s="200">
        <v>704297.82</v>
      </c>
      <c r="R59" s="200">
        <f t="shared" si="8"/>
        <v>18994536.370000001</v>
      </c>
    </row>
    <row r="60" spans="2:20">
      <c r="B60" s="2" t="s">
        <v>49</v>
      </c>
      <c r="C60" s="2" t="s">
        <v>395</v>
      </c>
      <c r="D60" s="187">
        <v>44365</v>
      </c>
      <c r="E60" s="187">
        <v>44372</v>
      </c>
      <c r="F60" s="210">
        <v>2021</v>
      </c>
      <c r="H60" s="211">
        <f>511734.62</f>
        <v>511734.62</v>
      </c>
      <c r="I60" s="211"/>
      <c r="J60" s="211"/>
      <c r="K60" s="211"/>
      <c r="L60" s="211">
        <f t="shared" si="1"/>
        <v>511734.62</v>
      </c>
      <c r="M60" s="170">
        <f t="shared" si="10"/>
        <v>-8565126.3400000036</v>
      </c>
      <c r="N60" s="132">
        <f t="shared" si="2"/>
        <v>1434873.6599999964</v>
      </c>
      <c r="O60" s="131">
        <f t="shared" si="4"/>
        <v>511734.62</v>
      </c>
      <c r="P60" s="131">
        <f t="shared" si="9"/>
        <v>21763013.580000002</v>
      </c>
      <c r="Q60" s="200">
        <v>101508.52</v>
      </c>
      <c r="R60" s="200">
        <f t="shared" si="8"/>
        <v>19506270.990000002</v>
      </c>
      <c r="T60" s="2" t="s">
        <v>396</v>
      </c>
    </row>
    <row r="61" spans="2:20">
      <c r="B61" s="2" t="s">
        <v>307</v>
      </c>
      <c r="C61" s="2" t="s">
        <v>397</v>
      </c>
      <c r="E61" s="187">
        <v>44571</v>
      </c>
      <c r="F61" s="210">
        <f>YEAR(E61)</f>
        <v>2022</v>
      </c>
      <c r="I61" s="211">
        <v>-4396.9399999999996</v>
      </c>
      <c r="J61" s="211"/>
      <c r="K61" s="211"/>
      <c r="L61" s="211">
        <f>SUM(H61:K61)</f>
        <v>-4396.9399999999996</v>
      </c>
      <c r="M61" s="170">
        <f t="shared" si="10"/>
        <v>-8569523.2800000031</v>
      </c>
      <c r="N61" s="132">
        <f>M61+$C$7</f>
        <v>1430476.7199999969</v>
      </c>
      <c r="O61" s="131">
        <f t="shared" si="4"/>
        <v>0</v>
      </c>
      <c r="P61" s="131">
        <f>P60+O61+Q61</f>
        <v>21763013.580000002</v>
      </c>
      <c r="R61" s="200">
        <f t="shared" si="8"/>
        <v>19506270.990000002</v>
      </c>
    </row>
    <row r="62" spans="2:20">
      <c r="B62" s="2" t="s">
        <v>49</v>
      </c>
      <c r="C62" s="2" t="s">
        <v>398</v>
      </c>
      <c r="E62" s="187">
        <v>44571</v>
      </c>
      <c r="F62" s="210">
        <f>YEAR(E62)</f>
        <v>2022</v>
      </c>
      <c r="H62" s="211">
        <v>198397.62</v>
      </c>
      <c r="I62" s="211"/>
      <c r="J62" s="211"/>
      <c r="K62" s="211"/>
      <c r="L62" s="211">
        <f>SUM(H62:K62)</f>
        <v>198397.62</v>
      </c>
      <c r="M62" s="170">
        <f t="shared" si="10"/>
        <v>-8569523.2800000031</v>
      </c>
      <c r="N62" s="132">
        <f>M62+$C$7</f>
        <v>1430476.7199999969</v>
      </c>
      <c r="O62" s="131">
        <f t="shared" si="4"/>
        <v>198397.62</v>
      </c>
      <c r="P62" s="131">
        <f>P61+O62+Q62</f>
        <v>22000265.970000003</v>
      </c>
      <c r="Q62" s="200">
        <v>38854.769999999997</v>
      </c>
      <c r="R62" s="200">
        <f t="shared" si="8"/>
        <v>19704668.610000003</v>
      </c>
    </row>
    <row r="63" spans="2:20">
      <c r="B63" s="2" t="s">
        <v>307</v>
      </c>
      <c r="C63" s="2" t="s">
        <v>399</v>
      </c>
      <c r="E63" s="187">
        <v>44965</v>
      </c>
      <c r="F63" s="188">
        <f>YEAR(E63)</f>
        <v>2023</v>
      </c>
      <c r="I63" s="132">
        <v>-753.07</v>
      </c>
      <c r="J63" s="132"/>
      <c r="K63" s="132"/>
      <c r="L63" s="132">
        <f>SUM(H63:K63)</f>
        <v>-753.07</v>
      </c>
      <c r="M63" s="170">
        <f t="shared" si="10"/>
        <v>-8570276.3500000034</v>
      </c>
      <c r="N63" s="132">
        <f>M63+$C$7</f>
        <v>1429723.6499999966</v>
      </c>
      <c r="O63" s="131">
        <f>IF(L63&gt;0,L63,0)</f>
        <v>0</v>
      </c>
      <c r="P63" s="131">
        <f>P62+O63+Q63</f>
        <v>22000265.970000003</v>
      </c>
      <c r="R63" s="200">
        <f t="shared" si="8"/>
        <v>19704668.610000003</v>
      </c>
    </row>
    <row r="64" spans="2:20">
      <c r="B64" s="2" t="s">
        <v>49</v>
      </c>
      <c r="C64" s="2" t="s">
        <v>400</v>
      </c>
      <c r="E64" s="187">
        <v>44965</v>
      </c>
      <c r="F64" s="188">
        <f>YEAR(E64)</f>
        <v>2023</v>
      </c>
      <c r="H64" s="211">
        <v>342367.44</v>
      </c>
      <c r="I64" s="132"/>
      <c r="J64" s="132"/>
      <c r="K64" s="132"/>
      <c r="L64" s="132">
        <f>SUM(H64:K64)</f>
        <v>342367.44</v>
      </c>
      <c r="M64" s="170">
        <f t="shared" si="10"/>
        <v>-8570276.3500000034</v>
      </c>
      <c r="N64" s="132">
        <f>M64+$C$7</f>
        <v>1429723.6499999966</v>
      </c>
      <c r="O64" s="131">
        <f>IF(L64&gt;0,L64,0)</f>
        <v>342367.44</v>
      </c>
      <c r="P64" s="131">
        <f>P63+O64+Q64</f>
        <v>22372891.530000005</v>
      </c>
      <c r="Q64" s="200">
        <v>30258.12</v>
      </c>
      <c r="R64" s="200">
        <f t="shared" si="8"/>
        <v>20047036.050000004</v>
      </c>
      <c r="T64" s="2" t="s">
        <v>401</v>
      </c>
    </row>
    <row r="65" spans="2:20">
      <c r="B65" s="2" t="s">
        <v>49</v>
      </c>
      <c r="C65" s="2" t="s">
        <v>402</v>
      </c>
      <c r="E65" s="187">
        <v>45149</v>
      </c>
      <c r="F65" s="188">
        <f>YEAR(E65)</f>
        <v>2023</v>
      </c>
      <c r="H65" s="211">
        <v>160428.38</v>
      </c>
      <c r="I65" s="132"/>
      <c r="J65" s="132"/>
      <c r="K65" s="132"/>
      <c r="L65" s="132">
        <f>SUM(H65:K65)</f>
        <v>160428.38</v>
      </c>
      <c r="M65" s="170">
        <f t="shared" si="10"/>
        <v>-8570276.3500000034</v>
      </c>
      <c r="N65" s="132">
        <f>M65+$C$7</f>
        <v>1429723.6499999966</v>
      </c>
      <c r="O65" s="131">
        <f>IF(L65&gt;0,L65,0)</f>
        <v>160428.38</v>
      </c>
      <c r="P65" s="131">
        <f>P64+O65+Q65</f>
        <v>22538818.490000002</v>
      </c>
      <c r="Q65" s="200">
        <v>5498.58</v>
      </c>
      <c r="R65" s="200">
        <f>R64+O65</f>
        <v>20207464.430000003</v>
      </c>
      <c r="T65" s="2" t="s">
        <v>403</v>
      </c>
    </row>
    <row r="66" spans="2:20">
      <c r="D66" s="187"/>
      <c r="E66" s="187"/>
      <c r="F66" s="188"/>
      <c r="H66" s="132"/>
      <c r="J66" s="132"/>
      <c r="K66" s="132"/>
      <c r="L66" s="132"/>
      <c r="M66" s="170"/>
      <c r="N66" s="132"/>
      <c r="O66" s="131"/>
      <c r="P66" s="131"/>
      <c r="R66" s="215"/>
    </row>
    <row r="67" spans="2:20" s="75" customFormat="1">
      <c r="B67" s="191" t="s">
        <v>288</v>
      </c>
      <c r="C67" s="191"/>
      <c r="D67" s="192"/>
      <c r="E67" s="192">
        <f>C3</f>
        <v>45657</v>
      </c>
      <c r="F67" s="216"/>
      <c r="G67" s="191"/>
      <c r="H67" s="194"/>
      <c r="I67" s="194"/>
      <c r="J67" s="194"/>
      <c r="K67" s="194"/>
      <c r="L67" s="194">
        <v>249627</v>
      </c>
      <c r="M67" s="194"/>
      <c r="N67" s="194"/>
      <c r="O67" s="217"/>
      <c r="P67" s="217"/>
      <c r="Q67" s="218"/>
      <c r="R67" s="218"/>
    </row>
  </sheetData>
  <autoFilter ref="B10:T65" xr:uid="{DE8AF618-3657-487C-833B-130197AE88DB}"/>
  <mergeCells count="1">
    <mergeCell ref="M1:N1"/>
  </mergeCells>
  <phoneticPr fontId="62" type="noConversion"/>
  <pageMargins left="0.7" right="0.7" top="0.75" bottom="0.75" header="0.3" footer="0.3"/>
  <pageSetup paperSize="9" scale="37"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1E417-A474-4B19-A793-1ADF0969898D}">
  <sheetPr>
    <tabColor theme="8"/>
    <outlinePr showOutlineSymbols="0"/>
    <pageSetUpPr fitToPage="1"/>
  </sheetPr>
  <dimension ref="A1:AN52"/>
  <sheetViews>
    <sheetView workbookViewId="0"/>
  </sheetViews>
  <sheetFormatPr defaultColWidth="9" defaultRowHeight="11.25" outlineLevelRow="1"/>
  <cols>
    <col min="1" max="1" width="32.140625" style="2" customWidth="1"/>
    <col min="2" max="2" width="79.42578125" style="2" bestFit="1" customWidth="1"/>
    <col min="3" max="3" width="15.7109375" style="2" customWidth="1"/>
    <col min="4" max="4" width="31.140625" style="2" customWidth="1"/>
    <col min="5" max="5" width="14.42578125" style="2" bestFit="1" customWidth="1"/>
    <col min="6" max="7" width="10.7109375" style="2" customWidth="1"/>
    <col min="8" max="8" width="38" style="2" bestFit="1" customWidth="1"/>
    <col min="9" max="9" width="19.28515625" style="2" bestFit="1" customWidth="1"/>
    <col min="10" max="10" width="19.28515625" style="2" customWidth="1"/>
    <col min="11" max="11" width="12.7109375" style="367" customWidth="1"/>
    <col min="12" max="12" width="12.7109375" style="2" customWidth="1"/>
    <col min="13" max="15" width="14.7109375" style="2" customWidth="1"/>
    <col min="16" max="17" width="7.7109375" style="2" customWidth="1"/>
    <col min="18" max="19" width="15.7109375" style="2" customWidth="1"/>
    <col min="20" max="20" width="12.7109375" style="367" customWidth="1"/>
    <col min="21" max="21" width="12.7109375" style="2" customWidth="1"/>
    <col min="22" max="24" width="14.7109375" style="2" customWidth="1"/>
    <col min="25" max="26" width="7.7109375" style="2" customWidth="1"/>
    <col min="27" max="28" width="15.7109375" style="2" customWidth="1"/>
    <col min="29" max="29" width="12.7109375" style="367" customWidth="1"/>
    <col min="30" max="30" width="12.7109375" style="2" customWidth="1"/>
    <col min="31" max="33" width="14.7109375" style="2" customWidth="1"/>
    <col min="34" max="35" width="7.7109375" style="2" customWidth="1"/>
    <col min="36" max="39" width="15.7109375" style="2" customWidth="1"/>
    <col min="40" max="40" width="9" style="367"/>
    <col min="41" max="16384" width="9" style="2"/>
  </cols>
  <sheetData>
    <row r="1" spans="1:20">
      <c r="A1" s="117" t="s">
        <v>179</v>
      </c>
      <c r="B1" s="118"/>
      <c r="C1" s="74"/>
      <c r="D1" s="117" t="s">
        <v>180</v>
      </c>
      <c r="E1" s="219">
        <v>45657</v>
      </c>
      <c r="H1" s="117" t="s">
        <v>404</v>
      </c>
      <c r="I1" s="118"/>
      <c r="J1" s="74"/>
    </row>
    <row r="2" spans="1:20" outlineLevel="1">
      <c r="A2" s="2" t="s">
        <v>182</v>
      </c>
      <c r="B2" s="120" t="s">
        <v>28</v>
      </c>
      <c r="D2" s="2" t="s">
        <v>183</v>
      </c>
      <c r="E2" s="121">
        <f>W44</f>
        <v>0.3</v>
      </c>
      <c r="H2" s="2" t="s">
        <v>184</v>
      </c>
      <c r="I2" s="120" t="s">
        <v>185</v>
      </c>
      <c r="J2" s="120"/>
    </row>
    <row r="3" spans="1:20" outlineLevel="1">
      <c r="A3" s="2" t="s">
        <v>186</v>
      </c>
      <c r="B3" s="122">
        <v>40705</v>
      </c>
      <c r="D3" s="2" t="s">
        <v>187</v>
      </c>
      <c r="E3" s="121">
        <v>2.4038430000000002</v>
      </c>
      <c r="H3" s="2" t="s">
        <v>188</v>
      </c>
      <c r="I3" s="120" t="s">
        <v>189</v>
      </c>
      <c r="J3" s="120"/>
    </row>
    <row r="4" spans="1:20" outlineLevel="1">
      <c r="A4" s="2" t="s">
        <v>190</v>
      </c>
      <c r="B4" s="122">
        <v>40799</v>
      </c>
      <c r="D4" s="2" t="s">
        <v>191</v>
      </c>
      <c r="E4" s="123">
        <v>4.3</v>
      </c>
      <c r="H4" s="2" t="s">
        <v>192</v>
      </c>
      <c r="I4" s="124">
        <v>0.08</v>
      </c>
      <c r="J4" s="320"/>
    </row>
    <row r="5" spans="1:20" outlineLevel="1">
      <c r="A5" s="2" t="s">
        <v>193</v>
      </c>
      <c r="B5" s="120">
        <v>2011</v>
      </c>
      <c r="D5" s="2" t="s">
        <v>194</v>
      </c>
      <c r="E5" s="125" t="s">
        <v>405</v>
      </c>
      <c r="H5" s="2" t="s">
        <v>195</v>
      </c>
      <c r="I5" s="126">
        <v>0.2</v>
      </c>
      <c r="J5" s="126"/>
    </row>
    <row r="6" spans="1:20" outlineLevel="1">
      <c r="A6" s="2" t="s">
        <v>196</v>
      </c>
      <c r="B6" s="120" t="s">
        <v>406</v>
      </c>
      <c r="D6" s="2" t="s">
        <v>198</v>
      </c>
      <c r="E6" s="125" t="s">
        <v>405</v>
      </c>
      <c r="H6" s="117" t="s">
        <v>199</v>
      </c>
      <c r="I6" s="118"/>
      <c r="J6" s="74"/>
    </row>
    <row r="7" spans="1:20" outlineLevel="1">
      <c r="A7" s="2" t="s">
        <v>200</v>
      </c>
      <c r="B7" s="120" t="s">
        <v>407</v>
      </c>
      <c r="D7" s="2" t="s">
        <v>202</v>
      </c>
      <c r="E7" s="125" t="s">
        <v>405</v>
      </c>
      <c r="H7" s="2" t="s">
        <v>203</v>
      </c>
      <c r="I7" s="2" t="s">
        <v>204</v>
      </c>
    </row>
    <row r="8" spans="1:20" outlineLevel="1">
      <c r="A8" s="2" t="s">
        <v>205</v>
      </c>
      <c r="B8" s="120" t="s">
        <v>206</v>
      </c>
      <c r="D8" s="2" t="s">
        <v>207</v>
      </c>
      <c r="E8" s="127">
        <f>3699.5/1010.3</f>
        <v>3.661783628625161</v>
      </c>
      <c r="H8" s="2" t="s">
        <v>208</v>
      </c>
      <c r="I8" s="2" t="s">
        <v>408</v>
      </c>
    </row>
    <row r="9" spans="1:20" outlineLevel="1">
      <c r="A9" s="2" t="s">
        <v>65</v>
      </c>
      <c r="B9" s="120" t="s">
        <v>409</v>
      </c>
      <c r="D9" s="128" t="s">
        <v>211</v>
      </c>
      <c r="E9" s="291"/>
    </row>
    <row r="10" spans="1:20" outlineLevel="1">
      <c r="A10" s="2" t="s">
        <v>212</v>
      </c>
      <c r="B10" s="120" t="s">
        <v>213</v>
      </c>
      <c r="D10" s="2" t="s">
        <v>214</v>
      </c>
      <c r="E10" s="129">
        <v>30</v>
      </c>
    </row>
    <row r="11" spans="1:20" outlineLevel="1">
      <c r="A11" s="2" t="s">
        <v>215</v>
      </c>
      <c r="B11" s="120" t="s">
        <v>410</v>
      </c>
      <c r="D11" s="2" t="s">
        <v>216</v>
      </c>
      <c r="E11" s="363">
        <f>E10/1030.133</f>
        <v>2.9122453120131089E-2</v>
      </c>
    </row>
    <row r="12" spans="1:20" outlineLevel="1">
      <c r="A12" s="2" t="s">
        <v>217</v>
      </c>
      <c r="B12" s="120" t="s">
        <v>24</v>
      </c>
      <c r="D12" s="2" t="s">
        <v>218</v>
      </c>
      <c r="E12" s="121">
        <f>-'BOYU Capital Fund I CF'!M2/10^6</f>
        <v>29.454452019999994</v>
      </c>
      <c r="T12" s="502"/>
    </row>
    <row r="13" spans="1:20" outlineLevel="1">
      <c r="A13" s="2" t="s">
        <v>219</v>
      </c>
      <c r="B13" s="120" t="s">
        <v>411</v>
      </c>
      <c r="D13" s="2" t="s">
        <v>221</v>
      </c>
      <c r="E13" s="121">
        <f>E10-E12+2.076182</f>
        <v>2.6217299800000058</v>
      </c>
      <c r="N13" s="314"/>
      <c r="T13" s="502"/>
    </row>
    <row r="14" spans="1:20" outlineLevel="1">
      <c r="A14" s="2" t="s">
        <v>222</v>
      </c>
      <c r="B14" s="120" t="s">
        <v>223</v>
      </c>
      <c r="D14" s="2" t="s">
        <v>224</v>
      </c>
      <c r="E14" s="121">
        <f>'BOYU Capital Fund I CF'!M3/10^6</f>
        <v>92.038825620000011</v>
      </c>
      <c r="N14" s="314"/>
      <c r="T14" s="502"/>
    </row>
    <row r="15" spans="1:20" outlineLevel="1">
      <c r="A15" s="2" t="s">
        <v>225</v>
      </c>
      <c r="B15" s="120" t="s">
        <v>412</v>
      </c>
      <c r="D15" s="2" t="s">
        <v>227</v>
      </c>
      <c r="E15" s="133">
        <f>'BOYU Capital Fund I CF'!M4/10^6</f>
        <v>5.1248000000000002E-2</v>
      </c>
      <c r="N15" s="314"/>
    </row>
    <row r="16" spans="1:20" outlineLevel="1">
      <c r="A16" s="2" t="s">
        <v>228</v>
      </c>
      <c r="B16" s="134">
        <v>44196</v>
      </c>
      <c r="D16" s="2" t="s">
        <v>229</v>
      </c>
      <c r="E16" s="135">
        <f>E12/E10</f>
        <v>0.98181506733333312</v>
      </c>
      <c r="N16" s="314"/>
    </row>
    <row r="17" spans="1:40" outlineLevel="1">
      <c r="A17" s="2" t="s">
        <v>230</v>
      </c>
      <c r="B17" s="120" t="s">
        <v>231</v>
      </c>
      <c r="D17" s="2" t="s">
        <v>232</v>
      </c>
      <c r="E17" s="136">
        <f>E14/E12</f>
        <v>3.1247848562079623</v>
      </c>
    </row>
    <row r="18" spans="1:40" outlineLevel="1">
      <c r="A18" s="117" t="s">
        <v>233</v>
      </c>
      <c r="B18" s="118"/>
      <c r="D18" s="2" t="s">
        <v>234</v>
      </c>
      <c r="E18" s="137">
        <f>(E14+E15)/E12</f>
        <v>3.126524762961794</v>
      </c>
    </row>
    <row r="19" spans="1:40" outlineLevel="1">
      <c r="A19" s="2" t="s">
        <v>235</v>
      </c>
      <c r="B19" s="120">
        <v>11</v>
      </c>
      <c r="D19" s="2" t="s">
        <v>177</v>
      </c>
      <c r="E19" s="575">
        <f>'BOYU Capital Fund I CF'!M5</f>
        <v>0.33635510253906253</v>
      </c>
    </row>
    <row r="20" spans="1:40" ht="13.5" customHeight="1"/>
    <row r="30" spans="1:40" ht="13.5" customHeight="1">
      <c r="K30" s="503" t="s">
        <v>236</v>
      </c>
      <c r="L30" s="504"/>
      <c r="M30" s="504"/>
      <c r="N30" s="504"/>
      <c r="O30" s="504"/>
      <c r="P30" s="504"/>
      <c r="Q30" s="505"/>
      <c r="R30" s="505"/>
      <c r="S30" s="504"/>
      <c r="T30" s="503" t="s">
        <v>237</v>
      </c>
      <c r="U30" s="504"/>
      <c r="V30" s="504"/>
      <c r="W30" s="504"/>
      <c r="X30" s="504"/>
      <c r="Y30" s="504"/>
      <c r="Z30" s="505"/>
      <c r="AA30" s="505"/>
      <c r="AB30" s="504"/>
      <c r="AC30" s="503" t="s">
        <v>238</v>
      </c>
      <c r="AD30" s="504"/>
      <c r="AE30" s="504"/>
      <c r="AF30" s="504"/>
      <c r="AG30" s="504"/>
      <c r="AH30" s="504"/>
      <c r="AI30" s="505"/>
      <c r="AJ30" s="505"/>
      <c r="AK30" s="505"/>
      <c r="AL30" s="505"/>
      <c r="AM30" s="504"/>
    </row>
    <row r="31" spans="1:40" s="141" customFormat="1" ht="39.75" customHeight="1">
      <c r="A31" s="138" t="s">
        <v>239</v>
      </c>
      <c r="B31" s="139" t="s">
        <v>240</v>
      </c>
      <c r="C31" s="139" t="s">
        <v>69</v>
      </c>
      <c r="D31" s="139" t="s">
        <v>241</v>
      </c>
      <c r="E31" s="139" t="s">
        <v>242</v>
      </c>
      <c r="F31" s="139" t="s">
        <v>243</v>
      </c>
      <c r="G31" s="139" t="s">
        <v>244</v>
      </c>
      <c r="H31" s="139" t="s">
        <v>245</v>
      </c>
      <c r="I31" s="139" t="s">
        <v>246</v>
      </c>
      <c r="J31" s="501" t="s">
        <v>247</v>
      </c>
      <c r="K31" s="506" t="s">
        <v>248</v>
      </c>
      <c r="L31" s="506" t="s">
        <v>249</v>
      </c>
      <c r="M31" s="507" t="s">
        <v>250</v>
      </c>
      <c r="N31" s="506" t="s">
        <v>251</v>
      </c>
      <c r="O31" s="507" t="s">
        <v>252</v>
      </c>
      <c r="P31" s="506" t="s">
        <v>115</v>
      </c>
      <c r="Q31" s="507" t="s">
        <v>253</v>
      </c>
      <c r="R31" s="508" t="s">
        <v>254</v>
      </c>
      <c r="S31" s="509" t="s">
        <v>255</v>
      </c>
      <c r="T31" s="506" t="s">
        <v>248</v>
      </c>
      <c r="U31" s="506" t="s">
        <v>249</v>
      </c>
      <c r="V31" s="507" t="s">
        <v>250</v>
      </c>
      <c r="W31" s="506" t="s">
        <v>251</v>
      </c>
      <c r="X31" s="507" t="s">
        <v>252</v>
      </c>
      <c r="Y31" s="506" t="s">
        <v>115</v>
      </c>
      <c r="Z31" s="507" t="s">
        <v>253</v>
      </c>
      <c r="AA31" s="508" t="s">
        <v>254</v>
      </c>
      <c r="AB31" s="509" t="s">
        <v>255</v>
      </c>
      <c r="AC31" s="506" t="s">
        <v>248</v>
      </c>
      <c r="AD31" s="506" t="s">
        <v>249</v>
      </c>
      <c r="AE31" s="507" t="s">
        <v>250</v>
      </c>
      <c r="AF31" s="506" t="s">
        <v>251</v>
      </c>
      <c r="AG31" s="507" t="s">
        <v>252</v>
      </c>
      <c r="AH31" s="506" t="s">
        <v>115</v>
      </c>
      <c r="AI31" s="507" t="s">
        <v>253</v>
      </c>
      <c r="AJ31" s="508" t="s">
        <v>254</v>
      </c>
      <c r="AK31" s="509" t="s">
        <v>255</v>
      </c>
      <c r="AL31" s="508" t="s">
        <v>256</v>
      </c>
      <c r="AM31" s="509" t="s">
        <v>257</v>
      </c>
      <c r="AN31" s="510"/>
    </row>
    <row r="32" spans="1:40">
      <c r="A32" s="2" t="s">
        <v>413</v>
      </c>
      <c r="B32" s="2" t="s">
        <v>414</v>
      </c>
      <c r="C32" s="235" t="s">
        <v>260</v>
      </c>
      <c r="D32" s="374" t="s">
        <v>261</v>
      </c>
      <c r="E32" s="374">
        <v>40756</v>
      </c>
      <c r="F32" s="374"/>
      <c r="G32" s="374"/>
      <c r="H32" s="374"/>
      <c r="I32" s="235"/>
      <c r="J32" s="512" t="s">
        <v>44</v>
      </c>
      <c r="K32" s="513">
        <v>80.7</v>
      </c>
      <c r="L32" s="514" t="s">
        <v>44</v>
      </c>
      <c r="M32" s="513">
        <v>941</v>
      </c>
      <c r="N32" s="513">
        <v>0</v>
      </c>
      <c r="O32" s="513">
        <f>M32+N32</f>
        <v>941</v>
      </c>
      <c r="P32" s="268">
        <f>O32/K32</f>
        <v>11.660470879801734</v>
      </c>
      <c r="Q32" s="513">
        <v>0</v>
      </c>
      <c r="R32" s="513">
        <v>0</v>
      </c>
      <c r="S32" s="515" t="s">
        <v>44</v>
      </c>
      <c r="T32" s="516">
        <v>80.7</v>
      </c>
      <c r="U32" s="514" t="s">
        <v>44</v>
      </c>
      <c r="V32" s="513">
        <v>941</v>
      </c>
      <c r="W32" s="513">
        <v>0</v>
      </c>
      <c r="X32" s="513">
        <f>V32+W32</f>
        <v>941</v>
      </c>
      <c r="Y32" s="268">
        <f>X32/T32</f>
        <v>11.660470879801734</v>
      </c>
      <c r="Z32" s="513">
        <v>0</v>
      </c>
      <c r="AA32" s="513">
        <f>X32-O32</f>
        <v>0</v>
      </c>
      <c r="AB32" s="515">
        <f>IFERROR(X32/O32-1,0)</f>
        <v>0</v>
      </c>
      <c r="AC32" s="517"/>
      <c r="AD32" s="514"/>
      <c r="AE32" s="513"/>
      <c r="AF32" s="513"/>
      <c r="AG32" s="513"/>
      <c r="AH32" s="268"/>
      <c r="AI32" s="513"/>
      <c r="AJ32" s="513"/>
      <c r="AK32" s="515"/>
      <c r="AL32" s="513"/>
      <c r="AM32" s="515"/>
    </row>
    <row r="33" spans="1:40">
      <c r="A33" s="2" t="s">
        <v>415</v>
      </c>
      <c r="B33" s="2" t="s">
        <v>416</v>
      </c>
      <c r="C33" s="235" t="s">
        <v>113</v>
      </c>
      <c r="D33" s="374" t="s">
        <v>261</v>
      </c>
      <c r="E33" s="374">
        <v>40969</v>
      </c>
      <c r="F33" s="374"/>
      <c r="G33" s="374"/>
      <c r="H33" s="374"/>
      <c r="I33" s="235"/>
      <c r="J33" s="518" t="s">
        <v>44</v>
      </c>
      <c r="K33" s="513">
        <v>76.5</v>
      </c>
      <c r="L33" s="514" t="s">
        <v>44</v>
      </c>
      <c r="M33" s="513">
        <v>145.69999999999999</v>
      </c>
      <c r="N33" s="513">
        <v>0</v>
      </c>
      <c r="O33" s="513">
        <f>N33+M33</f>
        <v>145.69999999999999</v>
      </c>
      <c r="P33" s="269">
        <f>O33/K33</f>
        <v>1.9045751633986927</v>
      </c>
      <c r="Q33" s="513">
        <v>0</v>
      </c>
      <c r="R33" s="513">
        <v>0</v>
      </c>
      <c r="S33" s="515" t="s">
        <v>44</v>
      </c>
      <c r="T33" s="519">
        <v>76.5</v>
      </c>
      <c r="U33" s="514" t="s">
        <v>44</v>
      </c>
      <c r="V33" s="513">
        <v>145.69999999999999</v>
      </c>
      <c r="W33" s="513">
        <v>0</v>
      </c>
      <c r="X33" s="513">
        <f>W33+V33</f>
        <v>145.69999999999999</v>
      </c>
      <c r="Y33" s="268">
        <f>X33/T33</f>
        <v>1.9045751633986927</v>
      </c>
      <c r="Z33" s="513">
        <v>0</v>
      </c>
      <c r="AA33" s="513">
        <f t="shared" ref="AA33:AA42" si="0">X33-O33</f>
        <v>0</v>
      </c>
      <c r="AB33" s="515">
        <f t="shared" ref="AB33:AB42" si="1">IFERROR(X33/O33-1,0)</f>
        <v>0</v>
      </c>
      <c r="AC33" s="517"/>
      <c r="AD33" s="514"/>
      <c r="AE33" s="513"/>
      <c r="AF33" s="513"/>
      <c r="AG33" s="513"/>
      <c r="AH33" s="268"/>
      <c r="AI33" s="513"/>
      <c r="AJ33" s="513"/>
      <c r="AK33" s="515"/>
      <c r="AL33" s="513"/>
      <c r="AM33" s="515"/>
    </row>
    <row r="34" spans="1:40">
      <c r="A34" s="2" t="s">
        <v>417</v>
      </c>
      <c r="B34" s="2" t="s">
        <v>418</v>
      </c>
      <c r="C34" s="235" t="s">
        <v>113</v>
      </c>
      <c r="D34" s="374" t="s">
        <v>261</v>
      </c>
      <c r="E34" s="374">
        <v>41061</v>
      </c>
      <c r="F34" s="374"/>
      <c r="G34" s="374"/>
      <c r="H34" s="374"/>
      <c r="I34" s="235"/>
      <c r="J34" s="518" t="s">
        <v>44</v>
      </c>
      <c r="K34" s="513">
        <v>35.4</v>
      </c>
      <c r="L34" s="514" t="s">
        <v>44</v>
      </c>
      <c r="M34" s="513">
        <v>63.8</v>
      </c>
      <c r="N34" s="513">
        <v>0</v>
      </c>
      <c r="O34" s="513">
        <f t="shared" ref="O34:O42" si="2">N34+M34</f>
        <v>63.8</v>
      </c>
      <c r="P34" s="269">
        <f t="shared" ref="P34:P47" si="3">O34/K34</f>
        <v>1.8022598870056497</v>
      </c>
      <c r="Q34" s="513">
        <v>0</v>
      </c>
      <c r="R34" s="513">
        <v>0</v>
      </c>
      <c r="S34" s="515" t="s">
        <v>44</v>
      </c>
      <c r="T34" s="519">
        <v>35.4</v>
      </c>
      <c r="U34" s="514" t="s">
        <v>44</v>
      </c>
      <c r="V34" s="513">
        <v>63.8</v>
      </c>
      <c r="W34" s="513">
        <v>0</v>
      </c>
      <c r="X34" s="513">
        <f t="shared" ref="X34:X42" si="4">W34+V34</f>
        <v>63.8</v>
      </c>
      <c r="Y34" s="268">
        <f t="shared" ref="Y34:Y42" si="5">X34/T34</f>
        <v>1.8022598870056497</v>
      </c>
      <c r="Z34" s="513">
        <v>0</v>
      </c>
      <c r="AA34" s="513">
        <f t="shared" si="0"/>
        <v>0</v>
      </c>
      <c r="AB34" s="515">
        <f t="shared" si="1"/>
        <v>0</v>
      </c>
      <c r="AC34" s="517"/>
      <c r="AD34" s="514"/>
      <c r="AE34" s="513"/>
      <c r="AF34" s="513"/>
      <c r="AG34" s="513"/>
      <c r="AH34" s="268"/>
      <c r="AI34" s="513"/>
      <c r="AJ34" s="513"/>
      <c r="AK34" s="515"/>
      <c r="AL34" s="513"/>
      <c r="AM34" s="515"/>
    </row>
    <row r="35" spans="1:40">
      <c r="A35" s="2" t="s">
        <v>419</v>
      </c>
      <c r="B35" s="2" t="s">
        <v>420</v>
      </c>
      <c r="C35" s="235" t="s">
        <v>99</v>
      </c>
      <c r="D35" s="374" t="s">
        <v>261</v>
      </c>
      <c r="E35" s="374">
        <v>41091</v>
      </c>
      <c r="F35" s="374"/>
      <c r="G35" s="374"/>
      <c r="H35" s="374"/>
      <c r="I35" s="235"/>
      <c r="J35" s="518" t="s">
        <v>44</v>
      </c>
      <c r="K35" s="513">
        <v>78.3</v>
      </c>
      <c r="L35" s="514" t="s">
        <v>44</v>
      </c>
      <c r="M35" s="513">
        <v>218.8</v>
      </c>
      <c r="N35" s="513">
        <v>0</v>
      </c>
      <c r="O35" s="513">
        <f t="shared" si="2"/>
        <v>218.8</v>
      </c>
      <c r="P35" s="269">
        <f t="shared" si="3"/>
        <v>2.7943805874840359</v>
      </c>
      <c r="Q35" s="513">
        <v>0</v>
      </c>
      <c r="R35" s="513">
        <v>0</v>
      </c>
      <c r="S35" s="515" t="s">
        <v>44</v>
      </c>
      <c r="T35" s="519">
        <v>78.3</v>
      </c>
      <c r="U35" s="514" t="s">
        <v>44</v>
      </c>
      <c r="V35" s="513">
        <v>218.8</v>
      </c>
      <c r="W35" s="513">
        <v>0</v>
      </c>
      <c r="X35" s="513">
        <f t="shared" si="4"/>
        <v>218.8</v>
      </c>
      <c r="Y35" s="268">
        <f t="shared" si="5"/>
        <v>2.7943805874840359</v>
      </c>
      <c r="Z35" s="513">
        <v>0</v>
      </c>
      <c r="AA35" s="513">
        <f t="shared" si="0"/>
        <v>0</v>
      </c>
      <c r="AB35" s="515">
        <f t="shared" si="1"/>
        <v>0</v>
      </c>
      <c r="AC35" s="517"/>
      <c r="AD35" s="514"/>
      <c r="AE35" s="513"/>
      <c r="AF35" s="513"/>
      <c r="AG35" s="513"/>
      <c r="AH35" s="268"/>
      <c r="AI35" s="513"/>
      <c r="AJ35" s="513"/>
      <c r="AK35" s="515"/>
      <c r="AL35" s="513"/>
      <c r="AM35" s="515"/>
    </row>
    <row r="36" spans="1:40">
      <c r="A36" s="2" t="s">
        <v>421</v>
      </c>
      <c r="B36" s="2" t="s">
        <v>422</v>
      </c>
      <c r="C36" s="235" t="s">
        <v>99</v>
      </c>
      <c r="D36" s="374" t="s">
        <v>261</v>
      </c>
      <c r="E36" s="374">
        <v>41153</v>
      </c>
      <c r="F36" s="374"/>
      <c r="G36" s="374"/>
      <c r="H36" s="374"/>
      <c r="I36" s="235"/>
      <c r="J36" s="518" t="s">
        <v>44</v>
      </c>
      <c r="K36" s="513">
        <v>163.1</v>
      </c>
      <c r="L36" s="514" t="s">
        <v>44</v>
      </c>
      <c r="M36" s="513">
        <v>1181.5999999999999</v>
      </c>
      <c r="N36" s="513">
        <v>0</v>
      </c>
      <c r="O36" s="513">
        <f t="shared" si="2"/>
        <v>1181.5999999999999</v>
      </c>
      <c r="P36" s="269">
        <f t="shared" si="3"/>
        <v>7.244635193133047</v>
      </c>
      <c r="Q36" s="513">
        <v>0</v>
      </c>
      <c r="R36" s="513">
        <v>0</v>
      </c>
      <c r="S36" s="515" t="s">
        <v>44</v>
      </c>
      <c r="T36" s="519">
        <v>163.1</v>
      </c>
      <c r="U36" s="514" t="s">
        <v>44</v>
      </c>
      <c r="V36" s="513">
        <v>1181.5999999999999</v>
      </c>
      <c r="W36" s="513">
        <v>0</v>
      </c>
      <c r="X36" s="513">
        <f t="shared" si="4"/>
        <v>1181.5999999999999</v>
      </c>
      <c r="Y36" s="268">
        <f t="shared" si="5"/>
        <v>7.244635193133047</v>
      </c>
      <c r="Z36" s="513">
        <v>0</v>
      </c>
      <c r="AA36" s="513">
        <f t="shared" si="0"/>
        <v>0</v>
      </c>
      <c r="AB36" s="515">
        <f t="shared" si="1"/>
        <v>0</v>
      </c>
      <c r="AC36" s="517"/>
      <c r="AD36" s="514"/>
      <c r="AE36" s="513"/>
      <c r="AF36" s="513"/>
      <c r="AG36" s="513"/>
      <c r="AH36" s="268"/>
      <c r="AI36" s="513"/>
      <c r="AJ36" s="513"/>
      <c r="AK36" s="515"/>
      <c r="AL36" s="513"/>
      <c r="AM36" s="515"/>
    </row>
    <row r="37" spans="1:40">
      <c r="A37" s="2" t="s">
        <v>423</v>
      </c>
      <c r="B37" s="2" t="s">
        <v>424</v>
      </c>
      <c r="C37" s="235" t="s">
        <v>260</v>
      </c>
      <c r="D37" s="374" t="s">
        <v>261</v>
      </c>
      <c r="E37" s="374">
        <v>41244</v>
      </c>
      <c r="F37" s="374"/>
      <c r="G37" s="374"/>
      <c r="H37" s="374"/>
      <c r="I37" s="235"/>
      <c r="J37" s="518" t="s">
        <v>44</v>
      </c>
      <c r="K37" s="513">
        <v>44</v>
      </c>
      <c r="L37" s="514" t="s">
        <v>44</v>
      </c>
      <c r="M37" s="513">
        <v>76.2</v>
      </c>
      <c r="N37" s="513">
        <v>0</v>
      </c>
      <c r="O37" s="513">
        <f t="shared" si="2"/>
        <v>76.2</v>
      </c>
      <c r="P37" s="269">
        <f t="shared" si="3"/>
        <v>1.7318181818181819</v>
      </c>
      <c r="Q37" s="513">
        <v>0</v>
      </c>
      <c r="R37" s="513">
        <v>0</v>
      </c>
      <c r="S37" s="515" t="s">
        <v>44</v>
      </c>
      <c r="T37" s="519">
        <v>44</v>
      </c>
      <c r="U37" s="514" t="s">
        <v>44</v>
      </c>
      <c r="V37" s="513">
        <v>76.2</v>
      </c>
      <c r="W37" s="513">
        <v>0</v>
      </c>
      <c r="X37" s="513">
        <f t="shared" si="4"/>
        <v>76.2</v>
      </c>
      <c r="Y37" s="268">
        <f t="shared" si="5"/>
        <v>1.7318181818181819</v>
      </c>
      <c r="Z37" s="513">
        <v>0</v>
      </c>
      <c r="AA37" s="513">
        <f t="shared" si="0"/>
        <v>0</v>
      </c>
      <c r="AB37" s="515">
        <f t="shared" si="1"/>
        <v>0</v>
      </c>
      <c r="AC37" s="517"/>
      <c r="AD37" s="514"/>
      <c r="AE37" s="513"/>
      <c r="AF37" s="513"/>
      <c r="AG37" s="513"/>
      <c r="AH37" s="268"/>
      <c r="AI37" s="513"/>
      <c r="AJ37" s="513"/>
      <c r="AK37" s="515"/>
      <c r="AL37" s="513"/>
      <c r="AM37" s="515"/>
    </row>
    <row r="38" spans="1:40">
      <c r="A38" s="2" t="s">
        <v>425</v>
      </c>
      <c r="B38" s="2" t="s">
        <v>426</v>
      </c>
      <c r="C38" s="235" t="s">
        <v>260</v>
      </c>
      <c r="D38" s="374" t="s">
        <v>261</v>
      </c>
      <c r="E38" s="374">
        <v>41244</v>
      </c>
      <c r="F38" s="374"/>
      <c r="G38" s="374"/>
      <c r="H38" s="374"/>
      <c r="I38" s="235"/>
      <c r="J38" s="518" t="s">
        <v>44</v>
      </c>
      <c r="K38" s="513">
        <v>48.5</v>
      </c>
      <c r="L38" s="514" t="s">
        <v>44</v>
      </c>
      <c r="M38" s="513">
        <v>69</v>
      </c>
      <c r="N38" s="513">
        <v>0</v>
      </c>
      <c r="O38" s="513">
        <f t="shared" si="2"/>
        <v>69</v>
      </c>
      <c r="P38" s="269">
        <f t="shared" si="3"/>
        <v>1.4226804123711341</v>
      </c>
      <c r="Q38" s="513">
        <v>0</v>
      </c>
      <c r="R38" s="513">
        <v>0</v>
      </c>
      <c r="S38" s="515" t="s">
        <v>44</v>
      </c>
      <c r="T38" s="519">
        <v>48.5</v>
      </c>
      <c r="U38" s="514" t="s">
        <v>44</v>
      </c>
      <c r="V38" s="513">
        <v>69</v>
      </c>
      <c r="W38" s="513">
        <v>0</v>
      </c>
      <c r="X38" s="513">
        <f t="shared" si="4"/>
        <v>69</v>
      </c>
      <c r="Y38" s="268">
        <f t="shared" si="5"/>
        <v>1.4226804123711341</v>
      </c>
      <c r="Z38" s="513">
        <v>0</v>
      </c>
      <c r="AA38" s="513">
        <f t="shared" si="0"/>
        <v>0</v>
      </c>
      <c r="AB38" s="515">
        <f t="shared" si="1"/>
        <v>0</v>
      </c>
    </row>
    <row r="39" spans="1:40">
      <c r="A39" s="2" t="s">
        <v>427</v>
      </c>
      <c r="B39" s="2" t="s">
        <v>428</v>
      </c>
      <c r="C39" s="235" t="s">
        <v>260</v>
      </c>
      <c r="D39" s="374" t="s">
        <v>261</v>
      </c>
      <c r="E39" s="374">
        <v>41548</v>
      </c>
      <c r="F39" s="374"/>
      <c r="G39" s="374"/>
      <c r="H39" s="374"/>
      <c r="I39" s="235"/>
      <c r="J39" s="518" t="s">
        <v>44</v>
      </c>
      <c r="K39" s="513">
        <v>49.4</v>
      </c>
      <c r="L39" s="514" t="s">
        <v>44</v>
      </c>
      <c r="M39" s="513">
        <v>7.5</v>
      </c>
      <c r="N39" s="513">
        <v>0</v>
      </c>
      <c r="O39" s="513">
        <f t="shared" si="2"/>
        <v>7.5</v>
      </c>
      <c r="P39" s="269">
        <f t="shared" si="3"/>
        <v>0.15182186234817815</v>
      </c>
      <c r="Q39" s="513">
        <v>0</v>
      </c>
      <c r="R39" s="513">
        <v>0</v>
      </c>
      <c r="S39" s="515" t="s">
        <v>44</v>
      </c>
      <c r="T39" s="519">
        <v>49.4</v>
      </c>
      <c r="U39" s="514" t="s">
        <v>44</v>
      </c>
      <c r="V39" s="513">
        <v>7.5</v>
      </c>
      <c r="W39" s="513">
        <v>0</v>
      </c>
      <c r="X39" s="513">
        <f t="shared" si="4"/>
        <v>7.5</v>
      </c>
      <c r="Y39" s="268">
        <f t="shared" si="5"/>
        <v>0.15182186234817815</v>
      </c>
      <c r="Z39" s="513">
        <v>0</v>
      </c>
      <c r="AA39" s="513">
        <f t="shared" si="0"/>
        <v>0</v>
      </c>
      <c r="AB39" s="515">
        <f t="shared" si="1"/>
        <v>0</v>
      </c>
    </row>
    <row r="40" spans="1:40">
      <c r="A40" s="2" t="s">
        <v>429</v>
      </c>
      <c r="B40" s="2" t="s">
        <v>268</v>
      </c>
      <c r="C40" s="235" t="s">
        <v>99</v>
      </c>
      <c r="D40" s="374" t="s">
        <v>261</v>
      </c>
      <c r="E40" s="374">
        <v>41730</v>
      </c>
      <c r="F40" s="374"/>
      <c r="G40" s="374"/>
      <c r="H40" s="374"/>
      <c r="I40" s="235"/>
      <c r="J40" s="518" t="s">
        <v>44</v>
      </c>
      <c r="K40" s="513">
        <v>158.19999999999999</v>
      </c>
      <c r="L40" s="514" t="s">
        <v>44</v>
      </c>
      <c r="M40" s="513">
        <v>738.8</v>
      </c>
      <c r="N40" s="513">
        <v>0</v>
      </c>
      <c r="O40" s="513">
        <f t="shared" si="2"/>
        <v>738.8</v>
      </c>
      <c r="P40" s="269">
        <f t="shared" si="3"/>
        <v>4.6700379266750947</v>
      </c>
      <c r="Q40" s="513">
        <v>0</v>
      </c>
      <c r="R40" s="513">
        <v>0</v>
      </c>
      <c r="S40" s="515" t="s">
        <v>44</v>
      </c>
      <c r="T40" s="519">
        <v>158.19999999999999</v>
      </c>
      <c r="U40" s="514" t="s">
        <v>44</v>
      </c>
      <c r="V40" s="513">
        <v>738.8</v>
      </c>
      <c r="W40" s="513">
        <v>0</v>
      </c>
      <c r="X40" s="513">
        <f t="shared" si="4"/>
        <v>738.8</v>
      </c>
      <c r="Y40" s="268">
        <f t="shared" si="5"/>
        <v>4.6700379266750947</v>
      </c>
      <c r="Z40" s="513">
        <v>0</v>
      </c>
      <c r="AA40" s="513">
        <f t="shared" si="0"/>
        <v>0</v>
      </c>
      <c r="AB40" s="515">
        <f t="shared" si="1"/>
        <v>0</v>
      </c>
    </row>
    <row r="41" spans="1:40">
      <c r="A41" s="2" t="s">
        <v>430</v>
      </c>
      <c r="B41" s="2" t="s">
        <v>431</v>
      </c>
      <c r="C41" s="235" t="s">
        <v>113</v>
      </c>
      <c r="D41" s="374" t="s">
        <v>261</v>
      </c>
      <c r="E41" s="374">
        <v>41760</v>
      </c>
      <c r="F41" s="374"/>
      <c r="G41" s="374"/>
      <c r="H41" s="374"/>
      <c r="I41" s="235"/>
      <c r="J41" s="518" t="s">
        <v>44</v>
      </c>
      <c r="K41" s="513">
        <v>70.8</v>
      </c>
      <c r="L41" s="514" t="s">
        <v>44</v>
      </c>
      <c r="M41" s="513">
        <v>147</v>
      </c>
      <c r="N41" s="513">
        <v>0</v>
      </c>
      <c r="O41" s="513">
        <f t="shared" si="2"/>
        <v>147</v>
      </c>
      <c r="P41" s="269">
        <f t="shared" si="3"/>
        <v>2.0762711864406782</v>
      </c>
      <c r="Q41" s="513">
        <v>0</v>
      </c>
      <c r="R41" s="513">
        <v>0</v>
      </c>
      <c r="S41" s="515" t="s">
        <v>44</v>
      </c>
      <c r="T41" s="519">
        <v>70.8</v>
      </c>
      <c r="U41" s="514" t="s">
        <v>44</v>
      </c>
      <c r="V41" s="513">
        <v>147</v>
      </c>
      <c r="W41" s="513">
        <v>0</v>
      </c>
      <c r="X41" s="513">
        <f t="shared" si="4"/>
        <v>147</v>
      </c>
      <c r="Y41" s="268">
        <f t="shared" si="5"/>
        <v>2.0762711864406782</v>
      </c>
      <c r="Z41" s="513">
        <v>0</v>
      </c>
      <c r="AA41" s="513">
        <f t="shared" si="0"/>
        <v>0</v>
      </c>
      <c r="AB41" s="515">
        <f t="shared" si="1"/>
        <v>0</v>
      </c>
    </row>
    <row r="42" spans="1:40">
      <c r="A42" s="2" t="s">
        <v>432</v>
      </c>
      <c r="B42" s="2" t="s">
        <v>433</v>
      </c>
      <c r="C42" s="235" t="s">
        <v>260</v>
      </c>
      <c r="D42" s="374" t="s">
        <v>276</v>
      </c>
      <c r="E42" s="374">
        <v>41760</v>
      </c>
      <c r="F42" s="374"/>
      <c r="G42" s="374"/>
      <c r="H42" s="374"/>
      <c r="I42" s="235"/>
      <c r="J42" s="518" t="s">
        <v>44</v>
      </c>
      <c r="K42" s="513">
        <v>52.1</v>
      </c>
      <c r="L42" s="514" t="s">
        <v>44</v>
      </c>
      <c r="M42" s="513">
        <v>114</v>
      </c>
      <c r="N42" s="513">
        <v>0.3</v>
      </c>
      <c r="O42" s="513">
        <f t="shared" si="2"/>
        <v>114.3</v>
      </c>
      <c r="P42" s="269">
        <f t="shared" si="3"/>
        <v>2.1938579654510555</v>
      </c>
      <c r="Q42" s="513">
        <v>0</v>
      </c>
      <c r="R42" s="513">
        <v>0</v>
      </c>
      <c r="S42" s="515" t="s">
        <v>44</v>
      </c>
      <c r="T42" s="519">
        <v>52.1</v>
      </c>
      <c r="U42" s="514" t="s">
        <v>44</v>
      </c>
      <c r="V42" s="513">
        <v>114</v>
      </c>
      <c r="W42" s="513">
        <v>0.3</v>
      </c>
      <c r="X42" s="513">
        <f t="shared" si="4"/>
        <v>114.3</v>
      </c>
      <c r="Y42" s="268">
        <f t="shared" si="5"/>
        <v>2.1938579654510555</v>
      </c>
      <c r="Z42" s="513">
        <v>0</v>
      </c>
      <c r="AA42" s="513">
        <f t="shared" si="0"/>
        <v>0</v>
      </c>
      <c r="AB42" s="515">
        <f t="shared" si="1"/>
        <v>0</v>
      </c>
    </row>
    <row r="44" spans="1:40" s="520" customFormat="1" ht="12" thickBot="1">
      <c r="A44" s="520" t="s">
        <v>45</v>
      </c>
      <c r="K44" s="521">
        <f>SUM(K32:K42)</f>
        <v>856.99999999999989</v>
      </c>
      <c r="M44" s="522">
        <f>SUM(M32:M42)</f>
        <v>3703.3999999999996</v>
      </c>
      <c r="N44" s="522">
        <f>SUM(N32:N42)</f>
        <v>0.3</v>
      </c>
      <c r="O44" s="522">
        <f>SUM(O32:O42)</f>
        <v>3703.7</v>
      </c>
      <c r="P44" s="523">
        <f t="shared" si="3"/>
        <v>4.3217036172695451</v>
      </c>
      <c r="Q44" s="524" t="s">
        <v>44</v>
      </c>
      <c r="R44" s="524" t="s">
        <v>44</v>
      </c>
      <c r="S44" s="524" t="s">
        <v>44</v>
      </c>
      <c r="T44" s="521">
        <f>SUM(T32:T42)</f>
        <v>856.99999999999989</v>
      </c>
      <c r="V44" s="522">
        <f>SUM(V32:V42)</f>
        <v>3703.3999999999996</v>
      </c>
      <c r="W44" s="522">
        <f>SUM(W32:W42)</f>
        <v>0.3</v>
      </c>
      <c r="X44" s="522">
        <f>SUM(X32:X42)</f>
        <v>3703.7</v>
      </c>
      <c r="Y44" s="523">
        <f t="shared" ref="Y44" si="6">X44/T44</f>
        <v>4.3217036172695451</v>
      </c>
      <c r="Z44" s="525" t="s">
        <v>44</v>
      </c>
      <c r="AA44" s="525">
        <f t="shared" ref="AA44" si="7">X44-O44</f>
        <v>0</v>
      </c>
      <c r="AB44" s="526">
        <f t="shared" ref="AB44" si="8">IFERROR(X44/O44-1,0)</f>
        <v>0</v>
      </c>
      <c r="AC44" s="527"/>
      <c r="AN44" s="527"/>
    </row>
    <row r="46" spans="1:40" s="389" customFormat="1">
      <c r="A46" s="388" t="s">
        <v>277</v>
      </c>
      <c r="K46" s="528">
        <f>SUMIF($D$32:$D$42,"Unrealized",K$32:K$42)+SUMIF($D$32:$D$42,"Partial Realized",K$32:K$42)</f>
        <v>52.1</v>
      </c>
      <c r="M46" s="529">
        <f>SUMIF($D$32:$D$42,"Unrealized",M$32:M$42)+SUMIF($D$32:$D$42,"Partial Realized",M$32:M$42)</f>
        <v>114</v>
      </c>
      <c r="N46" s="529">
        <f>SUMIF($D$32:$D$42,"Unrealized",N$32:N$42)+SUMIF($D$32:$D$42,"Partial Realized",N$32:N$42)</f>
        <v>0.3</v>
      </c>
      <c r="O46" s="529">
        <f>SUMIF($D$32:$D$42,"Unrealized",O$32:O$42)+SUMIF($D$32:$D$42,"Partial Realized",O$32:O$42)</f>
        <v>114.3</v>
      </c>
      <c r="P46" s="530">
        <f t="shared" si="3"/>
        <v>2.1938579654510555</v>
      </c>
      <c r="R46" s="531" t="s">
        <v>44</v>
      </c>
      <c r="S46" s="532" t="s">
        <v>44</v>
      </c>
      <c r="T46" s="528">
        <f>SUMIF($D$32:$D$42,"Unrealized",T$32:T$42)+SUMIF($D$32:$D$42,"Partial Realized",T$32:T$42)</f>
        <v>52.1</v>
      </c>
      <c r="V46" s="529">
        <f>SUMIF($D$32:$D$42,"Unrealized",V$32:V$42)+SUMIF($D$32:$D$42,"Partial Realized",V$32:V$42)</f>
        <v>114</v>
      </c>
      <c r="W46" s="529">
        <f>SUMIF($D$32:$D$42,"Unrealized",W$32:W$42)+SUMIF($D$32:$D$42,"Partial Realized",W$32:W$42)</f>
        <v>0.3</v>
      </c>
      <c r="X46" s="529">
        <f>SUMIF($D$32:$D$42,"Unrealized",X$32:X$42)+SUMIF($D$32:$D$42,"Partial Realized",X$32:X$42)</f>
        <v>114.3</v>
      </c>
      <c r="Y46" s="530">
        <f t="shared" ref="Y46:Y47" si="9">X46/T46</f>
        <v>2.1938579654510555</v>
      </c>
      <c r="AA46" s="533">
        <f t="shared" ref="AA46:AA47" si="10">X46-O46</f>
        <v>0</v>
      </c>
      <c r="AB46" s="534">
        <f t="shared" ref="AB46:AB47" si="11">IFERROR(X46/O46-1,0)</f>
        <v>0</v>
      </c>
      <c r="AN46" s="535"/>
    </row>
    <row r="47" spans="1:40" s="389" customFormat="1">
      <c r="A47" s="388" t="s">
        <v>278</v>
      </c>
      <c r="K47" s="528">
        <f>SUMIF($D$32:$D$42,"Realized",K$32:K$42)+SUMIF($D$32:$D$42,"Write-off",K$32:K$42)</f>
        <v>804.89999999999986</v>
      </c>
      <c r="M47" s="529">
        <f>SUMIF($D$32:$D$42,"Realized",M$32:M$42)+SUMIF($D$32:$D$42,"Write-off",M$32:M$42)</f>
        <v>3589.3999999999996</v>
      </c>
      <c r="N47" s="529">
        <f>SUMIF($D$32:$D$42,"Realized",N$32:N$42)+SUMIF($D$32:$D$42,"Write-off",N$32:N$42)</f>
        <v>0</v>
      </c>
      <c r="O47" s="529">
        <f>SUMIF($D$32:$D$42,"Realized",O$32:O$42)+SUMIF($D$32:$D$42,"Write-off",O$32:O$42)</f>
        <v>3589.3999999999996</v>
      </c>
      <c r="P47" s="530">
        <f t="shared" si="3"/>
        <v>4.4594359547769908</v>
      </c>
      <c r="R47" s="531" t="s">
        <v>44</v>
      </c>
      <c r="S47" s="532" t="s">
        <v>44</v>
      </c>
      <c r="T47" s="528">
        <f>SUMIF($D$32:$D$42,"Realized",T$32:T$42)+SUMIF($D$32:$D$42,"Write-off",T$32:T$42)</f>
        <v>804.89999999999986</v>
      </c>
      <c r="V47" s="529">
        <f>SUMIF($D$32:$D$42,"Realized",V$32:V$42)+SUMIF($D$32:$D$42,"Write-off",V$32:V$42)</f>
        <v>3589.3999999999996</v>
      </c>
      <c r="W47" s="529">
        <f>SUMIF($D$32:$D$42,"Realized",W$32:W$42)+SUMIF($D$32:$D$42,"Write-off",W$32:W$42)</f>
        <v>0</v>
      </c>
      <c r="X47" s="529">
        <f>SUMIF($D$32:$D$42,"Realized",X$32:X$42)+SUMIF($D$32:$D$42,"Write-off",X$32:X$42)</f>
        <v>3589.3999999999996</v>
      </c>
      <c r="Y47" s="530">
        <f t="shared" si="9"/>
        <v>4.4594359547769908</v>
      </c>
      <c r="AA47" s="533">
        <f t="shared" si="10"/>
        <v>0</v>
      </c>
      <c r="AB47" s="534">
        <f t="shared" si="11"/>
        <v>0</v>
      </c>
      <c r="AN47" s="535"/>
    </row>
    <row r="50" spans="1:40" s="536" customFormat="1">
      <c r="A50" s="536" t="s">
        <v>279</v>
      </c>
      <c r="K50" s="537"/>
      <c r="T50" s="537"/>
      <c r="AC50" s="537"/>
      <c r="AN50" s="537"/>
    </row>
    <row r="51" spans="1:40" ht="13.5" customHeight="1">
      <c r="K51" s="538" t="s">
        <v>236</v>
      </c>
      <c r="L51" s="539"/>
      <c r="M51" s="539"/>
      <c r="N51" s="539"/>
      <c r="O51" s="539"/>
      <c r="P51" s="539"/>
      <c r="Q51" s="540"/>
      <c r="R51" s="540"/>
      <c r="S51" s="539"/>
      <c r="T51" s="503" t="s">
        <v>237</v>
      </c>
      <c r="U51" s="504"/>
      <c r="V51" s="504"/>
      <c r="W51" s="504"/>
      <c r="X51" s="504"/>
      <c r="Y51" s="504"/>
      <c r="Z51" s="505"/>
      <c r="AA51" s="505"/>
      <c r="AB51" s="504"/>
      <c r="AC51" s="503" t="s">
        <v>238</v>
      </c>
      <c r="AD51" s="504"/>
      <c r="AE51" s="504"/>
      <c r="AF51" s="504"/>
      <c r="AG51" s="539"/>
      <c r="AH51" s="539"/>
      <c r="AI51" s="540"/>
      <c r="AJ51" s="540"/>
      <c r="AK51" s="540"/>
      <c r="AL51" s="540"/>
      <c r="AM51" s="539"/>
    </row>
    <row r="52" spans="1:40" s="141" customFormat="1" ht="39.75" customHeight="1">
      <c r="A52" s="138" t="s">
        <v>239</v>
      </c>
      <c r="B52" s="139" t="s">
        <v>240</v>
      </c>
      <c r="C52" s="139" t="s">
        <v>69</v>
      </c>
      <c r="D52" s="139" t="s">
        <v>241</v>
      </c>
      <c r="E52" s="139" t="s">
        <v>242</v>
      </c>
      <c r="F52" s="139" t="s">
        <v>243</v>
      </c>
      <c r="G52" s="139" t="s">
        <v>244</v>
      </c>
      <c r="H52" s="139" t="s">
        <v>245</v>
      </c>
      <c r="I52" s="139" t="s">
        <v>246</v>
      </c>
      <c r="J52" s="501" t="s">
        <v>247</v>
      </c>
      <c r="K52" s="541" t="s">
        <v>280</v>
      </c>
      <c r="L52" s="542"/>
      <c r="M52" s="543"/>
      <c r="N52" s="542"/>
      <c r="O52" s="541" t="s">
        <v>281</v>
      </c>
      <c r="P52" s="542"/>
      <c r="Q52" s="543"/>
      <c r="R52" s="542"/>
      <c r="S52" s="544"/>
      <c r="T52" s="541" t="s">
        <v>280</v>
      </c>
      <c r="U52" s="542"/>
      <c r="V52" s="543"/>
      <c r="W52" s="542"/>
      <c r="X52" s="541" t="s">
        <v>281</v>
      </c>
      <c r="Y52" s="542"/>
      <c r="Z52" s="543"/>
      <c r="AA52" s="542"/>
      <c r="AB52" s="544"/>
      <c r="AC52" s="541" t="s">
        <v>280</v>
      </c>
      <c r="AD52" s="542"/>
      <c r="AE52" s="543"/>
      <c r="AF52" s="542"/>
      <c r="AG52" s="541" t="s">
        <v>281</v>
      </c>
      <c r="AH52" s="542"/>
      <c r="AI52" s="543"/>
      <c r="AJ52" s="542"/>
      <c r="AK52" s="545"/>
      <c r="AL52" s="545"/>
      <c r="AM52" s="544"/>
      <c r="AN52" s="510"/>
    </row>
  </sheetData>
  <conditionalFormatting sqref="R32:S42">
    <cfRule type="cellIs" dxfId="161" priority="5" operator="lessThan">
      <formula>0</formula>
    </cfRule>
    <cfRule type="cellIs" dxfId="160" priority="6" operator="greaterThan">
      <formula>0</formula>
    </cfRule>
  </conditionalFormatting>
  <conditionalFormatting sqref="AA32:AB42">
    <cfRule type="cellIs" dxfId="159" priority="9" operator="lessThan">
      <formula>0</formula>
    </cfRule>
    <cfRule type="cellIs" dxfId="158" priority="10" operator="greaterThan">
      <formula>0</formula>
    </cfRule>
  </conditionalFormatting>
  <conditionalFormatting sqref="AA44:AB44">
    <cfRule type="cellIs" dxfId="157" priority="3" operator="lessThan">
      <formula>0</formula>
    </cfRule>
    <cfRule type="cellIs" dxfId="156" priority="4" operator="greaterThan">
      <formula>0</formula>
    </cfRule>
  </conditionalFormatting>
  <conditionalFormatting sqref="AA46:AB47">
    <cfRule type="cellIs" dxfId="155" priority="1" operator="lessThan">
      <formula>0</formula>
    </cfRule>
    <cfRule type="cellIs" dxfId="154" priority="2" operator="greaterThan">
      <formula>0</formula>
    </cfRule>
  </conditionalFormatting>
  <conditionalFormatting sqref="AJ32:AM33">
    <cfRule type="cellIs" dxfId="153" priority="7" operator="lessThan">
      <formula>0</formula>
    </cfRule>
    <cfRule type="cellIs" dxfId="152" priority="8" operator="greaterThan">
      <formula>0</formula>
    </cfRule>
  </conditionalFormatting>
  <printOptions horizontalCentered="1"/>
  <pageMargins left="0.23622047244094491" right="0" top="0.35433070866141736" bottom="0.19685039370078741" header="0.15748031496062992" footer="0.15748031496062992"/>
  <pageSetup paperSize="8" scale="37"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BCD77-6D92-430E-B8BD-A59228AD956F}">
  <sheetPr>
    <tabColor theme="8"/>
  </sheetPr>
  <dimension ref="B1:S119"/>
  <sheetViews>
    <sheetView topLeftCell="A9" workbookViewId="0"/>
  </sheetViews>
  <sheetFormatPr defaultColWidth="9" defaultRowHeight="11.25"/>
  <cols>
    <col min="1" max="1" width="2" style="2" customWidth="1"/>
    <col min="2" max="2" width="19.42578125" style="2" customWidth="1"/>
    <col min="3" max="3" width="15.7109375" style="2" customWidth="1"/>
    <col min="4" max="4" width="13.42578125" style="2" hidden="1" customWidth="1"/>
    <col min="5" max="5" width="12.42578125" style="2" customWidth="1"/>
    <col min="6" max="6" width="10.42578125" style="2" bestFit="1" customWidth="1"/>
    <col min="7" max="7" width="24.42578125" style="2" hidden="1" customWidth="1"/>
    <col min="8" max="8" width="14.7109375" style="170" bestFit="1" customWidth="1"/>
    <col min="9" max="9" width="12" style="171" bestFit="1" customWidth="1"/>
    <col min="10" max="10" width="15.7109375" style="171" bestFit="1" customWidth="1"/>
    <col min="11" max="11" width="13.7109375" style="171" bestFit="1" customWidth="1"/>
    <col min="12" max="12" width="21" style="171" customWidth="1"/>
    <col min="13" max="13" width="15.28515625" style="171" bestFit="1" customWidth="1"/>
    <col min="14" max="14" width="14.7109375" style="171" bestFit="1" customWidth="1"/>
    <col min="15" max="15" width="14.28515625" style="171" bestFit="1" customWidth="1"/>
    <col min="16" max="16" width="14.7109375" style="171" bestFit="1" customWidth="1"/>
    <col min="17" max="17" width="3.42578125" style="2" customWidth="1"/>
    <col min="18" max="18" width="13.7109375" style="170" bestFit="1" customWidth="1"/>
    <col min="19" max="19" width="14.7109375" style="2" bestFit="1" customWidth="1"/>
    <col min="20" max="20" width="12.42578125" style="2" bestFit="1" customWidth="1"/>
    <col min="21" max="16384" width="9" style="2"/>
  </cols>
  <sheetData>
    <row r="1" spans="2:18">
      <c r="B1" s="75" t="s">
        <v>282</v>
      </c>
      <c r="L1" s="630">
        <f>C3</f>
        <v>45657</v>
      </c>
      <c r="M1" s="630"/>
      <c r="O1" s="631"/>
      <c r="P1" s="631"/>
      <c r="R1" s="190"/>
    </row>
    <row r="2" spans="2:18">
      <c r="L2" s="172" t="s">
        <v>285</v>
      </c>
      <c r="M2" s="173">
        <f>M98</f>
        <v>-29454452.019999996</v>
      </c>
      <c r="O2" s="189"/>
      <c r="P2" s="240"/>
      <c r="R2" s="190"/>
    </row>
    <row r="3" spans="2:18">
      <c r="B3" s="174" t="s">
        <v>286</v>
      </c>
      <c r="C3" s="627">
        <f>'BOYU Capital Fund I'!E1</f>
        <v>45657</v>
      </c>
      <c r="D3" s="628"/>
      <c r="L3" s="172" t="s">
        <v>287</v>
      </c>
      <c r="M3" s="173">
        <f>P98</f>
        <v>92038825.620000005</v>
      </c>
      <c r="O3" s="2"/>
      <c r="P3" s="2"/>
      <c r="R3" s="190"/>
    </row>
    <row r="4" spans="2:18">
      <c r="C4" s="120"/>
      <c r="D4" s="120"/>
      <c r="L4" s="175" t="s">
        <v>288</v>
      </c>
      <c r="M4" s="176">
        <f>L100</f>
        <v>51248</v>
      </c>
      <c r="O4" s="371"/>
      <c r="P4" s="190"/>
      <c r="R4" s="190"/>
    </row>
    <row r="5" spans="2:18" s="75" customFormat="1">
      <c r="B5" s="75" t="s">
        <v>289</v>
      </c>
      <c r="C5" s="629" t="s">
        <v>434</v>
      </c>
      <c r="D5" s="629"/>
      <c r="H5" s="178"/>
      <c r="I5" s="179"/>
      <c r="J5" s="179"/>
      <c r="K5" s="179"/>
      <c r="L5" s="172" t="s">
        <v>75</v>
      </c>
      <c r="M5" s="180">
        <f>XIRR(L10:L100,E10:E100,0)</f>
        <v>0.33635510253906253</v>
      </c>
      <c r="N5" s="179"/>
      <c r="O5" s="189"/>
      <c r="P5" s="190"/>
      <c r="Q5" s="2"/>
      <c r="R5" s="372"/>
    </row>
    <row r="6" spans="2:18">
      <c r="B6" s="75" t="s">
        <v>291</v>
      </c>
      <c r="C6" s="75" t="s">
        <v>24</v>
      </c>
    </row>
    <row r="7" spans="2:18">
      <c r="B7" s="75" t="s">
        <v>52</v>
      </c>
      <c r="C7" s="181">
        <v>30000000</v>
      </c>
    </row>
    <row r="8" spans="2:18">
      <c r="B8" s="75"/>
      <c r="C8" s="182"/>
    </row>
    <row r="9" spans="2:18" s="186" customFormat="1" ht="22.5">
      <c r="B9" s="183" t="s">
        <v>292</v>
      </c>
      <c r="C9" s="183" t="s">
        <v>0</v>
      </c>
      <c r="D9" s="183" t="s">
        <v>293</v>
      </c>
      <c r="E9" s="183" t="s">
        <v>294</v>
      </c>
      <c r="F9" s="183" t="s">
        <v>295</v>
      </c>
      <c r="G9" s="183" t="s">
        <v>176</v>
      </c>
      <c r="H9" s="184" t="s">
        <v>296</v>
      </c>
      <c r="I9" s="185" t="s">
        <v>435</v>
      </c>
      <c r="J9" s="185" t="s">
        <v>436</v>
      </c>
      <c r="K9" s="185" t="s">
        <v>299</v>
      </c>
      <c r="L9" s="185" t="s">
        <v>300</v>
      </c>
      <c r="M9" s="185" t="s">
        <v>301</v>
      </c>
      <c r="N9" s="185" t="s">
        <v>302</v>
      </c>
      <c r="O9" s="185" t="s">
        <v>437</v>
      </c>
      <c r="P9" s="185" t="s">
        <v>438</v>
      </c>
      <c r="Q9" s="183"/>
      <c r="R9" s="184" t="s">
        <v>195</v>
      </c>
    </row>
    <row r="10" spans="2:18">
      <c r="B10" s="2" t="s">
        <v>439</v>
      </c>
      <c r="C10" s="2" t="s">
        <v>308</v>
      </c>
      <c r="D10" s="187">
        <v>40754</v>
      </c>
      <c r="E10" s="187">
        <v>40767</v>
      </c>
      <c r="F10" s="210">
        <f>YEAR(E10)</f>
        <v>2011</v>
      </c>
      <c r="G10" s="2" t="s">
        <v>440</v>
      </c>
      <c r="H10" s="108">
        <v>-2608318.58</v>
      </c>
      <c r="I10" s="108">
        <v>-333149.17</v>
      </c>
      <c r="J10" s="108">
        <v>-35864.379999999997</v>
      </c>
      <c r="K10" s="108">
        <f>-48905.97</f>
        <v>-48905.97</v>
      </c>
      <c r="L10" s="108">
        <f>SUM(H10:K10)</f>
        <v>-3026238.1</v>
      </c>
      <c r="M10" s="170">
        <f>L10</f>
        <v>-3026238.1</v>
      </c>
      <c r="N10" s="108">
        <f>$C$7+M10</f>
        <v>26973761.899999999</v>
      </c>
      <c r="O10" s="170">
        <f>SUMIF(H10:K10,"&gt;0", H10:K10)</f>
        <v>0</v>
      </c>
      <c r="P10" s="170">
        <f>O10</f>
        <v>0</v>
      </c>
      <c r="Q10" s="132"/>
    </row>
    <row r="11" spans="2:18">
      <c r="B11" s="2" t="s">
        <v>441</v>
      </c>
      <c r="D11" s="187">
        <v>40819</v>
      </c>
      <c r="E11" s="187">
        <v>40819</v>
      </c>
      <c r="F11" s="210">
        <f t="shared" ref="F11:F74" si="0">YEAR(E11)</f>
        <v>2011</v>
      </c>
      <c r="H11" s="398"/>
      <c r="I11" s="108"/>
      <c r="J11" s="399"/>
      <c r="K11" s="399"/>
      <c r="L11" s="108">
        <v>287574.3</v>
      </c>
      <c r="M11" s="108">
        <f>M10+L11</f>
        <v>-2738663.8000000003</v>
      </c>
      <c r="N11" s="108">
        <f t="shared" ref="N11:N42" si="1">$C$7+M11</f>
        <v>27261336.199999999</v>
      </c>
      <c r="O11" s="170">
        <f>SUMIF(H11:K11,"&gt;0", H11:K11)</f>
        <v>0</v>
      </c>
      <c r="P11" s="108">
        <f>O11+P10</f>
        <v>0</v>
      </c>
      <c r="Q11" s="132"/>
    </row>
    <row r="12" spans="2:18">
      <c r="B12" s="2" t="s">
        <v>439</v>
      </c>
      <c r="C12" s="2" t="s">
        <v>310</v>
      </c>
      <c r="D12" s="187">
        <v>40926</v>
      </c>
      <c r="E12" s="187">
        <v>40942</v>
      </c>
      <c r="F12" s="210">
        <f t="shared" si="0"/>
        <v>2012</v>
      </c>
      <c r="G12" s="2" t="s">
        <v>442</v>
      </c>
      <c r="H12" s="108">
        <v>-2195507.19</v>
      </c>
      <c r="I12" s="108">
        <v>-300000</v>
      </c>
      <c r="J12" s="108">
        <v>-65518.61</v>
      </c>
      <c r="K12" s="108"/>
      <c r="L12" s="108">
        <f>SUM(H12:K12)</f>
        <v>-2561025.7999999998</v>
      </c>
      <c r="M12" s="108">
        <f>M11+IF(L12&lt;0,L12,0)</f>
        <v>-5299689.5999999996</v>
      </c>
      <c r="N12" s="108">
        <f t="shared" si="1"/>
        <v>24700310.399999999</v>
      </c>
      <c r="O12" s="170">
        <f>SUMIF(H12:K12,"&gt;0", H12:K12)</f>
        <v>0</v>
      </c>
      <c r="P12" s="108">
        <f t="shared" ref="P12:P18" si="2">P11+O12</f>
        <v>0</v>
      </c>
      <c r="Q12" s="132"/>
    </row>
    <row r="13" spans="2:18">
      <c r="B13" s="2" t="s">
        <v>49</v>
      </c>
      <c r="C13" s="2" t="s">
        <v>314</v>
      </c>
      <c r="D13" s="187">
        <v>40926</v>
      </c>
      <c r="E13" s="187">
        <v>40942</v>
      </c>
      <c r="F13" s="210">
        <f t="shared" si="0"/>
        <v>2012</v>
      </c>
      <c r="G13" s="2" t="s">
        <v>443</v>
      </c>
      <c r="H13" s="108">
        <v>238804.12</v>
      </c>
      <c r="I13" s="108"/>
      <c r="J13" s="108"/>
      <c r="K13" s="108"/>
      <c r="L13" s="108">
        <f>SUM(H13:K13)</f>
        <v>238804.12</v>
      </c>
      <c r="M13" s="108">
        <f>M12+IF(L13&lt;0,L13,0)</f>
        <v>-5299689.5999999996</v>
      </c>
      <c r="N13" s="108">
        <f>$C$7+M13</f>
        <v>24700310.399999999</v>
      </c>
      <c r="O13" s="170">
        <f>SUMIF(H13:K13,"&gt;0", H13:K13)</f>
        <v>238804.12</v>
      </c>
      <c r="P13" s="108">
        <f>P12+O13</f>
        <v>238804.12</v>
      </c>
      <c r="Q13" s="132"/>
    </row>
    <row r="14" spans="2:18">
      <c r="B14" s="2" t="s">
        <v>439</v>
      </c>
      <c r="C14" s="2" t="s">
        <v>311</v>
      </c>
      <c r="D14" s="187">
        <v>41036</v>
      </c>
      <c r="E14" s="187">
        <v>41047</v>
      </c>
      <c r="F14" s="210">
        <f t="shared" si="0"/>
        <v>2012</v>
      </c>
      <c r="G14" s="2" t="s">
        <v>444</v>
      </c>
      <c r="H14" s="108">
        <v>-2262813.59</v>
      </c>
      <c r="I14" s="108"/>
      <c r="J14" s="108">
        <v>-17759.41</v>
      </c>
      <c r="K14" s="108"/>
      <c r="L14" s="108">
        <f>SUM(H14:K14)</f>
        <v>-2280573</v>
      </c>
      <c r="M14" s="108">
        <f t="shared" ref="M14:M77" si="3">M13+IF(L14&lt;0,L14,0)</f>
        <v>-7580262.5999999996</v>
      </c>
      <c r="N14" s="108">
        <f t="shared" si="1"/>
        <v>22419737.399999999</v>
      </c>
      <c r="O14" s="170">
        <f t="shared" ref="O14:O77" si="4">SUMIF(H14:K14,"&gt;0", H14:K14)</f>
        <v>0</v>
      </c>
      <c r="P14" s="108">
        <f t="shared" si="2"/>
        <v>238804.12</v>
      </c>
      <c r="Q14" s="132"/>
    </row>
    <row r="15" spans="2:18">
      <c r="B15" s="2" t="s">
        <v>439</v>
      </c>
      <c r="C15" s="2" t="s">
        <v>316</v>
      </c>
      <c r="D15" s="187">
        <v>41094</v>
      </c>
      <c r="E15" s="187">
        <v>41107</v>
      </c>
      <c r="F15" s="210">
        <f t="shared" si="0"/>
        <v>2012</v>
      </c>
      <c r="H15" s="108"/>
      <c r="I15" s="108">
        <v>-300000</v>
      </c>
      <c r="J15" s="108"/>
      <c r="K15" s="108"/>
      <c r="L15" s="108">
        <f>SUM(H15:K15)</f>
        <v>-300000</v>
      </c>
      <c r="M15" s="108">
        <f t="shared" si="3"/>
        <v>-7880262.5999999996</v>
      </c>
      <c r="N15" s="108">
        <f t="shared" si="1"/>
        <v>22119737.399999999</v>
      </c>
      <c r="O15" s="170">
        <f t="shared" si="4"/>
        <v>0</v>
      </c>
      <c r="P15" s="108">
        <f t="shared" si="2"/>
        <v>238804.12</v>
      </c>
      <c r="Q15" s="132"/>
    </row>
    <row r="16" spans="2:18">
      <c r="B16" s="2" t="s">
        <v>439</v>
      </c>
      <c r="C16" s="2" t="s">
        <v>320</v>
      </c>
      <c r="D16" s="187">
        <v>41148</v>
      </c>
      <c r="E16" s="187">
        <v>41159</v>
      </c>
      <c r="F16" s="210">
        <f t="shared" si="0"/>
        <v>2012</v>
      </c>
      <c r="G16" s="2" t="s">
        <v>445</v>
      </c>
      <c r="H16" s="108">
        <f>-4744746.56-735496.43</f>
        <v>-5480242.9899999993</v>
      </c>
      <c r="I16" s="108"/>
      <c r="J16" s="108">
        <v>-11061.35</v>
      </c>
      <c r="K16" s="108"/>
      <c r="L16" s="108">
        <f>SUM(H16:K16)</f>
        <v>-5491304.3399999989</v>
      </c>
      <c r="M16" s="108">
        <f t="shared" si="3"/>
        <v>-13371566.939999998</v>
      </c>
      <c r="N16" s="108">
        <f t="shared" si="1"/>
        <v>16628433.060000002</v>
      </c>
      <c r="O16" s="170">
        <f t="shared" si="4"/>
        <v>0</v>
      </c>
      <c r="P16" s="108">
        <f t="shared" si="2"/>
        <v>238804.12</v>
      </c>
      <c r="Q16" s="132"/>
    </row>
    <row r="17" spans="2:16">
      <c r="B17" s="2" t="s">
        <v>49</v>
      </c>
      <c r="C17" s="2" t="s">
        <v>330</v>
      </c>
      <c r="D17" s="187">
        <v>41148</v>
      </c>
      <c r="E17" s="187">
        <v>41159</v>
      </c>
      <c r="F17" s="210">
        <f t="shared" si="0"/>
        <v>2012</v>
      </c>
      <c r="G17" s="2" t="s">
        <v>446</v>
      </c>
      <c r="H17" s="108">
        <v>6565.12</v>
      </c>
      <c r="I17" s="108"/>
      <c r="J17" s="108"/>
      <c r="K17" s="108"/>
      <c r="L17" s="108">
        <f t="shared" ref="L17:L80" si="5">SUM(H17:K17)</f>
        <v>6565.12</v>
      </c>
      <c r="M17" s="108">
        <f t="shared" si="3"/>
        <v>-13371566.939999998</v>
      </c>
      <c r="N17" s="108">
        <f t="shared" si="1"/>
        <v>16628433.060000002</v>
      </c>
      <c r="O17" s="170">
        <f t="shared" si="4"/>
        <v>6565.12</v>
      </c>
      <c r="P17" s="108">
        <f>P16+O17</f>
        <v>245369.24</v>
      </c>
    </row>
    <row r="18" spans="2:16">
      <c r="B18" s="2" t="s">
        <v>439</v>
      </c>
      <c r="C18" s="2" t="s">
        <v>325</v>
      </c>
      <c r="D18" s="187">
        <v>41242</v>
      </c>
      <c r="E18" s="187">
        <v>41255</v>
      </c>
      <c r="F18" s="210">
        <f t="shared" si="0"/>
        <v>2012</v>
      </c>
      <c r="G18" s="2" t="s">
        <v>447</v>
      </c>
      <c r="H18" s="108">
        <f>-83662.29-1277625.49-1395122.14</f>
        <v>-2756409.92</v>
      </c>
      <c r="I18" s="108"/>
      <c r="J18" s="108">
        <v>-47598.93</v>
      </c>
      <c r="K18" s="108">
        <v>2477.4499999999998</v>
      </c>
      <c r="L18" s="108">
        <f t="shared" si="5"/>
        <v>-2801531.4</v>
      </c>
      <c r="M18" s="108">
        <f t="shared" si="3"/>
        <v>-16173098.339999998</v>
      </c>
      <c r="N18" s="108">
        <f t="shared" si="1"/>
        <v>13826901.660000002</v>
      </c>
      <c r="O18" s="170"/>
      <c r="P18" s="108">
        <f t="shared" si="2"/>
        <v>245369.24</v>
      </c>
    </row>
    <row r="19" spans="2:16">
      <c r="B19" s="2" t="s">
        <v>49</v>
      </c>
      <c r="C19" s="2" t="s">
        <v>337</v>
      </c>
      <c r="D19" s="187">
        <v>41242</v>
      </c>
      <c r="E19" s="187">
        <v>41255</v>
      </c>
      <c r="F19" s="210">
        <f t="shared" si="0"/>
        <v>2012</v>
      </c>
      <c r="G19" s="2" t="s">
        <v>443</v>
      </c>
      <c r="H19" s="108">
        <v>1164898.1200000001</v>
      </c>
      <c r="I19" s="108"/>
      <c r="J19" s="108"/>
      <c r="K19" s="108"/>
      <c r="L19" s="108">
        <f t="shared" si="5"/>
        <v>1164898.1200000001</v>
      </c>
      <c r="M19" s="108">
        <f t="shared" si="3"/>
        <v>-16173098.339999998</v>
      </c>
      <c r="N19" s="108">
        <f t="shared" si="1"/>
        <v>13826901.660000002</v>
      </c>
      <c r="O19" s="170">
        <f t="shared" si="4"/>
        <v>1164898.1200000001</v>
      </c>
      <c r="P19" s="108">
        <f>P18+O19</f>
        <v>1410267.36</v>
      </c>
    </row>
    <row r="20" spans="2:16">
      <c r="B20" s="2" t="s">
        <v>439</v>
      </c>
      <c r="C20" s="2" t="s">
        <v>322</v>
      </c>
      <c r="D20" s="187">
        <v>41282</v>
      </c>
      <c r="E20" s="187">
        <v>41295</v>
      </c>
      <c r="F20" s="210">
        <f t="shared" si="0"/>
        <v>2013</v>
      </c>
      <c r="H20" s="108"/>
      <c r="I20" s="108">
        <v>-300000</v>
      </c>
      <c r="J20" s="108">
        <v>-5824.49</v>
      </c>
      <c r="K20" s="108"/>
      <c r="L20" s="108">
        <f t="shared" si="5"/>
        <v>-305824.49</v>
      </c>
      <c r="M20" s="108">
        <f t="shared" si="3"/>
        <v>-16478922.829999998</v>
      </c>
      <c r="N20" s="108">
        <f t="shared" si="1"/>
        <v>13521077.170000002</v>
      </c>
      <c r="O20" s="170">
        <f t="shared" si="4"/>
        <v>0</v>
      </c>
      <c r="P20" s="108">
        <f t="shared" ref="P20:P83" si="6">P19+O20</f>
        <v>1410267.36</v>
      </c>
    </row>
    <row r="21" spans="2:16">
      <c r="B21" s="2" t="s">
        <v>439</v>
      </c>
      <c r="C21" s="2" t="s">
        <v>324</v>
      </c>
      <c r="D21" s="187">
        <v>41457</v>
      </c>
      <c r="E21" s="187">
        <v>41470</v>
      </c>
      <c r="F21" s="210">
        <f t="shared" si="0"/>
        <v>2013</v>
      </c>
      <c r="H21" s="108"/>
      <c r="I21" s="108">
        <v>-300000</v>
      </c>
      <c r="J21" s="108"/>
      <c r="K21" s="108"/>
      <c r="L21" s="108">
        <f t="shared" si="5"/>
        <v>-300000</v>
      </c>
      <c r="M21" s="108">
        <f t="shared" si="3"/>
        <v>-16778922.829999998</v>
      </c>
      <c r="N21" s="108">
        <f t="shared" si="1"/>
        <v>13221077.170000002</v>
      </c>
      <c r="O21" s="170">
        <f t="shared" si="4"/>
        <v>0</v>
      </c>
      <c r="P21" s="108">
        <f t="shared" si="6"/>
        <v>1410267.36</v>
      </c>
    </row>
    <row r="22" spans="2:16">
      <c r="B22" s="2" t="s">
        <v>49</v>
      </c>
      <c r="C22" s="2" t="s">
        <v>338</v>
      </c>
      <c r="D22" s="187">
        <v>41457</v>
      </c>
      <c r="E22" s="187">
        <v>41470</v>
      </c>
      <c r="F22" s="210">
        <f t="shared" si="0"/>
        <v>2013</v>
      </c>
      <c r="G22" s="2" t="s">
        <v>448</v>
      </c>
      <c r="H22" s="108">
        <v>25719.200000000001</v>
      </c>
      <c r="I22" s="108"/>
      <c r="J22" s="108"/>
      <c r="K22" s="108"/>
      <c r="L22" s="108">
        <f t="shared" si="5"/>
        <v>25719.200000000001</v>
      </c>
      <c r="M22" s="108">
        <f t="shared" si="3"/>
        <v>-16778922.829999998</v>
      </c>
      <c r="N22" s="108">
        <f t="shared" si="1"/>
        <v>13221077.170000002</v>
      </c>
      <c r="O22" s="170">
        <f t="shared" si="4"/>
        <v>25719.200000000001</v>
      </c>
      <c r="P22" s="108">
        <f t="shared" si="6"/>
        <v>1435986.56</v>
      </c>
    </row>
    <row r="23" spans="2:16">
      <c r="B23" s="2" t="s">
        <v>439</v>
      </c>
      <c r="C23" s="2" t="s">
        <v>327</v>
      </c>
      <c r="D23" s="187">
        <v>41547</v>
      </c>
      <c r="E23" s="187">
        <v>41562</v>
      </c>
      <c r="F23" s="210">
        <f t="shared" si="0"/>
        <v>2013</v>
      </c>
      <c r="G23" s="2" t="s">
        <v>449</v>
      </c>
      <c r="H23" s="108">
        <f>-(208381.07+1431996.96)</f>
        <v>-1640378.03</v>
      </c>
      <c r="I23" s="108"/>
      <c r="J23" s="108">
        <v>-65504.480000000003</v>
      </c>
      <c r="K23" s="108"/>
      <c r="L23" s="108">
        <f t="shared" si="5"/>
        <v>-1705882.51</v>
      </c>
      <c r="M23" s="108">
        <f t="shared" si="3"/>
        <v>-18484805.34</v>
      </c>
      <c r="N23" s="108">
        <f t="shared" si="1"/>
        <v>11515194.66</v>
      </c>
      <c r="O23" s="170">
        <f t="shared" si="4"/>
        <v>0</v>
      </c>
      <c r="P23" s="108">
        <f t="shared" si="6"/>
        <v>1435986.56</v>
      </c>
    </row>
    <row r="24" spans="2:16">
      <c r="B24" s="2" t="s">
        <v>49</v>
      </c>
      <c r="C24" s="2" t="s">
        <v>340</v>
      </c>
      <c r="D24" s="187">
        <v>41547</v>
      </c>
      <c r="E24" s="187">
        <v>41562</v>
      </c>
      <c r="F24" s="210">
        <f t="shared" si="0"/>
        <v>2013</v>
      </c>
      <c r="G24" s="2" t="s">
        <v>450</v>
      </c>
      <c r="H24" s="108">
        <v>1227958.7</v>
      </c>
      <c r="I24" s="108"/>
      <c r="J24" s="108"/>
      <c r="K24" s="108"/>
      <c r="L24" s="108">
        <f t="shared" si="5"/>
        <v>1227958.7</v>
      </c>
      <c r="M24" s="108">
        <f t="shared" si="3"/>
        <v>-18484805.34</v>
      </c>
      <c r="N24" s="108">
        <f t="shared" si="1"/>
        <v>11515194.66</v>
      </c>
      <c r="O24" s="170">
        <f t="shared" si="4"/>
        <v>1227958.7</v>
      </c>
      <c r="P24" s="108">
        <f t="shared" si="6"/>
        <v>2663945.2599999998</v>
      </c>
    </row>
    <row r="25" spans="2:16">
      <c r="B25" s="2" t="s">
        <v>49</v>
      </c>
      <c r="C25" s="2" t="s">
        <v>343</v>
      </c>
      <c r="D25" s="187">
        <v>41570</v>
      </c>
      <c r="E25" s="187">
        <v>41572</v>
      </c>
      <c r="F25" s="210">
        <f t="shared" si="0"/>
        <v>2013</v>
      </c>
      <c r="G25" s="2" t="s">
        <v>451</v>
      </c>
      <c r="H25" s="108">
        <v>165561.07999999999</v>
      </c>
      <c r="I25" s="108"/>
      <c r="J25" s="108"/>
      <c r="K25" s="108"/>
      <c r="L25" s="108">
        <f t="shared" si="5"/>
        <v>165561.07999999999</v>
      </c>
      <c r="M25" s="108">
        <f t="shared" si="3"/>
        <v>-18484805.34</v>
      </c>
      <c r="N25" s="108">
        <f t="shared" si="1"/>
        <v>11515194.66</v>
      </c>
      <c r="O25" s="170">
        <f t="shared" si="4"/>
        <v>165561.07999999999</v>
      </c>
      <c r="P25" s="108">
        <f t="shared" si="6"/>
        <v>2829506.34</v>
      </c>
    </row>
    <row r="26" spans="2:16">
      <c r="B26" s="2" t="s">
        <v>439</v>
      </c>
      <c r="C26" s="2" t="s">
        <v>329</v>
      </c>
      <c r="D26" s="187">
        <v>41641</v>
      </c>
      <c r="E26" s="187">
        <v>41654</v>
      </c>
      <c r="F26" s="210">
        <f t="shared" si="0"/>
        <v>2014</v>
      </c>
      <c r="H26" s="108"/>
      <c r="I26" s="108">
        <v>-300000</v>
      </c>
      <c r="J26" s="108"/>
      <c r="K26" s="108"/>
      <c r="L26" s="108">
        <f t="shared" si="5"/>
        <v>-300000</v>
      </c>
      <c r="M26" s="170">
        <f t="shared" si="3"/>
        <v>-18784805.34</v>
      </c>
      <c r="N26" s="108">
        <f t="shared" si="1"/>
        <v>11215194.66</v>
      </c>
      <c r="O26" s="170">
        <f t="shared" si="4"/>
        <v>0</v>
      </c>
      <c r="P26" s="108">
        <f t="shared" si="6"/>
        <v>2829506.34</v>
      </c>
    </row>
    <row r="27" spans="2:16">
      <c r="B27" s="2" t="s">
        <v>439</v>
      </c>
      <c r="C27" s="2" t="s">
        <v>331</v>
      </c>
      <c r="D27" s="187">
        <v>41727</v>
      </c>
      <c r="E27" s="187">
        <v>41740</v>
      </c>
      <c r="F27" s="210">
        <f t="shared" si="0"/>
        <v>2014</v>
      </c>
      <c r="G27" s="2" t="s">
        <v>174</v>
      </c>
      <c r="H27" s="108">
        <v>-1977545.77</v>
      </c>
      <c r="I27" s="108"/>
      <c r="J27" s="108">
        <v>-16764.57</v>
      </c>
      <c r="K27" s="108"/>
      <c r="L27" s="108">
        <f t="shared" si="5"/>
        <v>-1994310.34</v>
      </c>
      <c r="M27" s="170">
        <f t="shared" si="3"/>
        <v>-20779115.68</v>
      </c>
      <c r="N27" s="108">
        <f t="shared" si="1"/>
        <v>9220884.3200000003</v>
      </c>
      <c r="O27" s="170">
        <f t="shared" si="4"/>
        <v>0</v>
      </c>
      <c r="P27" s="108">
        <f t="shared" si="6"/>
        <v>2829506.34</v>
      </c>
    </row>
    <row r="28" spans="2:16">
      <c r="B28" s="2" t="s">
        <v>49</v>
      </c>
      <c r="C28" s="2" t="s">
        <v>349</v>
      </c>
      <c r="D28" s="187">
        <v>41727</v>
      </c>
      <c r="E28" s="187">
        <v>41740</v>
      </c>
      <c r="F28" s="210">
        <f t="shared" si="0"/>
        <v>2014</v>
      </c>
      <c r="G28" s="2" t="s">
        <v>452</v>
      </c>
      <c r="H28" s="108">
        <v>38667.550000000003</v>
      </c>
      <c r="I28" s="108"/>
      <c r="J28" s="108"/>
      <c r="K28" s="108"/>
      <c r="L28" s="108">
        <f t="shared" si="5"/>
        <v>38667.550000000003</v>
      </c>
      <c r="M28" s="170">
        <f t="shared" si="3"/>
        <v>-20779115.68</v>
      </c>
      <c r="N28" s="108">
        <f t="shared" si="1"/>
        <v>9220884.3200000003</v>
      </c>
      <c r="O28" s="170">
        <f t="shared" si="4"/>
        <v>38667.550000000003</v>
      </c>
      <c r="P28" s="108">
        <f t="shared" si="6"/>
        <v>2868173.8899999997</v>
      </c>
    </row>
    <row r="29" spans="2:16">
      <c r="B29" s="2" t="s">
        <v>439</v>
      </c>
      <c r="C29" s="2" t="s">
        <v>333</v>
      </c>
      <c r="D29" s="187">
        <v>41744</v>
      </c>
      <c r="E29" s="187">
        <v>41759</v>
      </c>
      <c r="F29" s="210">
        <f t="shared" si="0"/>
        <v>2014</v>
      </c>
      <c r="G29" s="2" t="s">
        <v>430</v>
      </c>
      <c r="H29" s="108">
        <v>-2035705.88</v>
      </c>
      <c r="I29" s="108"/>
      <c r="J29" s="108"/>
      <c r="K29" s="108"/>
      <c r="L29" s="108">
        <f t="shared" si="5"/>
        <v>-2035705.88</v>
      </c>
      <c r="M29" s="170">
        <f t="shared" si="3"/>
        <v>-22814821.559999999</v>
      </c>
      <c r="N29" s="108">
        <f t="shared" si="1"/>
        <v>7185178.4400000013</v>
      </c>
      <c r="O29" s="170">
        <f t="shared" si="4"/>
        <v>0</v>
      </c>
      <c r="P29" s="108">
        <f t="shared" si="6"/>
        <v>2868173.8899999997</v>
      </c>
    </row>
    <row r="30" spans="2:16">
      <c r="B30" s="2" t="s">
        <v>439</v>
      </c>
      <c r="C30" s="2" t="s">
        <v>335</v>
      </c>
      <c r="D30" s="187">
        <v>41771</v>
      </c>
      <c r="E30" s="187">
        <v>41782</v>
      </c>
      <c r="F30" s="210">
        <f t="shared" si="0"/>
        <v>2014</v>
      </c>
      <c r="G30" s="2" t="s">
        <v>432</v>
      </c>
      <c r="H30" s="108">
        <v>-1523767.25</v>
      </c>
      <c r="I30" s="108"/>
      <c r="J30" s="108">
        <v>-12909.12</v>
      </c>
      <c r="K30" s="108"/>
      <c r="L30" s="108">
        <f t="shared" si="5"/>
        <v>-1536676.37</v>
      </c>
      <c r="M30" s="170">
        <f t="shared" si="3"/>
        <v>-24351497.93</v>
      </c>
      <c r="N30" s="108">
        <f t="shared" si="1"/>
        <v>5648502.0700000003</v>
      </c>
      <c r="O30" s="170">
        <f t="shared" si="4"/>
        <v>0</v>
      </c>
      <c r="P30" s="108">
        <f t="shared" si="6"/>
        <v>2868173.8899999997</v>
      </c>
    </row>
    <row r="31" spans="2:16">
      <c r="B31" s="2" t="s">
        <v>439</v>
      </c>
      <c r="C31" s="2" t="s">
        <v>342</v>
      </c>
      <c r="D31" s="187">
        <v>41822</v>
      </c>
      <c r="E31" s="187">
        <v>41835</v>
      </c>
      <c r="F31" s="210">
        <f t="shared" si="0"/>
        <v>2014</v>
      </c>
      <c r="G31" s="2" t="s">
        <v>430</v>
      </c>
      <c r="H31" s="108">
        <f>-20594.08</f>
        <v>-20594.080000000002</v>
      </c>
      <c r="I31" s="108">
        <v>-300000</v>
      </c>
      <c r="J31" s="108"/>
      <c r="K31" s="108"/>
      <c r="L31" s="108">
        <f t="shared" si="5"/>
        <v>-320594.08</v>
      </c>
      <c r="M31" s="170">
        <f t="shared" si="3"/>
        <v>-24672092.009999998</v>
      </c>
      <c r="N31" s="108">
        <f t="shared" si="1"/>
        <v>5327907.9900000021</v>
      </c>
      <c r="O31" s="170">
        <f t="shared" si="4"/>
        <v>0</v>
      </c>
      <c r="P31" s="108">
        <f t="shared" si="6"/>
        <v>2868173.8899999997</v>
      </c>
    </row>
    <row r="32" spans="2:16">
      <c r="B32" s="2" t="s">
        <v>49</v>
      </c>
      <c r="C32" s="2" t="s">
        <v>351</v>
      </c>
      <c r="D32" s="187">
        <v>41822</v>
      </c>
      <c r="E32" s="187">
        <v>41835</v>
      </c>
      <c r="F32" s="210">
        <f t="shared" si="0"/>
        <v>2014</v>
      </c>
      <c r="G32" s="2" t="s">
        <v>453</v>
      </c>
      <c r="H32" s="108">
        <f>52649.71</f>
        <v>52649.71</v>
      </c>
      <c r="I32" s="108"/>
      <c r="J32" s="108"/>
      <c r="K32" s="108"/>
      <c r="L32" s="108">
        <f t="shared" si="5"/>
        <v>52649.71</v>
      </c>
      <c r="M32" s="170">
        <f t="shared" si="3"/>
        <v>-24672092.009999998</v>
      </c>
      <c r="N32" s="108">
        <f t="shared" si="1"/>
        <v>5327907.9900000021</v>
      </c>
      <c r="O32" s="170">
        <f t="shared" si="4"/>
        <v>52649.71</v>
      </c>
      <c r="P32" s="108">
        <f t="shared" si="6"/>
        <v>2920823.5999999996</v>
      </c>
    </row>
    <row r="33" spans="2:18">
      <c r="B33" s="2" t="s">
        <v>49</v>
      </c>
      <c r="C33" s="2" t="s">
        <v>357</v>
      </c>
      <c r="D33" s="187">
        <v>41920</v>
      </c>
      <c r="E33" s="187">
        <v>41927</v>
      </c>
      <c r="F33" s="210">
        <f t="shared" si="0"/>
        <v>2014</v>
      </c>
      <c r="G33" s="2" t="s">
        <v>454</v>
      </c>
      <c r="H33" s="108">
        <v>1897936.44</v>
      </c>
      <c r="I33" s="108"/>
      <c r="J33" s="108"/>
      <c r="K33" s="108"/>
      <c r="L33" s="108">
        <f t="shared" si="5"/>
        <v>1897936.44</v>
      </c>
      <c r="M33" s="170">
        <f t="shared" si="3"/>
        <v>-24672092.009999998</v>
      </c>
      <c r="N33" s="108">
        <f t="shared" si="1"/>
        <v>5327907.9900000021</v>
      </c>
      <c r="O33" s="170">
        <f t="shared" si="4"/>
        <v>1897936.44</v>
      </c>
      <c r="P33" s="108">
        <f t="shared" si="6"/>
        <v>4818760.0399999991</v>
      </c>
      <c r="Q33" s="132"/>
      <c r="R33" s="170">
        <v>306789.19</v>
      </c>
    </row>
    <row r="34" spans="2:18">
      <c r="B34" s="2" t="s">
        <v>439</v>
      </c>
      <c r="C34" s="2" t="s">
        <v>346</v>
      </c>
      <c r="D34" s="187">
        <v>41920</v>
      </c>
      <c r="E34" s="187">
        <v>41927</v>
      </c>
      <c r="F34" s="210">
        <f t="shared" si="0"/>
        <v>2014</v>
      </c>
      <c r="G34" s="2" t="s">
        <v>430</v>
      </c>
      <c r="H34" s="108">
        <v>-11739.16</v>
      </c>
      <c r="I34" s="108"/>
      <c r="J34" s="108"/>
      <c r="K34" s="108"/>
      <c r="L34" s="108">
        <f t="shared" si="5"/>
        <v>-11739.16</v>
      </c>
      <c r="M34" s="170">
        <f t="shared" si="3"/>
        <v>-24683831.169999998</v>
      </c>
      <c r="N34" s="108">
        <f t="shared" si="1"/>
        <v>5316168.8300000019</v>
      </c>
      <c r="O34" s="170">
        <f t="shared" si="4"/>
        <v>0</v>
      </c>
      <c r="P34" s="108">
        <f t="shared" si="6"/>
        <v>4818760.0399999991</v>
      </c>
      <c r="Q34" s="132"/>
    </row>
    <row r="35" spans="2:18">
      <c r="B35" s="2" t="s">
        <v>49</v>
      </c>
      <c r="C35" s="2" t="s">
        <v>360</v>
      </c>
      <c r="D35" s="187">
        <v>42010</v>
      </c>
      <c r="E35" s="187">
        <v>42017</v>
      </c>
      <c r="F35" s="210">
        <f t="shared" si="0"/>
        <v>2015</v>
      </c>
      <c r="G35" s="2" t="s">
        <v>455</v>
      </c>
      <c r="H35" s="108">
        <v>528174.09</v>
      </c>
      <c r="I35" s="108"/>
      <c r="J35" s="108"/>
      <c r="K35" s="108"/>
      <c r="L35" s="108">
        <f t="shared" si="5"/>
        <v>528174.09</v>
      </c>
      <c r="M35" s="170">
        <f t="shared" si="3"/>
        <v>-24683831.169999998</v>
      </c>
      <c r="N35" s="108">
        <f t="shared" si="1"/>
        <v>5316168.8300000019</v>
      </c>
      <c r="O35" s="170">
        <f t="shared" si="4"/>
        <v>528174.09</v>
      </c>
      <c r="P35" s="108">
        <f t="shared" si="6"/>
        <v>5346934.129999999</v>
      </c>
      <c r="Q35" s="132"/>
      <c r="R35" s="170">
        <v>22650.75</v>
      </c>
    </row>
    <row r="36" spans="2:18">
      <c r="B36" s="2" t="s">
        <v>439</v>
      </c>
      <c r="C36" s="2" t="s">
        <v>456</v>
      </c>
      <c r="D36" s="187">
        <v>42010</v>
      </c>
      <c r="E36" s="187">
        <v>42017</v>
      </c>
      <c r="F36" s="210">
        <f t="shared" si="0"/>
        <v>2015</v>
      </c>
      <c r="H36" s="108"/>
      <c r="I36" s="108">
        <v>-300000</v>
      </c>
      <c r="J36" s="108">
        <v>-27055.46</v>
      </c>
      <c r="K36" s="108"/>
      <c r="L36" s="108">
        <f t="shared" si="5"/>
        <v>-327055.46000000002</v>
      </c>
      <c r="M36" s="170">
        <f t="shared" si="3"/>
        <v>-25010886.629999999</v>
      </c>
      <c r="N36" s="108">
        <f t="shared" si="1"/>
        <v>4989113.370000001</v>
      </c>
      <c r="O36" s="170">
        <f t="shared" si="4"/>
        <v>0</v>
      </c>
      <c r="P36" s="108">
        <f t="shared" si="6"/>
        <v>5346934.129999999</v>
      </c>
      <c r="Q36" s="132"/>
    </row>
    <row r="37" spans="2:18">
      <c r="B37" s="2" t="s">
        <v>439</v>
      </c>
      <c r="C37" s="2" t="s">
        <v>353</v>
      </c>
      <c r="D37" s="187">
        <v>42032</v>
      </c>
      <c r="E37" s="187">
        <v>42045</v>
      </c>
      <c r="F37" s="210">
        <f t="shared" si="0"/>
        <v>2015</v>
      </c>
      <c r="G37" s="2" t="s">
        <v>174</v>
      </c>
      <c r="H37" s="108">
        <v>-2617351.56</v>
      </c>
      <c r="I37" s="108"/>
      <c r="J37" s="108">
        <v>-1163.26</v>
      </c>
      <c r="K37" s="108"/>
      <c r="L37" s="108">
        <f t="shared" si="5"/>
        <v>-2618514.8199999998</v>
      </c>
      <c r="M37" s="170">
        <f t="shared" si="3"/>
        <v>-27629401.449999999</v>
      </c>
      <c r="N37" s="108">
        <f t="shared" si="1"/>
        <v>2370598.5500000007</v>
      </c>
      <c r="O37" s="170">
        <f t="shared" si="4"/>
        <v>0</v>
      </c>
      <c r="P37" s="108">
        <f t="shared" si="6"/>
        <v>5346934.129999999</v>
      </c>
      <c r="Q37" s="132"/>
    </row>
    <row r="38" spans="2:18">
      <c r="B38" s="2" t="s">
        <v>49</v>
      </c>
      <c r="C38" s="2" t="s">
        <v>364</v>
      </c>
      <c r="D38" s="187">
        <v>42156</v>
      </c>
      <c r="E38" s="187">
        <v>42158</v>
      </c>
      <c r="F38" s="210">
        <f t="shared" si="0"/>
        <v>2015</v>
      </c>
      <c r="G38" s="2" t="s">
        <v>457</v>
      </c>
      <c r="H38" s="108">
        <v>1076690.52</v>
      </c>
      <c r="I38" s="108"/>
      <c r="J38" s="108"/>
      <c r="K38" s="108"/>
      <c r="L38" s="108">
        <f t="shared" si="5"/>
        <v>1076690.52</v>
      </c>
      <c r="M38" s="170">
        <f t="shared" si="3"/>
        <v>-27629401.449999999</v>
      </c>
      <c r="N38" s="108">
        <f t="shared" si="1"/>
        <v>2370598.5500000007</v>
      </c>
      <c r="O38" s="170">
        <f t="shared" si="4"/>
        <v>1076690.52</v>
      </c>
      <c r="P38" s="108">
        <f t="shared" si="6"/>
        <v>6423624.6499999985</v>
      </c>
      <c r="Q38" s="132"/>
      <c r="R38" s="170">
        <v>331095.14</v>
      </c>
    </row>
    <row r="39" spans="2:18">
      <c r="B39" s="2" t="s">
        <v>49</v>
      </c>
      <c r="C39" s="2" t="s">
        <v>366</v>
      </c>
      <c r="D39" s="187">
        <v>42165</v>
      </c>
      <c r="E39" s="187">
        <v>42167</v>
      </c>
      <c r="F39" s="210">
        <f t="shared" si="0"/>
        <v>2015</v>
      </c>
      <c r="G39" s="2" t="s">
        <v>458</v>
      </c>
      <c r="H39" s="108">
        <v>3807147.88</v>
      </c>
      <c r="I39" s="108"/>
      <c r="J39" s="108"/>
      <c r="K39" s="108"/>
      <c r="L39" s="108">
        <f t="shared" si="5"/>
        <v>3807147.88</v>
      </c>
      <c r="M39" s="170">
        <f t="shared" si="3"/>
        <v>-27629401.449999999</v>
      </c>
      <c r="N39" s="108">
        <f t="shared" si="1"/>
        <v>2370598.5500000007</v>
      </c>
      <c r="O39" s="170">
        <f t="shared" si="4"/>
        <v>3807147.88</v>
      </c>
      <c r="P39" s="108">
        <f t="shared" si="6"/>
        <v>10230772.529999997</v>
      </c>
      <c r="Q39" s="132"/>
      <c r="R39" s="170">
        <v>354348.02</v>
      </c>
    </row>
    <row r="40" spans="2:18">
      <c r="B40" s="2" t="s">
        <v>439</v>
      </c>
      <c r="C40" s="2" t="s">
        <v>356</v>
      </c>
      <c r="D40" s="187">
        <v>42188</v>
      </c>
      <c r="E40" s="187">
        <v>42201</v>
      </c>
      <c r="F40" s="210">
        <f t="shared" si="0"/>
        <v>2015</v>
      </c>
      <c r="H40" s="108"/>
      <c r="I40" s="108">
        <v>-300000</v>
      </c>
      <c r="J40" s="108">
        <v>-16453.310000000001</v>
      </c>
      <c r="K40" s="108"/>
      <c r="L40" s="108">
        <f t="shared" si="5"/>
        <v>-316453.31</v>
      </c>
      <c r="M40" s="170">
        <f t="shared" si="3"/>
        <v>-27945854.759999998</v>
      </c>
      <c r="N40" s="108">
        <f t="shared" si="1"/>
        <v>2054145.2400000021</v>
      </c>
      <c r="O40" s="170">
        <f t="shared" si="4"/>
        <v>0</v>
      </c>
      <c r="P40" s="108">
        <f t="shared" si="6"/>
        <v>10230772.529999997</v>
      </c>
      <c r="Q40" s="132"/>
    </row>
    <row r="41" spans="2:18">
      <c r="B41" s="2" t="s">
        <v>49</v>
      </c>
      <c r="C41" s="2" t="s">
        <v>373</v>
      </c>
      <c r="D41" s="187">
        <v>42188</v>
      </c>
      <c r="E41" s="187">
        <v>42201</v>
      </c>
      <c r="F41" s="210">
        <f t="shared" si="0"/>
        <v>2015</v>
      </c>
      <c r="G41" s="2" t="s">
        <v>459</v>
      </c>
      <c r="H41" s="108">
        <v>218860</v>
      </c>
      <c r="I41" s="108"/>
      <c r="J41" s="108"/>
      <c r="K41" s="108"/>
      <c r="L41" s="108">
        <f t="shared" si="5"/>
        <v>218860</v>
      </c>
      <c r="M41" s="170">
        <f t="shared" si="3"/>
        <v>-27945854.759999998</v>
      </c>
      <c r="N41" s="170">
        <f t="shared" si="1"/>
        <v>2054145.2400000021</v>
      </c>
      <c r="O41" s="170">
        <f t="shared" si="4"/>
        <v>218860</v>
      </c>
      <c r="P41" s="108">
        <f t="shared" si="6"/>
        <v>10449632.529999997</v>
      </c>
      <c r="Q41" s="132"/>
    </row>
    <row r="42" spans="2:18">
      <c r="B42" s="2" t="s">
        <v>49</v>
      </c>
      <c r="C42" s="2" t="s">
        <v>377</v>
      </c>
      <c r="D42" s="187">
        <v>42213</v>
      </c>
      <c r="E42" s="187">
        <v>42215</v>
      </c>
      <c r="F42" s="210">
        <f t="shared" si="0"/>
        <v>2015</v>
      </c>
      <c r="G42" s="2" t="s">
        <v>460</v>
      </c>
      <c r="H42" s="108">
        <v>2098541.06</v>
      </c>
      <c r="I42" s="108"/>
      <c r="J42" s="108"/>
      <c r="K42" s="108"/>
      <c r="L42" s="108">
        <f t="shared" si="5"/>
        <v>2098541.06</v>
      </c>
      <c r="M42" s="170">
        <f t="shared" si="3"/>
        <v>-27945854.759999998</v>
      </c>
      <c r="N42" s="170">
        <f t="shared" si="1"/>
        <v>2054145.2400000021</v>
      </c>
      <c r="O42" s="170">
        <f t="shared" si="4"/>
        <v>2098541.06</v>
      </c>
      <c r="P42" s="108">
        <f t="shared" si="6"/>
        <v>12548173.589999998</v>
      </c>
      <c r="Q42" s="132"/>
    </row>
    <row r="43" spans="2:18">
      <c r="B43" s="2" t="s">
        <v>439</v>
      </c>
      <c r="C43" s="2" t="s">
        <v>359</v>
      </c>
      <c r="D43" s="187">
        <v>42213</v>
      </c>
      <c r="E43" s="187">
        <v>42215</v>
      </c>
      <c r="F43" s="210">
        <f t="shared" si="0"/>
        <v>2015</v>
      </c>
      <c r="H43" s="108"/>
      <c r="I43" s="108"/>
      <c r="J43" s="108">
        <v>-43683.67</v>
      </c>
      <c r="K43" s="108"/>
      <c r="L43" s="108">
        <f t="shared" si="5"/>
        <v>-43683.67</v>
      </c>
      <c r="M43" s="170">
        <f t="shared" si="3"/>
        <v>-27989538.43</v>
      </c>
      <c r="N43" s="170">
        <f>$C$7+M43</f>
        <v>2010461.5700000003</v>
      </c>
      <c r="O43" s="170">
        <f t="shared" si="4"/>
        <v>0</v>
      </c>
      <c r="P43" s="108">
        <f t="shared" si="6"/>
        <v>12548173.589999998</v>
      </c>
      <c r="Q43" s="132"/>
    </row>
    <row r="44" spans="2:18">
      <c r="B44" s="2" t="s">
        <v>49</v>
      </c>
      <c r="C44" s="2" t="s">
        <v>386</v>
      </c>
      <c r="D44" s="187">
        <v>42220</v>
      </c>
      <c r="E44" s="187">
        <v>42222</v>
      </c>
      <c r="F44" s="210">
        <f t="shared" si="0"/>
        <v>2015</v>
      </c>
      <c r="G44" s="2" t="s">
        <v>461</v>
      </c>
      <c r="H44" s="108">
        <v>5239980.9400000004</v>
      </c>
      <c r="I44" s="108"/>
      <c r="J44" s="108"/>
      <c r="K44" s="108"/>
      <c r="L44" s="108">
        <f t="shared" si="5"/>
        <v>5239980.9400000004</v>
      </c>
      <c r="M44" s="170">
        <f t="shared" si="3"/>
        <v>-27989538.43</v>
      </c>
      <c r="N44" s="170">
        <f>$C$7+M44</f>
        <v>2010461.5700000003</v>
      </c>
      <c r="O44" s="170">
        <f t="shared" si="4"/>
        <v>5239980.9400000004</v>
      </c>
      <c r="P44" s="108">
        <f t="shared" si="6"/>
        <v>17788154.529999997</v>
      </c>
      <c r="Q44" s="132"/>
      <c r="R44" s="170">
        <v>759580.58</v>
      </c>
    </row>
    <row r="45" spans="2:18">
      <c r="B45" s="2" t="s">
        <v>49</v>
      </c>
      <c r="C45" s="2" t="s">
        <v>390</v>
      </c>
      <c r="D45" s="187">
        <v>42284</v>
      </c>
      <c r="E45" s="187">
        <v>42286</v>
      </c>
      <c r="F45" s="210">
        <f t="shared" si="0"/>
        <v>2015</v>
      </c>
      <c r="G45" s="2" t="s">
        <v>462</v>
      </c>
      <c r="H45" s="108">
        <v>2592073.86</v>
      </c>
      <c r="I45" s="108"/>
      <c r="J45" s="108"/>
      <c r="K45" s="108"/>
      <c r="L45" s="108">
        <f t="shared" si="5"/>
        <v>2592073.86</v>
      </c>
      <c r="M45" s="170">
        <f t="shared" si="3"/>
        <v>-27989538.43</v>
      </c>
      <c r="N45" s="170">
        <f t="shared" ref="N45:N98" si="7">$C$7+M45</f>
        <v>2010461.5700000003</v>
      </c>
      <c r="O45" s="170">
        <f t="shared" si="4"/>
        <v>2592073.86</v>
      </c>
      <c r="P45" s="108">
        <f t="shared" si="6"/>
        <v>20380228.389999997</v>
      </c>
      <c r="Q45" s="132"/>
      <c r="R45" s="170">
        <f>25102.26+534160.57</f>
        <v>559262.82999999996</v>
      </c>
    </row>
    <row r="46" spans="2:18">
      <c r="B46" s="2" t="s">
        <v>439</v>
      </c>
      <c r="C46" s="2" t="s">
        <v>363</v>
      </c>
      <c r="D46" s="187">
        <v>42284</v>
      </c>
      <c r="E46" s="187">
        <v>42286</v>
      </c>
      <c r="F46" s="210">
        <f t="shared" si="0"/>
        <v>2015</v>
      </c>
      <c r="H46" s="108"/>
      <c r="I46" s="108"/>
      <c r="J46" s="108"/>
      <c r="K46" s="108">
        <v>-3494.7</v>
      </c>
      <c r="L46" s="108">
        <f t="shared" si="5"/>
        <v>-3494.7</v>
      </c>
      <c r="M46" s="170">
        <f t="shared" si="3"/>
        <v>-27993033.129999999</v>
      </c>
      <c r="N46" s="170">
        <f t="shared" si="7"/>
        <v>2006966.870000001</v>
      </c>
      <c r="O46" s="170">
        <f t="shared" si="4"/>
        <v>0</v>
      </c>
      <c r="P46" s="108">
        <f t="shared" si="6"/>
        <v>20380228.389999997</v>
      </c>
      <c r="Q46" s="132"/>
    </row>
    <row r="47" spans="2:18">
      <c r="B47" s="2" t="s">
        <v>49</v>
      </c>
      <c r="C47" s="2" t="s">
        <v>394</v>
      </c>
      <c r="D47" s="187">
        <v>42307</v>
      </c>
      <c r="E47" s="187">
        <v>42311</v>
      </c>
      <c r="F47" s="210">
        <f t="shared" si="0"/>
        <v>2015</v>
      </c>
      <c r="G47" s="2" t="s">
        <v>463</v>
      </c>
      <c r="H47" s="108">
        <v>562359.27</v>
      </c>
      <c r="I47" s="108"/>
      <c r="J47" s="108"/>
      <c r="K47" s="108"/>
      <c r="L47" s="108">
        <f t="shared" si="5"/>
        <v>562359.27</v>
      </c>
      <c r="M47" s="170">
        <f t="shared" si="3"/>
        <v>-27993033.129999999</v>
      </c>
      <c r="N47" s="170">
        <f t="shared" si="7"/>
        <v>2006966.870000001</v>
      </c>
      <c r="O47" s="170">
        <f t="shared" si="4"/>
        <v>562359.27</v>
      </c>
      <c r="P47" s="108">
        <f t="shared" si="6"/>
        <v>20942587.659999996</v>
      </c>
      <c r="Q47" s="132"/>
      <c r="R47" s="170">
        <v>141926.49</v>
      </c>
    </row>
    <row r="48" spans="2:18">
      <c r="B48" s="2" t="s">
        <v>49</v>
      </c>
      <c r="C48" s="2" t="s">
        <v>395</v>
      </c>
      <c r="D48" s="187">
        <v>42368</v>
      </c>
      <c r="E48" s="187">
        <v>42369</v>
      </c>
      <c r="F48" s="210">
        <f t="shared" si="0"/>
        <v>2015</v>
      </c>
      <c r="G48" s="2" t="s">
        <v>464</v>
      </c>
      <c r="H48" s="108">
        <v>3148649.54</v>
      </c>
      <c r="I48" s="108"/>
      <c r="J48" s="108"/>
      <c r="K48" s="108"/>
      <c r="L48" s="108">
        <f t="shared" si="5"/>
        <v>3148649.54</v>
      </c>
      <c r="M48" s="170">
        <f t="shared" si="3"/>
        <v>-27993033.129999999</v>
      </c>
      <c r="N48" s="170">
        <f t="shared" si="7"/>
        <v>2006966.870000001</v>
      </c>
      <c r="O48" s="170">
        <f t="shared" si="4"/>
        <v>3148649.54</v>
      </c>
      <c r="P48" s="108">
        <f t="shared" si="6"/>
        <v>24091237.199999996</v>
      </c>
      <c r="Q48" s="132"/>
      <c r="R48" s="170">
        <v>-522146.48</v>
      </c>
    </row>
    <row r="49" spans="2:18">
      <c r="B49" s="2" t="s">
        <v>439</v>
      </c>
      <c r="C49" s="2" t="s">
        <v>465</v>
      </c>
      <c r="D49" s="187">
        <v>42374</v>
      </c>
      <c r="E49" s="187">
        <v>42387</v>
      </c>
      <c r="F49" s="210">
        <f t="shared" si="0"/>
        <v>2016</v>
      </c>
      <c r="H49" s="108"/>
      <c r="I49" s="108">
        <v>-300000</v>
      </c>
      <c r="J49" s="108"/>
      <c r="K49" s="108"/>
      <c r="L49" s="108">
        <f t="shared" si="5"/>
        <v>-300000</v>
      </c>
      <c r="M49" s="170">
        <f t="shared" si="3"/>
        <v>-28293033.129999999</v>
      </c>
      <c r="N49" s="170">
        <f t="shared" si="7"/>
        <v>1706966.870000001</v>
      </c>
      <c r="O49" s="170">
        <f t="shared" si="4"/>
        <v>0</v>
      </c>
      <c r="P49" s="108">
        <f t="shared" si="6"/>
        <v>24091237.199999996</v>
      </c>
      <c r="Q49" s="132"/>
    </row>
    <row r="50" spans="2:18">
      <c r="B50" s="2" t="s">
        <v>49</v>
      </c>
      <c r="C50" s="2" t="s">
        <v>398</v>
      </c>
      <c r="D50" s="187">
        <v>42551</v>
      </c>
      <c r="E50" s="187">
        <v>42556</v>
      </c>
      <c r="F50" s="210">
        <f t="shared" si="0"/>
        <v>2016</v>
      </c>
      <c r="G50" s="2" t="s">
        <v>466</v>
      </c>
      <c r="H50" s="108">
        <v>1704300.1</v>
      </c>
      <c r="I50" s="108"/>
      <c r="J50" s="108"/>
      <c r="K50" s="108"/>
      <c r="L50" s="108">
        <f t="shared" si="5"/>
        <v>1704300.1</v>
      </c>
      <c r="M50" s="170">
        <f t="shared" si="3"/>
        <v>-28293033.129999999</v>
      </c>
      <c r="N50" s="170">
        <f t="shared" si="7"/>
        <v>1706966.870000001</v>
      </c>
      <c r="O50" s="170">
        <f t="shared" si="4"/>
        <v>1704300.1</v>
      </c>
      <c r="P50" s="108">
        <f t="shared" si="6"/>
        <v>25795537.299999997</v>
      </c>
      <c r="Q50" s="132"/>
      <c r="R50" s="170">
        <v>-359631.63</v>
      </c>
    </row>
    <row r="51" spans="2:18">
      <c r="B51" s="2" t="s">
        <v>439</v>
      </c>
      <c r="C51" s="2" t="s">
        <v>467</v>
      </c>
      <c r="D51" s="187">
        <v>42551</v>
      </c>
      <c r="E51" s="187">
        <v>42556</v>
      </c>
      <c r="F51" s="210">
        <f t="shared" si="0"/>
        <v>2016</v>
      </c>
      <c r="H51" s="108"/>
      <c r="I51" s="108">
        <v>-172483.51</v>
      </c>
      <c r="J51" s="108">
        <v>-12811.84</v>
      </c>
      <c r="K51" s="108"/>
      <c r="L51" s="108">
        <f t="shared" si="5"/>
        <v>-185295.35</v>
      </c>
      <c r="M51" s="170">
        <f t="shared" si="3"/>
        <v>-28478328.48</v>
      </c>
      <c r="N51" s="170">
        <f t="shared" si="7"/>
        <v>1521671.5199999996</v>
      </c>
      <c r="O51" s="170">
        <f t="shared" si="4"/>
        <v>0</v>
      </c>
      <c r="P51" s="108">
        <f t="shared" si="6"/>
        <v>25795537.299999997</v>
      </c>
      <c r="Q51" s="132"/>
    </row>
    <row r="52" spans="2:18">
      <c r="B52" s="2" t="s">
        <v>439</v>
      </c>
      <c r="C52" s="2" t="s">
        <v>369</v>
      </c>
      <c r="D52" s="187">
        <v>42613</v>
      </c>
      <c r="E52" s="187">
        <v>42618</v>
      </c>
      <c r="F52" s="210">
        <f t="shared" si="0"/>
        <v>2016</v>
      </c>
      <c r="H52" s="108"/>
      <c r="I52" s="108"/>
      <c r="J52" s="108">
        <v>-3203.47</v>
      </c>
      <c r="K52" s="108"/>
      <c r="L52" s="108">
        <f t="shared" si="5"/>
        <v>-3203.47</v>
      </c>
      <c r="M52" s="170">
        <f t="shared" si="3"/>
        <v>-28481531.949999999</v>
      </c>
      <c r="N52" s="170">
        <f t="shared" si="7"/>
        <v>1518468.0500000007</v>
      </c>
      <c r="O52" s="170">
        <f t="shared" si="4"/>
        <v>0</v>
      </c>
      <c r="P52" s="108">
        <f t="shared" si="6"/>
        <v>25795537.299999997</v>
      </c>
      <c r="Q52" s="132"/>
    </row>
    <row r="53" spans="2:18">
      <c r="B53" s="2" t="s">
        <v>49</v>
      </c>
      <c r="C53" s="2" t="s">
        <v>400</v>
      </c>
      <c r="D53" s="187">
        <v>42613</v>
      </c>
      <c r="E53" s="187">
        <v>42618</v>
      </c>
      <c r="F53" s="210">
        <f t="shared" si="0"/>
        <v>2016</v>
      </c>
      <c r="G53" s="2" t="s">
        <v>468</v>
      </c>
      <c r="H53" s="108">
        <v>5774612.2699999996</v>
      </c>
      <c r="I53" s="108"/>
      <c r="J53" s="108"/>
      <c r="K53" s="108"/>
      <c r="L53" s="108">
        <f t="shared" si="5"/>
        <v>5774612.2699999996</v>
      </c>
      <c r="M53" s="170">
        <f t="shared" si="3"/>
        <v>-28481531.949999999</v>
      </c>
      <c r="N53" s="170">
        <f t="shared" si="7"/>
        <v>1518468.0500000007</v>
      </c>
      <c r="O53" s="170">
        <f t="shared" si="4"/>
        <v>5774612.2699999996</v>
      </c>
      <c r="P53" s="108">
        <f t="shared" si="6"/>
        <v>31570149.569999997</v>
      </c>
      <c r="Q53" s="132"/>
      <c r="R53" s="170">
        <v>-1119024.03</v>
      </c>
    </row>
    <row r="54" spans="2:18">
      <c r="B54" s="2" t="s">
        <v>49</v>
      </c>
      <c r="C54" s="2" t="s">
        <v>402</v>
      </c>
      <c r="D54" s="187">
        <v>42633</v>
      </c>
      <c r="E54" s="187">
        <v>42636</v>
      </c>
      <c r="F54" s="210">
        <f t="shared" si="0"/>
        <v>2016</v>
      </c>
      <c r="G54" s="2" t="s">
        <v>469</v>
      </c>
      <c r="H54" s="108">
        <v>4717524.67</v>
      </c>
      <c r="I54" s="108"/>
      <c r="J54" s="108"/>
      <c r="K54" s="108"/>
      <c r="L54" s="108">
        <f t="shared" si="5"/>
        <v>4717524.67</v>
      </c>
      <c r="M54" s="170">
        <f t="shared" si="3"/>
        <v>-28481531.949999999</v>
      </c>
      <c r="N54" s="170">
        <f t="shared" si="7"/>
        <v>1518468.0500000007</v>
      </c>
      <c r="O54" s="170">
        <f t="shared" si="4"/>
        <v>4717524.67</v>
      </c>
      <c r="P54" s="108">
        <f t="shared" si="6"/>
        <v>36287674.239999995</v>
      </c>
      <c r="Q54" s="132"/>
      <c r="R54" s="170">
        <v>-565767.59</v>
      </c>
    </row>
    <row r="55" spans="2:18">
      <c r="B55" s="2" t="s">
        <v>49</v>
      </c>
      <c r="C55" s="2" t="s">
        <v>470</v>
      </c>
      <c r="D55" s="187">
        <v>42678</v>
      </c>
      <c r="E55" s="187">
        <v>42682</v>
      </c>
      <c r="F55" s="210">
        <f t="shared" si="0"/>
        <v>2016</v>
      </c>
      <c r="G55" s="2" t="s">
        <v>464</v>
      </c>
      <c r="H55" s="108">
        <v>854147.57</v>
      </c>
      <c r="I55" s="108"/>
      <c r="J55" s="108"/>
      <c r="K55" s="108"/>
      <c r="L55" s="108">
        <f t="shared" si="5"/>
        <v>854147.57</v>
      </c>
      <c r="M55" s="170">
        <f t="shared" si="3"/>
        <v>-28481531.949999999</v>
      </c>
      <c r="N55" s="170">
        <f t="shared" si="7"/>
        <v>1518468.0500000007</v>
      </c>
      <c r="O55" s="170">
        <f t="shared" si="4"/>
        <v>854147.57</v>
      </c>
      <c r="P55" s="108">
        <f t="shared" si="6"/>
        <v>37141821.809999995</v>
      </c>
      <c r="Q55" s="132"/>
      <c r="R55" s="170">
        <v>-154963.32</v>
      </c>
    </row>
    <row r="56" spans="2:18">
      <c r="B56" s="2" t="s">
        <v>439</v>
      </c>
      <c r="C56" s="2" t="s">
        <v>370</v>
      </c>
      <c r="D56" s="187">
        <v>42738</v>
      </c>
      <c r="E56" s="187">
        <v>42751</v>
      </c>
      <c r="F56" s="210">
        <f t="shared" si="0"/>
        <v>2017</v>
      </c>
      <c r="H56" s="108"/>
      <c r="I56" s="108">
        <v>-139631.35999999999</v>
      </c>
      <c r="J56" s="108"/>
      <c r="K56" s="108"/>
      <c r="L56" s="108">
        <f t="shared" si="5"/>
        <v>-139631.35999999999</v>
      </c>
      <c r="M56" s="170">
        <f t="shared" si="3"/>
        <v>-28621163.309999999</v>
      </c>
      <c r="N56" s="170">
        <f t="shared" si="7"/>
        <v>1378836.6900000013</v>
      </c>
      <c r="O56" s="170">
        <f t="shared" si="4"/>
        <v>0</v>
      </c>
      <c r="P56" s="108">
        <f t="shared" si="6"/>
        <v>37141821.809999995</v>
      </c>
      <c r="Q56" s="132"/>
    </row>
    <row r="57" spans="2:18">
      <c r="B57" s="2" t="s">
        <v>49</v>
      </c>
      <c r="C57" s="2" t="s">
        <v>471</v>
      </c>
      <c r="D57" s="187">
        <v>42783</v>
      </c>
      <c r="E57" s="187">
        <v>42787</v>
      </c>
      <c r="F57" s="210">
        <f t="shared" si="0"/>
        <v>2017</v>
      </c>
      <c r="G57" s="2" t="s">
        <v>472</v>
      </c>
      <c r="H57" s="108">
        <v>6006711.0700000003</v>
      </c>
      <c r="I57" s="108"/>
      <c r="J57" s="108"/>
      <c r="K57" s="108"/>
      <c r="L57" s="108">
        <f t="shared" si="5"/>
        <v>6006711.0700000003</v>
      </c>
      <c r="M57" s="170">
        <f t="shared" si="3"/>
        <v>-28621163.309999999</v>
      </c>
      <c r="N57" s="170">
        <f t="shared" si="7"/>
        <v>1378836.6900000013</v>
      </c>
      <c r="O57" s="170">
        <f t="shared" si="4"/>
        <v>6006711.0700000003</v>
      </c>
      <c r="P57" s="108">
        <f t="shared" si="6"/>
        <v>43148532.879999995</v>
      </c>
      <c r="Q57" s="132"/>
      <c r="R57" s="170">
        <f>-881376.26-496008.88</f>
        <v>-1377385.1400000001</v>
      </c>
    </row>
    <row r="58" spans="2:18">
      <c r="B58" s="2" t="s">
        <v>49</v>
      </c>
      <c r="C58" s="2" t="s">
        <v>473</v>
      </c>
      <c r="D58" s="187">
        <v>42828</v>
      </c>
      <c r="E58" s="187">
        <v>42830</v>
      </c>
      <c r="F58" s="210">
        <f t="shared" si="0"/>
        <v>2017</v>
      </c>
      <c r="G58" s="2" t="s">
        <v>474</v>
      </c>
      <c r="H58" s="108">
        <v>685810.4</v>
      </c>
      <c r="I58" s="108"/>
      <c r="J58" s="108"/>
      <c r="K58" s="108"/>
      <c r="L58" s="108">
        <f t="shared" si="5"/>
        <v>685810.4</v>
      </c>
      <c r="M58" s="170">
        <f t="shared" si="3"/>
        <v>-28621163.309999999</v>
      </c>
      <c r="N58" s="170">
        <f t="shared" si="7"/>
        <v>1378836.6900000013</v>
      </c>
      <c r="O58" s="170">
        <f t="shared" si="4"/>
        <v>685810.4</v>
      </c>
      <c r="P58" s="108">
        <f t="shared" si="6"/>
        <v>43834343.279999994</v>
      </c>
      <c r="Q58" s="132"/>
      <c r="R58" s="170">
        <v>-171554.62</v>
      </c>
    </row>
    <row r="59" spans="2:18">
      <c r="B59" s="2" t="s">
        <v>49</v>
      </c>
      <c r="C59" s="2" t="s">
        <v>475</v>
      </c>
      <c r="D59" s="187">
        <v>42864</v>
      </c>
      <c r="E59" s="187">
        <v>42866</v>
      </c>
      <c r="F59" s="210">
        <f t="shared" si="0"/>
        <v>2017</v>
      </c>
      <c r="G59" s="2" t="s">
        <v>472</v>
      </c>
      <c r="H59" s="108">
        <v>2885749.93</v>
      </c>
      <c r="I59" s="108"/>
      <c r="J59" s="108"/>
      <c r="K59" s="108"/>
      <c r="L59" s="108">
        <f t="shared" si="5"/>
        <v>2885749.93</v>
      </c>
      <c r="M59" s="170">
        <f t="shared" si="3"/>
        <v>-28621163.309999999</v>
      </c>
      <c r="N59" s="170">
        <f t="shared" si="7"/>
        <v>1378836.6900000013</v>
      </c>
      <c r="O59" s="170">
        <f t="shared" si="4"/>
        <v>2885749.93</v>
      </c>
      <c r="P59" s="108">
        <f t="shared" si="6"/>
        <v>46720093.209999993</v>
      </c>
      <c r="Q59" s="132"/>
      <c r="R59" s="170">
        <f>-564725.73-46595.92</f>
        <v>-611321.65</v>
      </c>
    </row>
    <row r="60" spans="2:18">
      <c r="B60" s="2" t="s">
        <v>439</v>
      </c>
      <c r="C60" s="2" t="s">
        <v>372</v>
      </c>
      <c r="D60" s="187">
        <v>42920</v>
      </c>
      <c r="E60" s="187">
        <v>42922</v>
      </c>
      <c r="F60" s="210">
        <f t="shared" si="0"/>
        <v>2017</v>
      </c>
      <c r="H60" s="108"/>
      <c r="I60" s="108">
        <v>-130577.8</v>
      </c>
      <c r="J60" s="108"/>
      <c r="K60" s="108"/>
      <c r="L60" s="108">
        <f t="shared" si="5"/>
        <v>-130577.8</v>
      </c>
      <c r="M60" s="170">
        <f t="shared" si="3"/>
        <v>-28751741.109999999</v>
      </c>
      <c r="N60" s="170">
        <f t="shared" si="7"/>
        <v>1248258.8900000006</v>
      </c>
      <c r="O60" s="170">
        <f t="shared" si="4"/>
        <v>0</v>
      </c>
      <c r="P60" s="108">
        <f t="shared" si="6"/>
        <v>46720093.209999993</v>
      </c>
      <c r="Q60" s="132"/>
    </row>
    <row r="61" spans="2:18">
      <c r="B61" s="2" t="s">
        <v>49</v>
      </c>
      <c r="C61" s="2" t="s">
        <v>476</v>
      </c>
      <c r="D61" s="187">
        <v>42920</v>
      </c>
      <c r="E61" s="187">
        <v>42922</v>
      </c>
      <c r="F61" s="210">
        <f t="shared" si="0"/>
        <v>2017</v>
      </c>
      <c r="G61" s="2" t="s">
        <v>477</v>
      </c>
      <c r="H61" s="108">
        <v>1059968.31</v>
      </c>
      <c r="I61" s="108"/>
      <c r="J61" s="108"/>
      <c r="K61" s="108"/>
      <c r="L61" s="108">
        <f t="shared" si="5"/>
        <v>1059968.31</v>
      </c>
      <c r="M61" s="170">
        <f t="shared" si="3"/>
        <v>-28751741.109999999</v>
      </c>
      <c r="N61" s="170">
        <f t="shared" si="7"/>
        <v>1248258.8900000006</v>
      </c>
      <c r="O61" s="170">
        <f t="shared" si="4"/>
        <v>1059968.31</v>
      </c>
      <c r="P61" s="108">
        <f t="shared" si="6"/>
        <v>47780061.519999996</v>
      </c>
      <c r="Q61" s="132"/>
      <c r="R61" s="170">
        <f>-260915.41-76994.03</f>
        <v>-337909.44</v>
      </c>
    </row>
    <row r="62" spans="2:18">
      <c r="B62" s="2" t="s">
        <v>49</v>
      </c>
      <c r="C62" s="2" t="s">
        <v>478</v>
      </c>
      <c r="D62" s="187">
        <v>42972</v>
      </c>
      <c r="E62" s="187">
        <v>42976</v>
      </c>
      <c r="F62" s="210">
        <f t="shared" si="0"/>
        <v>2017</v>
      </c>
      <c r="G62" s="2" t="s">
        <v>479</v>
      </c>
      <c r="H62" s="108">
        <v>3890469.02</v>
      </c>
      <c r="I62" s="108"/>
      <c r="J62" s="108"/>
      <c r="K62" s="108"/>
      <c r="L62" s="108">
        <f t="shared" si="5"/>
        <v>3890469.02</v>
      </c>
      <c r="M62" s="170">
        <f t="shared" si="3"/>
        <v>-28751741.109999999</v>
      </c>
      <c r="N62" s="170">
        <f t="shared" si="7"/>
        <v>1248258.8900000006</v>
      </c>
      <c r="O62" s="170">
        <f t="shared" si="4"/>
        <v>3890469.02</v>
      </c>
      <c r="P62" s="108">
        <f t="shared" si="6"/>
        <v>51670530.539999999</v>
      </c>
      <c r="Q62" s="132"/>
      <c r="R62" s="170">
        <v>-508526.08000000002</v>
      </c>
    </row>
    <row r="63" spans="2:18">
      <c r="B63" s="2" t="s">
        <v>49</v>
      </c>
      <c r="C63" s="2" t="s">
        <v>480</v>
      </c>
      <c r="D63" s="187">
        <v>43014</v>
      </c>
      <c r="E63" s="187">
        <v>43018</v>
      </c>
      <c r="F63" s="210">
        <f t="shared" si="0"/>
        <v>2017</v>
      </c>
      <c r="G63" s="2" t="s">
        <v>481</v>
      </c>
      <c r="H63" s="108">
        <v>3992858.13</v>
      </c>
      <c r="I63" s="108"/>
      <c r="J63" s="108"/>
      <c r="K63" s="108"/>
      <c r="L63" s="108">
        <f t="shared" si="5"/>
        <v>3992858.13</v>
      </c>
      <c r="M63" s="170">
        <f t="shared" si="3"/>
        <v>-28751741.109999999</v>
      </c>
      <c r="N63" s="170">
        <f t="shared" si="7"/>
        <v>1248258.8900000006</v>
      </c>
      <c r="O63" s="170">
        <f t="shared" si="4"/>
        <v>3992858.13</v>
      </c>
      <c r="P63" s="108">
        <f t="shared" si="6"/>
        <v>55663388.670000002</v>
      </c>
      <c r="Q63" s="132"/>
      <c r="R63" s="170">
        <v>-587486.85</v>
      </c>
    </row>
    <row r="64" spans="2:18">
      <c r="B64" s="2" t="s">
        <v>49</v>
      </c>
      <c r="C64" s="2" t="s">
        <v>482</v>
      </c>
      <c r="D64" s="187">
        <v>43084</v>
      </c>
      <c r="E64" s="187">
        <v>43088</v>
      </c>
      <c r="F64" s="210">
        <f t="shared" si="0"/>
        <v>2017</v>
      </c>
      <c r="G64" s="2" t="s">
        <v>483</v>
      </c>
      <c r="H64" s="108">
        <v>4366180.5199999996</v>
      </c>
      <c r="I64" s="108"/>
      <c r="J64" s="108"/>
      <c r="K64" s="108"/>
      <c r="L64" s="108">
        <f t="shared" si="5"/>
        <v>4366180.5199999996</v>
      </c>
      <c r="M64" s="170">
        <f t="shared" si="3"/>
        <v>-28751741.109999999</v>
      </c>
      <c r="N64" s="170">
        <f t="shared" si="7"/>
        <v>1248258.8900000006</v>
      </c>
      <c r="O64" s="170">
        <f t="shared" si="4"/>
        <v>4366180.5199999996</v>
      </c>
      <c r="P64" s="108">
        <f t="shared" si="6"/>
        <v>60029569.189999998</v>
      </c>
      <c r="Q64" s="132"/>
      <c r="R64" s="170">
        <v>-962164.57</v>
      </c>
    </row>
    <row r="65" spans="2:18">
      <c r="B65" s="2" t="s">
        <v>439</v>
      </c>
      <c r="C65" s="2" t="s">
        <v>376</v>
      </c>
      <c r="D65" s="187">
        <v>43084</v>
      </c>
      <c r="E65" s="187">
        <v>43088</v>
      </c>
      <c r="F65" s="210">
        <f t="shared" si="0"/>
        <v>2017</v>
      </c>
      <c r="H65" s="108"/>
      <c r="I65" s="108"/>
      <c r="J65" s="108">
        <v>-2922.93</v>
      </c>
      <c r="K65" s="108"/>
      <c r="L65" s="108">
        <f t="shared" si="5"/>
        <v>-2922.93</v>
      </c>
      <c r="M65" s="170">
        <f t="shared" si="3"/>
        <v>-28754664.039999999</v>
      </c>
      <c r="N65" s="170">
        <f t="shared" si="7"/>
        <v>1245335.9600000009</v>
      </c>
      <c r="O65" s="170">
        <f t="shared" si="4"/>
        <v>0</v>
      </c>
      <c r="P65" s="108">
        <f t="shared" si="6"/>
        <v>60029569.189999998</v>
      </c>
      <c r="Q65" s="132"/>
    </row>
    <row r="66" spans="2:18">
      <c r="B66" s="2" t="s">
        <v>439</v>
      </c>
      <c r="C66" s="2" t="s">
        <v>379</v>
      </c>
      <c r="D66" s="187">
        <v>43102</v>
      </c>
      <c r="E66" s="187">
        <v>43115</v>
      </c>
      <c r="F66" s="210">
        <f t="shared" si="0"/>
        <v>2018</v>
      </c>
      <c r="H66" s="108"/>
      <c r="I66" s="108">
        <v>-97345.98</v>
      </c>
      <c r="J66" s="108"/>
      <c r="K66" s="108"/>
      <c r="L66" s="108">
        <f t="shared" si="5"/>
        <v>-97345.98</v>
      </c>
      <c r="M66" s="170">
        <f t="shared" si="3"/>
        <v>-28852010.02</v>
      </c>
      <c r="N66" s="170">
        <f t="shared" si="7"/>
        <v>1147989.9800000004</v>
      </c>
      <c r="O66" s="170">
        <f t="shared" si="4"/>
        <v>0</v>
      </c>
      <c r="P66" s="108">
        <f t="shared" si="6"/>
        <v>60029569.189999998</v>
      </c>
      <c r="Q66" s="132"/>
    </row>
    <row r="67" spans="2:18">
      <c r="B67" s="2" t="s">
        <v>49</v>
      </c>
      <c r="C67" s="2" t="s">
        <v>484</v>
      </c>
      <c r="D67" s="187">
        <v>43102</v>
      </c>
      <c r="E67" s="187">
        <v>43115</v>
      </c>
      <c r="F67" s="210">
        <f t="shared" si="0"/>
        <v>2018</v>
      </c>
      <c r="G67" s="2" t="s">
        <v>485</v>
      </c>
      <c r="H67" s="108">
        <v>20622.150000000001</v>
      </c>
      <c r="I67" s="108"/>
      <c r="J67" s="108"/>
      <c r="K67" s="108"/>
      <c r="L67" s="108">
        <f t="shared" si="5"/>
        <v>20622.150000000001</v>
      </c>
      <c r="M67" s="170">
        <f t="shared" si="3"/>
        <v>-28852010.02</v>
      </c>
      <c r="N67" s="170">
        <f t="shared" si="7"/>
        <v>1147989.9800000004</v>
      </c>
      <c r="O67" s="170">
        <f t="shared" si="4"/>
        <v>20622.150000000001</v>
      </c>
      <c r="P67" s="108">
        <f t="shared" si="6"/>
        <v>60050191.339999996</v>
      </c>
      <c r="Q67" s="132"/>
    </row>
    <row r="68" spans="2:18">
      <c r="B68" s="2" t="s">
        <v>49</v>
      </c>
      <c r="C68" s="2" t="s">
        <v>486</v>
      </c>
      <c r="D68" s="187">
        <v>43153</v>
      </c>
      <c r="E68" s="187">
        <v>43157</v>
      </c>
      <c r="F68" s="210">
        <f t="shared" si="0"/>
        <v>2018</v>
      </c>
      <c r="G68" s="2" t="s">
        <v>483</v>
      </c>
      <c r="H68" s="108">
        <v>3565110.98</v>
      </c>
      <c r="I68" s="108"/>
      <c r="J68" s="108"/>
      <c r="K68" s="108"/>
      <c r="L68" s="108">
        <f t="shared" si="5"/>
        <v>3565110.98</v>
      </c>
      <c r="M68" s="170">
        <f t="shared" si="3"/>
        <v>-28852010.02</v>
      </c>
      <c r="N68" s="170">
        <f t="shared" si="7"/>
        <v>1147989.9800000004</v>
      </c>
      <c r="O68" s="170">
        <f t="shared" si="4"/>
        <v>3565110.98</v>
      </c>
      <c r="P68" s="108">
        <f t="shared" si="6"/>
        <v>63615302.319999993</v>
      </c>
      <c r="Q68" s="132"/>
      <c r="R68" s="170">
        <v>-776095.88</v>
      </c>
    </row>
    <row r="69" spans="2:18">
      <c r="B69" s="2" t="s">
        <v>49</v>
      </c>
      <c r="C69" s="2" t="s">
        <v>487</v>
      </c>
      <c r="D69" s="187">
        <v>43259</v>
      </c>
      <c r="E69" s="187">
        <v>43263</v>
      </c>
      <c r="F69" s="210">
        <f t="shared" si="0"/>
        <v>2018</v>
      </c>
      <c r="G69" s="2" t="s">
        <v>488</v>
      </c>
      <c r="H69" s="108">
        <v>2794834.14</v>
      </c>
      <c r="I69" s="108"/>
      <c r="J69" s="108"/>
      <c r="K69" s="108"/>
      <c r="L69" s="108">
        <f t="shared" si="5"/>
        <v>2794834.14</v>
      </c>
      <c r="M69" s="170">
        <f t="shared" si="3"/>
        <v>-28852010.02</v>
      </c>
      <c r="N69" s="170">
        <f t="shared" si="7"/>
        <v>1147989.9800000004</v>
      </c>
      <c r="O69" s="170">
        <f t="shared" si="4"/>
        <v>2794834.14</v>
      </c>
      <c r="P69" s="108">
        <f t="shared" si="6"/>
        <v>66410136.459999993</v>
      </c>
      <c r="Q69" s="132"/>
      <c r="R69" s="170">
        <f>-412913.72-93824.69</f>
        <v>-506738.41</v>
      </c>
    </row>
    <row r="70" spans="2:18">
      <c r="B70" s="2" t="s">
        <v>439</v>
      </c>
      <c r="C70" s="2" t="s">
        <v>381</v>
      </c>
      <c r="D70" s="187">
        <v>43284</v>
      </c>
      <c r="E70" s="187">
        <v>43297</v>
      </c>
      <c r="F70" s="210">
        <f t="shared" si="0"/>
        <v>2018</v>
      </c>
      <c r="H70" s="108"/>
      <c r="I70" s="108">
        <v>-85532.88</v>
      </c>
      <c r="J70" s="108"/>
      <c r="K70" s="108"/>
      <c r="L70" s="108">
        <f t="shared" si="5"/>
        <v>-85532.88</v>
      </c>
      <c r="M70" s="170">
        <f t="shared" si="3"/>
        <v>-28937542.899999999</v>
      </c>
      <c r="N70" s="170">
        <f t="shared" si="7"/>
        <v>1062457.1000000015</v>
      </c>
      <c r="O70" s="170">
        <f t="shared" si="4"/>
        <v>0</v>
      </c>
      <c r="P70" s="108">
        <f t="shared" si="6"/>
        <v>66410136.459999993</v>
      </c>
      <c r="Q70" s="132"/>
    </row>
    <row r="71" spans="2:18">
      <c r="B71" s="2" t="s">
        <v>49</v>
      </c>
      <c r="C71" s="2" t="s">
        <v>489</v>
      </c>
      <c r="D71" s="187">
        <v>43458</v>
      </c>
      <c r="E71" s="187">
        <v>43462</v>
      </c>
      <c r="F71" s="210">
        <f t="shared" si="0"/>
        <v>2018</v>
      </c>
      <c r="G71" s="2" t="s">
        <v>485</v>
      </c>
      <c r="H71" s="108">
        <v>11545.65</v>
      </c>
      <c r="I71" s="108"/>
      <c r="J71" s="108"/>
      <c r="K71" s="108"/>
      <c r="L71" s="108">
        <f t="shared" si="5"/>
        <v>11545.65</v>
      </c>
      <c r="M71" s="170">
        <f t="shared" si="3"/>
        <v>-28937542.899999999</v>
      </c>
      <c r="N71" s="170">
        <f t="shared" si="7"/>
        <v>1062457.1000000015</v>
      </c>
      <c r="O71" s="170">
        <f t="shared" si="4"/>
        <v>11545.65</v>
      </c>
      <c r="P71" s="108">
        <f t="shared" si="6"/>
        <v>66421682.109999992</v>
      </c>
      <c r="Q71" s="132"/>
    </row>
    <row r="72" spans="2:18">
      <c r="B72" s="2" t="s">
        <v>439</v>
      </c>
      <c r="C72" s="2" t="s">
        <v>383</v>
      </c>
      <c r="D72" s="393">
        <v>43468</v>
      </c>
      <c r="E72" s="187">
        <v>43481</v>
      </c>
      <c r="F72" s="210">
        <f t="shared" si="0"/>
        <v>2019</v>
      </c>
      <c r="H72" s="108"/>
      <c r="I72" s="108">
        <v>-85532.87</v>
      </c>
      <c r="J72" s="108">
        <v>-4947.34</v>
      </c>
      <c r="K72" s="108"/>
      <c r="L72" s="108">
        <f t="shared" si="5"/>
        <v>-90480.209999999992</v>
      </c>
      <c r="M72" s="108">
        <f t="shared" si="3"/>
        <v>-29028023.109999999</v>
      </c>
      <c r="N72" s="108">
        <f t="shared" si="7"/>
        <v>971976.8900000006</v>
      </c>
      <c r="O72" s="108">
        <f t="shared" si="4"/>
        <v>0</v>
      </c>
      <c r="P72" s="108">
        <f t="shared" si="6"/>
        <v>66421682.109999992</v>
      </c>
      <c r="Q72" s="211"/>
      <c r="R72" s="108"/>
    </row>
    <row r="73" spans="2:18">
      <c r="B73" s="2" t="s">
        <v>49</v>
      </c>
      <c r="C73" s="2" t="s">
        <v>490</v>
      </c>
      <c r="D73" s="393">
        <v>43518</v>
      </c>
      <c r="E73" s="187">
        <v>43522</v>
      </c>
      <c r="F73" s="210">
        <f t="shared" si="0"/>
        <v>2019</v>
      </c>
      <c r="G73" s="2" t="s">
        <v>477</v>
      </c>
      <c r="H73" s="108">
        <v>1249106.1100000001</v>
      </c>
      <c r="I73" s="108"/>
      <c r="J73" s="108"/>
      <c r="K73" s="108"/>
      <c r="L73" s="108">
        <f t="shared" si="5"/>
        <v>1249106.1100000001</v>
      </c>
      <c r="M73" s="108">
        <f t="shared" si="3"/>
        <v>-29028023.109999999</v>
      </c>
      <c r="N73" s="108">
        <f t="shared" si="7"/>
        <v>971976.8900000006</v>
      </c>
      <c r="O73" s="108">
        <f t="shared" si="4"/>
        <v>1249106.1100000001</v>
      </c>
      <c r="P73" s="108">
        <f t="shared" si="6"/>
        <v>67670788.219999999</v>
      </c>
      <c r="Q73" s="211"/>
      <c r="R73" s="108"/>
    </row>
    <row r="74" spans="2:18">
      <c r="B74" s="2" t="s">
        <v>439</v>
      </c>
      <c r="C74" s="2" t="s">
        <v>385</v>
      </c>
      <c r="D74" s="393">
        <v>43518</v>
      </c>
      <c r="E74" s="187">
        <v>43522</v>
      </c>
      <c r="F74" s="210">
        <f t="shared" si="0"/>
        <v>2019</v>
      </c>
      <c r="H74" s="108"/>
      <c r="I74" s="108"/>
      <c r="J74" s="108">
        <v>-2912.24</v>
      </c>
      <c r="K74" s="108"/>
      <c r="L74" s="108">
        <f t="shared" si="5"/>
        <v>-2912.24</v>
      </c>
      <c r="M74" s="108">
        <f t="shared" si="3"/>
        <v>-29030935.349999998</v>
      </c>
      <c r="N74" s="108">
        <f t="shared" si="7"/>
        <v>969064.65000000224</v>
      </c>
      <c r="O74" s="108">
        <f t="shared" si="4"/>
        <v>0</v>
      </c>
      <c r="P74" s="108">
        <f t="shared" si="6"/>
        <v>67670788.219999999</v>
      </c>
      <c r="Q74" s="211"/>
      <c r="R74" s="108"/>
    </row>
    <row r="75" spans="2:18">
      <c r="B75" s="2" t="s">
        <v>49</v>
      </c>
      <c r="C75" s="2" t="s">
        <v>491</v>
      </c>
      <c r="D75" s="393">
        <v>43563</v>
      </c>
      <c r="E75" s="187">
        <v>43565</v>
      </c>
      <c r="F75" s="210">
        <f t="shared" ref="F75:F98" si="8">YEAR(E75)</f>
        <v>2019</v>
      </c>
      <c r="G75" s="2" t="s">
        <v>492</v>
      </c>
      <c r="H75" s="108">
        <v>1758755.97</v>
      </c>
      <c r="I75" s="108"/>
      <c r="J75" s="108"/>
      <c r="K75" s="108"/>
      <c r="L75" s="108">
        <f t="shared" si="5"/>
        <v>1758755.97</v>
      </c>
      <c r="M75" s="108">
        <f t="shared" si="3"/>
        <v>-29030935.349999998</v>
      </c>
      <c r="N75" s="108">
        <f t="shared" si="7"/>
        <v>969064.65000000224</v>
      </c>
      <c r="O75" s="108">
        <f t="shared" si="4"/>
        <v>1758755.97</v>
      </c>
      <c r="P75" s="108">
        <f t="shared" si="6"/>
        <v>69429544.189999998</v>
      </c>
      <c r="Q75" s="211"/>
      <c r="R75" s="108">
        <v>-271808.99</v>
      </c>
    </row>
    <row r="76" spans="2:18">
      <c r="B76" s="2" t="s">
        <v>49</v>
      </c>
      <c r="C76" s="2" t="s">
        <v>493</v>
      </c>
      <c r="D76" s="393">
        <v>43602</v>
      </c>
      <c r="E76" s="187">
        <v>43606</v>
      </c>
      <c r="F76" s="210">
        <f t="shared" si="8"/>
        <v>2019</v>
      </c>
      <c r="G76" s="2" t="s">
        <v>494</v>
      </c>
      <c r="H76" s="108">
        <v>585747.54</v>
      </c>
      <c r="I76" s="108"/>
      <c r="J76" s="108"/>
      <c r="K76" s="108"/>
      <c r="L76" s="108">
        <f t="shared" si="5"/>
        <v>585747.54</v>
      </c>
      <c r="M76" s="108">
        <f t="shared" si="3"/>
        <v>-29030935.349999998</v>
      </c>
      <c r="N76" s="108">
        <f t="shared" si="7"/>
        <v>969064.65000000224</v>
      </c>
      <c r="O76" s="108">
        <f t="shared" si="4"/>
        <v>585747.54</v>
      </c>
      <c r="P76" s="108">
        <f t="shared" si="6"/>
        <v>70015291.730000004</v>
      </c>
      <c r="Q76" s="211"/>
      <c r="R76" s="108">
        <v>-53830.17</v>
      </c>
    </row>
    <row r="77" spans="2:18">
      <c r="B77" s="2" t="s">
        <v>439</v>
      </c>
      <c r="C77" s="2" t="s">
        <v>389</v>
      </c>
      <c r="D77" s="393">
        <v>43649</v>
      </c>
      <c r="E77" s="187">
        <v>43651</v>
      </c>
      <c r="F77" s="210">
        <f t="shared" si="8"/>
        <v>2019</v>
      </c>
      <c r="H77" s="108"/>
      <c r="I77" s="108">
        <v>-64032.13</v>
      </c>
      <c r="J77" s="108"/>
      <c r="K77" s="108"/>
      <c r="L77" s="108">
        <f t="shared" si="5"/>
        <v>-64032.13</v>
      </c>
      <c r="M77" s="108">
        <f t="shared" si="3"/>
        <v>-29094967.479999997</v>
      </c>
      <c r="N77" s="108">
        <f t="shared" si="7"/>
        <v>905032.52000000328</v>
      </c>
      <c r="O77" s="108">
        <f t="shared" si="4"/>
        <v>0</v>
      </c>
      <c r="P77" s="108">
        <f t="shared" si="6"/>
        <v>70015291.730000004</v>
      </c>
      <c r="Q77" s="211"/>
      <c r="R77" s="108"/>
    </row>
    <row r="78" spans="2:18">
      <c r="B78" s="2" t="s">
        <v>49</v>
      </c>
      <c r="C78" s="2" t="s">
        <v>495</v>
      </c>
      <c r="D78" s="393">
        <v>43649</v>
      </c>
      <c r="E78" s="187">
        <v>43651</v>
      </c>
      <c r="F78" s="210">
        <f t="shared" si="8"/>
        <v>2019</v>
      </c>
      <c r="G78" s="2" t="s">
        <v>496</v>
      </c>
      <c r="H78" s="108">
        <v>1763518.76</v>
      </c>
      <c r="I78" s="108"/>
      <c r="J78" s="108"/>
      <c r="K78" s="108"/>
      <c r="L78" s="108">
        <f t="shared" si="5"/>
        <v>1763518.76</v>
      </c>
      <c r="M78" s="108">
        <f t="shared" ref="M78:M84" si="9">M77+IF(L78&lt;0,L78,0)</f>
        <v>-29094967.479999997</v>
      </c>
      <c r="N78" s="108">
        <f t="shared" si="7"/>
        <v>905032.52000000328</v>
      </c>
      <c r="O78" s="108">
        <f t="shared" ref="O78:O98" si="10">SUMIF(H78:K78,"&gt;0", H78:K78)</f>
        <v>1763518.76</v>
      </c>
      <c r="P78" s="108">
        <f t="shared" si="6"/>
        <v>71778810.49000001</v>
      </c>
      <c r="Q78" s="211"/>
      <c r="R78" s="108">
        <v>-69087.210000000006</v>
      </c>
    </row>
    <row r="79" spans="2:18">
      <c r="B79" s="2" t="s">
        <v>49</v>
      </c>
      <c r="C79" s="2" t="s">
        <v>497</v>
      </c>
      <c r="D79" s="393">
        <v>43728</v>
      </c>
      <c r="E79" s="187">
        <v>43732</v>
      </c>
      <c r="F79" s="210">
        <f t="shared" si="8"/>
        <v>2019</v>
      </c>
      <c r="G79" s="2" t="s">
        <v>492</v>
      </c>
      <c r="H79" s="108">
        <v>2801794.75</v>
      </c>
      <c r="I79" s="108"/>
      <c r="J79" s="108"/>
      <c r="K79" s="108"/>
      <c r="L79" s="108">
        <f t="shared" si="5"/>
        <v>2801794.75</v>
      </c>
      <c r="M79" s="108">
        <f t="shared" si="9"/>
        <v>-29094967.479999997</v>
      </c>
      <c r="N79" s="108">
        <f t="shared" si="7"/>
        <v>905032.52000000328</v>
      </c>
      <c r="O79" s="108">
        <f t="shared" si="10"/>
        <v>2801794.75</v>
      </c>
      <c r="P79" s="108">
        <f t="shared" si="6"/>
        <v>74580605.24000001</v>
      </c>
      <c r="Q79" s="211"/>
      <c r="R79" s="108">
        <v>-612050.55000000005</v>
      </c>
    </row>
    <row r="80" spans="2:18">
      <c r="B80" s="2" t="s">
        <v>49</v>
      </c>
      <c r="C80" s="2" t="s">
        <v>498</v>
      </c>
      <c r="D80" s="393">
        <v>43791</v>
      </c>
      <c r="E80" s="187">
        <v>43795</v>
      </c>
      <c r="F80" s="210">
        <f t="shared" si="8"/>
        <v>2019</v>
      </c>
      <c r="G80" s="2" t="s">
        <v>494</v>
      </c>
      <c r="H80" s="108">
        <v>198416.43</v>
      </c>
      <c r="I80" s="108"/>
      <c r="J80" s="108"/>
      <c r="K80" s="108"/>
      <c r="L80" s="108">
        <f t="shared" si="5"/>
        <v>198416.43</v>
      </c>
      <c r="M80" s="108">
        <f t="shared" si="9"/>
        <v>-29094967.479999997</v>
      </c>
      <c r="N80" s="108">
        <f t="shared" si="7"/>
        <v>905032.52000000328</v>
      </c>
      <c r="O80" s="108">
        <f t="shared" si="10"/>
        <v>198416.43</v>
      </c>
      <c r="P80" s="108">
        <f t="shared" si="6"/>
        <v>74779021.670000017</v>
      </c>
      <c r="Q80" s="211"/>
      <c r="R80" s="108">
        <v>-262.22000000000003</v>
      </c>
    </row>
    <row r="81" spans="2:18">
      <c r="B81" s="2" t="s">
        <v>49</v>
      </c>
      <c r="C81" s="2" t="s">
        <v>499</v>
      </c>
      <c r="D81" s="394">
        <v>43833</v>
      </c>
      <c r="E81" s="187">
        <v>43837</v>
      </c>
      <c r="F81" s="210">
        <f t="shared" si="8"/>
        <v>2020</v>
      </c>
      <c r="G81" s="2" t="s">
        <v>483</v>
      </c>
      <c r="H81" s="108">
        <v>1406708.95</v>
      </c>
      <c r="I81" s="108"/>
      <c r="J81" s="108"/>
      <c r="K81" s="108"/>
      <c r="L81" s="108">
        <f t="shared" ref="L81:L88" si="11">SUM(H81:K81)</f>
        <v>1406708.95</v>
      </c>
      <c r="M81" s="108">
        <f t="shared" si="9"/>
        <v>-29094967.479999997</v>
      </c>
      <c r="N81" s="108">
        <f t="shared" si="7"/>
        <v>905032.52000000328</v>
      </c>
      <c r="O81" s="108">
        <f t="shared" si="10"/>
        <v>1406708.95</v>
      </c>
      <c r="P81" s="108">
        <f t="shared" si="6"/>
        <v>76185730.62000002</v>
      </c>
      <c r="Q81" s="211"/>
      <c r="R81" s="108">
        <v>-315084.34999999998</v>
      </c>
    </row>
    <row r="82" spans="2:18">
      <c r="B82" s="2" t="s">
        <v>439</v>
      </c>
      <c r="C82" s="2" t="s">
        <v>393</v>
      </c>
      <c r="D82" s="394">
        <v>43833</v>
      </c>
      <c r="E82" s="187">
        <v>43837</v>
      </c>
      <c r="F82" s="210">
        <f t="shared" si="8"/>
        <v>2020</v>
      </c>
      <c r="H82" s="108"/>
      <c r="I82" s="108">
        <v>-55102.83</v>
      </c>
      <c r="J82" s="108">
        <v>-13100.04</v>
      </c>
      <c r="K82" s="108"/>
      <c r="L82" s="108">
        <f t="shared" si="11"/>
        <v>-68202.87</v>
      </c>
      <c r="M82" s="170">
        <f t="shared" si="9"/>
        <v>-29163170.349999998</v>
      </c>
      <c r="N82" s="170">
        <f t="shared" si="7"/>
        <v>836829.65000000224</v>
      </c>
      <c r="O82" s="170">
        <f t="shared" si="10"/>
        <v>0</v>
      </c>
      <c r="P82" s="108">
        <f t="shared" si="6"/>
        <v>76185730.62000002</v>
      </c>
      <c r="Q82" s="132"/>
    </row>
    <row r="83" spans="2:18">
      <c r="B83" s="2" t="s">
        <v>49</v>
      </c>
      <c r="C83" s="2" t="s">
        <v>500</v>
      </c>
      <c r="D83" s="394">
        <v>43852</v>
      </c>
      <c r="E83" s="187">
        <v>43854</v>
      </c>
      <c r="F83" s="210">
        <f t="shared" si="8"/>
        <v>2020</v>
      </c>
      <c r="G83" s="2" t="s">
        <v>477</v>
      </c>
      <c r="H83" s="108">
        <v>898852.04</v>
      </c>
      <c r="I83" s="108"/>
      <c r="J83" s="108"/>
      <c r="K83" s="108"/>
      <c r="L83" s="108">
        <f t="shared" si="11"/>
        <v>898852.04</v>
      </c>
      <c r="M83" s="170">
        <f t="shared" si="9"/>
        <v>-29163170.349999998</v>
      </c>
      <c r="N83" s="170">
        <f t="shared" si="7"/>
        <v>836829.65000000224</v>
      </c>
      <c r="O83" s="170">
        <f t="shared" si="10"/>
        <v>898852.04</v>
      </c>
      <c r="P83" s="108">
        <f t="shared" si="6"/>
        <v>77084582.660000026</v>
      </c>
      <c r="Q83" s="132"/>
      <c r="R83" s="170">
        <v>-219450.16</v>
      </c>
    </row>
    <row r="84" spans="2:18">
      <c r="B84" s="2" t="s">
        <v>49</v>
      </c>
      <c r="C84" s="2" t="s">
        <v>501</v>
      </c>
      <c r="D84" s="394">
        <v>44005</v>
      </c>
      <c r="E84" s="187">
        <v>44008</v>
      </c>
      <c r="F84" s="210">
        <f t="shared" si="8"/>
        <v>2020</v>
      </c>
      <c r="G84" s="2" t="s">
        <v>492</v>
      </c>
      <c r="H84" s="108">
        <v>5826836.46</v>
      </c>
      <c r="I84" s="108"/>
      <c r="J84" s="108"/>
      <c r="K84" s="108"/>
      <c r="L84" s="108">
        <f t="shared" si="11"/>
        <v>5826836.46</v>
      </c>
      <c r="M84" s="170">
        <f t="shared" si="9"/>
        <v>-29163170.349999998</v>
      </c>
      <c r="N84" s="170">
        <f t="shared" si="7"/>
        <v>836829.65000000224</v>
      </c>
      <c r="O84" s="170">
        <f t="shared" si="10"/>
        <v>5826836.46</v>
      </c>
      <c r="P84" s="108">
        <f>P83+O84</f>
        <v>82911419.12000002</v>
      </c>
      <c r="Q84" s="132"/>
      <c r="R84" s="170">
        <f>-1270782.11+289751.87</f>
        <v>-981030.24000000011</v>
      </c>
    </row>
    <row r="85" spans="2:18">
      <c r="B85" s="2" t="s">
        <v>439</v>
      </c>
      <c r="C85" s="2" t="s">
        <v>397</v>
      </c>
      <c r="D85" s="394">
        <v>44014</v>
      </c>
      <c r="E85" s="187">
        <v>44027</v>
      </c>
      <c r="F85" s="210">
        <f>YEAR(E85)</f>
        <v>2020</v>
      </c>
      <c r="H85" s="108"/>
      <c r="I85" s="108">
        <v>-49162.12</v>
      </c>
      <c r="J85" s="108">
        <v>-2912.24</v>
      </c>
      <c r="K85" s="108"/>
      <c r="L85" s="108">
        <f>SUM(H85:K85)</f>
        <v>-52074.36</v>
      </c>
      <c r="M85" s="170">
        <f>M86+IF(L85&lt;0,L85,0)</f>
        <v>-29215244.709999997</v>
      </c>
      <c r="N85" s="170">
        <f>$C$7+M85</f>
        <v>784755.29000000283</v>
      </c>
      <c r="O85" s="170">
        <f>SUMIF(H85:K85,"&gt;0", H85:K85)</f>
        <v>0</v>
      </c>
      <c r="P85" s="108">
        <f>P86+O85</f>
        <v>83931396.610000014</v>
      </c>
      <c r="Q85" s="132"/>
    </row>
    <row r="86" spans="2:18">
      <c r="B86" s="2" t="s">
        <v>49</v>
      </c>
      <c r="C86" s="2" t="s">
        <v>502</v>
      </c>
      <c r="D86" s="394">
        <v>44179</v>
      </c>
      <c r="E86" s="187">
        <v>44182</v>
      </c>
      <c r="F86" s="210">
        <f t="shared" si="8"/>
        <v>2020</v>
      </c>
      <c r="G86" s="2" t="s">
        <v>432</v>
      </c>
      <c r="H86" s="108">
        <v>1019977.49</v>
      </c>
      <c r="I86" s="108"/>
      <c r="J86" s="108"/>
      <c r="K86" s="108"/>
      <c r="L86" s="108">
        <f t="shared" si="11"/>
        <v>1019977.49</v>
      </c>
      <c r="M86" s="170">
        <f>M84+IF(L86&lt;0,L86,0)</f>
        <v>-29163170.349999998</v>
      </c>
      <c r="N86" s="170">
        <f t="shared" si="7"/>
        <v>836829.65000000224</v>
      </c>
      <c r="O86" s="170">
        <f t="shared" si="10"/>
        <v>1019977.49</v>
      </c>
      <c r="P86" s="108">
        <f>P84+O86</f>
        <v>83931396.610000014</v>
      </c>
      <c r="Q86" s="132"/>
    </row>
    <row r="87" spans="2:18">
      <c r="B87" s="2" t="s">
        <v>439</v>
      </c>
      <c r="C87" s="2" t="s">
        <v>399</v>
      </c>
      <c r="D87" s="395">
        <v>44202</v>
      </c>
      <c r="E87" s="187">
        <v>44215</v>
      </c>
      <c r="F87" s="210">
        <f t="shared" si="8"/>
        <v>2021</v>
      </c>
      <c r="H87" s="108"/>
      <c r="I87" s="108">
        <v>-40030.519999999997</v>
      </c>
      <c r="J87" s="108">
        <v>-2912.25</v>
      </c>
      <c r="K87" s="108"/>
      <c r="L87" s="108">
        <f t="shared" si="11"/>
        <v>-42942.77</v>
      </c>
      <c r="M87" s="170">
        <f>M85+IF(L87&lt;0,L87,0)</f>
        <v>-29258187.479999997</v>
      </c>
      <c r="N87" s="170">
        <f t="shared" si="7"/>
        <v>741812.52000000328</v>
      </c>
      <c r="O87" s="170">
        <f t="shared" si="10"/>
        <v>0</v>
      </c>
      <c r="P87" s="108">
        <f>P85+O87</f>
        <v>83931396.610000014</v>
      </c>
    </row>
    <row r="88" spans="2:18">
      <c r="B88" s="2" t="s">
        <v>49</v>
      </c>
      <c r="C88" s="2" t="s">
        <v>503</v>
      </c>
      <c r="D88" s="395">
        <v>44202</v>
      </c>
      <c r="E88" s="187">
        <v>44215</v>
      </c>
      <c r="F88" s="210">
        <f t="shared" si="8"/>
        <v>2021</v>
      </c>
      <c r="G88" s="211" t="s">
        <v>432</v>
      </c>
      <c r="H88" s="108">
        <v>5983.58</v>
      </c>
      <c r="I88" s="108"/>
      <c r="J88" s="108"/>
      <c r="K88" s="108"/>
      <c r="L88" s="108">
        <f t="shared" si="11"/>
        <v>5983.58</v>
      </c>
      <c r="M88" s="170">
        <f t="shared" ref="M88:M94" si="12">M87+IF(L88&lt;0,L88,0)</f>
        <v>-29258187.479999997</v>
      </c>
      <c r="N88" s="170">
        <f t="shared" si="7"/>
        <v>741812.52000000328</v>
      </c>
      <c r="O88" s="170">
        <f t="shared" si="10"/>
        <v>5983.58</v>
      </c>
      <c r="P88" s="108">
        <f t="shared" ref="P88:P94" si="13">P87+O88</f>
        <v>83937380.190000013</v>
      </c>
    </row>
    <row r="89" spans="2:18">
      <c r="B89" s="2" t="s">
        <v>49</v>
      </c>
      <c r="C89" s="2" t="s">
        <v>504</v>
      </c>
      <c r="D89" s="395"/>
      <c r="E89" s="187">
        <v>44421</v>
      </c>
      <c r="F89" s="210">
        <f t="shared" si="8"/>
        <v>2021</v>
      </c>
      <c r="G89" s="211" t="s">
        <v>432</v>
      </c>
      <c r="H89" s="108">
        <v>2315721.4</v>
      </c>
      <c r="I89" s="108"/>
      <c r="J89" s="108"/>
      <c r="K89" s="108"/>
      <c r="L89" s="108">
        <f t="shared" ref="L89:L98" si="14">SUM(H89:K89)</f>
        <v>2315721.4</v>
      </c>
      <c r="M89" s="170">
        <f t="shared" si="12"/>
        <v>-29258187.479999997</v>
      </c>
      <c r="N89" s="170">
        <f t="shared" si="7"/>
        <v>741812.52000000328</v>
      </c>
      <c r="O89" s="170">
        <f t="shared" si="10"/>
        <v>2315721.4</v>
      </c>
      <c r="P89" s="108">
        <f t="shared" si="13"/>
        <v>86253101.590000018</v>
      </c>
    </row>
    <row r="90" spans="2:18">
      <c r="B90" s="2" t="s">
        <v>439</v>
      </c>
      <c r="C90" s="2" t="s">
        <v>505</v>
      </c>
      <c r="D90" s="395"/>
      <c r="E90" s="187">
        <v>44421</v>
      </c>
      <c r="F90" s="210">
        <f t="shared" si="8"/>
        <v>2021</v>
      </c>
      <c r="G90" s="211"/>
      <c r="H90" s="108"/>
      <c r="I90" s="108">
        <v>-29873.46</v>
      </c>
      <c r="J90" s="108"/>
      <c r="K90" s="108"/>
      <c r="L90" s="108">
        <f t="shared" si="14"/>
        <v>-29873.46</v>
      </c>
      <c r="M90" s="170">
        <f t="shared" si="12"/>
        <v>-29288060.939999998</v>
      </c>
      <c r="N90" s="170">
        <f t="shared" si="7"/>
        <v>711939.06000000238</v>
      </c>
      <c r="O90" s="170">
        <f t="shared" si="10"/>
        <v>0</v>
      </c>
      <c r="P90" s="108">
        <f t="shared" si="13"/>
        <v>86253101.590000018</v>
      </c>
    </row>
    <row r="91" spans="2:18">
      <c r="B91" s="2" t="s">
        <v>49</v>
      </c>
      <c r="C91" s="2" t="s">
        <v>506</v>
      </c>
      <c r="D91" s="395"/>
      <c r="E91" s="187">
        <v>44512</v>
      </c>
      <c r="F91" s="210">
        <f t="shared" si="8"/>
        <v>2021</v>
      </c>
      <c r="G91" s="211" t="s">
        <v>507</v>
      </c>
      <c r="H91" s="108">
        <v>481029.47</v>
      </c>
      <c r="I91" s="108"/>
      <c r="J91" s="108"/>
      <c r="K91" s="108"/>
      <c r="L91" s="108">
        <f t="shared" si="14"/>
        <v>481029.47</v>
      </c>
      <c r="M91" s="170">
        <f t="shared" si="12"/>
        <v>-29288060.939999998</v>
      </c>
      <c r="N91" s="170">
        <f t="shared" si="7"/>
        <v>711939.06000000238</v>
      </c>
      <c r="O91" s="170">
        <f t="shared" si="10"/>
        <v>481029.47</v>
      </c>
      <c r="P91" s="108">
        <f t="shared" si="13"/>
        <v>86734131.060000017</v>
      </c>
      <c r="R91" s="170">
        <v>-112789</v>
      </c>
    </row>
    <row r="92" spans="2:18">
      <c r="B92" s="2" t="s">
        <v>439</v>
      </c>
      <c r="C92" s="2" t="s">
        <v>508</v>
      </c>
      <c r="D92" s="396"/>
      <c r="E92" s="187">
        <v>44574</v>
      </c>
      <c r="F92" s="210">
        <f t="shared" si="8"/>
        <v>2022</v>
      </c>
      <c r="G92" s="211"/>
      <c r="H92" s="108"/>
      <c r="I92" s="108">
        <v>-21729.94</v>
      </c>
      <c r="J92" s="108">
        <v>-5824.51</v>
      </c>
      <c r="K92" s="108"/>
      <c r="L92" s="108">
        <f t="shared" si="14"/>
        <v>-27554.449999999997</v>
      </c>
      <c r="M92" s="170">
        <f t="shared" si="12"/>
        <v>-29315615.389999997</v>
      </c>
      <c r="N92" s="170">
        <f t="shared" si="7"/>
        <v>684384.61000000313</v>
      </c>
      <c r="O92" s="170">
        <f t="shared" si="10"/>
        <v>0</v>
      </c>
      <c r="P92" s="108">
        <f t="shared" si="13"/>
        <v>86734131.060000017</v>
      </c>
    </row>
    <row r="93" spans="2:18">
      <c r="B93" s="2" t="s">
        <v>49</v>
      </c>
      <c r="C93" s="2" t="s">
        <v>509</v>
      </c>
      <c r="D93" s="396"/>
      <c r="E93" s="187">
        <v>44677</v>
      </c>
      <c r="F93" s="210">
        <f t="shared" si="8"/>
        <v>2022</v>
      </c>
      <c r="G93" s="211" t="s">
        <v>507</v>
      </c>
      <c r="H93" s="108">
        <v>717981.21</v>
      </c>
      <c r="I93" s="108"/>
      <c r="J93" s="108"/>
      <c r="K93" s="108"/>
      <c r="L93" s="108">
        <f t="shared" si="14"/>
        <v>717981.21</v>
      </c>
      <c r="M93" s="170">
        <f t="shared" si="12"/>
        <v>-29315615.389999997</v>
      </c>
      <c r="N93" s="170">
        <f t="shared" si="7"/>
        <v>684384.61000000313</v>
      </c>
      <c r="O93" s="170">
        <f t="shared" si="10"/>
        <v>717981.21</v>
      </c>
      <c r="P93" s="108">
        <f t="shared" si="13"/>
        <v>87452112.270000011</v>
      </c>
      <c r="R93" s="170">
        <v>-172606.7</v>
      </c>
    </row>
    <row r="94" spans="2:18">
      <c r="B94" s="2" t="s">
        <v>439</v>
      </c>
      <c r="C94" s="2" t="s">
        <v>510</v>
      </c>
      <c r="D94" s="396"/>
      <c r="E94" s="187">
        <v>44756</v>
      </c>
      <c r="F94" s="210">
        <f t="shared" si="8"/>
        <v>2022</v>
      </c>
      <c r="G94" s="211"/>
      <c r="H94" s="108"/>
      <c r="I94" s="108">
        <v>-26827.09</v>
      </c>
      <c r="J94" s="108">
        <v>-2912.24</v>
      </c>
      <c r="K94" s="108"/>
      <c r="L94" s="108">
        <f t="shared" si="14"/>
        <v>-29739.33</v>
      </c>
      <c r="M94" s="170">
        <f t="shared" si="12"/>
        <v>-29345354.719999995</v>
      </c>
      <c r="N94" s="170">
        <f t="shared" si="7"/>
        <v>654645.28000000492</v>
      </c>
      <c r="O94" s="170">
        <f t="shared" si="10"/>
        <v>0</v>
      </c>
      <c r="P94" s="108">
        <f t="shared" si="13"/>
        <v>87452112.270000011</v>
      </c>
    </row>
    <row r="95" spans="2:18">
      <c r="B95" s="2" t="s">
        <v>439</v>
      </c>
      <c r="C95" s="2" t="s">
        <v>511</v>
      </c>
      <c r="D95" s="187"/>
      <c r="E95" s="187">
        <v>44932</v>
      </c>
      <c r="F95" s="210">
        <f t="shared" si="8"/>
        <v>2023</v>
      </c>
      <c r="G95" s="211"/>
      <c r="H95" s="108"/>
      <c r="I95" s="108">
        <v>-21729.94</v>
      </c>
      <c r="J95" s="108">
        <v>-2912.25</v>
      </c>
      <c r="K95" s="108"/>
      <c r="L95" s="108">
        <f t="shared" si="14"/>
        <v>-24642.19</v>
      </c>
      <c r="M95" s="170">
        <f>M94+IF(L95&lt;0,L95,0)</f>
        <v>-29369996.909999996</v>
      </c>
      <c r="N95" s="170">
        <f t="shared" si="7"/>
        <v>630003.09000000358</v>
      </c>
      <c r="O95" s="170">
        <f t="shared" si="10"/>
        <v>0</v>
      </c>
      <c r="P95" s="108">
        <f>P94+O95</f>
        <v>87452112.270000011</v>
      </c>
    </row>
    <row r="96" spans="2:18">
      <c r="B96" s="2" t="s">
        <v>439</v>
      </c>
      <c r="C96" s="2" t="s">
        <v>512</v>
      </c>
      <c r="D96" s="187">
        <v>44202</v>
      </c>
      <c r="E96" s="187">
        <v>45071</v>
      </c>
      <c r="F96" s="188">
        <f t="shared" si="8"/>
        <v>2023</v>
      </c>
      <c r="I96" s="170"/>
      <c r="J96" s="170">
        <v>-84455.11</v>
      </c>
      <c r="K96" s="170"/>
      <c r="L96" s="170">
        <f t="shared" si="14"/>
        <v>-84455.11</v>
      </c>
      <c r="M96" s="170">
        <f>M95+IF(L96&lt;0,L96,0)</f>
        <v>-29454452.019999996</v>
      </c>
      <c r="N96" s="170">
        <f t="shared" si="7"/>
        <v>545547.98000000417</v>
      </c>
      <c r="O96" s="170">
        <f t="shared" si="10"/>
        <v>0</v>
      </c>
      <c r="P96" s="108">
        <f>P95+O96</f>
        <v>87452112.270000011</v>
      </c>
    </row>
    <row r="97" spans="2:19">
      <c r="B97" s="2" t="s">
        <v>49</v>
      </c>
      <c r="C97" s="2" t="s">
        <v>513</v>
      </c>
      <c r="D97" s="187">
        <v>44202</v>
      </c>
      <c r="E97" s="187">
        <v>45071</v>
      </c>
      <c r="F97" s="188">
        <f t="shared" si="8"/>
        <v>2023</v>
      </c>
      <c r="G97" s="132" t="s">
        <v>432</v>
      </c>
      <c r="H97" s="170">
        <v>4580080.53</v>
      </c>
      <c r="I97" s="170"/>
      <c r="J97" s="170"/>
      <c r="K97" s="170"/>
      <c r="L97" s="170">
        <f t="shared" si="14"/>
        <v>4580080.53</v>
      </c>
      <c r="M97" s="170">
        <f>M96+IF(L97&lt;0,L97,0)</f>
        <v>-29454452.019999996</v>
      </c>
      <c r="N97" s="170">
        <f t="shared" si="7"/>
        <v>545547.98000000417</v>
      </c>
      <c r="O97" s="170">
        <f t="shared" si="10"/>
        <v>4580080.53</v>
      </c>
      <c r="P97" s="108">
        <f>P96+O97</f>
        <v>92032192.800000012</v>
      </c>
      <c r="S97" s="324" t="s">
        <v>514</v>
      </c>
    </row>
    <row r="98" spans="2:19">
      <c r="B98" s="2" t="s">
        <v>49</v>
      </c>
      <c r="C98" s="2" t="s">
        <v>515</v>
      </c>
      <c r="D98" s="187">
        <v>44202</v>
      </c>
      <c r="E98" s="187">
        <v>45275</v>
      </c>
      <c r="F98" s="188">
        <f t="shared" si="8"/>
        <v>2023</v>
      </c>
      <c r="G98" s="132" t="s">
        <v>432</v>
      </c>
      <c r="H98" s="170">
        <v>6632.82</v>
      </c>
      <c r="I98" s="170"/>
      <c r="J98" s="170"/>
      <c r="K98" s="170"/>
      <c r="L98" s="170">
        <f t="shared" si="14"/>
        <v>6632.82</v>
      </c>
      <c r="M98" s="170">
        <f>M97+IF(L98&lt;0,L98,0)</f>
        <v>-29454452.019999996</v>
      </c>
      <c r="N98" s="170">
        <f t="shared" si="7"/>
        <v>545547.98000000417</v>
      </c>
      <c r="O98" s="170">
        <f t="shared" si="10"/>
        <v>6632.82</v>
      </c>
      <c r="P98" s="108">
        <f>P97+O98</f>
        <v>92038825.620000005</v>
      </c>
      <c r="S98" s="2" t="s">
        <v>403</v>
      </c>
    </row>
    <row r="99" spans="2:19">
      <c r="D99" s="187"/>
      <c r="E99" s="187"/>
      <c r="F99" s="188"/>
      <c r="G99" s="132"/>
      <c r="I99" s="170"/>
      <c r="J99" s="170"/>
      <c r="K99" s="170"/>
      <c r="L99" s="170"/>
      <c r="M99" s="170"/>
      <c r="N99" s="170"/>
      <c r="O99" s="170"/>
      <c r="P99" s="170"/>
    </row>
    <row r="100" spans="2:19" s="191" customFormat="1">
      <c r="B100" s="191" t="s">
        <v>288</v>
      </c>
      <c r="D100" s="192">
        <v>44196</v>
      </c>
      <c r="E100" s="192">
        <f>L1</f>
        <v>45657</v>
      </c>
      <c r="F100" s="216">
        <f>YEAR(E100)</f>
        <v>2024</v>
      </c>
      <c r="G100" s="194"/>
      <c r="H100" s="193"/>
      <c r="I100" s="193"/>
      <c r="J100" s="193"/>
      <c r="K100" s="193"/>
      <c r="L100" s="195">
        <v>51248</v>
      </c>
      <c r="M100" s="193"/>
      <c r="N100" s="193"/>
      <c r="O100" s="196"/>
      <c r="P100" s="196"/>
      <c r="R100" s="193"/>
    </row>
    <row r="101" spans="2:19">
      <c r="D101" s="187"/>
      <c r="E101" s="187"/>
      <c r="F101" s="187"/>
      <c r="H101" s="2"/>
      <c r="I101" s="2"/>
      <c r="J101" s="2"/>
      <c r="K101" s="2"/>
      <c r="L101" s="170"/>
      <c r="M101" s="170"/>
      <c r="N101" s="170"/>
    </row>
    <row r="102" spans="2:19">
      <c r="D102" s="187"/>
      <c r="E102" s="187"/>
      <c r="F102" s="187"/>
      <c r="H102" s="2"/>
      <c r="I102" s="2"/>
      <c r="J102" s="2"/>
      <c r="K102" s="2"/>
      <c r="L102" s="170"/>
      <c r="M102" s="170"/>
      <c r="N102" s="170"/>
    </row>
    <row r="103" spans="2:19">
      <c r="B103" s="165" t="s">
        <v>516</v>
      </c>
      <c r="D103" s="187"/>
      <c r="I103" s="170"/>
      <c r="J103" s="170"/>
      <c r="K103" s="170"/>
      <c r="L103" s="170"/>
      <c r="M103" s="170"/>
      <c r="N103" s="170"/>
    </row>
    <row r="104" spans="2:19" ht="22.5">
      <c r="B104" s="183" t="s">
        <v>292</v>
      </c>
      <c r="C104" s="183" t="s">
        <v>0</v>
      </c>
      <c r="D104" s="187"/>
      <c r="E104" s="183" t="s">
        <v>294</v>
      </c>
      <c r="F104" s="183" t="s">
        <v>295</v>
      </c>
      <c r="H104" s="185" t="s">
        <v>300</v>
      </c>
      <c r="I104" s="170"/>
      <c r="J104" s="170"/>
      <c r="K104" s="170"/>
      <c r="L104" s="170"/>
      <c r="M104" s="170"/>
      <c r="N104" s="170"/>
    </row>
    <row r="105" spans="2:19">
      <c r="B105" s="2" t="s">
        <v>49</v>
      </c>
      <c r="C105" s="2" t="s">
        <v>314</v>
      </c>
      <c r="D105" s="187">
        <v>40942</v>
      </c>
      <c r="E105" s="187">
        <v>40942</v>
      </c>
      <c r="F105" s="2">
        <v>2012</v>
      </c>
      <c r="H105" s="170">
        <v>238804.12</v>
      </c>
      <c r="I105" s="170"/>
      <c r="J105" s="170"/>
      <c r="K105" s="170"/>
      <c r="L105" s="170"/>
      <c r="M105" s="170"/>
      <c r="N105" s="170"/>
    </row>
    <row r="106" spans="2:19">
      <c r="B106" s="2" t="s">
        <v>49</v>
      </c>
      <c r="C106" s="2" t="s">
        <v>337</v>
      </c>
      <c r="D106" s="187">
        <v>41255</v>
      </c>
      <c r="E106" s="187">
        <v>41255</v>
      </c>
      <c r="F106" s="2">
        <v>2012</v>
      </c>
      <c r="H106" s="170">
        <v>1164898.1200000001</v>
      </c>
      <c r="I106" s="170"/>
      <c r="J106" s="170"/>
      <c r="K106" s="170"/>
      <c r="L106" s="170"/>
      <c r="M106" s="170"/>
      <c r="N106" s="170"/>
    </row>
    <row r="107" spans="2:19">
      <c r="B107" s="2" t="s">
        <v>49</v>
      </c>
      <c r="C107" s="2" t="s">
        <v>340</v>
      </c>
      <c r="D107" s="187"/>
      <c r="E107" s="187">
        <v>41562</v>
      </c>
      <c r="F107" s="2">
        <v>2013</v>
      </c>
      <c r="H107" s="170">
        <v>1164898.1200000001</v>
      </c>
      <c r="I107" s="170"/>
      <c r="J107" s="170"/>
      <c r="K107" s="170"/>
      <c r="L107" s="170"/>
      <c r="M107" s="170"/>
      <c r="N107" s="170"/>
    </row>
    <row r="108" spans="2:19">
      <c r="B108" s="2" t="s">
        <v>49</v>
      </c>
      <c r="C108" s="2" t="s">
        <v>360</v>
      </c>
      <c r="D108" s="187"/>
      <c r="E108" s="187">
        <v>42017</v>
      </c>
      <c r="F108" s="2">
        <v>2015</v>
      </c>
      <c r="H108" s="170">
        <v>393506.28</v>
      </c>
      <c r="I108" s="170"/>
      <c r="J108" s="170"/>
      <c r="K108" s="170"/>
      <c r="L108" s="170"/>
      <c r="M108" s="170"/>
      <c r="N108" s="170"/>
    </row>
    <row r="109" spans="2:19">
      <c r="B109" s="2" t="s">
        <v>49</v>
      </c>
      <c r="C109" s="2" t="s">
        <v>364</v>
      </c>
      <c r="D109" s="187"/>
      <c r="E109" s="187">
        <v>42158</v>
      </c>
      <c r="F109" s="2">
        <v>2015</v>
      </c>
      <c r="H109" s="170">
        <v>1000000</v>
      </c>
      <c r="I109" s="170"/>
      <c r="J109" s="170"/>
      <c r="K109" s="170"/>
      <c r="L109" s="170"/>
      <c r="M109" s="170"/>
      <c r="N109" s="170"/>
    </row>
    <row r="110" spans="2:19">
      <c r="B110" s="2" t="s">
        <v>49</v>
      </c>
      <c r="C110" s="2" t="s">
        <v>394</v>
      </c>
      <c r="D110" s="187">
        <v>42311</v>
      </c>
      <c r="E110" s="187">
        <v>42311</v>
      </c>
      <c r="F110" s="2">
        <v>2015</v>
      </c>
      <c r="H110" s="170">
        <v>562359.27</v>
      </c>
      <c r="I110" s="170"/>
      <c r="J110" s="170"/>
      <c r="K110" s="170"/>
      <c r="L110" s="170"/>
      <c r="M110" s="170"/>
      <c r="N110" s="170"/>
    </row>
    <row r="111" spans="2:19">
      <c r="B111" s="2" t="s">
        <v>49</v>
      </c>
      <c r="C111" s="2" t="s">
        <v>473</v>
      </c>
      <c r="D111" s="2">
        <v>42830</v>
      </c>
      <c r="E111" s="187">
        <v>42830</v>
      </c>
      <c r="F111" s="2">
        <v>2017</v>
      </c>
      <c r="H111" s="170">
        <v>685810.4</v>
      </c>
    </row>
    <row r="112" spans="2:19">
      <c r="B112" s="2" t="s">
        <v>49</v>
      </c>
      <c r="C112" s="2" t="s">
        <v>476</v>
      </c>
      <c r="D112" s="2">
        <v>42922</v>
      </c>
      <c r="E112" s="187">
        <v>42922</v>
      </c>
      <c r="F112" s="2">
        <v>2017</v>
      </c>
      <c r="H112" s="170">
        <v>1059968.31</v>
      </c>
    </row>
    <row r="113" spans="2:8">
      <c r="B113" s="2" t="s">
        <v>49</v>
      </c>
      <c r="C113" s="2" t="s">
        <v>487</v>
      </c>
      <c r="E113" s="187">
        <v>43263</v>
      </c>
      <c r="F113" s="2">
        <v>2018</v>
      </c>
      <c r="H113" s="170">
        <v>1563032.14</v>
      </c>
    </row>
    <row r="114" spans="2:8">
      <c r="B114" s="2" t="s">
        <v>49</v>
      </c>
      <c r="C114" s="2" t="s">
        <v>490</v>
      </c>
      <c r="D114" s="2">
        <v>43522</v>
      </c>
      <c r="E114" s="187">
        <v>43522</v>
      </c>
      <c r="F114" s="2">
        <v>2019</v>
      </c>
      <c r="H114" s="170">
        <v>1246193.8700000001</v>
      </c>
    </row>
    <row r="115" spans="2:8">
      <c r="B115" s="2" t="s">
        <v>49</v>
      </c>
      <c r="C115" s="2" t="s">
        <v>500</v>
      </c>
      <c r="D115" s="2">
        <v>43854</v>
      </c>
      <c r="E115" s="187">
        <v>43854</v>
      </c>
      <c r="F115" s="2">
        <v>2020</v>
      </c>
      <c r="H115" s="170">
        <v>898852.04</v>
      </c>
    </row>
    <row r="116" spans="2:8">
      <c r="B116" s="2" t="s">
        <v>49</v>
      </c>
      <c r="C116" s="2" t="s">
        <v>504</v>
      </c>
      <c r="D116" s="2">
        <v>44421</v>
      </c>
      <c r="E116" s="187">
        <v>44421</v>
      </c>
      <c r="F116" s="2">
        <v>2021</v>
      </c>
      <c r="H116" s="170">
        <v>762682.1</v>
      </c>
    </row>
    <row r="117" spans="2:8">
      <c r="B117" s="2" t="s">
        <v>49</v>
      </c>
      <c r="C117" s="2" t="s">
        <v>506</v>
      </c>
      <c r="D117" s="2">
        <v>44512</v>
      </c>
      <c r="E117" s="187">
        <v>44512</v>
      </c>
      <c r="F117" s="2">
        <v>2021</v>
      </c>
      <c r="H117" s="170">
        <v>481029.47</v>
      </c>
    </row>
    <row r="118" spans="2:8">
      <c r="B118" s="2" t="s">
        <v>49</v>
      </c>
      <c r="C118" s="2" t="s">
        <v>509</v>
      </c>
      <c r="E118" s="187">
        <v>44677</v>
      </c>
      <c r="F118" s="2">
        <v>2022</v>
      </c>
      <c r="H118" s="197">
        <v>717981.21</v>
      </c>
    </row>
    <row r="119" spans="2:8" s="75" customFormat="1">
      <c r="B119" s="75" t="s">
        <v>517</v>
      </c>
      <c r="H119" s="178">
        <f>SUBTOTAL(9,H105:H118)</f>
        <v>11940015.450000003</v>
      </c>
    </row>
  </sheetData>
  <autoFilter ref="B9:P100" xr:uid="{D9606F56-0912-4826-8BA2-D8B591536055}"/>
  <mergeCells count="4">
    <mergeCell ref="C3:D3"/>
    <mergeCell ref="C5:D5"/>
    <mergeCell ref="L1:M1"/>
    <mergeCell ref="O1:P1"/>
  </mergeCells>
  <phoneticPr fontId="62" type="noConversion"/>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34640-72AF-4348-88FA-20E1AB0CD81A}">
  <sheetPr>
    <tabColor theme="8"/>
    <pageSetUpPr fitToPage="1"/>
  </sheetPr>
  <dimension ref="A1:CY110"/>
  <sheetViews>
    <sheetView topLeftCell="A20" workbookViewId="0"/>
  </sheetViews>
  <sheetFormatPr defaultColWidth="9" defaultRowHeight="11.25" outlineLevelCol="1"/>
  <cols>
    <col min="1" max="1" width="11.7109375" style="2" customWidth="1"/>
    <col min="2" max="2" width="12.42578125" style="132" bestFit="1" customWidth="1"/>
    <col min="3" max="3" width="12.42578125" style="132" customWidth="1"/>
    <col min="4" max="4" width="18.28515625" style="200" bestFit="1" customWidth="1"/>
    <col min="5" max="5" width="19.7109375" style="2" customWidth="1"/>
    <col min="6" max="6" width="14.42578125" style="120" bestFit="1" customWidth="1"/>
    <col min="7" max="7" width="14.42578125" style="2" bestFit="1" customWidth="1"/>
    <col min="8" max="8" width="11.7109375" style="2" customWidth="1"/>
    <col min="9" max="9" width="16.28515625" style="2" customWidth="1" outlineLevel="1"/>
    <col min="10" max="11" width="15.7109375" style="2" customWidth="1" outlineLevel="1"/>
    <col min="12" max="16" width="15.28515625" style="2" customWidth="1" outlineLevel="1"/>
    <col min="17" max="17" width="12" style="2" customWidth="1" outlineLevel="1"/>
    <col min="18" max="18" width="14.7109375" style="2" customWidth="1" outlineLevel="1"/>
    <col min="19" max="19" width="14" style="2" customWidth="1" outlineLevel="1"/>
    <col min="20" max="36" width="13.7109375" style="2" customWidth="1" outlineLevel="1"/>
    <col min="37" max="38" width="12.28515625" style="2" customWidth="1" outlineLevel="1"/>
    <col min="39" max="39" width="11" style="2" customWidth="1" outlineLevel="1"/>
    <col min="40" max="40" width="13.140625" style="2" customWidth="1" outlineLevel="1"/>
    <col min="41" max="42" width="12.28515625" style="2" customWidth="1" outlineLevel="1"/>
    <col min="43" max="43" width="11" style="2" customWidth="1" outlineLevel="1"/>
    <col min="44" max="100" width="13.140625" style="2" customWidth="1" outlineLevel="1"/>
    <col min="101" max="101" width="14.42578125" style="2" bestFit="1" customWidth="1"/>
    <col min="102" max="102" width="15.140625" style="2" customWidth="1"/>
    <col min="103" max="103" width="15" style="2" bestFit="1" customWidth="1"/>
    <col min="104" max="16384" width="9" style="2"/>
  </cols>
  <sheetData>
    <row r="1" spans="1:103">
      <c r="A1" s="120" t="s">
        <v>518</v>
      </c>
    </row>
    <row r="2" spans="1:103">
      <c r="A2" s="627" cm="1">
        <f t="array" ref="A2:B2">'[5]BOYU I CF - NEW'!C3:D3</f>
        <v>45657</v>
      </c>
      <c r="B2" s="628">
        <v>0</v>
      </c>
    </row>
    <row r="3" spans="1:103" ht="30.75" customHeight="1">
      <c r="A3" s="2" t="s">
        <v>519</v>
      </c>
      <c r="I3" s="632" t="s">
        <v>520</v>
      </c>
      <c r="J3" s="632"/>
      <c r="K3" s="632"/>
      <c r="L3" s="632"/>
      <c r="M3" s="632" t="s">
        <v>521</v>
      </c>
      <c r="N3" s="632"/>
      <c r="O3" s="632"/>
      <c r="P3" s="632"/>
      <c r="Q3" s="632" t="s">
        <v>522</v>
      </c>
      <c r="R3" s="632"/>
      <c r="S3" s="632"/>
      <c r="T3" s="632"/>
      <c r="U3" s="632" t="s">
        <v>523</v>
      </c>
      <c r="V3" s="632"/>
      <c r="W3" s="632"/>
      <c r="X3" s="632"/>
      <c r="Y3" s="632" t="s">
        <v>524</v>
      </c>
      <c r="Z3" s="632"/>
      <c r="AA3" s="632"/>
      <c r="AB3" s="632"/>
      <c r="AC3" s="632" t="s">
        <v>525</v>
      </c>
      <c r="AD3" s="632"/>
      <c r="AE3" s="632"/>
      <c r="AF3" s="632"/>
      <c r="AG3" s="632" t="s">
        <v>526</v>
      </c>
      <c r="AH3" s="632"/>
      <c r="AI3" s="632"/>
      <c r="AJ3" s="632"/>
      <c r="AK3" s="632" t="s">
        <v>527</v>
      </c>
      <c r="AL3" s="632"/>
      <c r="AM3" s="632"/>
      <c r="AN3" s="632"/>
      <c r="AO3" s="633" t="s">
        <v>528</v>
      </c>
      <c r="AP3" s="633"/>
      <c r="AQ3" s="633"/>
      <c r="AR3" s="633"/>
      <c r="AS3" s="632" t="s">
        <v>529</v>
      </c>
      <c r="AT3" s="632"/>
      <c r="AU3" s="632"/>
      <c r="AV3" s="632"/>
      <c r="AW3" s="632" t="s">
        <v>530</v>
      </c>
      <c r="AX3" s="632"/>
      <c r="AY3" s="632"/>
      <c r="AZ3" s="632"/>
      <c r="BA3" s="632" t="s">
        <v>531</v>
      </c>
      <c r="BB3" s="632"/>
      <c r="BC3" s="632"/>
      <c r="BD3" s="632"/>
      <c r="BE3" s="632" t="s">
        <v>532</v>
      </c>
      <c r="BF3" s="632"/>
      <c r="BG3" s="632"/>
      <c r="BH3" s="632"/>
      <c r="BI3" s="632" t="s">
        <v>533</v>
      </c>
      <c r="BJ3" s="632"/>
      <c r="BK3" s="632"/>
      <c r="BL3" s="632"/>
      <c r="BM3" s="632" t="s">
        <v>534</v>
      </c>
      <c r="BN3" s="632"/>
      <c r="BO3" s="632"/>
      <c r="BP3" s="632"/>
      <c r="BQ3" s="632" t="s">
        <v>535</v>
      </c>
      <c r="BR3" s="632"/>
      <c r="BS3" s="632"/>
      <c r="BT3" s="632"/>
      <c r="BU3" s="632" t="s">
        <v>536</v>
      </c>
      <c r="BV3" s="632"/>
      <c r="BW3" s="632"/>
      <c r="BX3" s="632"/>
      <c r="BY3" s="632" t="s">
        <v>537</v>
      </c>
      <c r="BZ3" s="632"/>
      <c r="CA3" s="632"/>
      <c r="CB3" s="632"/>
      <c r="CC3" s="632" t="s">
        <v>538</v>
      </c>
      <c r="CD3" s="632"/>
      <c r="CE3" s="632"/>
      <c r="CF3" s="632"/>
      <c r="CG3" s="632" t="s">
        <v>539</v>
      </c>
      <c r="CH3" s="632"/>
      <c r="CI3" s="632"/>
      <c r="CJ3" s="632"/>
      <c r="CK3" s="632" t="s">
        <v>540</v>
      </c>
      <c r="CL3" s="632"/>
      <c r="CM3" s="632"/>
      <c r="CN3" s="632"/>
      <c r="CO3" s="632" t="s">
        <v>541</v>
      </c>
      <c r="CP3" s="632"/>
      <c r="CQ3" s="632"/>
      <c r="CR3" s="632"/>
      <c r="CS3" s="632" t="s">
        <v>542</v>
      </c>
      <c r="CT3" s="632"/>
      <c r="CU3" s="632"/>
      <c r="CV3" s="632"/>
      <c r="CW3" s="634" t="s">
        <v>543</v>
      </c>
      <c r="CX3" s="634"/>
      <c r="CY3" s="634"/>
    </row>
    <row r="4" spans="1:103" s="235" customFormat="1">
      <c r="A4" s="235" t="s">
        <v>544</v>
      </c>
      <c r="B4" s="236" t="s">
        <v>545</v>
      </c>
      <c r="C4" s="236" t="s">
        <v>546</v>
      </c>
      <c r="D4" s="237" t="s">
        <v>547</v>
      </c>
      <c r="E4" s="235" t="s">
        <v>548</v>
      </c>
      <c r="F4" s="120"/>
      <c r="H4" s="234" t="s">
        <v>549</v>
      </c>
      <c r="I4" s="238" t="s">
        <v>545</v>
      </c>
      <c r="J4" s="238" t="s">
        <v>550</v>
      </c>
      <c r="K4" s="238" t="s">
        <v>551</v>
      </c>
      <c r="L4" s="234" t="s">
        <v>548</v>
      </c>
      <c r="M4" s="238" t="s">
        <v>545</v>
      </c>
      <c r="N4" s="238" t="s">
        <v>550</v>
      </c>
      <c r="O4" s="238" t="s">
        <v>551</v>
      </c>
      <c r="P4" s="234" t="s">
        <v>548</v>
      </c>
      <c r="Q4" s="238" t="s">
        <v>545</v>
      </c>
      <c r="R4" s="238" t="s">
        <v>550</v>
      </c>
      <c r="S4" s="238" t="s">
        <v>551</v>
      </c>
      <c r="T4" s="234" t="s">
        <v>548</v>
      </c>
      <c r="U4" s="238" t="s">
        <v>545</v>
      </c>
      <c r="V4" s="238" t="s">
        <v>550</v>
      </c>
      <c r="W4" s="238" t="s">
        <v>551</v>
      </c>
      <c r="X4" s="234" t="s">
        <v>548</v>
      </c>
      <c r="Y4" s="238" t="s">
        <v>545</v>
      </c>
      <c r="Z4" s="238" t="s">
        <v>550</v>
      </c>
      <c r="AA4" s="238" t="s">
        <v>551</v>
      </c>
      <c r="AB4" s="234" t="s">
        <v>548</v>
      </c>
      <c r="AC4" s="238" t="s">
        <v>545</v>
      </c>
      <c r="AD4" s="238" t="s">
        <v>550</v>
      </c>
      <c r="AE4" s="238" t="s">
        <v>551</v>
      </c>
      <c r="AF4" s="234" t="s">
        <v>548</v>
      </c>
      <c r="AG4" s="238" t="s">
        <v>545</v>
      </c>
      <c r="AH4" s="238" t="s">
        <v>550</v>
      </c>
      <c r="AI4" s="238" t="s">
        <v>551</v>
      </c>
      <c r="AJ4" s="234" t="s">
        <v>548</v>
      </c>
      <c r="AK4" s="238" t="s">
        <v>545</v>
      </c>
      <c r="AL4" s="238" t="s">
        <v>550</v>
      </c>
      <c r="AM4" s="238" t="s">
        <v>551</v>
      </c>
      <c r="AN4" s="234" t="s">
        <v>548</v>
      </c>
      <c r="AO4" s="238" t="s">
        <v>545</v>
      </c>
      <c r="AP4" s="238" t="s">
        <v>550</v>
      </c>
      <c r="AQ4" s="238" t="s">
        <v>551</v>
      </c>
      <c r="AR4" s="234" t="s">
        <v>548</v>
      </c>
      <c r="AS4" s="238" t="s">
        <v>545</v>
      </c>
      <c r="AT4" s="238" t="s">
        <v>550</v>
      </c>
      <c r="AU4" s="238" t="s">
        <v>551</v>
      </c>
      <c r="AV4" s="234" t="s">
        <v>548</v>
      </c>
      <c r="AW4" s="238" t="s">
        <v>545</v>
      </c>
      <c r="AX4" s="238" t="s">
        <v>550</v>
      </c>
      <c r="AY4" s="238" t="s">
        <v>551</v>
      </c>
      <c r="AZ4" s="234" t="s">
        <v>548</v>
      </c>
      <c r="BA4" s="238" t="s">
        <v>545</v>
      </c>
      <c r="BB4" s="238" t="s">
        <v>550</v>
      </c>
      <c r="BC4" s="238" t="s">
        <v>551</v>
      </c>
      <c r="BD4" s="234" t="s">
        <v>548</v>
      </c>
      <c r="BE4" s="238" t="s">
        <v>545</v>
      </c>
      <c r="BF4" s="238" t="s">
        <v>550</v>
      </c>
      <c r="BG4" s="238" t="s">
        <v>551</v>
      </c>
      <c r="BH4" s="234" t="s">
        <v>548</v>
      </c>
      <c r="BI4" s="238" t="s">
        <v>545</v>
      </c>
      <c r="BJ4" s="238" t="s">
        <v>550</v>
      </c>
      <c r="BK4" s="238" t="s">
        <v>551</v>
      </c>
      <c r="BL4" s="234" t="s">
        <v>548</v>
      </c>
      <c r="BM4" s="238" t="s">
        <v>545</v>
      </c>
      <c r="BN4" s="238" t="s">
        <v>550</v>
      </c>
      <c r="BO4" s="238" t="s">
        <v>551</v>
      </c>
      <c r="BP4" s="234" t="s">
        <v>548</v>
      </c>
      <c r="BQ4" s="238" t="s">
        <v>545</v>
      </c>
      <c r="BR4" s="238" t="s">
        <v>550</v>
      </c>
      <c r="BS4" s="238" t="s">
        <v>551</v>
      </c>
      <c r="BT4" s="234" t="s">
        <v>548</v>
      </c>
      <c r="BU4" s="238" t="s">
        <v>545</v>
      </c>
      <c r="BV4" s="238" t="s">
        <v>550</v>
      </c>
      <c r="BW4" s="238" t="s">
        <v>551</v>
      </c>
      <c r="BX4" s="234" t="s">
        <v>548</v>
      </c>
      <c r="BY4" s="238" t="s">
        <v>545</v>
      </c>
      <c r="BZ4" s="238" t="s">
        <v>550</v>
      </c>
      <c r="CA4" s="238" t="s">
        <v>551</v>
      </c>
      <c r="CB4" s="234" t="s">
        <v>548</v>
      </c>
      <c r="CC4" s="238" t="s">
        <v>545</v>
      </c>
      <c r="CD4" s="238" t="s">
        <v>550</v>
      </c>
      <c r="CE4" s="238" t="s">
        <v>551</v>
      </c>
      <c r="CF4" s="234" t="s">
        <v>548</v>
      </c>
      <c r="CG4" s="238" t="s">
        <v>545</v>
      </c>
      <c r="CH4" s="238" t="s">
        <v>550</v>
      </c>
      <c r="CI4" s="238" t="s">
        <v>551</v>
      </c>
      <c r="CJ4" s="234" t="s">
        <v>548</v>
      </c>
      <c r="CK4" s="238" t="s">
        <v>545</v>
      </c>
      <c r="CL4" s="238" t="s">
        <v>550</v>
      </c>
      <c r="CM4" s="238" t="s">
        <v>551</v>
      </c>
      <c r="CN4" s="234" t="s">
        <v>548</v>
      </c>
      <c r="CO4" s="238" t="s">
        <v>545</v>
      </c>
      <c r="CP4" s="238" t="s">
        <v>550</v>
      </c>
      <c r="CQ4" s="238" t="s">
        <v>551</v>
      </c>
      <c r="CR4" s="234" t="s">
        <v>548</v>
      </c>
      <c r="CS4" s="238" t="s">
        <v>545</v>
      </c>
      <c r="CT4" s="238" t="s">
        <v>550</v>
      </c>
      <c r="CU4" s="238" t="s">
        <v>551</v>
      </c>
      <c r="CV4" s="234" t="s">
        <v>548</v>
      </c>
      <c r="CW4" s="234" t="s">
        <v>550</v>
      </c>
      <c r="CX4" s="238" t="s">
        <v>551</v>
      </c>
      <c r="CY4" s="234" t="s">
        <v>548</v>
      </c>
    </row>
    <row r="5" spans="1:103" s="235" customFormat="1">
      <c r="A5" s="239">
        <v>42618</v>
      </c>
      <c r="B5" s="236">
        <f>-10000</f>
        <v>-10000</v>
      </c>
      <c r="C5" s="236">
        <f>D5/B5</f>
        <v>1000</v>
      </c>
      <c r="D5" s="237">
        <v>-10000000</v>
      </c>
      <c r="F5" s="120" t="s">
        <v>552</v>
      </c>
      <c r="H5" s="182">
        <v>43830</v>
      </c>
      <c r="L5" s="237">
        <v>15920800</v>
      </c>
      <c r="M5" s="237"/>
      <c r="N5" s="237"/>
      <c r="O5" s="237"/>
      <c r="P5" s="237">
        <v>0</v>
      </c>
      <c r="T5" s="237">
        <v>0</v>
      </c>
      <c r="U5" s="237"/>
      <c r="V5" s="237"/>
      <c r="W5" s="237"/>
      <c r="X5" s="237"/>
      <c r="Y5" s="237"/>
      <c r="Z5" s="237"/>
      <c r="AA5" s="237"/>
      <c r="AB5" s="237"/>
      <c r="AC5" s="237"/>
      <c r="AD5" s="237"/>
      <c r="AE5" s="237"/>
      <c r="AF5" s="237"/>
      <c r="AG5" s="237"/>
      <c r="AH5" s="237"/>
      <c r="AI5" s="237"/>
      <c r="AJ5" s="237"/>
      <c r="AN5" s="237">
        <v>0</v>
      </c>
      <c r="AR5" s="237">
        <v>0</v>
      </c>
      <c r="AV5" s="237">
        <v>0</v>
      </c>
      <c r="AZ5" s="237">
        <v>0</v>
      </c>
      <c r="BD5" s="237">
        <v>0</v>
      </c>
      <c r="BH5" s="237">
        <v>0</v>
      </c>
      <c r="BL5" s="237">
        <v>0</v>
      </c>
      <c r="BP5" s="237">
        <v>0</v>
      </c>
      <c r="BT5" s="237">
        <v>0</v>
      </c>
      <c r="BU5" s="237"/>
      <c r="BV5" s="237"/>
      <c r="BW5" s="237"/>
      <c r="BX5" s="237"/>
      <c r="BY5" s="237"/>
      <c r="BZ5" s="237"/>
      <c r="CA5" s="237"/>
      <c r="CB5" s="237"/>
      <c r="CC5" s="237"/>
      <c r="CD5" s="237"/>
      <c r="CE5" s="237"/>
      <c r="CF5" s="237"/>
      <c r="CG5" s="237"/>
      <c r="CH5" s="237"/>
      <c r="CI5" s="237"/>
      <c r="CJ5" s="237"/>
      <c r="CK5" s="237"/>
      <c r="CL5" s="237"/>
      <c r="CM5" s="237"/>
      <c r="CN5" s="237"/>
      <c r="CO5" s="237"/>
      <c r="CP5" s="237"/>
      <c r="CQ5" s="237"/>
      <c r="CR5" s="237"/>
      <c r="CS5" s="237"/>
      <c r="CT5" s="237"/>
      <c r="CU5" s="237"/>
      <c r="CV5" s="237"/>
      <c r="CW5" s="237">
        <f>J5+R5+AP5+AT5+N5+AX5+BB5+BF5+BJ5+BN5+BR5</f>
        <v>0</v>
      </c>
      <c r="CX5" s="237">
        <f>K5+S5+AQ5+AU5+O5+AY5+BC5+BG5+BK5+BO5+BS5</f>
        <v>0</v>
      </c>
      <c r="CY5" s="237">
        <f>L5+T5+AR5+AV5+P5+AZ5+BD5+BH5+BL5+BP5+BT5</f>
        <v>15920800</v>
      </c>
    </row>
    <row r="6" spans="1:103">
      <c r="A6" s="240">
        <v>43921</v>
      </c>
      <c r="B6" s="132">
        <v>1500</v>
      </c>
      <c r="C6" s="132">
        <v>1667.67</v>
      </c>
      <c r="D6" s="406">
        <f>B6*C6</f>
        <v>2501505</v>
      </c>
      <c r="F6" s="120" t="s">
        <v>553</v>
      </c>
      <c r="H6" s="182">
        <v>43861</v>
      </c>
      <c r="I6" s="237">
        <v>-682.03009999999995</v>
      </c>
      <c r="J6" s="200">
        <v>-1085846.56</v>
      </c>
      <c r="K6" s="200">
        <v>476148.34</v>
      </c>
      <c r="L6" s="200">
        <f>L5+J6+K6</f>
        <v>15311101.779999999</v>
      </c>
      <c r="M6" s="200"/>
      <c r="N6" s="200"/>
      <c r="O6" s="200"/>
      <c r="P6" s="200">
        <f>P5+N6+O6</f>
        <v>0</v>
      </c>
      <c r="Q6" s="241">
        <v>1085.8466000000001</v>
      </c>
      <c r="R6" s="241">
        <v>1085846.56</v>
      </c>
      <c r="S6" s="200">
        <v>-868.64</v>
      </c>
      <c r="T6" s="200">
        <f>T5+R6+S6</f>
        <v>1084977.9200000002</v>
      </c>
      <c r="U6" s="200"/>
      <c r="V6" s="200"/>
      <c r="W6" s="200"/>
      <c r="X6" s="200"/>
      <c r="Y6" s="200"/>
      <c r="Z6" s="200"/>
      <c r="AA6" s="200"/>
      <c r="AB6" s="200"/>
      <c r="AC6" s="200"/>
      <c r="AD6" s="200"/>
      <c r="AE6" s="200"/>
      <c r="AF6" s="200"/>
      <c r="AG6" s="200"/>
      <c r="AH6" s="200"/>
      <c r="AI6" s="200"/>
      <c r="AJ6" s="200"/>
      <c r="AK6" s="241"/>
      <c r="AL6" s="241"/>
      <c r="AN6" s="200">
        <f t="shared" ref="AN6:AN11" si="0">AN5+AL6+AM6</f>
        <v>0</v>
      </c>
      <c r="AO6" s="241"/>
      <c r="AP6" s="241"/>
      <c r="AR6" s="200">
        <f>AR5+AP6+AQ6</f>
        <v>0</v>
      </c>
      <c r="AS6" s="241"/>
      <c r="AT6" s="241"/>
      <c r="AV6" s="200">
        <f>AV5+AT6+AU6</f>
        <v>0</v>
      </c>
      <c r="AW6" s="241"/>
      <c r="AX6" s="241"/>
      <c r="AZ6" s="200">
        <f>AZ5+AX6+AY6</f>
        <v>0</v>
      </c>
      <c r="BA6" s="241"/>
      <c r="BB6" s="241"/>
      <c r="BD6" s="200">
        <f>BD5+BB6+BC6</f>
        <v>0</v>
      </c>
      <c r="BE6" s="241"/>
      <c r="BF6" s="241"/>
      <c r="BH6" s="200">
        <f>BH5+BF6+BG6</f>
        <v>0</v>
      </c>
      <c r="BI6" s="241"/>
      <c r="BJ6" s="241"/>
      <c r="BL6" s="200">
        <f>BL5+BJ6+BK6</f>
        <v>0</v>
      </c>
      <c r="BM6" s="241"/>
      <c r="BN6" s="241"/>
      <c r="BP6" s="200">
        <f>BP5+BN6+BO6</f>
        <v>0</v>
      </c>
      <c r="BQ6" s="241"/>
      <c r="BR6" s="241"/>
      <c r="BT6" s="200">
        <f>BT5+BR6+BS6</f>
        <v>0</v>
      </c>
      <c r="BU6" s="200"/>
      <c r="BV6" s="200"/>
      <c r="BW6" s="200"/>
      <c r="BX6" s="200"/>
      <c r="BY6" s="200"/>
      <c r="BZ6" s="200"/>
      <c r="CA6" s="200"/>
      <c r="CB6" s="200"/>
      <c r="CC6" s="200"/>
      <c r="CD6" s="200"/>
      <c r="CE6" s="200"/>
      <c r="CF6" s="200"/>
      <c r="CG6" s="200"/>
      <c r="CH6" s="200"/>
      <c r="CI6" s="200"/>
      <c r="CJ6" s="200"/>
      <c r="CK6" s="200"/>
      <c r="CL6" s="200"/>
      <c r="CM6" s="200"/>
      <c r="CN6" s="200"/>
      <c r="CO6" s="200"/>
      <c r="CP6" s="200"/>
      <c r="CQ6" s="200"/>
      <c r="CR6" s="200"/>
      <c r="CS6" s="200"/>
      <c r="CT6" s="200"/>
      <c r="CU6" s="200"/>
      <c r="CV6" s="200"/>
      <c r="CW6" s="237">
        <f t="shared" ref="CW6:CY19" si="1">J6+R6+AP6+AT6+N6+AX6+BB6+BF6+BJ6+BN6+BR6</f>
        <v>0</v>
      </c>
      <c r="CX6" s="237">
        <f t="shared" si="1"/>
        <v>475279.7</v>
      </c>
      <c r="CY6" s="237">
        <f t="shared" si="1"/>
        <v>16396079.699999999</v>
      </c>
    </row>
    <row r="7" spans="1:103">
      <c r="A7" s="240">
        <v>44012</v>
      </c>
      <c r="B7" s="132">
        <v>1500</v>
      </c>
      <c r="C7" s="132">
        <f>D7/B7</f>
        <v>1929.12</v>
      </c>
      <c r="D7" s="406">
        <v>2893680</v>
      </c>
      <c r="F7" s="120" t="s">
        <v>554</v>
      </c>
      <c r="G7" s="131"/>
      <c r="H7" s="182">
        <v>43890</v>
      </c>
      <c r="K7" s="241">
        <v>724844.88</v>
      </c>
      <c r="L7" s="200">
        <f t="shared" ref="L7:L35" si="2">L6+J7+K7</f>
        <v>16035946.66</v>
      </c>
      <c r="M7" s="200"/>
      <c r="N7" s="200"/>
      <c r="O7" s="200"/>
      <c r="P7" s="200">
        <f t="shared" ref="P7:P35" si="3">P6+N7+O7</f>
        <v>0</v>
      </c>
      <c r="S7" s="200"/>
      <c r="T7" s="200">
        <f t="shared" ref="T7:T35" si="4">T6+R7+S7</f>
        <v>1084977.9200000002</v>
      </c>
      <c r="U7" s="200"/>
      <c r="V7" s="200"/>
      <c r="W7" s="200"/>
      <c r="X7" s="200"/>
      <c r="Y7" s="200"/>
      <c r="Z7" s="200"/>
      <c r="AA7" s="200"/>
      <c r="AB7" s="200"/>
      <c r="AC7" s="200"/>
      <c r="AD7" s="200"/>
      <c r="AE7" s="200"/>
      <c r="AF7" s="200"/>
      <c r="AG7" s="200"/>
      <c r="AH7" s="200"/>
      <c r="AI7" s="200"/>
      <c r="AJ7" s="200"/>
      <c r="AN7" s="200">
        <f t="shared" si="0"/>
        <v>0</v>
      </c>
      <c r="AR7" s="200">
        <f t="shared" ref="AR7:AR35" si="5">AR6+AP7+AQ7</f>
        <v>0</v>
      </c>
      <c r="AV7" s="200">
        <f t="shared" ref="AV7:AV35" si="6">AV6+AT7+AU7</f>
        <v>0</v>
      </c>
      <c r="AZ7" s="200">
        <f t="shared" ref="AZ7:AZ35" si="7">AZ6+AX7+AY7</f>
        <v>0</v>
      </c>
      <c r="BD7" s="200">
        <f t="shared" ref="BD7:BD35" si="8">BD6+BB7+BC7</f>
        <v>0</v>
      </c>
      <c r="BH7" s="200">
        <f t="shared" ref="BH7:BH35" si="9">BH6+BF7+BG7</f>
        <v>0</v>
      </c>
      <c r="BL7" s="200">
        <f t="shared" ref="BL7:BL35" si="10">BL6+BJ7+BK7</f>
        <v>0</v>
      </c>
      <c r="BP7" s="200">
        <f t="shared" ref="BP7:BP55" si="11">BP6+BN7+BO7</f>
        <v>0</v>
      </c>
      <c r="BT7" s="200">
        <f t="shared" ref="BT7:BT35" si="12">BT6+BR7+BS7</f>
        <v>0</v>
      </c>
      <c r="BU7" s="200"/>
      <c r="BV7" s="200"/>
      <c r="BW7" s="200"/>
      <c r="BX7" s="200"/>
      <c r="BY7" s="200"/>
      <c r="BZ7" s="200"/>
      <c r="CA7" s="200"/>
      <c r="CB7" s="200"/>
      <c r="CC7" s="200"/>
      <c r="CD7" s="200"/>
      <c r="CE7" s="200"/>
      <c r="CF7" s="200"/>
      <c r="CG7" s="200"/>
      <c r="CH7" s="200"/>
      <c r="CI7" s="200"/>
      <c r="CJ7" s="200"/>
      <c r="CK7" s="200"/>
      <c r="CL7" s="200"/>
      <c r="CM7" s="200"/>
      <c r="CN7" s="200"/>
      <c r="CO7" s="200"/>
      <c r="CP7" s="200"/>
      <c r="CQ7" s="200"/>
      <c r="CR7" s="200"/>
      <c r="CS7" s="200"/>
      <c r="CT7" s="200"/>
      <c r="CU7" s="200"/>
      <c r="CV7" s="200"/>
      <c r="CW7" s="237">
        <f t="shared" si="1"/>
        <v>0</v>
      </c>
      <c r="CX7" s="237">
        <f t="shared" si="1"/>
        <v>724844.88</v>
      </c>
      <c r="CY7" s="237">
        <f t="shared" si="1"/>
        <v>17120924.580000002</v>
      </c>
    </row>
    <row r="8" spans="1:103">
      <c r="A8" s="240">
        <v>44104</v>
      </c>
      <c r="B8" s="132">
        <v>1500</v>
      </c>
      <c r="C8" s="132">
        <f>D8/B8</f>
        <v>1939.44</v>
      </c>
      <c r="D8" s="406">
        <v>2909160</v>
      </c>
      <c r="F8" s="120" t="s">
        <v>555</v>
      </c>
      <c r="H8" s="182">
        <v>43921</v>
      </c>
      <c r="K8" s="241">
        <v>-496647.8</v>
      </c>
      <c r="L8" s="200">
        <f t="shared" si="2"/>
        <v>15539298.859999999</v>
      </c>
      <c r="M8" s="200"/>
      <c r="N8" s="200"/>
      <c r="O8" s="200"/>
      <c r="P8" s="200">
        <f t="shared" si="3"/>
        <v>0</v>
      </c>
      <c r="S8" s="200"/>
      <c r="T8" s="200">
        <f t="shared" si="4"/>
        <v>1084977.9200000002</v>
      </c>
      <c r="U8" s="200"/>
      <c r="V8" s="200"/>
      <c r="W8" s="200"/>
      <c r="X8" s="200"/>
      <c r="Y8" s="200"/>
      <c r="Z8" s="200"/>
      <c r="AA8" s="200"/>
      <c r="AB8" s="200"/>
      <c r="AC8" s="200"/>
      <c r="AD8" s="200"/>
      <c r="AE8" s="200"/>
      <c r="AF8" s="200"/>
      <c r="AG8" s="200"/>
      <c r="AH8" s="200"/>
      <c r="AI8" s="200"/>
      <c r="AJ8" s="200"/>
      <c r="AN8" s="200">
        <f t="shared" si="0"/>
        <v>0</v>
      </c>
      <c r="AR8" s="200">
        <f t="shared" si="5"/>
        <v>0</v>
      </c>
      <c r="AV8" s="200">
        <f t="shared" si="6"/>
        <v>0</v>
      </c>
      <c r="AZ8" s="200">
        <f t="shared" si="7"/>
        <v>0</v>
      </c>
      <c r="BD8" s="200">
        <f t="shared" si="8"/>
        <v>0</v>
      </c>
      <c r="BH8" s="200">
        <f t="shared" si="9"/>
        <v>0</v>
      </c>
      <c r="BL8" s="200">
        <f t="shared" si="10"/>
        <v>0</v>
      </c>
      <c r="BP8" s="200">
        <f t="shared" si="11"/>
        <v>0</v>
      </c>
      <c r="BT8" s="200">
        <f t="shared" si="12"/>
        <v>0</v>
      </c>
      <c r="BU8" s="200"/>
      <c r="BV8" s="200"/>
      <c r="BW8" s="200"/>
      <c r="BX8" s="200"/>
      <c r="BY8" s="200"/>
      <c r="BZ8" s="200"/>
      <c r="CA8" s="200"/>
      <c r="CB8" s="200"/>
      <c r="CC8" s="200"/>
      <c r="CD8" s="200"/>
      <c r="CE8" s="200"/>
      <c r="CF8" s="200"/>
      <c r="CG8" s="200"/>
      <c r="CH8" s="200"/>
      <c r="CI8" s="200"/>
      <c r="CJ8" s="200"/>
      <c r="CK8" s="200"/>
      <c r="CL8" s="200"/>
      <c r="CM8" s="200"/>
      <c r="CN8" s="200"/>
      <c r="CO8" s="200"/>
      <c r="CP8" s="200"/>
      <c r="CQ8" s="200"/>
      <c r="CR8" s="200"/>
      <c r="CS8" s="200"/>
      <c r="CT8" s="200"/>
      <c r="CU8" s="200"/>
      <c r="CV8" s="200"/>
      <c r="CW8" s="237">
        <f t="shared" si="1"/>
        <v>0</v>
      </c>
      <c r="CX8" s="237">
        <f t="shared" si="1"/>
        <v>-496647.8</v>
      </c>
      <c r="CY8" s="237">
        <f t="shared" si="1"/>
        <v>16624276.779999999</v>
      </c>
    </row>
    <row r="9" spans="1:103">
      <c r="A9" s="240">
        <v>44196</v>
      </c>
      <c r="B9" s="132">
        <v>1500</v>
      </c>
      <c r="C9" s="132">
        <f>D9/B9</f>
        <v>2387.09</v>
      </c>
      <c r="D9" s="406">
        <v>3580635</v>
      </c>
      <c r="E9" s="132"/>
      <c r="F9" s="120" t="s">
        <v>556</v>
      </c>
      <c r="H9" s="182">
        <v>43951</v>
      </c>
      <c r="I9" s="2">
        <v>-1500</v>
      </c>
      <c r="J9" s="200">
        <v>-2501505</v>
      </c>
      <c r="K9" s="241">
        <v>527243.89</v>
      </c>
      <c r="L9" s="200">
        <f t="shared" si="2"/>
        <v>13565037.75</v>
      </c>
      <c r="M9" s="200"/>
      <c r="N9" s="200"/>
      <c r="O9" s="200"/>
      <c r="P9" s="200">
        <f t="shared" si="3"/>
        <v>0</v>
      </c>
      <c r="S9" s="200"/>
      <c r="T9" s="200">
        <f t="shared" si="4"/>
        <v>1084977.9200000002</v>
      </c>
      <c r="U9" s="200"/>
      <c r="V9" s="200"/>
      <c r="W9" s="200"/>
      <c r="X9" s="200"/>
      <c r="Y9" s="200"/>
      <c r="Z9" s="200"/>
      <c r="AA9" s="200"/>
      <c r="AB9" s="200"/>
      <c r="AC9" s="200"/>
      <c r="AD9" s="200"/>
      <c r="AE9" s="200"/>
      <c r="AF9" s="200"/>
      <c r="AG9" s="200"/>
      <c r="AH9" s="200"/>
      <c r="AI9" s="200"/>
      <c r="AJ9" s="200"/>
      <c r="AN9" s="200">
        <f t="shared" si="0"/>
        <v>0</v>
      </c>
      <c r="AR9" s="200">
        <f t="shared" si="5"/>
        <v>0</v>
      </c>
      <c r="AV9" s="200">
        <f t="shared" si="6"/>
        <v>0</v>
      </c>
      <c r="AZ9" s="200">
        <f t="shared" si="7"/>
        <v>0</v>
      </c>
      <c r="BD9" s="200">
        <f t="shared" si="8"/>
        <v>0</v>
      </c>
      <c r="BH9" s="200">
        <f t="shared" si="9"/>
        <v>0</v>
      </c>
      <c r="BL9" s="200">
        <f t="shared" si="10"/>
        <v>0</v>
      </c>
      <c r="BP9" s="200">
        <f t="shared" si="11"/>
        <v>0</v>
      </c>
      <c r="BT9" s="200">
        <f t="shared" si="12"/>
        <v>0</v>
      </c>
      <c r="BU9" s="200"/>
      <c r="BV9" s="200"/>
      <c r="BW9" s="200"/>
      <c r="BX9" s="200"/>
      <c r="BY9" s="200"/>
      <c r="BZ9" s="200"/>
      <c r="CA9" s="200"/>
      <c r="CB9" s="200"/>
      <c r="CC9" s="200"/>
      <c r="CD9" s="200"/>
      <c r="CE9" s="200"/>
      <c r="CF9" s="200"/>
      <c r="CG9" s="200"/>
      <c r="CH9" s="200"/>
      <c r="CI9" s="200"/>
      <c r="CJ9" s="200"/>
      <c r="CK9" s="200"/>
      <c r="CL9" s="200"/>
      <c r="CM9" s="200"/>
      <c r="CN9" s="200"/>
      <c r="CO9" s="200"/>
      <c r="CP9" s="200"/>
      <c r="CQ9" s="200"/>
      <c r="CR9" s="200"/>
      <c r="CS9" s="200"/>
      <c r="CT9" s="200"/>
      <c r="CU9" s="200"/>
      <c r="CV9" s="200"/>
      <c r="CW9" s="237">
        <f t="shared" si="1"/>
        <v>-2501505</v>
      </c>
      <c r="CX9" s="237">
        <f t="shared" si="1"/>
        <v>527243.89</v>
      </c>
      <c r="CY9" s="237">
        <f t="shared" si="1"/>
        <v>14650015.67</v>
      </c>
    </row>
    <row r="10" spans="1:103">
      <c r="A10" s="240">
        <v>44286</v>
      </c>
      <c r="D10" s="365"/>
      <c r="E10" s="215">
        <v>12070888.919999998</v>
      </c>
      <c r="F10" s="120" t="s">
        <v>546</v>
      </c>
      <c r="H10" s="182">
        <v>43982</v>
      </c>
      <c r="J10" s="200"/>
      <c r="K10" s="241">
        <v>525211.22</v>
      </c>
      <c r="L10" s="200">
        <f t="shared" si="2"/>
        <v>14090248.970000001</v>
      </c>
      <c r="M10" s="200"/>
      <c r="N10" s="200"/>
      <c r="O10" s="200"/>
      <c r="P10" s="200">
        <f t="shared" si="3"/>
        <v>0</v>
      </c>
      <c r="S10" s="200"/>
      <c r="T10" s="200">
        <f t="shared" si="4"/>
        <v>1084977.9200000002</v>
      </c>
      <c r="U10" s="200"/>
      <c r="V10" s="200"/>
      <c r="W10" s="200"/>
      <c r="X10" s="200"/>
      <c r="Y10" s="200"/>
      <c r="Z10" s="200"/>
      <c r="AA10" s="200"/>
      <c r="AB10" s="200"/>
      <c r="AC10" s="200"/>
      <c r="AD10" s="200"/>
      <c r="AE10" s="200"/>
      <c r="AF10" s="200"/>
      <c r="AG10" s="200"/>
      <c r="AH10" s="200"/>
      <c r="AI10" s="200"/>
      <c r="AJ10" s="200"/>
      <c r="AN10" s="200">
        <f t="shared" si="0"/>
        <v>0</v>
      </c>
      <c r="AR10" s="200">
        <f t="shared" si="5"/>
        <v>0</v>
      </c>
      <c r="AV10" s="200">
        <f t="shared" si="6"/>
        <v>0</v>
      </c>
      <c r="AZ10" s="200">
        <f t="shared" si="7"/>
        <v>0</v>
      </c>
      <c r="BD10" s="200">
        <f t="shared" si="8"/>
        <v>0</v>
      </c>
      <c r="BH10" s="200">
        <f t="shared" si="9"/>
        <v>0</v>
      </c>
      <c r="BL10" s="200">
        <f t="shared" si="10"/>
        <v>0</v>
      </c>
      <c r="BP10" s="200">
        <f t="shared" si="11"/>
        <v>0</v>
      </c>
      <c r="BT10" s="200">
        <f t="shared" si="12"/>
        <v>0</v>
      </c>
      <c r="BU10" s="200"/>
      <c r="BV10" s="200"/>
      <c r="BW10" s="200"/>
      <c r="BX10" s="200"/>
      <c r="BY10" s="200"/>
      <c r="BZ10" s="200"/>
      <c r="CA10" s="200"/>
      <c r="CB10" s="200"/>
      <c r="CC10" s="200"/>
      <c r="CD10" s="200"/>
      <c r="CE10" s="200"/>
      <c r="CF10" s="200"/>
      <c r="CG10" s="200"/>
      <c r="CH10" s="200"/>
      <c r="CI10" s="200"/>
      <c r="CJ10" s="200"/>
      <c r="CK10" s="200"/>
      <c r="CL10" s="200"/>
      <c r="CM10" s="200"/>
      <c r="CN10" s="200"/>
      <c r="CO10" s="200"/>
      <c r="CP10" s="200"/>
      <c r="CQ10" s="200"/>
      <c r="CR10" s="200"/>
      <c r="CS10" s="200"/>
      <c r="CT10" s="200"/>
      <c r="CU10" s="200"/>
      <c r="CV10" s="200"/>
      <c r="CW10" s="237">
        <f t="shared" si="1"/>
        <v>0</v>
      </c>
      <c r="CX10" s="237">
        <f t="shared" si="1"/>
        <v>525211.22</v>
      </c>
      <c r="CY10" s="237">
        <f t="shared" si="1"/>
        <v>15175226.890000001</v>
      </c>
    </row>
    <row r="11" spans="1:103">
      <c r="A11" s="240">
        <v>44377</v>
      </c>
      <c r="B11" s="132">
        <v>1500</v>
      </c>
      <c r="C11" s="132">
        <f>D11/B11</f>
        <v>2956.91</v>
      </c>
      <c r="D11" s="406">
        <v>4435365</v>
      </c>
      <c r="E11" s="200">
        <v>11843270.609999999</v>
      </c>
      <c r="F11" s="120" t="s">
        <v>557</v>
      </c>
      <c r="H11" s="182">
        <v>44012</v>
      </c>
      <c r="J11" s="200"/>
      <c r="K11" s="241">
        <v>991553.12</v>
      </c>
      <c r="L11" s="200">
        <f t="shared" si="2"/>
        <v>15081802.09</v>
      </c>
      <c r="M11" s="200"/>
      <c r="N11" s="200"/>
      <c r="O11" s="200"/>
      <c r="P11" s="200">
        <f t="shared" si="3"/>
        <v>0</v>
      </c>
      <c r="S11" s="200"/>
      <c r="T11" s="200">
        <f t="shared" si="4"/>
        <v>1084977.9200000002</v>
      </c>
      <c r="U11" s="200"/>
      <c r="V11" s="200"/>
      <c r="W11" s="200"/>
      <c r="X11" s="200"/>
      <c r="Y11" s="200"/>
      <c r="Z11" s="200"/>
      <c r="AA11" s="200"/>
      <c r="AB11" s="200"/>
      <c r="AC11" s="200"/>
      <c r="AD11" s="200"/>
      <c r="AE11" s="200"/>
      <c r="AF11" s="200"/>
      <c r="AG11" s="200"/>
      <c r="AH11" s="200"/>
      <c r="AI11" s="200"/>
      <c r="AJ11" s="200"/>
      <c r="AN11" s="200">
        <f t="shared" si="0"/>
        <v>0</v>
      </c>
      <c r="AR11" s="200">
        <f t="shared" si="5"/>
        <v>0</v>
      </c>
      <c r="AV11" s="200">
        <f t="shared" si="6"/>
        <v>0</v>
      </c>
      <c r="AZ11" s="200">
        <f t="shared" si="7"/>
        <v>0</v>
      </c>
      <c r="BD11" s="200">
        <f t="shared" si="8"/>
        <v>0</v>
      </c>
      <c r="BH11" s="200">
        <f t="shared" si="9"/>
        <v>0</v>
      </c>
      <c r="BL11" s="200">
        <f t="shared" si="10"/>
        <v>0</v>
      </c>
      <c r="BP11" s="200">
        <f t="shared" si="11"/>
        <v>0</v>
      </c>
      <c r="BT11" s="200">
        <f t="shared" si="12"/>
        <v>0</v>
      </c>
      <c r="BU11" s="200"/>
      <c r="BV11" s="200"/>
      <c r="BW11" s="200"/>
      <c r="BX11" s="200"/>
      <c r="BY11" s="200"/>
      <c r="BZ11" s="200"/>
      <c r="CA11" s="200"/>
      <c r="CB11" s="200"/>
      <c r="CC11" s="200"/>
      <c r="CD11" s="200"/>
      <c r="CE11" s="200"/>
      <c r="CF11" s="200"/>
      <c r="CG11" s="200"/>
      <c r="CH11" s="200"/>
      <c r="CI11" s="200"/>
      <c r="CJ11" s="200"/>
      <c r="CK11" s="200"/>
      <c r="CL11" s="200"/>
      <c r="CM11" s="200"/>
      <c r="CN11" s="200"/>
      <c r="CO11" s="200"/>
      <c r="CP11" s="200"/>
      <c r="CQ11" s="200"/>
      <c r="CR11" s="200"/>
      <c r="CS11" s="200"/>
      <c r="CT11" s="200"/>
      <c r="CU11" s="200"/>
      <c r="CV11" s="200"/>
      <c r="CW11" s="237">
        <f t="shared" si="1"/>
        <v>0</v>
      </c>
      <c r="CX11" s="237">
        <f t="shared" si="1"/>
        <v>991553.12</v>
      </c>
      <c r="CY11" s="237">
        <f t="shared" si="1"/>
        <v>16166780.01</v>
      </c>
    </row>
    <row r="12" spans="1:103">
      <c r="A12" s="240">
        <v>44408</v>
      </c>
      <c r="D12" s="212"/>
      <c r="E12" s="132"/>
      <c r="H12" s="182"/>
      <c r="J12" s="200"/>
      <c r="K12" s="241"/>
      <c r="L12" s="200"/>
      <c r="M12" s="200"/>
      <c r="N12" s="200"/>
      <c r="O12" s="200"/>
      <c r="P12" s="200"/>
      <c r="S12" s="200"/>
      <c r="T12" s="200"/>
      <c r="U12" s="200"/>
      <c r="V12" s="200"/>
      <c r="W12" s="200"/>
      <c r="X12" s="200"/>
      <c r="Y12" s="200"/>
      <c r="Z12" s="200"/>
      <c r="AA12" s="200"/>
      <c r="AB12" s="200"/>
      <c r="AC12" s="200"/>
      <c r="AD12" s="200"/>
      <c r="AE12" s="200"/>
      <c r="AF12" s="200"/>
      <c r="AG12" s="200"/>
      <c r="AH12" s="200"/>
      <c r="AI12" s="200"/>
      <c r="AJ12" s="200"/>
      <c r="AN12" s="200"/>
      <c r="AR12" s="200"/>
      <c r="AV12" s="200"/>
      <c r="AZ12" s="200"/>
      <c r="BD12" s="200"/>
      <c r="BH12" s="200"/>
      <c r="BL12" s="200"/>
      <c r="BP12" s="200"/>
      <c r="BT12" s="200"/>
      <c r="BU12" s="200"/>
      <c r="BV12" s="200"/>
      <c r="BW12" s="200"/>
      <c r="BX12" s="200"/>
      <c r="BY12" s="200"/>
      <c r="BZ12" s="200"/>
      <c r="CA12" s="200"/>
      <c r="CB12" s="200"/>
      <c r="CC12" s="200"/>
      <c r="CD12" s="200"/>
      <c r="CE12" s="200"/>
      <c r="CF12" s="200"/>
      <c r="CG12" s="200"/>
      <c r="CH12" s="200"/>
      <c r="CI12" s="200"/>
      <c r="CJ12" s="200"/>
      <c r="CK12" s="200"/>
      <c r="CL12" s="200"/>
      <c r="CM12" s="200"/>
      <c r="CN12" s="200"/>
      <c r="CO12" s="200"/>
      <c r="CP12" s="200"/>
      <c r="CQ12" s="200"/>
      <c r="CR12" s="200"/>
      <c r="CS12" s="200"/>
      <c r="CT12" s="200"/>
      <c r="CU12" s="200"/>
      <c r="CV12" s="200"/>
      <c r="CW12" s="237"/>
      <c r="CX12" s="237"/>
      <c r="CY12" s="237"/>
    </row>
    <row r="13" spans="1:103">
      <c r="A13" s="240">
        <v>44469</v>
      </c>
      <c r="D13" s="212"/>
      <c r="E13" s="200">
        <f>CY27</f>
        <v>6088998.0499999998</v>
      </c>
      <c r="F13" s="120" t="s">
        <v>546</v>
      </c>
      <c r="H13" s="182">
        <v>44043</v>
      </c>
      <c r="I13" s="200">
        <v>-1533.9612999999999</v>
      </c>
      <c r="J13" s="200">
        <v>-2959195.49</v>
      </c>
      <c r="K13" s="241">
        <v>328653.71999999997</v>
      </c>
      <c r="L13" s="200">
        <f>L11+J13+K13</f>
        <v>12451260.32</v>
      </c>
      <c r="M13" s="200"/>
      <c r="N13" s="200"/>
      <c r="O13" s="200"/>
      <c r="P13" s="200">
        <f>P11+N13+O13</f>
        <v>0</v>
      </c>
      <c r="S13" s="200">
        <v>-32.57</v>
      </c>
      <c r="T13" s="200">
        <f>T11+R13+S13</f>
        <v>1084945.3500000001</v>
      </c>
      <c r="U13" s="200"/>
      <c r="V13" s="200"/>
      <c r="W13" s="200"/>
      <c r="X13" s="200"/>
      <c r="Y13" s="200"/>
      <c r="Z13" s="200"/>
      <c r="AA13" s="200"/>
      <c r="AB13" s="200"/>
      <c r="AC13" s="200"/>
      <c r="AD13" s="200"/>
      <c r="AE13" s="200"/>
      <c r="AF13" s="200"/>
      <c r="AG13" s="200"/>
      <c r="AH13" s="200"/>
      <c r="AI13" s="200"/>
      <c r="AJ13" s="200"/>
      <c r="AK13" s="2">
        <v>65.515500000000003</v>
      </c>
      <c r="AL13" s="241">
        <v>65515.49</v>
      </c>
      <c r="AM13" s="2">
        <v>0.01</v>
      </c>
      <c r="AN13" s="200">
        <f>AN11+AL13+AM13</f>
        <v>65515.5</v>
      </c>
      <c r="AP13" s="241"/>
      <c r="AR13" s="200">
        <f>AR11+AP13+AQ13</f>
        <v>0</v>
      </c>
      <c r="AS13" s="2">
        <v>0</v>
      </c>
      <c r="AT13" s="241">
        <v>0</v>
      </c>
      <c r="AU13" s="2">
        <v>0</v>
      </c>
      <c r="AV13" s="200">
        <f>AV11+AT13+AU13</f>
        <v>0</v>
      </c>
      <c r="AX13" s="241"/>
      <c r="AZ13" s="200">
        <f>AZ11+AX13+AY13</f>
        <v>0</v>
      </c>
      <c r="BB13" s="241"/>
      <c r="BD13" s="200">
        <f>BD11+BB13+BC13</f>
        <v>0</v>
      </c>
      <c r="BF13" s="241"/>
      <c r="BH13" s="200">
        <f>BH11+BF13+BG13</f>
        <v>0</v>
      </c>
      <c r="BJ13" s="241"/>
      <c r="BL13" s="200">
        <f>BL11+BJ13+BK13</f>
        <v>0</v>
      </c>
      <c r="BN13" s="241"/>
      <c r="BP13" s="200">
        <f>BP11+BN13+BO13</f>
        <v>0</v>
      </c>
      <c r="BR13" s="241"/>
      <c r="BT13" s="200">
        <f>BT11+BR13+BS13</f>
        <v>0</v>
      </c>
      <c r="BU13" s="200"/>
      <c r="BV13" s="200"/>
      <c r="BW13" s="200"/>
      <c r="BX13" s="200"/>
      <c r="BY13" s="200"/>
      <c r="BZ13" s="200"/>
      <c r="CA13" s="200"/>
      <c r="CB13" s="200"/>
      <c r="CC13" s="200"/>
      <c r="CD13" s="200"/>
      <c r="CE13" s="200"/>
      <c r="CF13" s="200"/>
      <c r="CG13" s="200"/>
      <c r="CH13" s="200"/>
      <c r="CI13" s="200"/>
      <c r="CJ13" s="200"/>
      <c r="CK13" s="200"/>
      <c r="CL13" s="200"/>
      <c r="CM13" s="200"/>
      <c r="CN13" s="200"/>
      <c r="CO13" s="200"/>
      <c r="CP13" s="200"/>
      <c r="CQ13" s="200"/>
      <c r="CR13" s="200"/>
      <c r="CS13" s="200"/>
      <c r="CT13" s="200"/>
      <c r="CU13" s="200"/>
      <c r="CV13" s="200"/>
      <c r="CW13" s="237">
        <f t="shared" ref="CW13:CY24" si="13">J13+R13+AP13+AT13+N13+AX13+BB13+BF13+BJ13+BN13+BR13</f>
        <v>-2959195.49</v>
      </c>
      <c r="CX13" s="237">
        <f t="shared" si="1"/>
        <v>328621.14999999997</v>
      </c>
      <c r="CY13" s="237">
        <f t="shared" si="1"/>
        <v>13536205.67</v>
      </c>
    </row>
    <row r="14" spans="1:103">
      <c r="A14" s="240">
        <v>44500</v>
      </c>
      <c r="D14" s="212"/>
      <c r="H14" s="182">
        <v>44074</v>
      </c>
      <c r="I14" s="200"/>
      <c r="J14" s="200"/>
      <c r="K14" s="200">
        <v>104817.26</v>
      </c>
      <c r="L14" s="200">
        <f t="shared" si="2"/>
        <v>12556077.58</v>
      </c>
      <c r="M14" s="200"/>
      <c r="N14" s="200"/>
      <c r="O14" s="200"/>
      <c r="P14" s="200">
        <f t="shared" si="3"/>
        <v>0</v>
      </c>
      <c r="S14" s="200"/>
      <c r="T14" s="200">
        <f t="shared" si="4"/>
        <v>1084945.3500000001</v>
      </c>
      <c r="U14" s="200"/>
      <c r="V14" s="200"/>
      <c r="W14" s="200"/>
      <c r="X14" s="200"/>
      <c r="Y14" s="200"/>
      <c r="Z14" s="200"/>
      <c r="AA14" s="200"/>
      <c r="AB14" s="200"/>
      <c r="AC14" s="200"/>
      <c r="AD14" s="200"/>
      <c r="AE14" s="200"/>
      <c r="AF14" s="200"/>
      <c r="AG14" s="200"/>
      <c r="AH14" s="200"/>
      <c r="AI14" s="200"/>
      <c r="AJ14" s="200"/>
      <c r="AK14" s="200"/>
      <c r="AL14" s="200"/>
      <c r="AM14" s="200"/>
      <c r="AN14" s="200">
        <f t="shared" ref="AN14:AN35" si="14">AN13+AL14+AM14</f>
        <v>65515.5</v>
      </c>
      <c r="AO14" s="200"/>
      <c r="AP14" s="200"/>
      <c r="AQ14" s="200"/>
      <c r="AR14" s="200">
        <f t="shared" si="5"/>
        <v>0</v>
      </c>
      <c r="AS14" s="200"/>
      <c r="AT14" s="200"/>
      <c r="AU14" s="200"/>
      <c r="AV14" s="200">
        <f t="shared" si="6"/>
        <v>0</v>
      </c>
      <c r="AW14" s="200"/>
      <c r="AX14" s="200"/>
      <c r="AY14" s="200"/>
      <c r="AZ14" s="200">
        <f t="shared" si="7"/>
        <v>0</v>
      </c>
      <c r="BA14" s="200"/>
      <c r="BB14" s="200"/>
      <c r="BC14" s="200"/>
      <c r="BD14" s="200">
        <f t="shared" si="8"/>
        <v>0</v>
      </c>
      <c r="BE14" s="200"/>
      <c r="BF14" s="200"/>
      <c r="BG14" s="200"/>
      <c r="BH14" s="200">
        <f t="shared" si="9"/>
        <v>0</v>
      </c>
      <c r="BI14" s="200"/>
      <c r="BJ14" s="200"/>
      <c r="BK14" s="200"/>
      <c r="BL14" s="200">
        <f t="shared" si="10"/>
        <v>0</v>
      </c>
      <c r="BM14" s="200"/>
      <c r="BN14" s="200"/>
      <c r="BO14" s="200"/>
      <c r="BP14" s="200">
        <f t="shared" si="11"/>
        <v>0</v>
      </c>
      <c r="BQ14" s="200"/>
      <c r="BR14" s="200"/>
      <c r="BS14" s="200"/>
      <c r="BT14" s="200">
        <f t="shared" si="12"/>
        <v>0</v>
      </c>
      <c r="BU14" s="200"/>
      <c r="BV14" s="200"/>
      <c r="BW14" s="200"/>
      <c r="BX14" s="200"/>
      <c r="BY14" s="200"/>
      <c r="BZ14" s="200"/>
      <c r="CA14" s="200"/>
      <c r="CB14" s="200"/>
      <c r="CC14" s="200"/>
      <c r="CD14" s="200"/>
      <c r="CE14" s="200"/>
      <c r="CF14" s="200"/>
      <c r="CG14" s="200"/>
      <c r="CH14" s="200"/>
      <c r="CI14" s="200"/>
      <c r="CJ14" s="200"/>
      <c r="CK14" s="200"/>
      <c r="CL14" s="200"/>
      <c r="CM14" s="200"/>
      <c r="CN14" s="200"/>
      <c r="CO14" s="200"/>
      <c r="CP14" s="200"/>
      <c r="CQ14" s="200"/>
      <c r="CR14" s="200"/>
      <c r="CS14" s="200"/>
      <c r="CT14" s="200"/>
      <c r="CU14" s="200"/>
      <c r="CV14" s="200"/>
      <c r="CW14" s="237">
        <f t="shared" si="13"/>
        <v>0</v>
      </c>
      <c r="CX14" s="237">
        <f t="shared" si="1"/>
        <v>104817.26</v>
      </c>
      <c r="CY14" s="237">
        <f t="shared" si="1"/>
        <v>13641022.93</v>
      </c>
    </row>
    <row r="15" spans="1:103" ht="14.25" customHeight="1">
      <c r="A15" s="240">
        <v>44530</v>
      </c>
      <c r="D15" s="212"/>
      <c r="H15" s="182">
        <v>44104</v>
      </c>
      <c r="I15" s="200">
        <v>-128.3595</v>
      </c>
      <c r="J15" s="200">
        <v>-248945.5</v>
      </c>
      <c r="K15" s="200">
        <v>-368619.99</v>
      </c>
      <c r="L15" s="200">
        <f t="shared" si="2"/>
        <v>11938512.09</v>
      </c>
      <c r="M15" s="200"/>
      <c r="N15" s="200"/>
      <c r="O15" s="200"/>
      <c r="P15" s="200">
        <f t="shared" si="3"/>
        <v>0</v>
      </c>
      <c r="S15" s="200"/>
      <c r="T15" s="200">
        <f t="shared" si="4"/>
        <v>1084945.3500000001</v>
      </c>
      <c r="U15" s="200"/>
      <c r="V15" s="200"/>
      <c r="W15" s="200"/>
      <c r="X15" s="200"/>
      <c r="Y15" s="200"/>
      <c r="Z15" s="200"/>
      <c r="AA15" s="200"/>
      <c r="AB15" s="200"/>
      <c r="AC15" s="200"/>
      <c r="AD15" s="200"/>
      <c r="AE15" s="200"/>
      <c r="AF15" s="200"/>
      <c r="AG15" s="200"/>
      <c r="AH15" s="200"/>
      <c r="AI15" s="200"/>
      <c r="AJ15" s="200"/>
      <c r="AK15" s="200"/>
      <c r="AL15" s="200"/>
      <c r="AM15" s="200"/>
      <c r="AN15" s="200">
        <f t="shared" si="14"/>
        <v>65515.5</v>
      </c>
      <c r="AO15" s="200"/>
      <c r="AP15" s="200"/>
      <c r="AQ15" s="200"/>
      <c r="AR15" s="200">
        <f t="shared" si="5"/>
        <v>0</v>
      </c>
      <c r="AS15" s="200">
        <v>248.94550000000001</v>
      </c>
      <c r="AT15" s="200">
        <v>248945.5</v>
      </c>
      <c r="AU15" s="200"/>
      <c r="AV15" s="200">
        <f t="shared" si="6"/>
        <v>248945.5</v>
      </c>
      <c r="AW15" s="200"/>
      <c r="AX15" s="200"/>
      <c r="AY15" s="200"/>
      <c r="AZ15" s="200">
        <f t="shared" si="7"/>
        <v>0</v>
      </c>
      <c r="BA15" s="200"/>
      <c r="BB15" s="200"/>
      <c r="BC15" s="200"/>
      <c r="BD15" s="200">
        <f t="shared" si="8"/>
        <v>0</v>
      </c>
      <c r="BE15" s="200"/>
      <c r="BF15" s="200"/>
      <c r="BG15" s="200"/>
      <c r="BH15" s="200">
        <f t="shared" si="9"/>
        <v>0</v>
      </c>
      <c r="BI15" s="200"/>
      <c r="BJ15" s="200"/>
      <c r="BK15" s="200"/>
      <c r="BL15" s="200">
        <f t="shared" si="10"/>
        <v>0</v>
      </c>
      <c r="BM15" s="200"/>
      <c r="BN15" s="200"/>
      <c r="BO15" s="200"/>
      <c r="BP15" s="200">
        <f t="shared" si="11"/>
        <v>0</v>
      </c>
      <c r="BQ15" s="200"/>
      <c r="BR15" s="200"/>
      <c r="BS15" s="200"/>
      <c r="BT15" s="200">
        <f t="shared" si="12"/>
        <v>0</v>
      </c>
      <c r="BU15" s="200"/>
      <c r="BV15" s="200"/>
      <c r="BW15" s="200"/>
      <c r="BX15" s="200"/>
      <c r="BY15" s="200"/>
      <c r="BZ15" s="200"/>
      <c r="CA15" s="200"/>
      <c r="CB15" s="200"/>
      <c r="CC15" s="200"/>
      <c r="CD15" s="200"/>
      <c r="CE15" s="200"/>
      <c r="CF15" s="200"/>
      <c r="CG15" s="200"/>
      <c r="CH15" s="200"/>
      <c r="CI15" s="200"/>
      <c r="CJ15" s="200"/>
      <c r="CK15" s="200"/>
      <c r="CL15" s="200"/>
      <c r="CM15" s="200"/>
      <c r="CN15" s="200"/>
      <c r="CO15" s="200"/>
      <c r="CP15" s="200"/>
      <c r="CQ15" s="200"/>
      <c r="CR15" s="200"/>
      <c r="CS15" s="200"/>
      <c r="CT15" s="200"/>
      <c r="CU15" s="200"/>
      <c r="CV15" s="200"/>
      <c r="CW15" s="237">
        <f t="shared" si="13"/>
        <v>0</v>
      </c>
      <c r="CX15" s="237">
        <f t="shared" si="1"/>
        <v>-368619.99</v>
      </c>
      <c r="CY15" s="237">
        <f t="shared" si="1"/>
        <v>13272402.939999999</v>
      </c>
    </row>
    <row r="16" spans="1:103">
      <c r="A16" s="240">
        <v>44561</v>
      </c>
      <c r="D16" s="366"/>
      <c r="E16" s="215">
        <f t="shared" ref="E16:E27" si="15">CY30</f>
        <v>5407052.4199999999</v>
      </c>
      <c r="F16" s="120" t="s">
        <v>546</v>
      </c>
      <c r="H16" s="182">
        <v>44135</v>
      </c>
      <c r="I16" s="200">
        <v>-1500</v>
      </c>
      <c r="J16" s="200">
        <v>-2909160</v>
      </c>
      <c r="K16" s="200">
        <v>280130.40999999997</v>
      </c>
      <c r="L16" s="200">
        <f t="shared" si="2"/>
        <v>9309482.5</v>
      </c>
      <c r="M16" s="200"/>
      <c r="N16" s="200"/>
      <c r="O16" s="200"/>
      <c r="P16" s="200">
        <f t="shared" si="3"/>
        <v>0</v>
      </c>
      <c r="S16" s="200"/>
      <c r="T16" s="200">
        <f t="shared" si="4"/>
        <v>1084945.3500000001</v>
      </c>
      <c r="U16" s="200"/>
      <c r="V16" s="200"/>
      <c r="W16" s="200"/>
      <c r="X16" s="200"/>
      <c r="Y16" s="200"/>
      <c r="Z16" s="200"/>
      <c r="AA16" s="200"/>
      <c r="AB16" s="200"/>
      <c r="AC16" s="200"/>
      <c r="AD16" s="200"/>
      <c r="AE16" s="200"/>
      <c r="AF16" s="200"/>
      <c r="AG16" s="200"/>
      <c r="AH16" s="200"/>
      <c r="AI16" s="200"/>
      <c r="AJ16" s="200"/>
      <c r="AK16" s="200"/>
      <c r="AL16" s="200"/>
      <c r="AM16" s="200"/>
      <c r="AN16" s="200">
        <f t="shared" si="14"/>
        <v>65515.5</v>
      </c>
      <c r="AO16" s="200"/>
      <c r="AP16" s="200"/>
      <c r="AQ16" s="200"/>
      <c r="AR16" s="200">
        <f t="shared" si="5"/>
        <v>0</v>
      </c>
      <c r="AS16" s="200"/>
      <c r="AT16" s="200"/>
      <c r="AU16" s="200"/>
      <c r="AV16" s="200">
        <f t="shared" si="6"/>
        <v>248945.5</v>
      </c>
      <c r="AW16" s="200"/>
      <c r="AX16" s="200"/>
      <c r="AY16" s="200"/>
      <c r="AZ16" s="200">
        <f t="shared" si="7"/>
        <v>0</v>
      </c>
      <c r="BA16" s="200"/>
      <c r="BB16" s="200"/>
      <c r="BC16" s="200"/>
      <c r="BD16" s="200">
        <f t="shared" si="8"/>
        <v>0</v>
      </c>
      <c r="BE16" s="200"/>
      <c r="BF16" s="200"/>
      <c r="BG16" s="200"/>
      <c r="BH16" s="200">
        <f t="shared" si="9"/>
        <v>0</v>
      </c>
      <c r="BI16" s="200"/>
      <c r="BJ16" s="200"/>
      <c r="BK16" s="200"/>
      <c r="BL16" s="200">
        <f t="shared" si="10"/>
        <v>0</v>
      </c>
      <c r="BM16" s="200"/>
      <c r="BN16" s="200"/>
      <c r="BO16" s="200"/>
      <c r="BP16" s="200">
        <f t="shared" si="11"/>
        <v>0</v>
      </c>
      <c r="BQ16" s="200"/>
      <c r="BR16" s="200"/>
      <c r="BS16" s="200"/>
      <c r="BT16" s="200">
        <f t="shared" si="12"/>
        <v>0</v>
      </c>
      <c r="BU16" s="200"/>
      <c r="BV16" s="200"/>
      <c r="BW16" s="200"/>
      <c r="BX16" s="200"/>
      <c r="BY16" s="200"/>
      <c r="BZ16" s="200"/>
      <c r="CA16" s="200"/>
      <c r="CB16" s="200"/>
      <c r="CC16" s="200"/>
      <c r="CD16" s="200"/>
      <c r="CE16" s="200"/>
      <c r="CF16" s="200"/>
      <c r="CG16" s="200"/>
      <c r="CH16" s="200"/>
      <c r="CI16" s="200"/>
      <c r="CJ16" s="200"/>
      <c r="CK16" s="200"/>
      <c r="CL16" s="200"/>
      <c r="CM16" s="200"/>
      <c r="CN16" s="200"/>
      <c r="CO16" s="200"/>
      <c r="CP16" s="200"/>
      <c r="CQ16" s="200"/>
      <c r="CR16" s="200"/>
      <c r="CS16" s="200"/>
      <c r="CT16" s="200"/>
      <c r="CU16" s="200"/>
      <c r="CV16" s="200"/>
      <c r="CW16" s="237">
        <f t="shared" si="13"/>
        <v>-2909160</v>
      </c>
      <c r="CX16" s="237">
        <f t="shared" si="1"/>
        <v>280130.40999999997</v>
      </c>
      <c r="CY16" s="237">
        <f t="shared" si="1"/>
        <v>10643373.35</v>
      </c>
    </row>
    <row r="17" spans="1:103">
      <c r="A17" s="240">
        <v>44592</v>
      </c>
      <c r="D17" s="366"/>
      <c r="E17" s="242">
        <f t="shared" si="15"/>
        <v>5139608.9600000009</v>
      </c>
      <c r="F17" s="120" t="s">
        <v>546</v>
      </c>
      <c r="H17" s="182">
        <v>44165</v>
      </c>
      <c r="I17" s="200"/>
      <c r="J17" s="200"/>
      <c r="K17" s="200">
        <v>821908.29</v>
      </c>
      <c r="L17" s="200">
        <f t="shared" si="2"/>
        <v>10131390.789999999</v>
      </c>
      <c r="M17" s="200">
        <v>99.147199999999998</v>
      </c>
      <c r="N17" s="200">
        <v>99147.23</v>
      </c>
      <c r="O17" s="200">
        <v>-979.6</v>
      </c>
      <c r="P17" s="200">
        <f t="shared" si="3"/>
        <v>98167.62999999999</v>
      </c>
      <c r="S17" s="200">
        <v>10.86</v>
      </c>
      <c r="T17" s="200">
        <f t="shared" si="4"/>
        <v>1084956.2100000002</v>
      </c>
      <c r="U17" s="200"/>
      <c r="V17" s="200"/>
      <c r="W17" s="200"/>
      <c r="X17" s="200"/>
      <c r="Y17" s="200"/>
      <c r="Z17" s="200"/>
      <c r="AA17" s="200"/>
      <c r="AB17" s="200"/>
      <c r="AC17" s="200"/>
      <c r="AD17" s="200"/>
      <c r="AE17" s="200"/>
      <c r="AF17" s="200"/>
      <c r="AG17" s="200"/>
      <c r="AH17" s="200"/>
      <c r="AI17" s="200"/>
      <c r="AJ17" s="200"/>
      <c r="AK17" s="200">
        <v>-65.515500000000003</v>
      </c>
      <c r="AL17" s="200">
        <v>-99147.23</v>
      </c>
      <c r="AM17" s="200">
        <v>33631.730000000003</v>
      </c>
      <c r="AN17" s="200">
        <f t="shared" si="14"/>
        <v>0</v>
      </c>
      <c r="AO17" s="200"/>
      <c r="AP17" s="200"/>
      <c r="AQ17" s="200"/>
      <c r="AR17" s="200">
        <f t="shared" si="5"/>
        <v>0</v>
      </c>
      <c r="AS17" s="200"/>
      <c r="AT17" s="200"/>
      <c r="AU17" s="200"/>
      <c r="AV17" s="200">
        <f t="shared" si="6"/>
        <v>248945.5</v>
      </c>
      <c r="AW17" s="200"/>
      <c r="AX17" s="200"/>
      <c r="AY17" s="200"/>
      <c r="AZ17" s="200">
        <f t="shared" si="7"/>
        <v>0</v>
      </c>
      <c r="BA17" s="200"/>
      <c r="BB17" s="200"/>
      <c r="BC17" s="200"/>
      <c r="BD17" s="200">
        <f t="shared" si="8"/>
        <v>0</v>
      </c>
      <c r="BE17" s="200"/>
      <c r="BF17" s="200"/>
      <c r="BG17" s="200"/>
      <c r="BH17" s="200">
        <f t="shared" si="9"/>
        <v>0</v>
      </c>
      <c r="BI17" s="200"/>
      <c r="BJ17" s="200"/>
      <c r="BK17" s="200"/>
      <c r="BL17" s="200">
        <f t="shared" si="10"/>
        <v>0</v>
      </c>
      <c r="BM17" s="200"/>
      <c r="BN17" s="200"/>
      <c r="BO17" s="200"/>
      <c r="BP17" s="200">
        <f t="shared" si="11"/>
        <v>0</v>
      </c>
      <c r="BQ17" s="200"/>
      <c r="BR17" s="200"/>
      <c r="BS17" s="200"/>
      <c r="BT17" s="200">
        <f t="shared" si="12"/>
        <v>0</v>
      </c>
      <c r="BU17" s="200"/>
      <c r="BV17" s="200"/>
      <c r="BW17" s="200"/>
      <c r="BX17" s="200"/>
      <c r="BY17" s="200"/>
      <c r="BZ17" s="200"/>
      <c r="CA17" s="200"/>
      <c r="CB17" s="200"/>
      <c r="CC17" s="200"/>
      <c r="CD17" s="200"/>
      <c r="CE17" s="200"/>
      <c r="CF17" s="200"/>
      <c r="CG17" s="200"/>
      <c r="CH17" s="200"/>
      <c r="CI17" s="200"/>
      <c r="CJ17" s="200"/>
      <c r="CK17" s="200"/>
      <c r="CL17" s="200"/>
      <c r="CM17" s="200"/>
      <c r="CN17" s="200"/>
      <c r="CO17" s="200"/>
      <c r="CP17" s="200"/>
      <c r="CQ17" s="200"/>
      <c r="CR17" s="200"/>
      <c r="CS17" s="200"/>
      <c r="CT17" s="200"/>
      <c r="CU17" s="200"/>
      <c r="CV17" s="200"/>
      <c r="CW17" s="237">
        <f t="shared" si="13"/>
        <v>99147.23</v>
      </c>
      <c r="CX17" s="237">
        <f t="shared" si="1"/>
        <v>820939.55</v>
      </c>
      <c r="CY17" s="237">
        <f t="shared" si="1"/>
        <v>11563460.130000001</v>
      </c>
    </row>
    <row r="18" spans="1:103">
      <c r="A18" s="240">
        <v>44620</v>
      </c>
      <c r="D18" s="366"/>
      <c r="E18" s="242">
        <f t="shared" si="15"/>
        <v>5007824.8400000008</v>
      </c>
      <c r="F18" s="120" t="s">
        <v>546</v>
      </c>
      <c r="H18" s="182">
        <v>44196</v>
      </c>
      <c r="I18" s="200"/>
      <c r="J18" s="200"/>
      <c r="K18" s="200">
        <v>982062.62</v>
      </c>
      <c r="L18" s="200">
        <f t="shared" si="2"/>
        <v>11113453.409999998</v>
      </c>
      <c r="M18" s="200"/>
      <c r="N18" s="200"/>
      <c r="O18" s="200">
        <v>9128.48</v>
      </c>
      <c r="P18" s="200">
        <f t="shared" si="3"/>
        <v>107296.10999999999</v>
      </c>
      <c r="S18" s="200"/>
      <c r="T18" s="200">
        <f t="shared" si="4"/>
        <v>1084956.2100000002</v>
      </c>
      <c r="U18" s="200"/>
      <c r="V18" s="200"/>
      <c r="W18" s="200"/>
      <c r="X18" s="200"/>
      <c r="Y18" s="200"/>
      <c r="Z18" s="200"/>
      <c r="AA18" s="200"/>
      <c r="AB18" s="200"/>
      <c r="AC18" s="200"/>
      <c r="AD18" s="200"/>
      <c r="AE18" s="200"/>
      <c r="AF18" s="200"/>
      <c r="AG18" s="200"/>
      <c r="AH18" s="200"/>
      <c r="AI18" s="200"/>
      <c r="AJ18" s="200"/>
      <c r="AK18" s="200"/>
      <c r="AL18" s="200"/>
      <c r="AM18" s="200"/>
      <c r="AN18" s="200">
        <f t="shared" si="14"/>
        <v>0</v>
      </c>
      <c r="AO18" s="200"/>
      <c r="AP18" s="200"/>
      <c r="AQ18" s="200"/>
      <c r="AR18" s="200">
        <f t="shared" si="5"/>
        <v>0</v>
      </c>
      <c r="AS18" s="200"/>
      <c r="AT18" s="200"/>
      <c r="AU18" s="200"/>
      <c r="AV18" s="200">
        <f t="shared" si="6"/>
        <v>248945.5</v>
      </c>
      <c r="AW18" s="200"/>
      <c r="AX18" s="200"/>
      <c r="AY18" s="200"/>
      <c r="AZ18" s="200">
        <f t="shared" si="7"/>
        <v>0</v>
      </c>
      <c r="BA18" s="200"/>
      <c r="BB18" s="200"/>
      <c r="BC18" s="200"/>
      <c r="BD18" s="200">
        <f t="shared" si="8"/>
        <v>0</v>
      </c>
      <c r="BE18" s="200"/>
      <c r="BF18" s="200"/>
      <c r="BG18" s="200"/>
      <c r="BH18" s="200">
        <f t="shared" si="9"/>
        <v>0</v>
      </c>
      <c r="BI18" s="200"/>
      <c r="BJ18" s="200"/>
      <c r="BK18" s="200"/>
      <c r="BL18" s="200">
        <f t="shared" si="10"/>
        <v>0</v>
      </c>
      <c r="BM18" s="200"/>
      <c r="BN18" s="200"/>
      <c r="BO18" s="200"/>
      <c r="BP18" s="200">
        <f t="shared" si="11"/>
        <v>0</v>
      </c>
      <c r="BQ18" s="200"/>
      <c r="BR18" s="200"/>
      <c r="BS18" s="200"/>
      <c r="BT18" s="200">
        <f t="shared" si="12"/>
        <v>0</v>
      </c>
      <c r="BU18" s="200"/>
      <c r="BV18" s="200"/>
      <c r="BW18" s="200"/>
      <c r="BX18" s="200"/>
      <c r="BY18" s="200"/>
      <c r="BZ18" s="200"/>
      <c r="CA18" s="200"/>
      <c r="CB18" s="200"/>
      <c r="CC18" s="200"/>
      <c r="CD18" s="200"/>
      <c r="CE18" s="200"/>
      <c r="CF18" s="200"/>
      <c r="CG18" s="200"/>
      <c r="CH18" s="200"/>
      <c r="CI18" s="200"/>
      <c r="CJ18" s="200"/>
      <c r="CK18" s="200"/>
      <c r="CL18" s="200"/>
      <c r="CM18" s="200"/>
      <c r="CN18" s="200"/>
      <c r="CO18" s="200"/>
      <c r="CP18" s="200"/>
      <c r="CQ18" s="200"/>
      <c r="CR18" s="200"/>
      <c r="CS18" s="200"/>
      <c r="CT18" s="200"/>
      <c r="CU18" s="200"/>
      <c r="CV18" s="200"/>
      <c r="CW18" s="237">
        <f t="shared" si="13"/>
        <v>0</v>
      </c>
      <c r="CX18" s="237">
        <f t="shared" si="1"/>
        <v>991191.1</v>
      </c>
      <c r="CY18" s="237">
        <f t="shared" si="1"/>
        <v>12554651.229999999</v>
      </c>
    </row>
    <row r="19" spans="1:103">
      <c r="A19" s="240">
        <v>44651</v>
      </c>
      <c r="D19" s="366"/>
      <c r="E19" s="242">
        <f t="shared" si="15"/>
        <v>4614634.6100000013</v>
      </c>
      <c r="F19" s="120" t="s">
        <v>546</v>
      </c>
      <c r="H19" s="182">
        <v>44227</v>
      </c>
      <c r="I19" s="200">
        <v>-1589.1087</v>
      </c>
      <c r="J19" s="200">
        <v>-3793345.36</v>
      </c>
      <c r="K19" s="200">
        <v>730480.46</v>
      </c>
      <c r="L19" s="200">
        <f t="shared" si="2"/>
        <v>8050588.5099999988</v>
      </c>
      <c r="M19" s="200">
        <v>-99.147199999999998</v>
      </c>
      <c r="N19" s="200">
        <v>-107296.11</v>
      </c>
      <c r="O19" s="200"/>
      <c r="P19" s="200">
        <f t="shared" si="3"/>
        <v>-1.4551915228366852E-11</v>
      </c>
      <c r="S19" s="200">
        <v>-1813.37</v>
      </c>
      <c r="T19" s="200">
        <f t="shared" si="4"/>
        <v>1083142.8400000001</v>
      </c>
      <c r="U19" s="200"/>
      <c r="V19" s="200"/>
      <c r="W19" s="200"/>
      <c r="X19" s="200"/>
      <c r="Y19" s="200"/>
      <c r="Z19" s="200"/>
      <c r="AA19" s="200"/>
      <c r="AB19" s="200"/>
      <c r="AC19" s="200"/>
      <c r="AD19" s="200"/>
      <c r="AE19" s="200"/>
      <c r="AF19" s="200"/>
      <c r="AG19" s="200"/>
      <c r="AH19" s="200"/>
      <c r="AI19" s="200"/>
      <c r="AJ19" s="200"/>
      <c r="AK19" s="200"/>
      <c r="AL19" s="200"/>
      <c r="AM19" s="200"/>
      <c r="AN19" s="200">
        <f t="shared" si="14"/>
        <v>0</v>
      </c>
      <c r="AO19" s="200"/>
      <c r="AP19" s="200"/>
      <c r="AQ19" s="200"/>
      <c r="AR19" s="200">
        <f t="shared" si="5"/>
        <v>0</v>
      </c>
      <c r="AS19" s="200"/>
      <c r="AT19" s="200"/>
      <c r="AU19" s="200">
        <v>-415.74</v>
      </c>
      <c r="AV19" s="200">
        <f t="shared" si="6"/>
        <v>248529.76</v>
      </c>
      <c r="AW19" s="200">
        <v>320.00650000000002</v>
      </c>
      <c r="AX19" s="200">
        <v>320006.46999999997</v>
      </c>
      <c r="AY19" s="200">
        <v>-534.38</v>
      </c>
      <c r="AZ19" s="200">
        <f t="shared" si="7"/>
        <v>319472.08999999997</v>
      </c>
      <c r="BA19" s="200"/>
      <c r="BB19" s="200"/>
      <c r="BC19" s="200"/>
      <c r="BD19" s="200">
        <f t="shared" si="8"/>
        <v>0</v>
      </c>
      <c r="BE19" s="200"/>
      <c r="BF19" s="200"/>
      <c r="BG19" s="200"/>
      <c r="BH19" s="200">
        <f t="shared" si="9"/>
        <v>0</v>
      </c>
      <c r="BI19" s="200"/>
      <c r="BJ19" s="200"/>
      <c r="BK19" s="200"/>
      <c r="BL19" s="200">
        <f t="shared" si="10"/>
        <v>0</v>
      </c>
      <c r="BM19" s="200"/>
      <c r="BN19" s="200"/>
      <c r="BO19" s="200"/>
      <c r="BP19" s="200">
        <f t="shared" si="11"/>
        <v>0</v>
      </c>
      <c r="BQ19" s="200"/>
      <c r="BR19" s="200"/>
      <c r="BS19" s="200"/>
      <c r="BT19" s="200">
        <f t="shared" si="12"/>
        <v>0</v>
      </c>
      <c r="BU19" s="200"/>
      <c r="BV19" s="200"/>
      <c r="BW19" s="200"/>
      <c r="BX19" s="200"/>
      <c r="BY19" s="200"/>
      <c r="BZ19" s="200"/>
      <c r="CA19" s="200"/>
      <c r="CB19" s="200"/>
      <c r="CC19" s="200"/>
      <c r="CD19" s="200"/>
      <c r="CE19" s="200"/>
      <c r="CF19" s="200"/>
      <c r="CG19" s="200"/>
      <c r="CH19" s="200"/>
      <c r="CI19" s="200"/>
      <c r="CJ19" s="200"/>
      <c r="CK19" s="200"/>
      <c r="CL19" s="200"/>
      <c r="CM19" s="200"/>
      <c r="CN19" s="200"/>
      <c r="CO19" s="200"/>
      <c r="CP19" s="200"/>
      <c r="CQ19" s="200"/>
      <c r="CR19" s="200"/>
      <c r="CS19" s="200"/>
      <c r="CT19" s="200"/>
      <c r="CU19" s="200"/>
      <c r="CV19" s="200"/>
      <c r="CW19" s="237">
        <f t="shared" si="13"/>
        <v>-3580635</v>
      </c>
      <c r="CX19" s="237">
        <f t="shared" si="1"/>
        <v>727716.97</v>
      </c>
      <c r="CY19" s="237">
        <f t="shared" si="1"/>
        <v>9701733.1999999993</v>
      </c>
    </row>
    <row r="20" spans="1:103">
      <c r="A20" s="240">
        <v>44681</v>
      </c>
      <c r="D20" s="366"/>
      <c r="E20" s="242">
        <f t="shared" si="15"/>
        <v>4389797.9399999995</v>
      </c>
      <c r="F20" s="120" t="s">
        <v>546</v>
      </c>
      <c r="H20" s="182">
        <v>44255</v>
      </c>
      <c r="I20" s="200">
        <v>-30.369499999999999</v>
      </c>
      <c r="J20" s="200">
        <v>-82564.66</v>
      </c>
      <c r="K20" s="200">
        <v>1457282.92</v>
      </c>
      <c r="L20" s="200">
        <f t="shared" si="2"/>
        <v>9425306.7699999996</v>
      </c>
      <c r="M20" s="200">
        <v>2075.2411000000002</v>
      </c>
      <c r="N20" s="200">
        <f>M20*1000</f>
        <v>2075241.1</v>
      </c>
      <c r="O20" s="200">
        <v>285677.7</v>
      </c>
      <c r="P20" s="200">
        <f t="shared" si="3"/>
        <v>2360918.8000000003</v>
      </c>
      <c r="Q20" s="200">
        <v>-1085.8466000000001</v>
      </c>
      <c r="R20" s="200">
        <v>-2095998.83</v>
      </c>
      <c r="S20" s="200">
        <v>1012855.99</v>
      </c>
      <c r="T20" s="200">
        <f t="shared" si="4"/>
        <v>0</v>
      </c>
      <c r="U20" s="200"/>
      <c r="V20" s="200"/>
      <c r="W20" s="200"/>
      <c r="X20" s="200"/>
      <c r="Y20" s="200"/>
      <c r="Z20" s="200"/>
      <c r="AA20" s="200"/>
      <c r="AB20" s="200"/>
      <c r="AC20" s="200"/>
      <c r="AD20" s="200"/>
      <c r="AE20" s="200"/>
      <c r="AF20" s="200"/>
      <c r="AG20" s="200"/>
      <c r="AH20" s="200"/>
      <c r="AI20" s="200"/>
      <c r="AJ20" s="200"/>
      <c r="AK20" s="200">
        <v>103.3224</v>
      </c>
      <c r="AL20" s="200">
        <f>AK20*1000</f>
        <v>103322.40000000001</v>
      </c>
      <c r="AM20" s="200">
        <v>-148.78</v>
      </c>
      <c r="AN20" s="200">
        <f t="shared" si="14"/>
        <v>103173.62000000001</v>
      </c>
      <c r="AO20" s="200"/>
      <c r="AP20" s="200"/>
      <c r="AQ20" s="200"/>
      <c r="AR20" s="200">
        <f t="shared" si="5"/>
        <v>0</v>
      </c>
      <c r="AS20" s="200"/>
      <c r="AT20" s="200"/>
      <c r="AU20" s="200">
        <v>-413.25</v>
      </c>
      <c r="AV20" s="200">
        <f t="shared" si="6"/>
        <v>248116.51</v>
      </c>
      <c r="AW20" s="200"/>
      <c r="AX20" s="200"/>
      <c r="AY20" s="200">
        <v>-531.21</v>
      </c>
      <c r="AZ20" s="200">
        <f t="shared" si="7"/>
        <v>318940.87999999995</v>
      </c>
      <c r="BA20" s="200"/>
      <c r="BB20" s="200"/>
      <c r="BC20" s="200"/>
      <c r="BD20" s="200">
        <f t="shared" si="8"/>
        <v>0</v>
      </c>
      <c r="BE20" s="200"/>
      <c r="BF20" s="200"/>
      <c r="BG20" s="200"/>
      <c r="BH20" s="200">
        <f t="shared" si="9"/>
        <v>0</v>
      </c>
      <c r="BI20" s="200"/>
      <c r="BJ20" s="200"/>
      <c r="BK20" s="200"/>
      <c r="BL20" s="200">
        <f t="shared" si="10"/>
        <v>0</v>
      </c>
      <c r="BM20" s="200"/>
      <c r="BN20" s="200"/>
      <c r="BO20" s="200"/>
      <c r="BP20" s="200">
        <f t="shared" si="11"/>
        <v>0</v>
      </c>
      <c r="BQ20" s="200"/>
      <c r="BR20" s="200"/>
      <c r="BS20" s="200"/>
      <c r="BT20" s="200">
        <f t="shared" si="12"/>
        <v>0</v>
      </c>
      <c r="BU20" s="200"/>
      <c r="BV20" s="200"/>
      <c r="BW20" s="200"/>
      <c r="BX20" s="200"/>
      <c r="BY20" s="200"/>
      <c r="BZ20" s="200"/>
      <c r="CA20" s="200"/>
      <c r="CB20" s="200"/>
      <c r="CC20" s="200"/>
      <c r="CD20" s="200"/>
      <c r="CE20" s="200"/>
      <c r="CF20" s="200"/>
      <c r="CG20" s="200"/>
      <c r="CH20" s="200"/>
      <c r="CI20" s="200"/>
      <c r="CJ20" s="200"/>
      <c r="CK20" s="200"/>
      <c r="CL20" s="200"/>
      <c r="CM20" s="200"/>
      <c r="CN20" s="200"/>
      <c r="CO20" s="200"/>
      <c r="CP20" s="200"/>
      <c r="CQ20" s="200"/>
      <c r="CR20" s="200"/>
      <c r="CS20" s="200"/>
      <c r="CT20" s="200"/>
      <c r="CU20" s="200"/>
      <c r="CV20" s="200"/>
      <c r="CW20" s="237">
        <f t="shared" si="13"/>
        <v>-103322.39000000013</v>
      </c>
      <c r="CX20" s="237">
        <f t="shared" si="13"/>
        <v>2754872.1500000004</v>
      </c>
      <c r="CY20" s="237">
        <f t="shared" si="13"/>
        <v>12353282.960000001</v>
      </c>
    </row>
    <row r="21" spans="1:103">
      <c r="A21" s="240">
        <v>44712</v>
      </c>
      <c r="D21" s="366"/>
      <c r="E21" s="242">
        <f t="shared" si="15"/>
        <v>4515453.7299999995</v>
      </c>
      <c r="F21" s="120" t="s">
        <v>546</v>
      </c>
      <c r="H21" s="182">
        <v>44286</v>
      </c>
      <c r="I21" s="200">
        <v>-13.238300000000001</v>
      </c>
      <c r="J21" s="200">
        <v>-41096.01</v>
      </c>
      <c r="K21" s="200">
        <v>-308913.65000000002</v>
      </c>
      <c r="L21" s="200">
        <f t="shared" si="2"/>
        <v>9075297.1099999994</v>
      </c>
      <c r="M21" s="200">
        <v>-9.0484000000000009</v>
      </c>
      <c r="N21" s="200">
        <v>-10294.02</v>
      </c>
      <c r="O21" s="200">
        <v>-75374.69</v>
      </c>
      <c r="P21" s="200">
        <f t="shared" si="3"/>
        <v>2275250.0900000003</v>
      </c>
      <c r="Q21" s="200"/>
      <c r="R21" s="200">
        <v>51390.03</v>
      </c>
      <c r="S21" s="200">
        <v>-85.85</v>
      </c>
      <c r="T21" s="200">
        <f t="shared" si="4"/>
        <v>51304.18</v>
      </c>
      <c r="U21" s="200"/>
      <c r="V21" s="200"/>
      <c r="W21" s="200"/>
      <c r="X21" s="200"/>
      <c r="Y21" s="200"/>
      <c r="Z21" s="200"/>
      <c r="AA21" s="200"/>
      <c r="AB21" s="200"/>
      <c r="AC21" s="200"/>
      <c r="AD21" s="200"/>
      <c r="AE21" s="200"/>
      <c r="AF21" s="200"/>
      <c r="AG21" s="200"/>
      <c r="AH21" s="200"/>
      <c r="AI21" s="200"/>
      <c r="AJ21" s="200"/>
      <c r="AK21" s="200"/>
      <c r="AL21" s="200"/>
      <c r="AM21" s="200">
        <v>-249.01</v>
      </c>
      <c r="AN21" s="200">
        <f t="shared" si="14"/>
        <v>102924.61000000002</v>
      </c>
      <c r="AO21" s="200"/>
      <c r="AP21" s="200"/>
      <c r="AQ21" s="200"/>
      <c r="AR21" s="200">
        <f t="shared" si="5"/>
        <v>0</v>
      </c>
      <c r="AS21" s="200"/>
      <c r="AT21" s="200"/>
      <c r="AU21" s="200">
        <v>-413.25</v>
      </c>
      <c r="AV21" s="200">
        <f t="shared" si="6"/>
        <v>247703.26</v>
      </c>
      <c r="AW21" s="200"/>
      <c r="AX21" s="200"/>
      <c r="AY21" s="200">
        <v>-531.21</v>
      </c>
      <c r="AZ21" s="200">
        <f t="shared" si="7"/>
        <v>318409.66999999993</v>
      </c>
      <c r="BA21" s="200"/>
      <c r="BB21" s="200"/>
      <c r="BC21" s="200"/>
      <c r="BD21" s="200">
        <f t="shared" si="8"/>
        <v>0</v>
      </c>
      <c r="BE21" s="200"/>
      <c r="BF21" s="200"/>
      <c r="BG21" s="200"/>
      <c r="BH21" s="200">
        <f t="shared" si="9"/>
        <v>0</v>
      </c>
      <c r="BI21" s="200"/>
      <c r="BJ21" s="200"/>
      <c r="BK21" s="200"/>
      <c r="BL21" s="200">
        <f t="shared" si="10"/>
        <v>0</v>
      </c>
      <c r="BM21" s="200"/>
      <c r="BN21" s="200"/>
      <c r="BO21" s="200"/>
      <c r="BP21" s="200">
        <f t="shared" si="11"/>
        <v>0</v>
      </c>
      <c r="BQ21" s="200"/>
      <c r="BR21" s="200"/>
      <c r="BS21" s="200"/>
      <c r="BT21" s="200">
        <f t="shared" si="12"/>
        <v>0</v>
      </c>
      <c r="BU21" s="200"/>
      <c r="BV21" s="200"/>
      <c r="BW21" s="200"/>
      <c r="BX21" s="200"/>
      <c r="BY21" s="200"/>
      <c r="BZ21" s="200"/>
      <c r="CA21" s="200"/>
      <c r="CB21" s="200"/>
      <c r="CC21" s="200"/>
      <c r="CD21" s="200"/>
      <c r="CE21" s="200"/>
      <c r="CF21" s="200"/>
      <c r="CG21" s="200"/>
      <c r="CH21" s="200"/>
      <c r="CI21" s="200"/>
      <c r="CJ21" s="200"/>
      <c r="CK21" s="200"/>
      <c r="CL21" s="200"/>
      <c r="CM21" s="200"/>
      <c r="CN21" s="200"/>
      <c r="CO21" s="200"/>
      <c r="CP21" s="200"/>
      <c r="CQ21" s="200"/>
      <c r="CR21" s="200"/>
      <c r="CS21" s="200"/>
      <c r="CT21" s="200"/>
      <c r="CU21" s="200"/>
      <c r="CV21" s="200"/>
      <c r="CW21" s="237">
        <f t="shared" si="13"/>
        <v>-3.637978807091713E-12</v>
      </c>
      <c r="CX21" s="237">
        <f t="shared" si="13"/>
        <v>-385318.65</v>
      </c>
      <c r="CY21" s="237">
        <f t="shared" si="13"/>
        <v>11967964.309999999</v>
      </c>
    </row>
    <row r="22" spans="1:103">
      <c r="A22" s="240">
        <v>44742</v>
      </c>
      <c r="D22" s="131"/>
      <c r="E22" s="131">
        <f t="shared" si="15"/>
        <v>4938092.3400000008</v>
      </c>
      <c r="F22" s="120" t="s">
        <v>546</v>
      </c>
      <c r="H22" s="182">
        <v>44316</v>
      </c>
      <c r="I22" s="200"/>
      <c r="J22" s="200"/>
      <c r="K22" s="200">
        <v>129048.99</v>
      </c>
      <c r="L22" s="200">
        <f t="shared" si="2"/>
        <v>9204346.0999999996</v>
      </c>
      <c r="M22" s="200"/>
      <c r="N22" s="200"/>
      <c r="O22" s="200">
        <v>31488.77</v>
      </c>
      <c r="P22" s="200">
        <f t="shared" si="3"/>
        <v>2306738.8600000003</v>
      </c>
      <c r="Q22" s="200"/>
      <c r="R22" s="200"/>
      <c r="S22" s="200">
        <v>-85.31</v>
      </c>
      <c r="T22" s="200">
        <f t="shared" si="4"/>
        <v>51218.87</v>
      </c>
      <c r="U22" s="200"/>
      <c r="V22" s="200"/>
      <c r="W22" s="200"/>
      <c r="X22" s="200"/>
      <c r="Y22" s="200"/>
      <c r="Z22" s="200"/>
      <c r="AA22" s="200"/>
      <c r="AB22" s="200"/>
      <c r="AC22" s="200"/>
      <c r="AD22" s="200"/>
      <c r="AE22" s="200"/>
      <c r="AF22" s="200"/>
      <c r="AG22" s="200"/>
      <c r="AH22" s="200"/>
      <c r="AI22" s="200"/>
      <c r="AJ22" s="200"/>
      <c r="AK22" s="200"/>
      <c r="AL22" s="200"/>
      <c r="AM22" s="200">
        <v>-661.26</v>
      </c>
      <c r="AN22" s="200">
        <f t="shared" si="14"/>
        <v>102263.35000000002</v>
      </c>
      <c r="AO22" s="200"/>
      <c r="AP22" s="200"/>
      <c r="AQ22" s="200"/>
      <c r="AR22" s="200">
        <f t="shared" si="5"/>
        <v>0</v>
      </c>
      <c r="AS22" s="200"/>
      <c r="AT22" s="200"/>
      <c r="AU22" s="200">
        <v>-413.25</v>
      </c>
      <c r="AV22" s="200">
        <f t="shared" si="6"/>
        <v>247290.01</v>
      </c>
      <c r="AW22" s="200"/>
      <c r="AX22" s="200"/>
      <c r="AY22" s="200">
        <v>-531.21</v>
      </c>
      <c r="AZ22" s="200">
        <f t="shared" si="7"/>
        <v>317878.4599999999</v>
      </c>
      <c r="BA22" s="200"/>
      <c r="BB22" s="200"/>
      <c r="BC22" s="200"/>
      <c r="BD22" s="200">
        <f t="shared" si="8"/>
        <v>0</v>
      </c>
      <c r="BE22" s="200"/>
      <c r="BF22" s="200"/>
      <c r="BG22" s="200"/>
      <c r="BH22" s="200">
        <f t="shared" si="9"/>
        <v>0</v>
      </c>
      <c r="BI22" s="200"/>
      <c r="BJ22" s="200"/>
      <c r="BK22" s="200"/>
      <c r="BL22" s="200">
        <f t="shared" si="10"/>
        <v>0</v>
      </c>
      <c r="BM22" s="200"/>
      <c r="BN22" s="200"/>
      <c r="BO22" s="200"/>
      <c r="BP22" s="200">
        <f t="shared" si="11"/>
        <v>0</v>
      </c>
      <c r="BQ22" s="200"/>
      <c r="BR22" s="200"/>
      <c r="BS22" s="200"/>
      <c r="BT22" s="200">
        <f t="shared" si="12"/>
        <v>0</v>
      </c>
      <c r="BU22" s="200"/>
      <c r="BV22" s="200"/>
      <c r="BW22" s="200"/>
      <c r="BX22" s="200"/>
      <c r="BY22" s="200"/>
      <c r="BZ22" s="200"/>
      <c r="CA22" s="200"/>
      <c r="CB22" s="200"/>
      <c r="CC22" s="200"/>
      <c r="CD22" s="200"/>
      <c r="CE22" s="200"/>
      <c r="CF22" s="200"/>
      <c r="CG22" s="200"/>
      <c r="CH22" s="200"/>
      <c r="CI22" s="200"/>
      <c r="CJ22" s="200"/>
      <c r="CK22" s="200"/>
      <c r="CL22" s="200"/>
      <c r="CM22" s="200"/>
      <c r="CN22" s="200"/>
      <c r="CO22" s="200"/>
      <c r="CP22" s="200"/>
      <c r="CQ22" s="200"/>
      <c r="CR22" s="200"/>
      <c r="CS22" s="200"/>
      <c r="CT22" s="200"/>
      <c r="CU22" s="200"/>
      <c r="CV22" s="200"/>
      <c r="CW22" s="237">
        <f t="shared" si="13"/>
        <v>0</v>
      </c>
      <c r="CX22" s="237">
        <f t="shared" si="13"/>
        <v>159507.99000000002</v>
      </c>
      <c r="CY22" s="237">
        <f t="shared" si="13"/>
        <v>12127472.299999999</v>
      </c>
    </row>
    <row r="23" spans="1:103">
      <c r="A23" s="240">
        <v>44773</v>
      </c>
      <c r="D23" s="212"/>
      <c r="E23" s="131">
        <f t="shared" si="15"/>
        <v>4699654.83</v>
      </c>
      <c r="F23" s="120" t="s">
        <v>546</v>
      </c>
      <c r="H23" s="182">
        <v>44347</v>
      </c>
      <c r="I23" s="200">
        <v>-103.64960000000001</v>
      </c>
      <c r="J23" s="200">
        <v>-305534.27</v>
      </c>
      <c r="K23" s="200">
        <v>-293466.17</v>
      </c>
      <c r="L23" s="200">
        <f t="shared" si="2"/>
        <v>8605345.6600000001</v>
      </c>
      <c r="M23" s="200">
        <v>-70.845399999999998</v>
      </c>
      <c r="N23" s="200">
        <v>-76638.52</v>
      </c>
      <c r="O23" s="200">
        <v>-71593.48</v>
      </c>
      <c r="P23" s="200">
        <f t="shared" si="3"/>
        <v>2158506.8600000003</v>
      </c>
      <c r="Q23" s="200"/>
      <c r="R23" s="200"/>
      <c r="S23" s="200">
        <v>-85.31</v>
      </c>
      <c r="T23" s="200">
        <f t="shared" si="4"/>
        <v>51133.560000000005</v>
      </c>
      <c r="U23" s="200"/>
      <c r="V23" s="200"/>
      <c r="W23" s="200"/>
      <c r="X23" s="200"/>
      <c r="Y23" s="200"/>
      <c r="Z23" s="200"/>
      <c r="AA23" s="200"/>
      <c r="AB23" s="200"/>
      <c r="AC23" s="200"/>
      <c r="AD23" s="200"/>
      <c r="AE23" s="200"/>
      <c r="AF23" s="200"/>
      <c r="AG23" s="200"/>
      <c r="AH23" s="200"/>
      <c r="AI23" s="200"/>
      <c r="AJ23" s="200"/>
      <c r="AK23" s="200"/>
      <c r="AL23" s="200"/>
      <c r="AM23" s="200">
        <v>-170.49</v>
      </c>
      <c r="AN23" s="200">
        <f t="shared" si="14"/>
        <v>102092.86000000002</v>
      </c>
      <c r="AO23" s="200"/>
      <c r="AP23" s="200"/>
      <c r="AQ23" s="200"/>
      <c r="AR23" s="200">
        <f t="shared" si="5"/>
        <v>0</v>
      </c>
      <c r="AS23" s="200"/>
      <c r="AT23" s="200"/>
      <c r="AU23" s="200">
        <v>-413.25</v>
      </c>
      <c r="AV23" s="200">
        <f t="shared" si="6"/>
        <v>246876.76</v>
      </c>
      <c r="AW23" s="200"/>
      <c r="AX23" s="200"/>
      <c r="AY23" s="200">
        <v>-531.21</v>
      </c>
      <c r="AZ23" s="200">
        <f t="shared" si="7"/>
        <v>317347.24999999988</v>
      </c>
      <c r="BA23" s="200">
        <v>118.3216</v>
      </c>
      <c r="BB23" s="200">
        <v>118321.61</v>
      </c>
      <c r="BC23" s="200">
        <v>-0.01</v>
      </c>
      <c r="BD23" s="200">
        <f t="shared" si="8"/>
        <v>118321.60000000001</v>
      </c>
      <c r="BE23" s="200">
        <v>141.98599999999999</v>
      </c>
      <c r="BF23" s="200">
        <v>141985.93</v>
      </c>
      <c r="BG23" s="200">
        <v>7.0000000000000007E-2</v>
      </c>
      <c r="BH23" s="200">
        <f t="shared" si="9"/>
        <v>141986</v>
      </c>
      <c r="BI23" s="200">
        <v>74.081500000000005</v>
      </c>
      <c r="BJ23" s="200">
        <v>74081.52</v>
      </c>
      <c r="BK23" s="200">
        <v>-0.02</v>
      </c>
      <c r="BL23" s="200">
        <f t="shared" si="10"/>
        <v>74081.5</v>
      </c>
      <c r="BM23" s="200">
        <v>47.783799999999999</v>
      </c>
      <c r="BN23" s="200">
        <v>47783.73</v>
      </c>
      <c r="BO23" s="200">
        <v>7.0000000000000007E-2</v>
      </c>
      <c r="BP23" s="200">
        <f t="shared" si="11"/>
        <v>47783.8</v>
      </c>
      <c r="BQ23" s="200"/>
      <c r="BR23" s="200"/>
      <c r="BS23" s="200"/>
      <c r="BT23" s="200">
        <f t="shared" si="12"/>
        <v>0</v>
      </c>
      <c r="BU23" s="200"/>
      <c r="BV23" s="200"/>
      <c r="BW23" s="200"/>
      <c r="BX23" s="200"/>
      <c r="BY23" s="200"/>
      <c r="BZ23" s="200"/>
      <c r="CA23" s="200"/>
      <c r="CB23" s="200"/>
      <c r="CC23" s="200"/>
      <c r="CD23" s="200"/>
      <c r="CE23" s="200"/>
      <c r="CF23" s="200"/>
      <c r="CG23" s="200"/>
      <c r="CH23" s="200"/>
      <c r="CI23" s="200"/>
      <c r="CJ23" s="200"/>
      <c r="CK23" s="200"/>
      <c r="CL23" s="200"/>
      <c r="CM23" s="200"/>
      <c r="CN23" s="200"/>
      <c r="CO23" s="200"/>
      <c r="CP23" s="200"/>
      <c r="CQ23" s="200"/>
      <c r="CR23" s="200"/>
      <c r="CS23" s="200"/>
      <c r="CT23" s="200"/>
      <c r="CU23" s="200"/>
      <c r="CV23" s="200"/>
      <c r="CW23" s="237">
        <f t="shared" si="13"/>
        <v>-5.0931703299283981E-11</v>
      </c>
      <c r="CX23" s="237">
        <f t="shared" si="13"/>
        <v>-366089.31</v>
      </c>
      <c r="CY23" s="237">
        <f t="shared" si="13"/>
        <v>11761382.99</v>
      </c>
    </row>
    <row r="24" spans="1:103">
      <c r="A24" s="240">
        <v>44804</v>
      </c>
      <c r="D24" s="212"/>
      <c r="E24" s="131">
        <f t="shared" si="15"/>
        <v>4692118.05</v>
      </c>
      <c r="F24" s="120" t="s">
        <v>546</v>
      </c>
      <c r="H24" s="182">
        <v>44377</v>
      </c>
      <c r="I24" s="200">
        <v>-28.282</v>
      </c>
      <c r="J24" s="200">
        <v>-83368.89</v>
      </c>
      <c r="K24" s="200">
        <v>26453</v>
      </c>
      <c r="L24" s="200">
        <f t="shared" si="2"/>
        <v>8548429.7699999996</v>
      </c>
      <c r="M24" s="200">
        <v>-19.331</v>
      </c>
      <c r="N24" s="200">
        <v>-20911.68</v>
      </c>
      <c r="O24" s="200">
        <v>6461.56</v>
      </c>
      <c r="P24" s="200">
        <f t="shared" si="3"/>
        <v>2144056.7400000002</v>
      </c>
      <c r="Q24" s="200">
        <v>-51.39</v>
      </c>
      <c r="R24" s="200">
        <v>-60857.58</v>
      </c>
      <c r="S24" s="200">
        <f>9809.32-85.3</f>
        <v>9724.02</v>
      </c>
      <c r="T24" s="200">
        <f t="shared" si="4"/>
        <v>0</v>
      </c>
      <c r="U24" s="200"/>
      <c r="V24" s="200"/>
      <c r="W24" s="200"/>
      <c r="X24" s="200"/>
      <c r="Y24" s="200"/>
      <c r="Z24" s="200"/>
      <c r="AA24" s="200"/>
      <c r="AB24" s="200"/>
      <c r="AC24" s="200"/>
      <c r="AD24" s="200"/>
      <c r="AE24" s="200"/>
      <c r="AF24" s="200"/>
      <c r="AG24" s="200"/>
      <c r="AH24" s="200"/>
      <c r="AI24" s="200"/>
      <c r="AJ24" s="200"/>
      <c r="AK24" s="200"/>
      <c r="AL24" s="200"/>
      <c r="AM24" s="200">
        <v>-169.45</v>
      </c>
      <c r="AN24" s="200">
        <f t="shared" si="14"/>
        <v>101923.41000000002</v>
      </c>
      <c r="AO24" s="200"/>
      <c r="AP24" s="200"/>
      <c r="AQ24" s="200"/>
      <c r="AR24" s="200">
        <f t="shared" si="5"/>
        <v>0</v>
      </c>
      <c r="AS24" s="200"/>
      <c r="AT24" s="200"/>
      <c r="AU24" s="200">
        <v>-463.04</v>
      </c>
      <c r="AV24" s="200">
        <f t="shared" si="6"/>
        <v>246413.72</v>
      </c>
      <c r="AW24" s="200"/>
      <c r="AX24" s="200"/>
      <c r="AY24" s="200">
        <v>-528.01</v>
      </c>
      <c r="AZ24" s="200">
        <f t="shared" si="7"/>
        <v>316819.23999999987</v>
      </c>
      <c r="BA24" s="200"/>
      <c r="BB24" s="200"/>
      <c r="BC24" s="200">
        <v>-197.6</v>
      </c>
      <c r="BD24" s="200">
        <f t="shared" si="8"/>
        <v>118124</v>
      </c>
      <c r="BE24" s="200"/>
      <c r="BF24" s="200"/>
      <c r="BG24" s="200">
        <v>-237.12</v>
      </c>
      <c r="BH24" s="200">
        <f t="shared" si="9"/>
        <v>141748.88</v>
      </c>
      <c r="BI24" s="200"/>
      <c r="BJ24" s="200"/>
      <c r="BK24" s="200">
        <v>-123.72</v>
      </c>
      <c r="BL24" s="200">
        <f t="shared" si="10"/>
        <v>73957.78</v>
      </c>
      <c r="BM24" s="200"/>
      <c r="BN24" s="200"/>
      <c r="BO24" s="200">
        <v>-93.18</v>
      </c>
      <c r="BP24" s="200">
        <f t="shared" si="11"/>
        <v>47690.62</v>
      </c>
      <c r="BQ24" s="200">
        <f>48.626+55.6546</f>
        <v>104.28059999999999</v>
      </c>
      <c r="BR24" s="200">
        <v>104280.57</v>
      </c>
      <c r="BS24" s="200">
        <f>-92.96-81.16</f>
        <v>-174.12</v>
      </c>
      <c r="BT24" s="200">
        <f t="shared" si="12"/>
        <v>104106.45000000001</v>
      </c>
      <c r="BU24" s="200"/>
      <c r="BV24" s="200"/>
      <c r="BW24" s="200"/>
      <c r="BX24" s="200"/>
      <c r="BY24" s="200"/>
      <c r="BZ24" s="200"/>
      <c r="CA24" s="200"/>
      <c r="CB24" s="200"/>
      <c r="CC24" s="200"/>
      <c r="CD24" s="200"/>
      <c r="CE24" s="200"/>
      <c r="CF24" s="200"/>
      <c r="CG24" s="200"/>
      <c r="CH24" s="200"/>
      <c r="CI24" s="200"/>
      <c r="CJ24" s="200"/>
      <c r="CK24" s="200"/>
      <c r="CL24" s="200"/>
      <c r="CM24" s="200"/>
      <c r="CN24" s="200"/>
      <c r="CO24" s="200"/>
      <c r="CP24" s="200"/>
      <c r="CQ24" s="200"/>
      <c r="CR24" s="200"/>
      <c r="CS24" s="200"/>
      <c r="CT24" s="200"/>
      <c r="CU24" s="200"/>
      <c r="CV24" s="200"/>
      <c r="CW24" s="237">
        <f t="shared" si="13"/>
        <v>-60857.579999999987</v>
      </c>
      <c r="CX24" s="237">
        <f t="shared" si="13"/>
        <v>40821.789999999994</v>
      </c>
      <c r="CY24" s="237">
        <f t="shared" si="13"/>
        <v>11741347.199999999</v>
      </c>
    </row>
    <row r="25" spans="1:103">
      <c r="A25" s="240">
        <v>44834</v>
      </c>
      <c r="D25" s="212"/>
      <c r="E25" s="131">
        <f t="shared" si="15"/>
        <v>4316023.580000001</v>
      </c>
      <c r="F25" s="120" t="s">
        <v>546</v>
      </c>
      <c r="H25" s="182">
        <v>44408</v>
      </c>
      <c r="I25" s="200">
        <v>-1574.7882999999999</v>
      </c>
      <c r="J25" s="200">
        <v>-4624423.0199999996</v>
      </c>
      <c r="K25" s="200">
        <v>-596752.67000000004</v>
      </c>
      <c r="L25" s="200">
        <f t="shared" si="2"/>
        <v>3327254.08</v>
      </c>
      <c r="M25" s="200">
        <v>-106.2427</v>
      </c>
      <c r="N25" s="200">
        <v>-97199.4</v>
      </c>
      <c r="O25" s="200">
        <v>-336238.86</v>
      </c>
      <c r="P25" s="200">
        <f t="shared" si="3"/>
        <v>1710618.4800000004</v>
      </c>
      <c r="Q25" s="200">
        <v>60.857500000000002</v>
      </c>
      <c r="R25" s="200">
        <v>60857.58</v>
      </c>
      <c r="S25" s="200">
        <v>-0.08</v>
      </c>
      <c r="T25" s="200">
        <f t="shared" si="4"/>
        <v>60857.5</v>
      </c>
      <c r="U25" s="200"/>
      <c r="V25" s="200"/>
      <c r="W25" s="200"/>
      <c r="X25" s="200"/>
      <c r="Y25" s="200"/>
      <c r="Z25" s="200"/>
      <c r="AA25" s="200"/>
      <c r="AB25" s="200"/>
      <c r="AC25" s="200"/>
      <c r="AD25" s="200"/>
      <c r="AE25" s="200"/>
      <c r="AF25" s="200"/>
      <c r="AG25" s="200"/>
      <c r="AH25" s="200"/>
      <c r="AI25" s="200"/>
      <c r="AJ25" s="200"/>
      <c r="AK25" s="200"/>
      <c r="AL25" s="200"/>
      <c r="AM25" s="200">
        <v>-179.78</v>
      </c>
      <c r="AN25" s="200">
        <f t="shared" si="14"/>
        <v>101743.63000000002</v>
      </c>
      <c r="AO25" s="200"/>
      <c r="AP25" s="200"/>
      <c r="AQ25" s="200"/>
      <c r="AR25" s="200">
        <f t="shared" si="5"/>
        <v>0</v>
      </c>
      <c r="AU25" s="200">
        <v>-433.16</v>
      </c>
      <c r="AV25" s="200">
        <f t="shared" si="6"/>
        <v>245980.56</v>
      </c>
      <c r="AY25" s="200">
        <v>-544.02</v>
      </c>
      <c r="AZ25" s="200">
        <f t="shared" si="7"/>
        <v>316275.21999999986</v>
      </c>
      <c r="BC25" s="200">
        <v>-205.88</v>
      </c>
      <c r="BD25" s="200">
        <f t="shared" si="8"/>
        <v>117918.12</v>
      </c>
      <c r="BG25" s="200">
        <v>-247.05</v>
      </c>
      <c r="BH25" s="200">
        <f t="shared" si="9"/>
        <v>141501.83000000002</v>
      </c>
      <c r="BK25" s="200">
        <v>-131.12</v>
      </c>
      <c r="BL25" s="200">
        <f t="shared" si="10"/>
        <v>73826.66</v>
      </c>
      <c r="BO25" s="200">
        <v>-86.96</v>
      </c>
      <c r="BP25" s="200">
        <f t="shared" si="11"/>
        <v>47603.66</v>
      </c>
      <c r="BS25" s="200">
        <f>-100.18-88.01</f>
        <v>-188.19</v>
      </c>
      <c r="BT25" s="200">
        <f t="shared" si="12"/>
        <v>103918.26000000001</v>
      </c>
      <c r="BU25" s="200">
        <v>275.24759999999998</v>
      </c>
      <c r="BV25" s="200">
        <v>275247.52</v>
      </c>
      <c r="BW25" s="200">
        <v>0.08</v>
      </c>
      <c r="BX25" s="200">
        <f>BX24+BV25+BW25</f>
        <v>275247.60000000003</v>
      </c>
      <c r="BY25" s="200">
        <v>11.0099</v>
      </c>
      <c r="BZ25" s="200">
        <v>11009.9</v>
      </c>
      <c r="CA25" s="200"/>
      <c r="CB25" s="200">
        <f>CB24+BZ25+CA25</f>
        <v>11009.9</v>
      </c>
      <c r="CC25" s="200"/>
      <c r="CD25" s="200"/>
      <c r="CE25" s="200"/>
      <c r="CF25" s="200"/>
      <c r="CG25" s="200"/>
      <c r="CH25" s="200"/>
      <c r="CI25" s="200"/>
      <c r="CJ25" s="200"/>
      <c r="CK25" s="200"/>
      <c r="CL25" s="200"/>
      <c r="CM25" s="200"/>
      <c r="CN25" s="200"/>
      <c r="CO25" s="200"/>
      <c r="CP25" s="200"/>
      <c r="CQ25" s="200"/>
      <c r="CR25" s="200"/>
      <c r="CS25" s="200"/>
      <c r="CT25" s="200"/>
      <c r="CU25" s="200"/>
      <c r="CV25" s="200"/>
      <c r="CW25" s="237">
        <f>J25+R25+AP25+AT25+N25+AX25+BB25+BF25+BJ25+BN25+BR25</f>
        <v>-4660764.84</v>
      </c>
      <c r="CX25" s="237">
        <f>K25+S25+AQ25+AU25+O25+AY25+BC25+BG25+BK25+BO25+BS25+BW25+CA25</f>
        <v>-934827.91</v>
      </c>
      <c r="CY25" s="237">
        <f>L25+T25+AR25+AV25+P25+AZ25+BD25+BH25+BL25+BP25+BT25+BX25+CB25</f>
        <v>6432011.870000001</v>
      </c>
    </row>
    <row r="26" spans="1:103">
      <c r="A26" s="187">
        <v>44865</v>
      </c>
      <c r="D26" s="212"/>
      <c r="E26" s="242">
        <f t="shared" si="15"/>
        <v>3935505.5400000005</v>
      </c>
      <c r="F26" s="120" t="s">
        <v>546</v>
      </c>
      <c r="H26" s="182">
        <v>44439</v>
      </c>
      <c r="I26" s="200">
        <v>-44.414200000000001</v>
      </c>
      <c r="J26" s="200">
        <v>-106958.12</v>
      </c>
      <c r="K26" s="200">
        <v>-157550.81</v>
      </c>
      <c r="L26" s="200">
        <f t="shared" si="2"/>
        <v>3062745.15</v>
      </c>
      <c r="M26" s="200">
        <v>-63.093800000000002</v>
      </c>
      <c r="N26" s="200">
        <v>-54353.37</v>
      </c>
      <c r="O26" s="200">
        <v>-99864.65</v>
      </c>
      <c r="P26" s="200">
        <f t="shared" si="3"/>
        <v>1556400.4600000004</v>
      </c>
      <c r="Q26" s="200">
        <v>-2.0535000000000001</v>
      </c>
      <c r="R26" s="200">
        <v>-1933.69</v>
      </c>
      <c r="S26" s="200">
        <v>-3552.2</v>
      </c>
      <c r="T26" s="200">
        <f t="shared" si="4"/>
        <v>55371.61</v>
      </c>
      <c r="U26" s="200"/>
      <c r="V26" s="200"/>
      <c r="W26" s="200"/>
      <c r="X26" s="200"/>
      <c r="Y26" s="200"/>
      <c r="Z26" s="200"/>
      <c r="AA26" s="200"/>
      <c r="AB26" s="200"/>
      <c r="AC26" s="200"/>
      <c r="AD26" s="200"/>
      <c r="AE26" s="200"/>
      <c r="AF26" s="200"/>
      <c r="AG26" s="200"/>
      <c r="AH26" s="200"/>
      <c r="AI26" s="200"/>
      <c r="AJ26" s="200"/>
      <c r="AK26" s="200"/>
      <c r="AL26" s="200"/>
      <c r="AM26" s="200">
        <v>-177.71</v>
      </c>
      <c r="AN26" s="200">
        <f t="shared" si="14"/>
        <v>101565.92000000001</v>
      </c>
      <c r="AO26" s="200"/>
      <c r="AP26" s="200"/>
      <c r="AQ26" s="200"/>
      <c r="AR26" s="200">
        <f t="shared" si="5"/>
        <v>0</v>
      </c>
      <c r="AU26" s="200">
        <v>-430.68</v>
      </c>
      <c r="AV26" s="200">
        <f t="shared" si="6"/>
        <v>245549.88</v>
      </c>
      <c r="AY26" s="200">
        <v>-540.80999999999995</v>
      </c>
      <c r="AZ26" s="200">
        <f t="shared" si="7"/>
        <v>315734.40999999986</v>
      </c>
      <c r="BC26" s="200">
        <v>-221.26</v>
      </c>
      <c r="BD26" s="200">
        <f t="shared" si="8"/>
        <v>117696.86</v>
      </c>
      <c r="BG26" s="200">
        <v>-244.22</v>
      </c>
      <c r="BH26" s="200">
        <f t="shared" si="9"/>
        <v>141257.61000000002</v>
      </c>
      <c r="BK26" s="200">
        <v>-129.63999999999999</v>
      </c>
      <c r="BL26" s="200">
        <f t="shared" si="10"/>
        <v>73697.02</v>
      </c>
      <c r="BO26" s="200">
        <v>-103.22</v>
      </c>
      <c r="BP26" s="200">
        <f t="shared" si="11"/>
        <v>47500.44</v>
      </c>
      <c r="BS26" s="200">
        <f>-93.36-97.95</f>
        <v>-191.31</v>
      </c>
      <c r="BT26" s="200">
        <f t="shared" si="12"/>
        <v>103726.95000000001</v>
      </c>
      <c r="BU26" s="200"/>
      <c r="BV26" s="200"/>
      <c r="BW26" s="200">
        <v>-476.18</v>
      </c>
      <c r="BX26" s="200">
        <f>BX25+BV26+BW26</f>
        <v>274771.42000000004</v>
      </c>
      <c r="BY26" s="200"/>
      <c r="BZ26" s="200"/>
      <c r="CA26" s="200">
        <v>-27.86</v>
      </c>
      <c r="CB26" s="200">
        <f>CB25+BZ26+CA26</f>
        <v>10982.039999999999</v>
      </c>
      <c r="CC26" s="200">
        <v>81.728399999999993</v>
      </c>
      <c r="CD26" s="200">
        <v>81728.44</v>
      </c>
      <c r="CE26" s="200">
        <v>-0.04</v>
      </c>
      <c r="CF26" s="200">
        <f>CF25+CD26+CE26</f>
        <v>81728.400000000009</v>
      </c>
      <c r="CG26" s="200">
        <v>81.5167</v>
      </c>
      <c r="CH26" s="200">
        <v>81516.740000000005</v>
      </c>
      <c r="CI26" s="200">
        <v>-0.04</v>
      </c>
      <c r="CJ26" s="200">
        <f>CJ25+CH26+CI26</f>
        <v>81516.700000000012</v>
      </c>
      <c r="CK26" s="200"/>
      <c r="CL26" s="200"/>
      <c r="CM26" s="200"/>
      <c r="CN26" s="200"/>
      <c r="CO26" s="200"/>
      <c r="CP26" s="200"/>
      <c r="CQ26" s="200"/>
      <c r="CR26" s="200"/>
      <c r="CS26" s="200"/>
      <c r="CT26" s="200"/>
      <c r="CU26" s="200"/>
      <c r="CV26" s="200"/>
      <c r="CW26" s="237">
        <f>J26+R26+AP26+AT26+N26+AX26+BB26+BF26+BJ26+BN26+BR26</f>
        <v>-163245.18</v>
      </c>
      <c r="CX26" s="237">
        <f t="shared" ref="CX26:CY28" si="16">K26+S26+AQ26+AU26+O26+AY26+BC26+BG26+BK26+BO26+BS26+BW26+CA26+CE26+CI26</f>
        <v>-263332.91999999987</v>
      </c>
      <c r="CY26" s="237">
        <f t="shared" si="16"/>
        <v>6168678.9500000011</v>
      </c>
    </row>
    <row r="27" spans="1:103">
      <c r="A27" s="187">
        <v>44895</v>
      </c>
      <c r="D27" s="212"/>
      <c r="E27" s="242">
        <f t="shared" si="15"/>
        <v>4707575.2600000007</v>
      </c>
      <c r="F27" s="120" t="s">
        <v>546</v>
      </c>
      <c r="H27" s="182">
        <v>44469</v>
      </c>
      <c r="I27" s="200">
        <v>-5.62E-2</v>
      </c>
      <c r="J27" s="200">
        <v>-135.47</v>
      </c>
      <c r="K27" s="200">
        <v>-48224.34</v>
      </c>
      <c r="L27" s="200">
        <f t="shared" si="2"/>
        <v>3014385.34</v>
      </c>
      <c r="M27" s="200">
        <v>-7.9899999999999999E-2</v>
      </c>
      <c r="N27" s="200">
        <v>-68.84</v>
      </c>
      <c r="O27" s="200">
        <v>-27857.759999999998</v>
      </c>
      <c r="P27" s="200">
        <f t="shared" si="3"/>
        <v>1528473.8600000003</v>
      </c>
      <c r="Q27" s="200">
        <v>-2.5000000000000001E-3</v>
      </c>
      <c r="R27" s="200">
        <v>-2.4500000000000002</v>
      </c>
      <c r="S27" s="200">
        <v>-991.3</v>
      </c>
      <c r="T27" s="200">
        <f t="shared" si="4"/>
        <v>54377.86</v>
      </c>
      <c r="U27" s="200"/>
      <c r="V27" s="200"/>
      <c r="W27" s="200"/>
      <c r="X27" s="200"/>
      <c r="Y27" s="200"/>
      <c r="Z27" s="200"/>
      <c r="AA27" s="200"/>
      <c r="AB27" s="200"/>
      <c r="AC27" s="200"/>
      <c r="AD27" s="200"/>
      <c r="AE27" s="200"/>
      <c r="AF27" s="200"/>
      <c r="AG27" s="200"/>
      <c r="AH27" s="200"/>
      <c r="AI27" s="200"/>
      <c r="AJ27" s="200"/>
      <c r="AK27" s="200"/>
      <c r="AL27" s="200"/>
      <c r="AM27" s="200">
        <v>-177.72</v>
      </c>
      <c r="AN27" s="200">
        <f t="shared" si="14"/>
        <v>101388.20000000001</v>
      </c>
      <c r="AO27" s="200"/>
      <c r="AP27" s="200"/>
      <c r="AQ27" s="200"/>
      <c r="AR27" s="200">
        <f t="shared" si="5"/>
        <v>0</v>
      </c>
      <c r="AU27" s="200">
        <v>-428.18</v>
      </c>
      <c r="AV27" s="200">
        <f t="shared" si="6"/>
        <v>245121.7</v>
      </c>
      <c r="AY27" s="200">
        <v>-544.01</v>
      </c>
      <c r="AZ27" s="200">
        <f t="shared" si="7"/>
        <v>315190.39999999985</v>
      </c>
      <c r="BC27" s="200">
        <v>-204.69</v>
      </c>
      <c r="BD27" s="200">
        <f t="shared" si="8"/>
        <v>117492.17</v>
      </c>
      <c r="BG27" s="200">
        <v>-244.21</v>
      </c>
      <c r="BH27" s="200">
        <f t="shared" si="9"/>
        <v>141013.40000000002</v>
      </c>
      <c r="BK27" s="200">
        <v>-129.65</v>
      </c>
      <c r="BL27" s="200">
        <f t="shared" si="10"/>
        <v>73567.37000000001</v>
      </c>
      <c r="BO27" s="200">
        <v>-84.58</v>
      </c>
      <c r="BP27" s="200">
        <f t="shared" si="11"/>
        <v>47415.86</v>
      </c>
      <c r="BS27" s="200">
        <f>-86.07-98.51</f>
        <v>-184.57999999999998</v>
      </c>
      <c r="BT27" s="200">
        <f t="shared" si="12"/>
        <v>103542.37000000001</v>
      </c>
      <c r="BU27" s="200"/>
      <c r="BV27" s="200"/>
      <c r="BW27" s="200">
        <v>-470.67</v>
      </c>
      <c r="BX27" s="200">
        <f>BX26+BV27+BW27</f>
        <v>274300.75000000006</v>
      </c>
      <c r="BY27" s="200"/>
      <c r="BZ27" s="200"/>
      <c r="CA27" s="200">
        <v>-21.02</v>
      </c>
      <c r="CB27" s="200">
        <f>CB26+BZ27+CA27</f>
        <v>10961.019999999999</v>
      </c>
      <c r="CC27" s="200"/>
      <c r="CD27" s="200"/>
      <c r="CE27" s="200">
        <v>-147.93</v>
      </c>
      <c r="CF27" s="200">
        <f>CF26+CD27+CE27</f>
        <v>81580.470000000016</v>
      </c>
      <c r="CG27" s="200">
        <v>2.0670000000000001E-2</v>
      </c>
      <c r="CH27" s="200">
        <v>206.76</v>
      </c>
      <c r="CI27" s="200">
        <v>-147.97999999999999</v>
      </c>
      <c r="CJ27" s="200">
        <f>CJ26+CH27+CI27</f>
        <v>81575.48000000001</v>
      </c>
      <c r="CK27" s="200"/>
      <c r="CL27" s="200"/>
      <c r="CM27" s="200"/>
      <c r="CN27" s="200"/>
      <c r="CO27" s="200"/>
      <c r="CP27" s="200"/>
      <c r="CQ27" s="200"/>
      <c r="CR27" s="200"/>
      <c r="CS27" s="200"/>
      <c r="CT27" s="200"/>
      <c r="CU27" s="200"/>
      <c r="CV27" s="200"/>
      <c r="CW27" s="237">
        <f>J27+R27+AP27+AT27+N27+AX27+BB27+BF27+BJ27+BN27+BR27</f>
        <v>-206.76</v>
      </c>
      <c r="CX27" s="237">
        <f t="shared" si="16"/>
        <v>-79680.899999999994</v>
      </c>
      <c r="CY27" s="237">
        <f t="shared" si="16"/>
        <v>6088998.0499999998</v>
      </c>
    </row>
    <row r="28" spans="1:103">
      <c r="A28" s="187">
        <v>44926</v>
      </c>
      <c r="D28" s="212"/>
      <c r="E28" s="242">
        <f>CY42+0.01</f>
        <v>4824435.6200000029</v>
      </c>
      <c r="F28" s="120" t="s">
        <v>546</v>
      </c>
      <c r="H28" s="182">
        <v>44500</v>
      </c>
      <c r="I28" s="200"/>
      <c r="J28" s="200"/>
      <c r="K28" s="200">
        <v>-125864.34</v>
      </c>
      <c r="L28" s="200">
        <f t="shared" si="2"/>
        <v>2888521</v>
      </c>
      <c r="M28" s="200"/>
      <c r="N28" s="200"/>
      <c r="O28" s="200">
        <v>-63809.11</v>
      </c>
      <c r="P28" s="200">
        <f t="shared" si="3"/>
        <v>1464664.7500000002</v>
      </c>
      <c r="Q28" s="200"/>
      <c r="R28" s="200"/>
      <c r="S28" s="200">
        <v>-2270.3200000000002</v>
      </c>
      <c r="T28" s="200">
        <f t="shared" si="4"/>
        <v>52107.54</v>
      </c>
      <c r="U28" s="200"/>
      <c r="V28" s="200"/>
      <c r="W28" s="200"/>
      <c r="X28" s="200"/>
      <c r="Y28" s="200"/>
      <c r="Z28" s="200"/>
      <c r="AA28" s="200"/>
      <c r="AB28" s="200"/>
      <c r="AC28" s="200"/>
      <c r="AD28" s="200"/>
      <c r="AE28" s="200"/>
      <c r="AF28" s="200"/>
      <c r="AG28" s="200"/>
      <c r="AH28" s="200"/>
      <c r="AI28" s="200"/>
      <c r="AJ28" s="200"/>
      <c r="AK28" s="200"/>
      <c r="AL28" s="200"/>
      <c r="AM28" s="200">
        <v>-176.68</v>
      </c>
      <c r="AN28" s="200">
        <f t="shared" si="14"/>
        <v>101211.52000000002</v>
      </c>
      <c r="AO28" s="200"/>
      <c r="AP28" s="200"/>
      <c r="AQ28" s="200"/>
      <c r="AR28" s="200">
        <f t="shared" si="5"/>
        <v>0</v>
      </c>
      <c r="AU28" s="200">
        <v>-428.19</v>
      </c>
      <c r="AV28" s="200">
        <f t="shared" si="6"/>
        <v>244693.51</v>
      </c>
      <c r="AY28" s="200">
        <v>-537.61</v>
      </c>
      <c r="AZ28" s="200">
        <f t="shared" si="7"/>
        <v>314652.78999999986</v>
      </c>
      <c r="BC28" s="200">
        <v>-203.52</v>
      </c>
      <c r="BD28" s="200">
        <f t="shared" si="8"/>
        <v>117288.65</v>
      </c>
      <c r="BG28" s="200">
        <v>-244.22</v>
      </c>
      <c r="BH28" s="200">
        <f t="shared" si="9"/>
        <v>140769.18000000002</v>
      </c>
      <c r="BK28" s="200">
        <v>-128.9</v>
      </c>
      <c r="BL28" s="200">
        <f t="shared" si="10"/>
        <v>73438.470000000016</v>
      </c>
      <c r="BO28" s="200">
        <v>-84.57</v>
      </c>
      <c r="BP28" s="200">
        <f t="shared" si="11"/>
        <v>47331.29</v>
      </c>
      <c r="BS28" s="200">
        <f>-86.07-97.95</f>
        <v>-184.01999999999998</v>
      </c>
      <c r="BT28" s="200">
        <f t="shared" si="12"/>
        <v>103358.35</v>
      </c>
      <c r="BU28" s="200"/>
      <c r="BV28" s="200"/>
      <c r="BW28" s="200">
        <v>-470.68</v>
      </c>
      <c r="BX28" s="200">
        <f>BX27+BV28+BW28</f>
        <v>273830.07000000007</v>
      </c>
      <c r="BY28" s="200"/>
      <c r="BZ28" s="200"/>
      <c r="CA28" s="200">
        <v>-20.92</v>
      </c>
      <c r="CB28" s="200">
        <f>CB27+BZ28+CA28</f>
        <v>10940.099999999999</v>
      </c>
      <c r="CC28" s="200"/>
      <c r="CD28" s="200"/>
      <c r="CE28" s="200">
        <v>-141.38999999999999</v>
      </c>
      <c r="CF28" s="200">
        <f>CF27+CD28+CE28</f>
        <v>81439.080000000016</v>
      </c>
      <c r="CG28" s="200"/>
      <c r="CH28" s="200"/>
      <c r="CI28" s="200">
        <v>-141.38</v>
      </c>
      <c r="CJ28" s="200">
        <f>CJ27+CH28+CI28</f>
        <v>81434.100000000006</v>
      </c>
      <c r="CK28" s="200"/>
      <c r="CL28" s="200"/>
      <c r="CM28" s="200"/>
      <c r="CN28" s="200"/>
      <c r="CO28" s="200"/>
      <c r="CP28" s="200"/>
      <c r="CQ28" s="200"/>
      <c r="CR28" s="200"/>
      <c r="CS28" s="200"/>
      <c r="CT28" s="200"/>
      <c r="CU28" s="200"/>
      <c r="CV28" s="200"/>
      <c r="CW28" s="237">
        <f>J28+R28+AP28+AT28+N28+AX28+BB28+BF28+BJ28+BN28+BR28</f>
        <v>0</v>
      </c>
      <c r="CX28" s="237">
        <f t="shared" si="16"/>
        <v>-194529.17</v>
      </c>
      <c r="CY28" s="237">
        <f t="shared" si="16"/>
        <v>5894468.879999999</v>
      </c>
    </row>
    <row r="29" spans="1:103">
      <c r="A29" s="187">
        <v>44943</v>
      </c>
      <c r="B29" s="132">
        <v>1000</v>
      </c>
      <c r="C29" s="132">
        <f>D29/B29</f>
        <v>1755.88</v>
      </c>
      <c r="D29" s="406">
        <v>1755880</v>
      </c>
      <c r="E29" s="242"/>
      <c r="F29" s="120" t="s">
        <v>558</v>
      </c>
      <c r="H29" s="182">
        <v>44530</v>
      </c>
      <c r="I29" s="200">
        <v>-8.3820999999999994</v>
      </c>
      <c r="J29" s="200">
        <v>-17771.88</v>
      </c>
      <c r="K29" s="200">
        <v>-192185.46</v>
      </c>
      <c r="L29" s="200">
        <f t="shared" si="2"/>
        <v>2678563.66</v>
      </c>
      <c r="M29" s="200">
        <v>-11.907500000000001</v>
      </c>
      <c r="N29" s="200">
        <v>-9011.48</v>
      </c>
      <c r="O29" s="200">
        <v>-97448</v>
      </c>
      <c r="P29" s="200">
        <f t="shared" si="3"/>
        <v>1358205.2700000003</v>
      </c>
      <c r="Q29" s="200">
        <v>-0.38740000000000002</v>
      </c>
      <c r="R29" s="200">
        <v>-320.60000000000002</v>
      </c>
      <c r="S29" s="200">
        <v>-3466.8</v>
      </c>
      <c r="T29" s="200">
        <f t="shared" si="4"/>
        <v>48320.14</v>
      </c>
      <c r="U29" s="200"/>
      <c r="V29" s="200"/>
      <c r="W29" s="200"/>
      <c r="X29" s="200"/>
      <c r="Y29" s="200"/>
      <c r="Z29" s="200"/>
      <c r="AA29" s="200"/>
      <c r="AB29" s="200"/>
      <c r="AC29" s="200"/>
      <c r="AD29" s="200"/>
      <c r="AE29" s="200"/>
      <c r="AF29" s="200"/>
      <c r="AG29" s="200"/>
      <c r="AH29" s="200"/>
      <c r="AI29" s="200"/>
      <c r="AJ29" s="200"/>
      <c r="AK29" s="200"/>
      <c r="AL29" s="200"/>
      <c r="AM29" s="200">
        <v>-176.68</v>
      </c>
      <c r="AN29" s="200">
        <f t="shared" si="14"/>
        <v>101034.84000000003</v>
      </c>
      <c r="AO29" s="200"/>
      <c r="AP29" s="200"/>
      <c r="AQ29" s="200"/>
      <c r="AR29" s="200">
        <f t="shared" si="5"/>
        <v>0</v>
      </c>
      <c r="AU29" s="200">
        <v>-475.49</v>
      </c>
      <c r="AV29" s="200">
        <f t="shared" si="6"/>
        <v>244218.02000000002</v>
      </c>
      <c r="AY29" s="200">
        <v>-540.80999999999995</v>
      </c>
      <c r="AZ29" s="200">
        <f t="shared" si="7"/>
        <v>314111.97999999986</v>
      </c>
      <c r="BC29" s="200">
        <v>-203.51</v>
      </c>
      <c r="BD29" s="200">
        <f t="shared" si="8"/>
        <v>117085.14</v>
      </c>
      <c r="BG29" s="200">
        <v>-288.23</v>
      </c>
      <c r="BH29" s="200">
        <f t="shared" si="9"/>
        <v>140480.95000000001</v>
      </c>
      <c r="BK29" s="200">
        <v>-144.46</v>
      </c>
      <c r="BL29" s="200">
        <f t="shared" si="10"/>
        <v>73294.010000000009</v>
      </c>
      <c r="BO29" s="200">
        <v>-243.22</v>
      </c>
      <c r="BP29" s="200">
        <f t="shared" si="11"/>
        <v>47088.07</v>
      </c>
      <c r="BS29" s="200">
        <f>-101.14-97.4</f>
        <v>-198.54000000000002</v>
      </c>
      <c r="BT29" s="200">
        <f t="shared" si="12"/>
        <v>103159.81000000001</v>
      </c>
      <c r="BU29" s="200"/>
      <c r="BV29" s="200"/>
      <c r="BW29" s="200">
        <v>-594.53</v>
      </c>
      <c r="BX29" s="200">
        <f>BX28+BV29+BW29</f>
        <v>273235.54000000004</v>
      </c>
      <c r="BY29" s="200"/>
      <c r="BZ29" s="200"/>
      <c r="CA29" s="200">
        <v>-20.92</v>
      </c>
      <c r="CB29" s="200">
        <f>CB28+BZ29+CA29</f>
        <v>10919.179999999998</v>
      </c>
      <c r="CC29" s="200"/>
      <c r="CD29" s="200"/>
      <c r="CE29" s="200">
        <v>-157.72999999999999</v>
      </c>
      <c r="CF29" s="200">
        <f>CF28+CD29+CE29</f>
        <v>81281.35000000002</v>
      </c>
      <c r="CG29" s="200"/>
      <c r="CH29" s="200"/>
      <c r="CI29" s="200">
        <v>-141.38</v>
      </c>
      <c r="CJ29" s="200">
        <f>CJ28+CH29+CI29</f>
        <v>81292.72</v>
      </c>
      <c r="CK29" s="200">
        <v>27.103999999999999</v>
      </c>
      <c r="CL29" s="200">
        <v>27103.96</v>
      </c>
      <c r="CM29" s="200">
        <v>0.04</v>
      </c>
      <c r="CN29" s="200">
        <f>CN28+CL29+CM29</f>
        <v>27104</v>
      </c>
      <c r="CO29" s="200"/>
      <c r="CP29" s="200"/>
      <c r="CQ29" s="200"/>
      <c r="CR29" s="200"/>
      <c r="CS29" s="200"/>
      <c r="CT29" s="200"/>
      <c r="CU29" s="200"/>
      <c r="CV29" s="200"/>
      <c r="CW29" s="237">
        <f>J29+R29+AP29+AT29+N29+AX29+BB29+BF29+BJ29+BN29+BR29+BV29+BZ29+CD29+CH29+CL29+CP29+CT29</f>
        <v>0</v>
      </c>
      <c r="CX29" s="237">
        <f>K29+S29+AQ29+AU29+O29+AY29+BC29+BG29+BK29+BO29+BS29+BW29+CA29+CE29+CI29+CM29</f>
        <v>-296109.03999999998</v>
      </c>
      <c r="CY29" s="237">
        <f>L29+T29+AR29+AV29+P29+AZ29+BD29+BH29+BL29+BP29+BT29+BX29+CB29+CF29+CJ29+CN29</f>
        <v>5598359.8399999989</v>
      </c>
    </row>
    <row r="30" spans="1:103">
      <c r="A30" s="187">
        <v>44957</v>
      </c>
      <c r="E30" s="242">
        <v>3270164.79</v>
      </c>
      <c r="F30" s="120" t="s">
        <v>546</v>
      </c>
      <c r="H30" s="182">
        <v>44561</v>
      </c>
      <c r="I30" s="200"/>
      <c r="J30" s="200"/>
      <c r="K30" s="200">
        <v>-124921.05</v>
      </c>
      <c r="L30" s="200">
        <f t="shared" si="2"/>
        <v>2553642.6100000003</v>
      </c>
      <c r="M30" s="200"/>
      <c r="N30" s="200"/>
      <c r="O30" s="200">
        <v>-63352.639999999999</v>
      </c>
      <c r="P30" s="200">
        <f t="shared" si="3"/>
        <v>1294852.6300000004</v>
      </c>
      <c r="Q30" s="200"/>
      <c r="R30" s="200"/>
      <c r="S30" s="200">
        <v>-2253.61</v>
      </c>
      <c r="T30" s="200">
        <f t="shared" si="4"/>
        <v>46066.53</v>
      </c>
      <c r="U30" s="200">
        <v>75.025300000000001</v>
      </c>
      <c r="V30" s="200">
        <v>75025.3</v>
      </c>
      <c r="W30" s="200">
        <v>0</v>
      </c>
      <c r="X30" s="200">
        <f t="shared" ref="X30:X35" si="17">X29+V30+W30</f>
        <v>75025.3</v>
      </c>
      <c r="Y30" s="200"/>
      <c r="Z30" s="200"/>
      <c r="AA30" s="200"/>
      <c r="AB30" s="200"/>
      <c r="AC30" s="200"/>
      <c r="AD30" s="200"/>
      <c r="AE30" s="200"/>
      <c r="AF30" s="200"/>
      <c r="AG30" s="200"/>
      <c r="AH30" s="200"/>
      <c r="AI30" s="200"/>
      <c r="AJ30" s="200"/>
      <c r="AK30" s="200"/>
      <c r="AL30" s="200"/>
      <c r="AM30" s="200">
        <v>-175.65</v>
      </c>
      <c r="AN30" s="200">
        <f t="shared" si="14"/>
        <v>100859.19000000003</v>
      </c>
      <c r="AO30" s="200"/>
      <c r="AP30" s="200"/>
      <c r="AQ30" s="200"/>
      <c r="AR30" s="200">
        <f t="shared" si="5"/>
        <v>0</v>
      </c>
      <c r="AU30" s="200">
        <v>-428.18</v>
      </c>
      <c r="AV30" s="200">
        <f t="shared" si="6"/>
        <v>243789.84000000003</v>
      </c>
      <c r="AY30" s="200">
        <v>-540.80999999999995</v>
      </c>
      <c r="AZ30" s="200">
        <f t="shared" si="7"/>
        <v>313571.16999999987</v>
      </c>
      <c r="BC30" s="200">
        <v>-203.51</v>
      </c>
      <c r="BD30" s="200">
        <f t="shared" si="8"/>
        <v>116881.63</v>
      </c>
      <c r="BG30" s="200">
        <v>-244.22</v>
      </c>
      <c r="BH30" s="200">
        <f t="shared" si="9"/>
        <v>140236.73000000001</v>
      </c>
      <c r="BI30" s="200">
        <v>-74.081500000000005</v>
      </c>
      <c r="BJ30" s="200">
        <v>-75025.3</v>
      </c>
      <c r="BK30" s="200">
        <v>1731.29</v>
      </c>
      <c r="BL30" s="200">
        <f t="shared" si="10"/>
        <v>6.3664629124104977E-12</v>
      </c>
      <c r="BO30" s="200">
        <v>-84.1</v>
      </c>
      <c r="BP30" s="200">
        <f t="shared" si="11"/>
        <v>47003.97</v>
      </c>
      <c r="BS30" s="200">
        <f>-86.55-97.95</f>
        <v>-184.5</v>
      </c>
      <c r="BT30" s="200">
        <f t="shared" si="12"/>
        <v>102975.31000000001</v>
      </c>
      <c r="BW30" s="200">
        <v>-467.92</v>
      </c>
      <c r="BX30" s="200">
        <f t="shared" ref="BX30:BX35" si="18">BX29+BV30+BW30</f>
        <v>272767.62000000005</v>
      </c>
      <c r="CA30" s="200">
        <v>-20.92</v>
      </c>
      <c r="CB30" s="200">
        <f t="shared" ref="CB30:CB35" si="19">CB29+BZ30+CA30</f>
        <v>10898.259999999998</v>
      </c>
      <c r="CE30" s="200">
        <v>-141.38999999999999</v>
      </c>
      <c r="CF30" s="200">
        <f t="shared" ref="CF30:CF35" si="20">CF29+CD30+CE30</f>
        <v>81139.960000000021</v>
      </c>
      <c r="CI30" s="200">
        <v>-140.57</v>
      </c>
      <c r="CJ30" s="200">
        <f t="shared" ref="CJ30:CJ35" si="21">CJ29+CH30+CI30</f>
        <v>81152.149999999994</v>
      </c>
      <c r="CK30" s="200"/>
      <c r="CL30" s="200"/>
      <c r="CM30" s="200">
        <v>-55.29</v>
      </c>
      <c r="CN30" s="200">
        <f t="shared" ref="CN30:CN35" si="22">CN29+CL30+CM30</f>
        <v>27048.71</v>
      </c>
      <c r="CO30" s="200"/>
      <c r="CP30" s="200"/>
      <c r="CQ30" s="200"/>
      <c r="CR30" s="200"/>
      <c r="CS30" s="200"/>
      <c r="CT30" s="200"/>
      <c r="CU30" s="200"/>
      <c r="CV30" s="200"/>
      <c r="CW30" s="237">
        <f>J30+R30+AP30+AT30+N30+AX30+BB30+BF30+BJ30+BN30+BR30+BV30+BZ30+CD30+CH30+CL30+CP30+CT30</f>
        <v>-75025.3</v>
      </c>
      <c r="CX30" s="237">
        <f t="shared" ref="CX30:CY32" si="23">K30+S30+AQ30+AU30+O30+AY30+BC30+BG30+BK30+BO30+BS30+BW30+CA30+CE30+CI30+CM30+W30+CQ30+CU30</f>
        <v>-191307.42000000004</v>
      </c>
      <c r="CY30" s="237">
        <f t="shared" si="23"/>
        <v>5407052.4199999999</v>
      </c>
    </row>
    <row r="31" spans="1:103">
      <c r="A31" s="187">
        <v>44985</v>
      </c>
      <c r="E31" s="242">
        <v>3129594.05</v>
      </c>
      <c r="F31" s="120" t="s">
        <v>546</v>
      </c>
      <c r="H31" s="182">
        <v>44592</v>
      </c>
      <c r="I31" s="200">
        <v>-9.7481000000000009</v>
      </c>
      <c r="J31" s="200">
        <v>-18389.080000000002</v>
      </c>
      <c r="K31" s="200">
        <v>-170439.66</v>
      </c>
      <c r="L31" s="200">
        <f t="shared" si="2"/>
        <v>2364813.87</v>
      </c>
      <c r="M31" s="200">
        <v>-13.847899999999999</v>
      </c>
      <c r="N31" s="200">
        <v>-9324.39</v>
      </c>
      <c r="O31" s="200">
        <v>-86414.39</v>
      </c>
      <c r="P31" s="200">
        <f t="shared" si="3"/>
        <v>1199113.8500000006</v>
      </c>
      <c r="Q31" s="200">
        <v>-0.45050000000000001</v>
      </c>
      <c r="R31" s="200">
        <v>-331.73</v>
      </c>
      <c r="S31" s="200">
        <v>-3074.75</v>
      </c>
      <c r="T31" s="200">
        <f t="shared" si="4"/>
        <v>42660.049999999996</v>
      </c>
      <c r="U31" s="200">
        <v>-0.5786</v>
      </c>
      <c r="V31" s="200">
        <v>-540.27</v>
      </c>
      <c r="W31" s="200">
        <v>-5006.8999999999996</v>
      </c>
      <c r="X31" s="200">
        <f t="shared" si="17"/>
        <v>69478.13</v>
      </c>
      <c r="Y31" s="200"/>
      <c r="Z31" s="200"/>
      <c r="AA31" s="200"/>
      <c r="AB31" s="200"/>
      <c r="AC31" s="200"/>
      <c r="AD31" s="200"/>
      <c r="AE31" s="200"/>
      <c r="AF31" s="200"/>
      <c r="AG31" s="200"/>
      <c r="AH31" s="200"/>
      <c r="AI31" s="200"/>
      <c r="AJ31" s="200"/>
      <c r="AK31" s="200"/>
      <c r="AL31" s="200"/>
      <c r="AM31" s="200">
        <v>-176.68</v>
      </c>
      <c r="AN31" s="200">
        <f t="shared" si="14"/>
        <v>100682.51000000004</v>
      </c>
      <c r="AO31" s="200"/>
      <c r="AP31" s="200"/>
      <c r="AQ31" s="200"/>
      <c r="AR31" s="200">
        <f t="shared" si="5"/>
        <v>0</v>
      </c>
      <c r="AU31" s="200">
        <v>-430.68</v>
      </c>
      <c r="AV31" s="200">
        <f t="shared" si="6"/>
        <v>243359.16000000003</v>
      </c>
      <c r="AY31" s="200">
        <v>-537.61</v>
      </c>
      <c r="AZ31" s="200">
        <f t="shared" si="7"/>
        <v>313033.55999999988</v>
      </c>
      <c r="BC31" s="200">
        <v>-204.7</v>
      </c>
      <c r="BD31" s="200">
        <f t="shared" si="8"/>
        <v>116676.93000000001</v>
      </c>
      <c r="BG31" s="200">
        <v>-244.21</v>
      </c>
      <c r="BH31" s="200">
        <f t="shared" si="9"/>
        <v>139992.52000000002</v>
      </c>
      <c r="BK31" s="200"/>
      <c r="BL31" s="200">
        <f t="shared" si="10"/>
        <v>6.3664629124104977E-12</v>
      </c>
      <c r="BO31" s="200">
        <v>-86.01</v>
      </c>
      <c r="BP31" s="200">
        <f t="shared" si="11"/>
        <v>46917.96</v>
      </c>
      <c r="BS31" s="200">
        <f>-87.53-97.4</f>
        <v>-184.93</v>
      </c>
      <c r="BT31" s="200">
        <f t="shared" si="12"/>
        <v>102790.38000000002</v>
      </c>
      <c r="BW31" s="200">
        <v>-467.92</v>
      </c>
      <c r="BX31" s="200">
        <f t="shared" si="18"/>
        <v>272299.70000000007</v>
      </c>
      <c r="CA31" s="200">
        <v>-20.81</v>
      </c>
      <c r="CB31" s="200">
        <f t="shared" si="19"/>
        <v>10877.449999999999</v>
      </c>
      <c r="CE31" s="200">
        <v>-142.21</v>
      </c>
      <c r="CF31" s="200">
        <f t="shared" si="20"/>
        <v>80997.750000000015</v>
      </c>
      <c r="CI31" s="200">
        <v>-140.56</v>
      </c>
      <c r="CJ31" s="200">
        <f t="shared" si="21"/>
        <v>81011.59</v>
      </c>
      <c r="CK31" s="200"/>
      <c r="CL31" s="200"/>
      <c r="CM31" s="200">
        <v>-48.25</v>
      </c>
      <c r="CN31" s="200">
        <f t="shared" si="22"/>
        <v>27000.46</v>
      </c>
      <c r="CO31" s="200">
        <v>20.5063</v>
      </c>
      <c r="CP31" s="200">
        <v>20506.240000000002</v>
      </c>
      <c r="CQ31" s="200">
        <v>0.06</v>
      </c>
      <c r="CR31" s="200">
        <f t="shared" ref="CR31:CR35" si="24">CR30+CP31+CQ31</f>
        <v>20506.300000000003</v>
      </c>
      <c r="CS31" s="200">
        <v>8.0792999999999999</v>
      </c>
      <c r="CT31" s="200">
        <v>8079.23</v>
      </c>
      <c r="CU31" s="200">
        <v>7.0000000000000007E-2</v>
      </c>
      <c r="CV31" s="200">
        <f t="shared" ref="CV31:CV35" si="25">CV30+CT31+CU31</f>
        <v>8079.2999999999993</v>
      </c>
      <c r="CW31" s="237">
        <f>J31+R31+AP31+AT31+N31+AX31+BB31+BF31+BJ31+BN31+BR31+BV31+BZ31+CD31+CH31+CL31+CP31+CT31</f>
        <v>540.27000000000044</v>
      </c>
      <c r="CX31" s="237">
        <f t="shared" si="23"/>
        <v>-267443.46000000002</v>
      </c>
      <c r="CY31" s="237">
        <f t="shared" si="23"/>
        <v>5139608.9600000009</v>
      </c>
    </row>
    <row r="32" spans="1:103">
      <c r="A32" s="187">
        <v>45016</v>
      </c>
      <c r="E32" s="242">
        <v>3137611.81</v>
      </c>
      <c r="F32" s="120" t="s">
        <v>546</v>
      </c>
      <c r="H32" s="182">
        <v>44620</v>
      </c>
      <c r="I32" s="200"/>
      <c r="K32" s="200">
        <v>-83014.2</v>
      </c>
      <c r="L32" s="200">
        <f t="shared" si="2"/>
        <v>2281799.67</v>
      </c>
      <c r="M32" s="200"/>
      <c r="N32" s="200"/>
      <c r="O32" s="200">
        <v>-42099.17</v>
      </c>
      <c r="P32" s="200">
        <f t="shared" si="3"/>
        <v>1157014.6800000006</v>
      </c>
      <c r="Q32" s="200"/>
      <c r="R32" s="200"/>
      <c r="S32" s="200">
        <v>-1497.2</v>
      </c>
      <c r="T32" s="200">
        <f t="shared" si="4"/>
        <v>41162.85</v>
      </c>
      <c r="U32" s="200"/>
      <c r="V32" s="200"/>
      <c r="W32" s="200">
        <v>-2438.88</v>
      </c>
      <c r="X32" s="200">
        <f t="shared" si="17"/>
        <v>67039.25</v>
      </c>
      <c r="Y32" s="200"/>
      <c r="Z32" s="200"/>
      <c r="AA32" s="200"/>
      <c r="AB32" s="200"/>
      <c r="AC32" s="200"/>
      <c r="AD32" s="200"/>
      <c r="AE32" s="200"/>
      <c r="AF32" s="200"/>
      <c r="AG32" s="200"/>
      <c r="AH32" s="200"/>
      <c r="AI32" s="200"/>
      <c r="AJ32" s="200"/>
      <c r="AK32" s="200"/>
      <c r="AL32" s="200"/>
      <c r="AM32" s="200">
        <v>-219.04</v>
      </c>
      <c r="AN32" s="200">
        <f t="shared" si="14"/>
        <v>100463.47000000004</v>
      </c>
      <c r="AO32" s="200"/>
      <c r="AP32" s="200"/>
      <c r="AQ32" s="200"/>
      <c r="AR32" s="200">
        <f t="shared" si="5"/>
        <v>0</v>
      </c>
      <c r="AU32" s="200">
        <v>-490.42</v>
      </c>
      <c r="AV32" s="200">
        <f t="shared" si="6"/>
        <v>242868.74000000002</v>
      </c>
      <c r="AY32" s="200">
        <v>-537.61</v>
      </c>
      <c r="AZ32" s="200">
        <f t="shared" si="7"/>
        <v>312495.9499999999</v>
      </c>
      <c r="BC32" s="200">
        <v>-227.18</v>
      </c>
      <c r="BD32" s="200">
        <f t="shared" si="8"/>
        <v>116449.75000000001</v>
      </c>
      <c r="BG32" s="200">
        <v>-244.22</v>
      </c>
      <c r="BH32" s="200">
        <f t="shared" si="9"/>
        <v>139748.30000000002</v>
      </c>
      <c r="BK32" s="200"/>
      <c r="BL32" s="200">
        <f t="shared" si="10"/>
        <v>6.3664629124104977E-12</v>
      </c>
      <c r="BO32" s="200">
        <v>-85.54</v>
      </c>
      <c r="BP32" s="200">
        <f t="shared" si="11"/>
        <v>46832.42</v>
      </c>
      <c r="BS32" s="200">
        <f>-108.92-119.1</f>
        <v>-228.01999999999998</v>
      </c>
      <c r="BT32" s="200">
        <f t="shared" si="12"/>
        <v>102562.36000000002</v>
      </c>
      <c r="BW32" s="200">
        <v>-467.92</v>
      </c>
      <c r="BX32" s="200">
        <f t="shared" si="18"/>
        <v>271831.78000000009</v>
      </c>
      <c r="CA32" s="200">
        <v>-20.81</v>
      </c>
      <c r="CB32" s="200">
        <f t="shared" si="19"/>
        <v>10856.64</v>
      </c>
      <c r="CE32" s="200">
        <v>-141.38999999999999</v>
      </c>
      <c r="CF32" s="200">
        <f t="shared" si="20"/>
        <v>80856.360000000015</v>
      </c>
      <c r="CI32" s="200">
        <v>-145.47</v>
      </c>
      <c r="CJ32" s="200">
        <f t="shared" si="21"/>
        <v>80866.12</v>
      </c>
      <c r="CK32" s="200"/>
      <c r="CL32" s="200"/>
      <c r="CM32" s="200">
        <v>-79.95</v>
      </c>
      <c r="CN32" s="200">
        <f t="shared" si="22"/>
        <v>26920.51</v>
      </c>
      <c r="CO32" s="200"/>
      <c r="CP32" s="200"/>
      <c r="CQ32" s="200">
        <v>-43.68</v>
      </c>
      <c r="CR32" s="200">
        <f t="shared" si="24"/>
        <v>20462.620000000003</v>
      </c>
      <c r="CS32" s="200"/>
      <c r="CT32" s="200"/>
      <c r="CU32" s="200">
        <v>-22.46</v>
      </c>
      <c r="CV32" s="200">
        <f t="shared" si="25"/>
        <v>8056.8399999999992</v>
      </c>
      <c r="CW32" s="237">
        <f>J32+R32+AP32+AT32+N32+AX32+BB32+BF32+BJ32+BN32+BR32+BV32+BZ32+CD32+CH32+CL32+CP32+CT32</f>
        <v>0</v>
      </c>
      <c r="CX32" s="237">
        <f t="shared" si="23"/>
        <v>-131784.11999999997</v>
      </c>
      <c r="CY32" s="237">
        <f t="shared" si="23"/>
        <v>5007824.8400000008</v>
      </c>
    </row>
    <row r="33" spans="1:103">
      <c r="A33" s="187">
        <v>45046</v>
      </c>
      <c r="E33" s="242">
        <v>3054438.32</v>
      </c>
      <c r="F33" s="120" t="s">
        <v>546</v>
      </c>
      <c r="H33" s="182">
        <v>44651</v>
      </c>
      <c r="K33" s="200">
        <v>-251800.52</v>
      </c>
      <c r="L33" s="200">
        <f t="shared" si="2"/>
        <v>2029999.15</v>
      </c>
      <c r="M33" s="200"/>
      <c r="N33" s="200"/>
      <c r="O33" s="200">
        <v>-127686.55</v>
      </c>
      <c r="P33" s="200">
        <f t="shared" si="3"/>
        <v>1029328.1300000006</v>
      </c>
      <c r="Q33" s="200"/>
      <c r="R33" s="200"/>
      <c r="S33" s="200">
        <v>-4542.6099999999997</v>
      </c>
      <c r="T33" s="200">
        <f t="shared" si="4"/>
        <v>36620.239999999998</v>
      </c>
      <c r="U33" s="200"/>
      <c r="V33" s="200"/>
      <c r="W33" s="200">
        <v>-7398.51</v>
      </c>
      <c r="X33" s="200">
        <f t="shared" si="17"/>
        <v>59640.74</v>
      </c>
      <c r="Y33" s="200">
        <v>55.452500000000001</v>
      </c>
      <c r="Z33" s="200">
        <v>55452.57</v>
      </c>
      <c r="AA33" s="200">
        <v>-7.0000000000000007E-2</v>
      </c>
      <c r="AB33" s="200">
        <f>AB32+Z33+AA33</f>
        <v>55452.5</v>
      </c>
      <c r="AC33" s="200"/>
      <c r="AD33" s="200"/>
      <c r="AE33" s="200"/>
      <c r="AF33" s="200">
        <f t="shared" ref="AF33:AF55" si="26">AF32+AD33+AE33</f>
        <v>0</v>
      </c>
      <c r="AG33" s="200"/>
      <c r="AH33" s="200"/>
      <c r="AI33" s="200"/>
      <c r="AJ33" s="200">
        <f t="shared" ref="AJ33:AJ55" si="27">AJ32+AH33+AI33</f>
        <v>0</v>
      </c>
      <c r="AK33" s="200"/>
      <c r="AL33" s="200"/>
      <c r="AM33" s="200">
        <v>-308.93</v>
      </c>
      <c r="AN33" s="200">
        <f t="shared" si="14"/>
        <v>100154.54000000005</v>
      </c>
      <c r="AO33" s="200"/>
      <c r="AP33" s="200"/>
      <c r="AQ33" s="200"/>
      <c r="AR33" s="200">
        <f t="shared" si="5"/>
        <v>0</v>
      </c>
      <c r="AU33" s="200">
        <v>-428.19</v>
      </c>
      <c r="AV33" s="200">
        <f t="shared" si="6"/>
        <v>242440.55000000002</v>
      </c>
      <c r="AY33" s="200">
        <v>-534.41</v>
      </c>
      <c r="AZ33" s="200">
        <f t="shared" si="7"/>
        <v>311961.53999999992</v>
      </c>
      <c r="BC33" s="200">
        <v>-203.51</v>
      </c>
      <c r="BD33" s="200">
        <f t="shared" si="8"/>
        <v>116246.24000000002</v>
      </c>
      <c r="BG33" s="200">
        <v>-244.22</v>
      </c>
      <c r="BH33" s="200">
        <f t="shared" si="9"/>
        <v>139504.08000000002</v>
      </c>
      <c r="BK33" s="200"/>
      <c r="BL33" s="200">
        <f t="shared" si="10"/>
        <v>6.3664629124104977E-12</v>
      </c>
      <c r="BO33" s="200">
        <v>-85.53</v>
      </c>
      <c r="BP33" s="200">
        <f t="shared" si="11"/>
        <v>46746.89</v>
      </c>
      <c r="BQ33" s="200">
        <v>-55.654600000000002</v>
      </c>
      <c r="BR33" s="200">
        <v>-55452.57</v>
      </c>
      <c r="BS33" s="200">
        <f>-87.04+697.35</f>
        <v>610.31000000000006</v>
      </c>
      <c r="BT33" s="200">
        <f t="shared" si="12"/>
        <v>47720.100000000013</v>
      </c>
      <c r="BW33" s="200">
        <v>-465.17</v>
      </c>
      <c r="BX33" s="200">
        <f t="shared" si="18"/>
        <v>271366.6100000001</v>
      </c>
      <c r="CA33" s="200">
        <v>-21.58</v>
      </c>
      <c r="CB33" s="200">
        <f t="shared" si="19"/>
        <v>10835.06</v>
      </c>
      <c r="CE33" s="200">
        <v>-140.57</v>
      </c>
      <c r="CF33" s="200">
        <f t="shared" si="20"/>
        <v>80715.790000000008</v>
      </c>
      <c r="CI33" s="200">
        <v>-139.75</v>
      </c>
      <c r="CJ33" s="200">
        <f t="shared" si="21"/>
        <v>80726.37</v>
      </c>
      <c r="CK33" s="200"/>
      <c r="CL33" s="200"/>
      <c r="CM33" s="200">
        <v>-54.75</v>
      </c>
      <c r="CN33" s="200">
        <f t="shared" si="22"/>
        <v>26865.759999999998</v>
      </c>
      <c r="CO33" s="200"/>
      <c r="CP33" s="200"/>
      <c r="CQ33" s="200">
        <v>-38.76</v>
      </c>
      <c r="CR33" s="200">
        <f t="shared" si="24"/>
        <v>20423.860000000004</v>
      </c>
      <c r="CS33" s="200"/>
      <c r="CT33" s="200"/>
      <c r="CU33" s="200">
        <v>-15.84</v>
      </c>
      <c r="CV33" s="200">
        <f t="shared" si="25"/>
        <v>8040.9999999999991</v>
      </c>
      <c r="CW33" s="237">
        <f t="shared" ref="CW33:CY34" si="28">J33+R33+AP33+AT33+N33+AX33+BB33+BF33+BJ33+BN33+BR33+BV33+BZ33+CD33+CH33+CL33+CP33+CT33+V33+Z33</f>
        <v>0</v>
      </c>
      <c r="CX33" s="237">
        <f t="shared" si="28"/>
        <v>-393190.23000000004</v>
      </c>
      <c r="CY33" s="237">
        <f t="shared" si="28"/>
        <v>4614634.6100000013</v>
      </c>
    </row>
    <row r="34" spans="1:103">
      <c r="A34" s="187">
        <v>45077</v>
      </c>
      <c r="E34" s="242">
        <v>2845826.92</v>
      </c>
      <c r="F34" s="120" t="s">
        <v>546</v>
      </c>
      <c r="H34" s="182">
        <v>44681</v>
      </c>
      <c r="K34" s="200">
        <v>-44114.61</v>
      </c>
      <c r="L34" s="200">
        <f t="shared" si="2"/>
        <v>1985884.5399999998</v>
      </c>
      <c r="O34" s="200">
        <v>-22367.41</v>
      </c>
      <c r="P34" s="200">
        <f t="shared" si="3"/>
        <v>1006960.7200000006</v>
      </c>
      <c r="Q34" s="200"/>
      <c r="R34" s="200"/>
      <c r="S34" s="200">
        <v>-795.84</v>
      </c>
      <c r="T34" s="200">
        <f t="shared" si="4"/>
        <v>35824.400000000001</v>
      </c>
      <c r="U34" s="200"/>
      <c r="V34" s="200"/>
      <c r="W34" s="200">
        <v>-1295.3699999999999</v>
      </c>
      <c r="X34" s="200">
        <f t="shared" si="17"/>
        <v>58345.369999999995</v>
      </c>
      <c r="Y34" s="200"/>
      <c r="Z34" s="200"/>
      <c r="AA34" s="200">
        <v>-1204.98</v>
      </c>
      <c r="AB34" s="200">
        <f>AB33+Z34+AA34</f>
        <v>54247.519999999997</v>
      </c>
      <c r="AC34" s="200"/>
      <c r="AD34" s="200"/>
      <c r="AE34" s="200"/>
      <c r="AF34" s="200">
        <f t="shared" si="26"/>
        <v>0</v>
      </c>
      <c r="AG34" s="200"/>
      <c r="AH34" s="200"/>
      <c r="AI34" s="200"/>
      <c r="AJ34" s="200">
        <f t="shared" si="27"/>
        <v>0</v>
      </c>
      <c r="AM34" s="200">
        <v>-175.65</v>
      </c>
      <c r="AN34" s="200">
        <f t="shared" si="14"/>
        <v>99978.890000000058</v>
      </c>
      <c r="AQ34" s="200"/>
      <c r="AR34" s="200">
        <f t="shared" si="5"/>
        <v>0</v>
      </c>
      <c r="AU34" s="200">
        <v>-153031.76999999999</v>
      </c>
      <c r="AV34" s="200">
        <f t="shared" si="6"/>
        <v>89408.780000000028</v>
      </c>
      <c r="AY34" s="200">
        <v>-537.61</v>
      </c>
      <c r="AZ34" s="200">
        <f t="shared" si="7"/>
        <v>311423.92999999993</v>
      </c>
      <c r="BC34" s="200">
        <v>-204.7</v>
      </c>
      <c r="BD34" s="200">
        <f t="shared" si="8"/>
        <v>116041.54000000002</v>
      </c>
      <c r="BG34" s="200">
        <v>-242.79</v>
      </c>
      <c r="BH34" s="200">
        <f t="shared" si="9"/>
        <v>139261.29</v>
      </c>
      <c r="BL34" s="200">
        <f t="shared" si="10"/>
        <v>6.3664629124104977E-12</v>
      </c>
      <c r="BO34" s="200">
        <v>-85.53</v>
      </c>
      <c r="BP34" s="200">
        <f t="shared" si="11"/>
        <v>46661.36</v>
      </c>
      <c r="BS34" s="200">
        <v>-87.04</v>
      </c>
      <c r="BT34" s="200">
        <f t="shared" si="12"/>
        <v>47633.060000000012</v>
      </c>
      <c r="BW34" s="200">
        <v>-465.17</v>
      </c>
      <c r="BX34" s="200">
        <f t="shared" si="18"/>
        <v>270901.44000000012</v>
      </c>
      <c r="CA34" s="200">
        <v>-20.7</v>
      </c>
      <c r="CB34" s="200">
        <f t="shared" si="19"/>
        <v>10814.359999999999</v>
      </c>
      <c r="CE34" s="200">
        <v>-141.4</v>
      </c>
      <c r="CF34" s="200">
        <f t="shared" si="20"/>
        <v>80574.390000000014</v>
      </c>
      <c r="CI34" s="200">
        <v>-140.56</v>
      </c>
      <c r="CJ34" s="200">
        <f t="shared" si="21"/>
        <v>80585.81</v>
      </c>
      <c r="CM34" s="200">
        <v>-48.25</v>
      </c>
      <c r="CN34" s="200">
        <f t="shared" si="22"/>
        <v>26817.51</v>
      </c>
      <c r="CQ34" s="200">
        <v>-37.11</v>
      </c>
      <c r="CR34" s="200">
        <f t="shared" si="24"/>
        <v>20386.750000000004</v>
      </c>
      <c r="CU34" s="200">
        <v>-15.83</v>
      </c>
      <c r="CV34" s="200">
        <f t="shared" si="25"/>
        <v>8025.1699999999992</v>
      </c>
      <c r="CW34" s="237">
        <f t="shared" si="28"/>
        <v>0</v>
      </c>
      <c r="CX34" s="237">
        <f t="shared" si="28"/>
        <v>-224836.66999999998</v>
      </c>
      <c r="CY34" s="237">
        <f t="shared" si="28"/>
        <v>4389797.9399999995</v>
      </c>
    </row>
    <row r="35" spans="1:103">
      <c r="A35" s="187">
        <v>45107</v>
      </c>
      <c r="E35" s="242">
        <v>2882835.05</v>
      </c>
      <c r="F35" s="120" t="s">
        <v>546</v>
      </c>
      <c r="H35" s="182">
        <v>44712</v>
      </c>
      <c r="K35" s="200">
        <v>16936.3</v>
      </c>
      <c r="L35" s="200">
        <f t="shared" si="2"/>
        <v>2002820.8399999999</v>
      </c>
      <c r="O35" s="2">
        <v>8601.48</v>
      </c>
      <c r="P35" s="200">
        <f t="shared" si="3"/>
        <v>1015562.2000000005</v>
      </c>
      <c r="S35" s="2">
        <v>305.47000000000003</v>
      </c>
      <c r="T35" s="200">
        <f t="shared" si="4"/>
        <v>36129.870000000003</v>
      </c>
      <c r="W35" s="2">
        <v>497.3</v>
      </c>
      <c r="X35" s="200">
        <f t="shared" si="17"/>
        <v>58842.67</v>
      </c>
      <c r="AA35" s="2">
        <v>462.47</v>
      </c>
      <c r="AB35" s="200">
        <f>AB34+Z35+AA35</f>
        <v>54709.99</v>
      </c>
      <c r="AF35" s="200">
        <f t="shared" si="26"/>
        <v>0</v>
      </c>
      <c r="AJ35" s="200">
        <f t="shared" si="27"/>
        <v>0</v>
      </c>
      <c r="AM35" s="200">
        <v>-264.51</v>
      </c>
      <c r="AN35" s="200">
        <f t="shared" si="14"/>
        <v>99714.380000000063</v>
      </c>
      <c r="AO35" s="2">
        <v>140.3503</v>
      </c>
      <c r="AP35" s="241">
        <v>140350.32</v>
      </c>
      <c r="AQ35" s="200">
        <v>-0.02</v>
      </c>
      <c r="AR35" s="200">
        <f t="shared" si="5"/>
        <v>140350.30000000002</v>
      </c>
      <c r="AU35" s="200">
        <v>-169.29</v>
      </c>
      <c r="AV35" s="200">
        <f t="shared" si="6"/>
        <v>89239.490000000034</v>
      </c>
      <c r="AY35" s="200">
        <v>-534.41999999999996</v>
      </c>
      <c r="AZ35" s="200">
        <f t="shared" si="7"/>
        <v>310889.50999999995</v>
      </c>
      <c r="BC35" s="200">
        <v>-203.51</v>
      </c>
      <c r="BD35" s="200">
        <f t="shared" si="8"/>
        <v>115838.03000000003</v>
      </c>
      <c r="BE35" s="200">
        <v>-141.98599999999999</v>
      </c>
      <c r="BF35" s="200">
        <v>-140350.32</v>
      </c>
      <c r="BG35" s="200">
        <v>1089.03</v>
      </c>
      <c r="BH35" s="200">
        <f t="shared" si="9"/>
        <v>0</v>
      </c>
      <c r="BL35" s="200">
        <f t="shared" si="10"/>
        <v>6.3664629124104977E-12</v>
      </c>
      <c r="BO35" s="200">
        <v>-85.06</v>
      </c>
      <c r="BP35" s="200">
        <f t="shared" si="11"/>
        <v>46576.3</v>
      </c>
      <c r="BS35" s="200">
        <v>-86.56</v>
      </c>
      <c r="BT35" s="200">
        <f t="shared" si="12"/>
        <v>47546.500000000015</v>
      </c>
      <c r="BW35" s="200">
        <v>-467.92</v>
      </c>
      <c r="BX35" s="200">
        <f t="shared" si="18"/>
        <v>270433.52000000014</v>
      </c>
      <c r="CA35" s="200">
        <v>-21.24</v>
      </c>
      <c r="CB35" s="200">
        <f t="shared" si="19"/>
        <v>10793.119999999999</v>
      </c>
      <c r="CE35" s="200">
        <v>-141.38999999999999</v>
      </c>
      <c r="CF35" s="200">
        <f t="shared" si="20"/>
        <v>80433.000000000015</v>
      </c>
      <c r="CI35" s="200">
        <v>-139.75</v>
      </c>
      <c r="CJ35" s="200">
        <f t="shared" si="21"/>
        <v>80446.06</v>
      </c>
      <c r="CM35" s="200">
        <v>-48.24</v>
      </c>
      <c r="CN35" s="200">
        <f t="shared" si="22"/>
        <v>26769.269999999997</v>
      </c>
      <c r="CQ35" s="200">
        <v>-37.32</v>
      </c>
      <c r="CR35" s="200">
        <f t="shared" si="24"/>
        <v>20349.430000000004</v>
      </c>
      <c r="CU35" s="200">
        <v>-15.92</v>
      </c>
      <c r="CV35" s="200">
        <f t="shared" si="25"/>
        <v>8009.2499999999991</v>
      </c>
      <c r="CW35" s="237">
        <f t="shared" ref="CW35:CY41" si="29">J35+R35+AP35+AT35+N35+AX35+BB35+BF35+BJ35+BN35+BR35+BV35+BZ35+CD35+CH35+CL35+CP35+CT35+V35+Z35+AL35</f>
        <v>0</v>
      </c>
      <c r="CX35" s="237">
        <f t="shared" si="29"/>
        <v>25676.9</v>
      </c>
      <c r="CY35" s="237">
        <f t="shared" si="29"/>
        <v>4515453.7299999995</v>
      </c>
    </row>
    <row r="36" spans="1:103">
      <c r="A36" s="187">
        <v>45138</v>
      </c>
      <c r="B36" s="132">
        <f>253.6121+140.6488</f>
        <v>394.26089999999999</v>
      </c>
      <c r="C36" s="132">
        <f>D36/B36</f>
        <v>1234.6861431098037</v>
      </c>
      <c r="D36" s="200">
        <v>486788.47</v>
      </c>
      <c r="E36" s="242"/>
      <c r="F36" s="120" t="s">
        <v>559</v>
      </c>
      <c r="H36" s="182">
        <v>44742</v>
      </c>
      <c r="K36" s="200">
        <v>260262.39999999999</v>
      </c>
      <c r="L36" s="200">
        <f>L35+J36+K36</f>
        <v>2263083.2399999998</v>
      </c>
      <c r="O36" s="200">
        <v>131960.57999999999</v>
      </c>
      <c r="P36" s="200">
        <f>P35+N36+O36</f>
        <v>1147522.7800000005</v>
      </c>
      <c r="S36" s="200">
        <v>4695.05</v>
      </c>
      <c r="T36" s="200">
        <f>T35+R36+S36</f>
        <v>40824.920000000006</v>
      </c>
      <c r="W36" s="200">
        <v>7646.42</v>
      </c>
      <c r="X36" s="200">
        <f>X35+V36+W36</f>
        <v>66489.09</v>
      </c>
      <c r="AA36" s="200">
        <v>5836.38</v>
      </c>
      <c r="AB36" s="200">
        <f>AB35+Z36+AA36</f>
        <v>60546.369999999995</v>
      </c>
      <c r="AE36" s="200"/>
      <c r="AF36" s="200">
        <f>AF35+AD36+AE36</f>
        <v>0</v>
      </c>
      <c r="AI36" s="200"/>
      <c r="AJ36" s="200">
        <f>AJ35+AH36+AI36</f>
        <v>0</v>
      </c>
      <c r="AM36" s="200">
        <v>-202.51</v>
      </c>
      <c r="AN36" s="200">
        <f>AN35+AL36+AM36</f>
        <v>99511.870000000068</v>
      </c>
      <c r="AQ36" s="200">
        <v>14590.82</v>
      </c>
      <c r="AR36" s="200">
        <f>AR35+AP36+AQ36</f>
        <v>154941.12000000002</v>
      </c>
      <c r="AU36" s="200">
        <v>-226.54</v>
      </c>
      <c r="AV36" s="200">
        <f>AV35+AT36+AU36</f>
        <v>89012.950000000041</v>
      </c>
      <c r="AY36" s="200">
        <v>-556.80999999999995</v>
      </c>
      <c r="AZ36" s="200">
        <f>AZ35+AX36+AY36</f>
        <v>310332.69999999995</v>
      </c>
      <c r="BC36" s="200">
        <v>-225.99</v>
      </c>
      <c r="BD36" s="200">
        <f>BD35+BB36+BC36</f>
        <v>115612.04000000002</v>
      </c>
      <c r="BG36" s="200"/>
      <c r="BH36" s="200">
        <f>BH35+BF36+BG36</f>
        <v>0</v>
      </c>
      <c r="BL36" s="200">
        <f>BL35+BJ36+BK36</f>
        <v>6.3664629124104977E-12</v>
      </c>
      <c r="BO36" s="200">
        <v>-107.51</v>
      </c>
      <c r="BP36" s="200">
        <f>BP35+BN36+BO36</f>
        <v>46468.79</v>
      </c>
      <c r="BS36" s="200">
        <v>-108.92</v>
      </c>
      <c r="BT36" s="200">
        <f>BT35+BR36+BS36</f>
        <v>47437.580000000016</v>
      </c>
      <c r="BW36" s="200">
        <v>-478.93</v>
      </c>
      <c r="BX36" s="200">
        <f>BX35+BV36+BW36</f>
        <v>269954.59000000014</v>
      </c>
      <c r="CA36" s="200">
        <v>-38.65</v>
      </c>
      <c r="CB36" s="200">
        <f>CB35+BZ36+CA36</f>
        <v>10754.47</v>
      </c>
      <c r="CE36" s="200">
        <v>-153.63999999999999</v>
      </c>
      <c r="CF36" s="200">
        <f>CF35+CD36+CE36</f>
        <v>80279.360000000015</v>
      </c>
      <c r="CI36" s="200">
        <v>-152.82</v>
      </c>
      <c r="CJ36" s="200">
        <f>CJ35+CH36+CI36</f>
        <v>80293.239999999991</v>
      </c>
      <c r="CM36" s="200">
        <v>-47.98</v>
      </c>
      <c r="CN36" s="200">
        <f>CN35+CL36+CM36</f>
        <v>26721.289999999997</v>
      </c>
      <c r="CQ36" s="200">
        <v>-36.909999999999997</v>
      </c>
      <c r="CR36" s="200">
        <f>CR35+CP36+CQ36</f>
        <v>20312.520000000004</v>
      </c>
      <c r="CU36" s="200">
        <v>-15.83</v>
      </c>
      <c r="CV36" s="200">
        <f>CV35+CT36+CU36</f>
        <v>7993.4199999999992</v>
      </c>
      <c r="CW36" s="237">
        <f t="shared" si="29"/>
        <v>0</v>
      </c>
      <c r="CX36" s="237">
        <f t="shared" si="29"/>
        <v>422638.61000000004</v>
      </c>
      <c r="CY36" s="237">
        <f t="shared" si="29"/>
        <v>4938092.3400000008</v>
      </c>
    </row>
    <row r="37" spans="1:103">
      <c r="A37" s="187">
        <v>45138</v>
      </c>
      <c r="E37" s="242">
        <v>2480922.67</v>
      </c>
      <c r="F37" s="120" t="s">
        <v>546</v>
      </c>
      <c r="H37" s="182">
        <v>44773</v>
      </c>
      <c r="K37" s="200">
        <v>-144779.66</v>
      </c>
      <c r="L37" s="200">
        <f t="shared" ref="L37:L54" si="30">L36+J37+K37</f>
        <v>2118303.5799999996</v>
      </c>
      <c r="O37" s="200">
        <v>-73406.41</v>
      </c>
      <c r="P37" s="200">
        <f t="shared" ref="P37:P55" si="31">P36+N37+O37</f>
        <v>1074116.3700000006</v>
      </c>
      <c r="S37" s="200">
        <v>-2611.84</v>
      </c>
      <c r="T37" s="200">
        <f t="shared" ref="T37:T55" si="32">T36+R37+S37</f>
        <v>38213.08</v>
      </c>
      <c r="W37" s="200">
        <v>-4253.1400000000003</v>
      </c>
      <c r="X37" s="200">
        <f t="shared" ref="X37:X55" si="33">X36+V37+W37</f>
        <v>62235.95</v>
      </c>
      <c r="AA37" s="200">
        <v>-3164.12</v>
      </c>
      <c r="AB37" s="200">
        <f t="shared" ref="AB37:AB55" si="34">AB36+Z37+AA37</f>
        <v>57382.249999999993</v>
      </c>
      <c r="AE37" s="200"/>
      <c r="AF37" s="200">
        <f t="shared" si="26"/>
        <v>0</v>
      </c>
      <c r="AI37" s="200"/>
      <c r="AJ37" s="200">
        <f t="shared" si="27"/>
        <v>0</v>
      </c>
      <c r="AM37" s="200">
        <v>-172.55</v>
      </c>
      <c r="AN37" s="200">
        <f t="shared" ref="AN37:AN55" si="35">AN36+AL37+AM37</f>
        <v>99339.320000000065</v>
      </c>
      <c r="AQ37" s="200">
        <v>-8116.46</v>
      </c>
      <c r="AR37" s="200">
        <f t="shared" ref="AR37:AR41" si="36">AR36+AP37+AQ37</f>
        <v>146824.66000000003</v>
      </c>
      <c r="AU37" s="200">
        <v>-166.79</v>
      </c>
      <c r="AV37" s="200">
        <f t="shared" ref="AV37:AV55" si="37">AV36+AT37+AU37</f>
        <v>88846.160000000047</v>
      </c>
      <c r="AY37" s="200">
        <v>-531.21</v>
      </c>
      <c r="AZ37" s="200">
        <f t="shared" ref="AZ37:AZ55" si="38">AZ36+AX37+AY37</f>
        <v>309801.48999999993</v>
      </c>
      <c r="BC37" s="200">
        <v>-202.33</v>
      </c>
      <c r="BD37" s="200">
        <f t="shared" ref="BD37:BD55" si="39">BD36+BB37+BC37</f>
        <v>115409.71000000002</v>
      </c>
      <c r="BO37" s="200">
        <v>-85.06</v>
      </c>
      <c r="BP37" s="200">
        <f t="shared" si="11"/>
        <v>46383.73</v>
      </c>
      <c r="BS37" s="200">
        <v>-86.07</v>
      </c>
      <c r="BT37" s="200">
        <f t="shared" ref="BT37:BT55" si="40">BT36+BR37+BS37</f>
        <v>47351.510000000017</v>
      </c>
      <c r="BW37" s="200">
        <v>-462.42</v>
      </c>
      <c r="BX37" s="200">
        <f t="shared" ref="BX37:BX55" si="41">BX36+BV37+BW37</f>
        <v>269492.17000000016</v>
      </c>
      <c r="CA37" s="200">
        <v>-20.59</v>
      </c>
      <c r="CB37" s="200">
        <f t="shared" ref="CB37:CB55" si="42">CB36+BZ37+CA37</f>
        <v>10733.88</v>
      </c>
      <c r="CE37" s="200">
        <v>-139.76</v>
      </c>
      <c r="CF37" s="200">
        <f t="shared" ref="CF37:CF55" si="43">CF36+CD37+CE37</f>
        <v>80139.60000000002</v>
      </c>
      <c r="CI37" s="200">
        <v>-138.93</v>
      </c>
      <c r="CJ37" s="200">
        <f t="shared" ref="CJ37:CJ55" si="44">CJ36+CH37+CI37</f>
        <v>80154.31</v>
      </c>
      <c r="CM37" s="200">
        <v>-47.7</v>
      </c>
      <c r="CN37" s="200">
        <f t="shared" ref="CN37:CN55" si="45">CN36+CL37+CM37</f>
        <v>26673.589999999997</v>
      </c>
      <c r="CQ37" s="200">
        <v>-36.71</v>
      </c>
      <c r="CR37" s="200">
        <f t="shared" ref="CR37:CR55" si="46">CR36+CP37+CQ37</f>
        <v>20275.810000000005</v>
      </c>
      <c r="CU37" s="200">
        <v>-15.76</v>
      </c>
      <c r="CV37" s="200">
        <f t="shared" ref="CV37:CV55" si="47">CV36+CT37+CU37</f>
        <v>7977.6599999999989</v>
      </c>
      <c r="CW37" s="237">
        <f t="shared" si="29"/>
        <v>0</v>
      </c>
      <c r="CX37" s="237">
        <f t="shared" si="29"/>
        <v>-238437.51</v>
      </c>
      <c r="CY37" s="237">
        <f t="shared" si="29"/>
        <v>4699654.83</v>
      </c>
    </row>
    <row r="38" spans="1:103">
      <c r="A38" s="187">
        <v>45169</v>
      </c>
      <c r="E38" s="242">
        <v>2392446.4500000002</v>
      </c>
      <c r="F38" s="120" t="s">
        <v>546</v>
      </c>
      <c r="H38" s="182">
        <v>44804</v>
      </c>
      <c r="K38" s="200">
        <v>-3322.07</v>
      </c>
      <c r="L38" s="200">
        <f t="shared" si="30"/>
        <v>2114981.5099999998</v>
      </c>
      <c r="O38" s="200">
        <v>-1691.8</v>
      </c>
      <c r="P38" s="200">
        <f t="shared" si="31"/>
        <v>1072424.5700000005</v>
      </c>
      <c r="S38" s="200">
        <v>-59.7</v>
      </c>
      <c r="T38" s="200">
        <f t="shared" si="32"/>
        <v>38153.380000000005</v>
      </c>
      <c r="W38" s="200">
        <v>-98.27</v>
      </c>
      <c r="X38" s="200">
        <f t="shared" si="33"/>
        <v>62137.68</v>
      </c>
      <c r="AA38" s="200">
        <v>-72.650000000000006</v>
      </c>
      <c r="AB38" s="200">
        <f t="shared" si="34"/>
        <v>57309.599999999991</v>
      </c>
      <c r="AE38" s="200"/>
      <c r="AF38" s="200">
        <f t="shared" si="26"/>
        <v>0</v>
      </c>
      <c r="AI38" s="200"/>
      <c r="AJ38" s="200">
        <f t="shared" si="27"/>
        <v>0</v>
      </c>
      <c r="AM38" s="200">
        <v>-171.51</v>
      </c>
      <c r="AN38" s="200">
        <f t="shared" si="35"/>
        <v>99167.81000000007</v>
      </c>
      <c r="AQ38" s="200">
        <v>-186.67</v>
      </c>
      <c r="AR38" s="200">
        <f t="shared" si="36"/>
        <v>146637.99000000002</v>
      </c>
      <c r="AU38" s="200">
        <v>-166.79</v>
      </c>
      <c r="AV38" s="200">
        <f t="shared" si="37"/>
        <v>88679.370000000054</v>
      </c>
      <c r="AY38" s="200">
        <v>-531.21</v>
      </c>
      <c r="AZ38" s="200">
        <f t="shared" si="38"/>
        <v>309270.27999999991</v>
      </c>
      <c r="BC38" s="200">
        <v>-202.33</v>
      </c>
      <c r="BD38" s="200">
        <f t="shared" si="39"/>
        <v>115207.38000000002</v>
      </c>
      <c r="BO38" s="200">
        <v>-84.57</v>
      </c>
      <c r="BP38" s="200">
        <f t="shared" si="11"/>
        <v>46299.16</v>
      </c>
      <c r="BS38" s="200">
        <v>-86.55</v>
      </c>
      <c r="BT38" s="200">
        <f t="shared" si="40"/>
        <v>47264.960000000014</v>
      </c>
      <c r="BW38" s="200">
        <v>-462.41</v>
      </c>
      <c r="BX38" s="200">
        <f t="shared" si="41"/>
        <v>269029.76000000018</v>
      </c>
      <c r="CA38" s="200">
        <v>-20.59</v>
      </c>
      <c r="CB38" s="200">
        <f t="shared" si="42"/>
        <v>10713.289999999999</v>
      </c>
      <c r="CE38" s="200">
        <v>-140.57</v>
      </c>
      <c r="CF38" s="200">
        <f t="shared" si="43"/>
        <v>79999.030000000013</v>
      </c>
      <c r="CI38" s="200">
        <v>-138.93</v>
      </c>
      <c r="CJ38" s="200">
        <f t="shared" si="44"/>
        <v>80015.38</v>
      </c>
      <c r="CM38" s="200">
        <v>-47.7</v>
      </c>
      <c r="CN38" s="200">
        <f t="shared" si="45"/>
        <v>26625.889999999996</v>
      </c>
      <c r="CQ38" s="200">
        <v>-36.71</v>
      </c>
      <c r="CR38" s="200">
        <f t="shared" si="46"/>
        <v>20239.100000000006</v>
      </c>
      <c r="CU38" s="200">
        <v>-15.75</v>
      </c>
      <c r="CV38" s="200">
        <f t="shared" si="47"/>
        <v>7961.9099999999989</v>
      </c>
      <c r="CW38" s="237">
        <f t="shared" si="29"/>
        <v>0</v>
      </c>
      <c r="CX38" s="237">
        <f t="shared" si="29"/>
        <v>-7536.78</v>
      </c>
      <c r="CY38" s="237">
        <f t="shared" si="29"/>
        <v>4692118.05</v>
      </c>
    </row>
    <row r="39" spans="1:103">
      <c r="A39" s="187">
        <v>45199</v>
      </c>
      <c r="E39" s="242">
        <v>2363254.7799999998</v>
      </c>
      <c r="F39" s="120" t="s">
        <v>546</v>
      </c>
      <c r="H39" s="182">
        <v>44834</v>
      </c>
      <c r="K39" s="200">
        <v>-227618.35</v>
      </c>
      <c r="L39" s="200">
        <f t="shared" si="30"/>
        <v>1887363.1599999997</v>
      </c>
      <c r="O39" s="200">
        <v>-115416.53</v>
      </c>
      <c r="P39" s="200">
        <f t="shared" si="31"/>
        <v>957008.0400000005</v>
      </c>
      <c r="S39" s="200">
        <v>-4106.1400000000003</v>
      </c>
      <c r="T39" s="200">
        <f t="shared" si="32"/>
        <v>34047.240000000005</v>
      </c>
      <c r="W39" s="200">
        <v>-6687.54</v>
      </c>
      <c r="X39" s="200">
        <f t="shared" si="33"/>
        <v>55450.14</v>
      </c>
      <c r="AA39" s="200">
        <v>-5753.75</v>
      </c>
      <c r="AB39" s="200">
        <f t="shared" si="34"/>
        <v>51555.849999999991</v>
      </c>
      <c r="AE39" s="200"/>
      <c r="AF39" s="200">
        <f t="shared" si="26"/>
        <v>0</v>
      </c>
      <c r="AI39" s="200"/>
      <c r="AJ39" s="200">
        <f t="shared" si="27"/>
        <v>0</v>
      </c>
      <c r="AM39" s="200">
        <v>-180.82</v>
      </c>
      <c r="AN39" s="200">
        <f t="shared" si="35"/>
        <v>98986.990000000063</v>
      </c>
      <c r="AQ39" s="200">
        <v>-14378.88</v>
      </c>
      <c r="AR39" s="200">
        <f t="shared" si="36"/>
        <v>132259.11000000002</v>
      </c>
      <c r="AU39" s="200">
        <v>-169.29</v>
      </c>
      <c r="AV39" s="200">
        <f t="shared" si="37"/>
        <v>88510.08000000006</v>
      </c>
      <c r="AY39" s="200">
        <v>-531.21</v>
      </c>
      <c r="AZ39" s="200">
        <f t="shared" si="38"/>
        <v>308739.06999999989</v>
      </c>
      <c r="BC39" s="200">
        <v>-202.33</v>
      </c>
      <c r="BD39" s="200">
        <f t="shared" si="39"/>
        <v>115005.05000000002</v>
      </c>
      <c r="BO39" s="200">
        <v>-84.58</v>
      </c>
      <c r="BP39" s="200">
        <f t="shared" si="11"/>
        <v>46214.58</v>
      </c>
      <c r="BS39" s="200">
        <v>-86.07</v>
      </c>
      <c r="BT39" s="200">
        <f t="shared" si="40"/>
        <v>47178.890000000014</v>
      </c>
      <c r="BW39" s="200">
        <v>-462.42</v>
      </c>
      <c r="BX39" s="200">
        <f t="shared" si="41"/>
        <v>268567.3400000002</v>
      </c>
      <c r="CA39" s="200">
        <v>-26.2</v>
      </c>
      <c r="CB39" s="200">
        <f t="shared" si="42"/>
        <v>10687.089999999998</v>
      </c>
      <c r="CE39" s="200">
        <v>-139.76</v>
      </c>
      <c r="CF39" s="200">
        <f t="shared" si="43"/>
        <v>79859.270000000019</v>
      </c>
      <c r="CI39" s="200">
        <v>-141.38</v>
      </c>
      <c r="CJ39" s="200">
        <f t="shared" si="44"/>
        <v>79874</v>
      </c>
      <c r="CM39" s="200">
        <v>-52.04</v>
      </c>
      <c r="CN39" s="200">
        <f t="shared" si="45"/>
        <v>26573.849999999995</v>
      </c>
      <c r="CQ39" s="200">
        <v>-41.42</v>
      </c>
      <c r="CR39" s="200">
        <f t="shared" si="46"/>
        <v>20197.680000000008</v>
      </c>
      <c r="CU39" s="200">
        <v>-15.76</v>
      </c>
      <c r="CV39" s="200">
        <f t="shared" si="47"/>
        <v>7946.1499999999987</v>
      </c>
      <c r="CW39" s="237">
        <f t="shared" si="29"/>
        <v>0</v>
      </c>
      <c r="CX39" s="237">
        <f t="shared" si="29"/>
        <v>-376094.47000000009</v>
      </c>
      <c r="CY39" s="237">
        <f t="shared" si="29"/>
        <v>4316023.580000001</v>
      </c>
    </row>
    <row r="40" spans="1:103">
      <c r="A40" s="187">
        <v>45200</v>
      </c>
      <c r="B40" s="2">
        <v>851.16639999999995</v>
      </c>
      <c r="C40" s="132">
        <f>D40/B40</f>
        <v>561.08001913609382</v>
      </c>
      <c r="D40" s="200">
        <v>477572.46</v>
      </c>
      <c r="F40" s="2" t="s">
        <v>560</v>
      </c>
      <c r="H40" s="182">
        <v>44865</v>
      </c>
      <c r="K40" s="200">
        <v>-229110.15</v>
      </c>
      <c r="L40" s="200">
        <f t="shared" si="30"/>
        <v>1658253.0099999998</v>
      </c>
      <c r="O40" s="200">
        <v>-116164.49</v>
      </c>
      <c r="P40" s="200">
        <f t="shared" si="31"/>
        <v>840843.55000000051</v>
      </c>
      <c r="S40" s="200">
        <v>-4132.8100000000004</v>
      </c>
      <c r="T40" s="200">
        <f t="shared" si="32"/>
        <v>29914.430000000004</v>
      </c>
      <c r="W40" s="200">
        <v>-6730.73</v>
      </c>
      <c r="X40" s="200">
        <f t="shared" si="33"/>
        <v>48719.41</v>
      </c>
      <c r="AA40" s="200">
        <v>-6258.37</v>
      </c>
      <c r="AB40" s="200">
        <f t="shared" si="34"/>
        <v>45297.479999999989</v>
      </c>
      <c r="AE40" s="200"/>
      <c r="AF40" s="200">
        <f t="shared" si="26"/>
        <v>0</v>
      </c>
      <c r="AI40" s="200"/>
      <c r="AJ40" s="200">
        <f t="shared" si="27"/>
        <v>0</v>
      </c>
      <c r="AM40" s="200">
        <v>-171.51</v>
      </c>
      <c r="AN40" s="200">
        <f t="shared" si="35"/>
        <v>98815.480000000069</v>
      </c>
      <c r="AQ40" s="200">
        <v>-16054.68</v>
      </c>
      <c r="AR40" s="200">
        <f t="shared" si="36"/>
        <v>116204.43000000002</v>
      </c>
      <c r="AU40" s="200">
        <v>-164.3</v>
      </c>
      <c r="AV40" s="200">
        <f t="shared" si="37"/>
        <v>88345.780000000057</v>
      </c>
      <c r="AY40" s="200">
        <v>-502.41</v>
      </c>
      <c r="AZ40" s="200">
        <f t="shared" si="38"/>
        <v>308236.65999999992</v>
      </c>
      <c r="BC40" s="200">
        <v>-201.15</v>
      </c>
      <c r="BD40" s="200">
        <f t="shared" si="39"/>
        <v>114803.90000000002</v>
      </c>
      <c r="BG40" s="200"/>
      <c r="BO40" s="200">
        <v>-84.58</v>
      </c>
      <c r="BP40" s="200">
        <f t="shared" si="11"/>
        <v>46130</v>
      </c>
      <c r="BS40" s="200">
        <v>-86.07</v>
      </c>
      <c r="BT40" s="200">
        <f t="shared" si="40"/>
        <v>47092.820000000014</v>
      </c>
      <c r="BW40" s="200">
        <v>-459.66</v>
      </c>
      <c r="BX40" s="200">
        <f t="shared" si="41"/>
        <v>268107.68000000023</v>
      </c>
      <c r="CA40" s="200">
        <v>-20.48</v>
      </c>
      <c r="CB40" s="200">
        <f t="shared" si="42"/>
        <v>10666.609999999999</v>
      </c>
      <c r="CE40" s="200">
        <v>-138.94</v>
      </c>
      <c r="CF40" s="200">
        <f t="shared" si="43"/>
        <v>79720.330000000016</v>
      </c>
      <c r="CI40" s="200">
        <v>-138.11000000000001</v>
      </c>
      <c r="CJ40" s="200">
        <f t="shared" si="44"/>
        <v>79735.89</v>
      </c>
      <c r="CM40" s="200">
        <v>-47.44</v>
      </c>
      <c r="CN40" s="200">
        <f t="shared" si="45"/>
        <v>26526.409999999996</v>
      </c>
      <c r="CQ40" s="200">
        <v>-36.5</v>
      </c>
      <c r="CR40" s="200">
        <f t="shared" si="46"/>
        <v>20161.180000000008</v>
      </c>
      <c r="CU40" s="200">
        <v>-15.67</v>
      </c>
      <c r="CV40" s="200">
        <f t="shared" si="47"/>
        <v>7930.4799999999987</v>
      </c>
      <c r="CW40" s="237">
        <f t="shared" si="29"/>
        <v>0</v>
      </c>
      <c r="CX40" s="237">
        <f t="shared" si="29"/>
        <v>-380518.04999999993</v>
      </c>
      <c r="CY40" s="237">
        <f>L40+T40+AR40+AV40+P40+AZ40+BD40+BH40+BL40+BP40+BT40+BX40+CB40+CF40+CJ40+CN40+CR40+CV40+X40+AB40+AN40+0.01</f>
        <v>3935505.5400000005</v>
      </c>
    </row>
    <row r="41" spans="1:103">
      <c r="A41" s="187">
        <v>45230</v>
      </c>
      <c r="E41" s="242">
        <v>1878008.51</v>
      </c>
      <c r="F41" s="243" t="s">
        <v>546</v>
      </c>
      <c r="H41" s="182">
        <v>44895</v>
      </c>
      <c r="K41" s="200">
        <v>470066.93</v>
      </c>
      <c r="L41" s="200">
        <f t="shared" si="30"/>
        <v>2128319.94</v>
      </c>
      <c r="O41" s="200">
        <v>238348.23</v>
      </c>
      <c r="P41" s="200">
        <f t="shared" si="31"/>
        <v>1079191.7800000005</v>
      </c>
      <c r="S41" s="200">
        <v>8479.5</v>
      </c>
      <c r="T41" s="200">
        <f t="shared" si="32"/>
        <v>38393.930000000008</v>
      </c>
      <c r="W41" s="200">
        <v>13810.61</v>
      </c>
      <c r="X41" s="200">
        <f t="shared" si="33"/>
        <v>62530.020000000004</v>
      </c>
      <c r="AA41" s="200">
        <v>12303.25</v>
      </c>
      <c r="AB41" s="200">
        <f t="shared" si="34"/>
        <v>57600.729999999989</v>
      </c>
      <c r="AE41" s="200"/>
      <c r="AF41" s="200">
        <f t="shared" si="26"/>
        <v>0</v>
      </c>
      <c r="AI41" s="200"/>
      <c r="AJ41" s="200">
        <f t="shared" si="27"/>
        <v>0</v>
      </c>
      <c r="AM41" s="200">
        <v>-176.68</v>
      </c>
      <c r="AN41" s="200">
        <f t="shared" si="35"/>
        <v>98638.800000000076</v>
      </c>
      <c r="AQ41" s="200">
        <v>31181.63</v>
      </c>
      <c r="AR41" s="200">
        <f t="shared" si="36"/>
        <v>147386.06000000003</v>
      </c>
      <c r="AU41" s="200">
        <v>-169.28</v>
      </c>
      <c r="AV41" s="200">
        <f t="shared" si="37"/>
        <v>88176.500000000058</v>
      </c>
      <c r="AY41" s="200">
        <v>-534.41</v>
      </c>
      <c r="AZ41" s="200">
        <f t="shared" si="38"/>
        <v>307702.24999999994</v>
      </c>
      <c r="BC41" s="200">
        <v>-202.33</v>
      </c>
      <c r="BD41" s="200">
        <f t="shared" si="39"/>
        <v>114601.57000000002</v>
      </c>
      <c r="BG41" s="200"/>
      <c r="BO41" s="200">
        <v>-84.57</v>
      </c>
      <c r="BP41" s="200">
        <f t="shared" si="11"/>
        <v>46045.43</v>
      </c>
      <c r="BS41" s="200">
        <v>-86.07</v>
      </c>
      <c r="BT41" s="200">
        <f t="shared" si="40"/>
        <v>47006.750000000015</v>
      </c>
      <c r="BW41" s="200">
        <v>-465.17</v>
      </c>
      <c r="BX41" s="200">
        <f t="shared" si="41"/>
        <v>267642.51000000024</v>
      </c>
      <c r="CA41" s="200">
        <v>-20.59</v>
      </c>
      <c r="CB41" s="200">
        <f t="shared" si="42"/>
        <v>10646.019999999999</v>
      </c>
      <c r="CE41" s="200">
        <v>-140.57</v>
      </c>
      <c r="CF41" s="200">
        <f t="shared" si="43"/>
        <v>79579.760000000009</v>
      </c>
      <c r="CI41" s="200">
        <v>-138.93</v>
      </c>
      <c r="CJ41" s="200">
        <f t="shared" si="44"/>
        <v>79596.960000000006</v>
      </c>
      <c r="CM41" s="200">
        <v>-47.7</v>
      </c>
      <c r="CN41" s="200">
        <f t="shared" si="45"/>
        <v>26478.709999999995</v>
      </c>
      <c r="CQ41" s="200">
        <v>-37.94</v>
      </c>
      <c r="CR41" s="200">
        <f t="shared" si="46"/>
        <v>20123.240000000009</v>
      </c>
      <c r="CU41" s="200">
        <v>-16.16</v>
      </c>
      <c r="CV41" s="200">
        <f t="shared" si="47"/>
        <v>7914.3199999999988</v>
      </c>
      <c r="CW41" s="237">
        <f t="shared" si="29"/>
        <v>0</v>
      </c>
      <c r="CX41" s="237">
        <f t="shared" si="29"/>
        <v>772069.75000000012</v>
      </c>
      <c r="CY41" s="237">
        <f>L41+T41+AR41+AV41+P41+AZ41+BD41+BH41+BL41+BP41+BT41+BX41+CB41+CF41+CJ41+CN41+CR41+CV41+X41+AB41+AN41-0.02</f>
        <v>4707575.2600000007</v>
      </c>
    </row>
    <row r="42" spans="1:103">
      <c r="A42" s="187">
        <v>45260</v>
      </c>
      <c r="E42" s="242">
        <v>1941163.79</v>
      </c>
      <c r="F42" s="243" t="s">
        <v>546</v>
      </c>
      <c r="H42" s="182">
        <v>45291</v>
      </c>
      <c r="K42" s="200">
        <v>72872.47</v>
      </c>
      <c r="L42" s="200">
        <f t="shared" si="30"/>
        <v>2201192.41</v>
      </c>
      <c r="O42" s="200">
        <v>36952.519999999997</v>
      </c>
      <c r="P42" s="200">
        <f t="shared" si="31"/>
        <v>1116144.3000000005</v>
      </c>
      <c r="S42" s="200">
        <v>1314.61</v>
      </c>
      <c r="T42" s="200">
        <f t="shared" si="32"/>
        <v>39708.540000000008</v>
      </c>
      <c r="W42" s="200">
        <v>2141.08</v>
      </c>
      <c r="X42" s="200">
        <f t="shared" si="33"/>
        <v>64671.100000000006</v>
      </c>
      <c r="AA42" s="200">
        <v>1592.6</v>
      </c>
      <c r="AB42" s="200">
        <f t="shared" si="34"/>
        <v>59193.329999999987</v>
      </c>
      <c r="AE42" s="200"/>
      <c r="AF42" s="200">
        <f t="shared" si="26"/>
        <v>0</v>
      </c>
      <c r="AI42" s="200"/>
      <c r="AJ42" s="200">
        <f t="shared" si="27"/>
        <v>0</v>
      </c>
      <c r="AM42" s="200">
        <v>-174.62</v>
      </c>
      <c r="AN42" s="200">
        <f t="shared" si="35"/>
        <v>98464.18000000008</v>
      </c>
      <c r="AQ42" s="200">
        <v>4085.6</v>
      </c>
      <c r="AR42" s="200">
        <f>AR41+AP42+AQ42</f>
        <v>151471.66000000003</v>
      </c>
      <c r="AU42" s="200">
        <v>-166.8</v>
      </c>
      <c r="AV42" s="200">
        <f t="shared" si="37"/>
        <v>88009.700000000055</v>
      </c>
      <c r="AY42" s="200">
        <v>-528.01</v>
      </c>
      <c r="AZ42" s="200">
        <f t="shared" si="38"/>
        <v>307174.23999999993</v>
      </c>
      <c r="BC42" s="200">
        <v>-202.33</v>
      </c>
      <c r="BD42" s="200">
        <f t="shared" si="39"/>
        <v>114399.24000000002</v>
      </c>
      <c r="BG42" s="200"/>
      <c r="BO42" s="200">
        <v>-84.1</v>
      </c>
      <c r="BP42" s="200">
        <f t="shared" si="11"/>
        <v>45961.33</v>
      </c>
      <c r="BS42" s="200">
        <v>-86.06</v>
      </c>
      <c r="BT42" s="200">
        <f t="shared" si="40"/>
        <v>46920.690000000017</v>
      </c>
      <c r="BW42" s="200">
        <v>-459.66</v>
      </c>
      <c r="BX42" s="200">
        <f t="shared" si="41"/>
        <v>267182.85000000027</v>
      </c>
      <c r="CA42" s="200">
        <v>-20.37</v>
      </c>
      <c r="CB42" s="200">
        <f t="shared" si="42"/>
        <v>10625.649999999998</v>
      </c>
      <c r="CE42" s="200">
        <v>-138.94</v>
      </c>
      <c r="CF42" s="200">
        <f t="shared" si="43"/>
        <v>79440.820000000007</v>
      </c>
      <c r="CI42" s="200">
        <v>-138.12</v>
      </c>
      <c r="CJ42" s="200">
        <f t="shared" si="44"/>
        <v>79458.840000000011</v>
      </c>
      <c r="CM42" s="200">
        <v>-47.43</v>
      </c>
      <c r="CN42" s="200">
        <f t="shared" si="45"/>
        <v>26431.279999999995</v>
      </c>
      <c r="CQ42" s="200">
        <v>-36.5</v>
      </c>
      <c r="CR42" s="200">
        <f t="shared" si="46"/>
        <v>20086.740000000009</v>
      </c>
      <c r="CU42" s="200">
        <v>-15.59</v>
      </c>
      <c r="CV42" s="200">
        <f t="shared" si="47"/>
        <v>7898.7299999999987</v>
      </c>
      <c r="CW42" s="237">
        <f>J42+R42+AP42+AT42+N42+AX42+BB42+BF42+BJ42+BN42+BR42+BV42+BZ42+CD42+CH42+CL42+CP42+CT42+V42+Z42+AL42</f>
        <v>0</v>
      </c>
      <c r="CX42" s="237">
        <f>K42+S42+AQ42+AU42+O42+AY42+BC42+BG42+BK42+BO42+BS42+BW42+CA42+CE42+CI42+CM42+CQ42+CU42+W42+AA42+AM42</f>
        <v>116860.35000000002</v>
      </c>
      <c r="CY42" s="237">
        <f>L42+T42+AR42+AV42+P42+AZ42+BD42+BH42+BL42+BP42+BT42+BX42+CB42+CF42+CJ42+CN42+CR42+CV42+X42+AB42+AN42-0.02</f>
        <v>4824435.6100000031</v>
      </c>
    </row>
    <row r="43" spans="1:103">
      <c r="A43" s="187">
        <v>45291</v>
      </c>
      <c r="E43" s="242">
        <f>CY54</f>
        <v>1968470.8800000013</v>
      </c>
      <c r="F43" s="243" t="s">
        <v>546</v>
      </c>
      <c r="H43" s="182">
        <v>44957</v>
      </c>
      <c r="I43" s="200">
        <v>-1000000</v>
      </c>
      <c r="J43" s="200">
        <v>-1755880</v>
      </c>
      <c r="K43" s="200">
        <v>48787.360000000001</v>
      </c>
      <c r="L43" s="200">
        <f t="shared" si="30"/>
        <v>494099.77000000014</v>
      </c>
      <c r="O43" s="200">
        <v>122272.78</v>
      </c>
      <c r="P43" s="200">
        <f t="shared" si="31"/>
        <v>1238417.0800000005</v>
      </c>
      <c r="S43" s="200">
        <v>4350.17</v>
      </c>
      <c r="T43" s="200">
        <f t="shared" si="32"/>
        <v>44058.710000000006</v>
      </c>
      <c r="W43" s="200">
        <v>7085.1</v>
      </c>
      <c r="X43" s="200">
        <f t="shared" si="33"/>
        <v>71756.200000000012</v>
      </c>
      <c r="Y43" s="2">
        <v>141.8991</v>
      </c>
      <c r="Z43" s="200">
        <v>151471.66</v>
      </c>
      <c r="AA43" s="200">
        <v>18464.16</v>
      </c>
      <c r="AB43" s="200">
        <f t="shared" si="34"/>
        <v>229129.15</v>
      </c>
      <c r="AD43" s="200"/>
      <c r="AE43" s="200"/>
      <c r="AF43" s="200">
        <f t="shared" si="26"/>
        <v>0</v>
      </c>
      <c r="AH43" s="200"/>
      <c r="AI43" s="200"/>
      <c r="AJ43" s="200">
        <f t="shared" si="27"/>
        <v>0</v>
      </c>
      <c r="AM43" s="200">
        <v>-174.61</v>
      </c>
      <c r="AN43" s="200">
        <f t="shared" si="35"/>
        <v>98289.57000000008</v>
      </c>
      <c r="AQ43" s="200"/>
      <c r="AR43" s="200"/>
      <c r="AU43" s="200">
        <v>2574.1</v>
      </c>
      <c r="AV43" s="200">
        <f t="shared" si="37"/>
        <v>90583.800000000061</v>
      </c>
      <c r="AY43" s="200">
        <v>-528.01</v>
      </c>
      <c r="AZ43" s="200">
        <f t="shared" si="38"/>
        <v>306646.22999999992</v>
      </c>
      <c r="BC43" s="200">
        <v>-198.78</v>
      </c>
      <c r="BD43" s="200">
        <f t="shared" si="39"/>
        <v>114200.46000000002</v>
      </c>
      <c r="BG43" s="200"/>
      <c r="BO43" s="200">
        <v>-82.67</v>
      </c>
      <c r="BP43" s="200">
        <f t="shared" si="11"/>
        <v>45878.66</v>
      </c>
      <c r="BS43" s="200">
        <v>-83.64</v>
      </c>
      <c r="BT43" s="200">
        <f t="shared" si="40"/>
        <v>46837.050000000017</v>
      </c>
      <c r="BW43" s="200">
        <v>-459.67</v>
      </c>
      <c r="BX43" s="200">
        <f t="shared" si="41"/>
        <v>266723.18000000028</v>
      </c>
      <c r="CA43" s="200">
        <v>-20.47</v>
      </c>
      <c r="CB43" s="200">
        <f t="shared" si="42"/>
        <v>10605.179999999998</v>
      </c>
      <c r="CE43" s="200">
        <v>-138.94</v>
      </c>
      <c r="CF43" s="200">
        <f t="shared" si="43"/>
        <v>79301.88</v>
      </c>
      <c r="CI43" s="200">
        <v>-138.11000000000001</v>
      </c>
      <c r="CJ43" s="200">
        <f t="shared" si="44"/>
        <v>79320.73000000001</v>
      </c>
      <c r="CM43" s="200">
        <v>-47.43</v>
      </c>
      <c r="CN43" s="200">
        <f t="shared" si="45"/>
        <v>26383.849999999995</v>
      </c>
      <c r="CQ43" s="200">
        <v>-36.5</v>
      </c>
      <c r="CR43" s="200">
        <f t="shared" si="46"/>
        <v>20050.240000000009</v>
      </c>
      <c r="CU43" s="200">
        <v>-15.68</v>
      </c>
      <c r="CV43" s="200">
        <f t="shared" si="47"/>
        <v>7883.0499999999984</v>
      </c>
      <c r="CW43" s="237">
        <f t="shared" ref="CW43:CY51" si="48">J43+R43+AP43+AT43+N43+AX43+BB43+BF43+BJ43+BN43+BR43+BV43+BZ43+CD43+CH43+CL43+CP43+CT43+V43+Z43+AL43</f>
        <v>-1604408.34</v>
      </c>
      <c r="CX43" s="237">
        <f t="shared" si="48"/>
        <v>201609.16</v>
      </c>
      <c r="CY43" s="237">
        <f t="shared" si="48"/>
        <v>3270164.7900000014</v>
      </c>
    </row>
    <row r="44" spans="1:103">
      <c r="A44" s="187">
        <v>45310</v>
      </c>
      <c r="B44" s="401">
        <f>56.5543+789.0292</f>
        <v>845.58349999999996</v>
      </c>
      <c r="C44" s="132">
        <f>D44/B44</f>
        <v>603.48219897857518</v>
      </c>
      <c r="D44" s="200">
        <v>510294.59</v>
      </c>
      <c r="E44" s="242"/>
      <c r="F44" s="2" t="s">
        <v>561</v>
      </c>
      <c r="H44" s="182">
        <v>44985</v>
      </c>
      <c r="I44" s="200"/>
      <c r="J44" s="200"/>
      <c r="K44" s="200">
        <v>-34978.18</v>
      </c>
      <c r="L44" s="200">
        <f t="shared" si="30"/>
        <v>459121.59000000014</v>
      </c>
      <c r="O44" s="200">
        <v>-87670.97</v>
      </c>
      <c r="P44" s="200">
        <f t="shared" si="31"/>
        <v>1150746.1100000006</v>
      </c>
      <c r="S44" s="200">
        <v>-3119.02</v>
      </c>
      <c r="T44" s="200">
        <f t="shared" si="32"/>
        <v>40939.69000000001</v>
      </c>
      <c r="W44" s="200">
        <v>-5080.25</v>
      </c>
      <c r="X44" s="200">
        <f t="shared" si="33"/>
        <v>66675.950000000012</v>
      </c>
      <c r="Z44" s="200"/>
      <c r="AA44" s="200">
        <v>-13238.34</v>
      </c>
      <c r="AB44" s="200">
        <f t="shared" si="34"/>
        <v>215890.81</v>
      </c>
      <c r="AD44" s="200"/>
      <c r="AE44" s="200"/>
      <c r="AF44" s="200">
        <f t="shared" si="26"/>
        <v>0</v>
      </c>
      <c r="AH44" s="200"/>
      <c r="AI44" s="200"/>
      <c r="AJ44" s="200">
        <f t="shared" si="27"/>
        <v>0</v>
      </c>
      <c r="AM44" s="200">
        <v>-169.45</v>
      </c>
      <c r="AN44" s="200">
        <f t="shared" si="35"/>
        <v>98120.120000000083</v>
      </c>
      <c r="AQ44" s="200"/>
      <c r="AR44" s="200"/>
      <c r="AU44" s="200">
        <v>5449.42</v>
      </c>
      <c r="AV44" s="200">
        <f t="shared" si="37"/>
        <v>96033.220000000059</v>
      </c>
      <c r="AY44" s="200">
        <v>-528.01</v>
      </c>
      <c r="AZ44" s="200">
        <f t="shared" si="38"/>
        <v>306118.21999999991</v>
      </c>
      <c r="BC44" s="200">
        <v>-198.78</v>
      </c>
      <c r="BD44" s="200">
        <f t="shared" si="39"/>
        <v>114001.68000000002</v>
      </c>
      <c r="BG44" s="200"/>
      <c r="BO44" s="200">
        <v>-82.19</v>
      </c>
      <c r="BP44" s="200">
        <f t="shared" si="11"/>
        <v>45796.47</v>
      </c>
      <c r="BS44" s="200">
        <v>-83.64</v>
      </c>
      <c r="BT44" s="200">
        <f t="shared" si="40"/>
        <v>46753.410000000018</v>
      </c>
      <c r="BW44" s="200">
        <v>-456.91</v>
      </c>
      <c r="BX44" s="200">
        <f t="shared" si="41"/>
        <v>266266.27000000031</v>
      </c>
      <c r="CA44" s="200">
        <v>-20.260000000000002</v>
      </c>
      <c r="CB44" s="200">
        <f t="shared" si="42"/>
        <v>10584.919999999998</v>
      </c>
      <c r="CE44" s="200">
        <v>-137.30000000000001</v>
      </c>
      <c r="CF44" s="200">
        <f t="shared" si="43"/>
        <v>79164.58</v>
      </c>
      <c r="CI44" s="200">
        <v>-137.29</v>
      </c>
      <c r="CJ44" s="200">
        <f t="shared" si="44"/>
        <v>79183.440000000017</v>
      </c>
      <c r="CM44" s="200">
        <v>-47.16</v>
      </c>
      <c r="CN44" s="200">
        <f t="shared" si="45"/>
        <v>26336.689999999995</v>
      </c>
      <c r="CQ44" s="200">
        <v>-56.8</v>
      </c>
      <c r="CR44" s="200">
        <f t="shared" si="46"/>
        <v>19993.44000000001</v>
      </c>
      <c r="CU44" s="200">
        <v>-15.59</v>
      </c>
      <c r="CV44" s="200">
        <f t="shared" si="47"/>
        <v>7867.4599999999982</v>
      </c>
      <c r="CW44" s="237">
        <f t="shared" si="48"/>
        <v>0</v>
      </c>
      <c r="CX44" s="237">
        <f t="shared" si="48"/>
        <v>-140570.72</v>
      </c>
      <c r="CY44" s="237">
        <f t="shared" si="48"/>
        <v>3129594.0700000017</v>
      </c>
    </row>
    <row r="45" spans="1:103">
      <c r="A45" s="187">
        <v>45351</v>
      </c>
      <c r="B45" s="401"/>
      <c r="E45" s="242">
        <v>1369830.34</v>
      </c>
      <c r="F45" s="243" t="s">
        <v>546</v>
      </c>
      <c r="H45" s="182">
        <v>45016</v>
      </c>
      <c r="I45" s="200"/>
      <c r="J45" s="200"/>
      <c r="K45" s="200">
        <v>2883.57</v>
      </c>
      <c r="L45" s="200">
        <f t="shared" si="30"/>
        <v>462005.16000000015</v>
      </c>
      <c r="O45" s="200">
        <v>7230.23</v>
      </c>
      <c r="P45" s="200">
        <f t="shared" si="31"/>
        <v>1157976.3400000005</v>
      </c>
      <c r="S45" s="200">
        <v>257.36</v>
      </c>
      <c r="T45" s="200">
        <f t="shared" si="32"/>
        <v>41197.05000000001</v>
      </c>
      <c r="W45" s="2">
        <v>419.14</v>
      </c>
      <c r="X45" s="200">
        <f t="shared" si="33"/>
        <v>67095.090000000011</v>
      </c>
      <c r="Z45" s="200"/>
      <c r="AA45" s="2">
        <v>1091.3499999999999</v>
      </c>
      <c r="AB45" s="200">
        <f t="shared" si="34"/>
        <v>216982.16</v>
      </c>
      <c r="AD45" s="200"/>
      <c r="AF45" s="200">
        <f t="shared" si="26"/>
        <v>0</v>
      </c>
      <c r="AH45" s="200"/>
      <c r="AJ45" s="200">
        <f t="shared" si="27"/>
        <v>0</v>
      </c>
      <c r="AM45" s="200">
        <v>-182.88</v>
      </c>
      <c r="AN45" s="200">
        <f t="shared" si="35"/>
        <v>97937.240000000078</v>
      </c>
      <c r="AU45" s="200">
        <v>-1862.12</v>
      </c>
      <c r="AV45" s="200">
        <f t="shared" si="37"/>
        <v>94171.100000000064</v>
      </c>
      <c r="AY45" s="200">
        <v>-556.80999999999995</v>
      </c>
      <c r="AZ45" s="200">
        <f t="shared" si="38"/>
        <v>305561.40999999992</v>
      </c>
      <c r="BC45" s="200">
        <v>-212.98</v>
      </c>
      <c r="BD45" s="200">
        <f t="shared" si="39"/>
        <v>113788.70000000003</v>
      </c>
      <c r="BO45" s="200">
        <v>-85.53</v>
      </c>
      <c r="BP45" s="200">
        <f t="shared" si="11"/>
        <v>45710.94</v>
      </c>
      <c r="BS45" s="200">
        <v>-95.79</v>
      </c>
      <c r="BT45" s="200">
        <f t="shared" si="40"/>
        <v>46657.620000000017</v>
      </c>
      <c r="BW45" s="200">
        <v>-456.91</v>
      </c>
      <c r="BX45" s="200">
        <f t="shared" si="41"/>
        <v>265809.36000000034</v>
      </c>
      <c r="CA45" s="200">
        <v>-25.99</v>
      </c>
      <c r="CB45" s="200">
        <f t="shared" si="42"/>
        <v>10558.929999999998</v>
      </c>
      <c r="CE45" s="200">
        <v>-137.30000000000001</v>
      </c>
      <c r="CF45" s="200">
        <f t="shared" si="43"/>
        <v>79027.28</v>
      </c>
      <c r="CI45" s="200">
        <v>-137.30000000000001</v>
      </c>
      <c r="CJ45" s="200">
        <f t="shared" si="44"/>
        <v>79046.140000000014</v>
      </c>
      <c r="CM45" s="200">
        <v>-52.86</v>
      </c>
      <c r="CN45" s="200">
        <f t="shared" si="45"/>
        <v>26283.829999999994</v>
      </c>
      <c r="CQ45" s="200">
        <v>-41.84</v>
      </c>
      <c r="CR45" s="200">
        <f t="shared" si="46"/>
        <v>19951.600000000009</v>
      </c>
      <c r="CU45" s="200">
        <v>-15.59</v>
      </c>
      <c r="CV45" s="200">
        <f t="shared" si="47"/>
        <v>7851.8699999999981</v>
      </c>
      <c r="CW45" s="237">
        <f t="shared" si="48"/>
        <v>0</v>
      </c>
      <c r="CX45" s="237">
        <f t="shared" si="48"/>
        <v>8017.7500000000027</v>
      </c>
      <c r="CY45" s="237">
        <f t="shared" si="48"/>
        <v>3137611.8200000017</v>
      </c>
    </row>
    <row r="46" spans="1:103">
      <c r="A46" s="187">
        <v>45382</v>
      </c>
      <c r="E46" s="242">
        <v>1416123.63</v>
      </c>
      <c r="F46" s="243" t="s">
        <v>546</v>
      </c>
      <c r="H46" s="182">
        <v>45046</v>
      </c>
      <c r="I46" s="200"/>
      <c r="J46" s="200"/>
      <c r="K46" s="200">
        <v>-20978.79</v>
      </c>
      <c r="L46" s="200">
        <f t="shared" si="30"/>
        <v>441026.37000000017</v>
      </c>
      <c r="O46" s="200">
        <v>-52570.53</v>
      </c>
      <c r="P46" s="200">
        <f t="shared" si="31"/>
        <v>1105405.8100000005</v>
      </c>
      <c r="S46" s="200">
        <v>-1870.49</v>
      </c>
      <c r="T46" s="200">
        <f t="shared" si="32"/>
        <v>39326.560000000012</v>
      </c>
      <c r="W46" s="200">
        <v>-3047.11</v>
      </c>
      <c r="X46" s="200">
        <f t="shared" si="33"/>
        <v>64047.98000000001</v>
      </c>
      <c r="Z46" s="200"/>
      <c r="AA46" s="200">
        <v>-8346</v>
      </c>
      <c r="AB46" s="200">
        <f t="shared" si="34"/>
        <v>208636.16</v>
      </c>
      <c r="AD46" s="200"/>
      <c r="AE46" s="200"/>
      <c r="AF46" s="200">
        <f t="shared" si="26"/>
        <v>0</v>
      </c>
      <c r="AH46" s="200"/>
      <c r="AI46" s="200"/>
      <c r="AJ46" s="200">
        <f t="shared" si="27"/>
        <v>0</v>
      </c>
      <c r="AM46" s="200">
        <v>-170.49</v>
      </c>
      <c r="AN46" s="200">
        <f t="shared" si="35"/>
        <v>97766.750000000073</v>
      </c>
      <c r="AU46" s="200">
        <v>5549</v>
      </c>
      <c r="AV46" s="200">
        <f t="shared" si="37"/>
        <v>99720.100000000064</v>
      </c>
      <c r="AY46" s="200">
        <v>-524.80999999999995</v>
      </c>
      <c r="AZ46" s="200">
        <f t="shared" si="38"/>
        <v>305036.59999999992</v>
      </c>
      <c r="BC46" s="200">
        <v>-197.6</v>
      </c>
      <c r="BD46" s="200">
        <f t="shared" si="39"/>
        <v>113591.10000000002</v>
      </c>
      <c r="BO46" s="200">
        <v>-82.19</v>
      </c>
      <c r="BP46" s="200">
        <f t="shared" si="11"/>
        <v>45628.75</v>
      </c>
      <c r="BS46" s="200">
        <v>-83.15</v>
      </c>
      <c r="BT46" s="200">
        <f t="shared" si="40"/>
        <v>46574.470000000016</v>
      </c>
      <c r="BW46" s="200">
        <v>-456.91</v>
      </c>
      <c r="BX46" s="200">
        <f t="shared" si="41"/>
        <v>265352.45000000036</v>
      </c>
      <c r="CA46" s="200">
        <v>-20.25</v>
      </c>
      <c r="CB46" s="200">
        <f t="shared" si="42"/>
        <v>10538.679999999998</v>
      </c>
      <c r="CE46" s="200">
        <v>-138.12</v>
      </c>
      <c r="CF46" s="200">
        <f t="shared" si="43"/>
        <v>78889.16</v>
      </c>
      <c r="CI46" s="200">
        <v>-137.29</v>
      </c>
      <c r="CJ46" s="200">
        <f t="shared" si="44"/>
        <v>78908.85000000002</v>
      </c>
      <c r="CM46" s="200">
        <v>-47.16</v>
      </c>
      <c r="CN46" s="200">
        <f t="shared" si="45"/>
        <v>26236.669999999995</v>
      </c>
      <c r="CQ46" s="200">
        <v>-36.090000000000003</v>
      </c>
      <c r="CR46" s="200">
        <f t="shared" si="46"/>
        <v>19915.510000000009</v>
      </c>
      <c r="CU46" s="200">
        <v>-15.51</v>
      </c>
      <c r="CV46" s="200">
        <f t="shared" si="47"/>
        <v>7836.3599999999979</v>
      </c>
      <c r="CW46" s="237">
        <f t="shared" si="48"/>
        <v>0</v>
      </c>
      <c r="CX46" s="237">
        <f t="shared" si="48"/>
        <v>-83173.489999999991</v>
      </c>
      <c r="CY46" s="237">
        <f t="shared" si="48"/>
        <v>3054438.330000001</v>
      </c>
    </row>
    <row r="47" spans="1:103">
      <c r="A47" s="187">
        <v>45401</v>
      </c>
      <c r="B47" s="132">
        <v>524.10220000000004</v>
      </c>
      <c r="C47" s="132">
        <f>D47/B47</f>
        <v>902.99661020312442</v>
      </c>
      <c r="D47" s="200">
        <v>473262.51</v>
      </c>
      <c r="E47" s="131">
        <f>E46-D47-1670.87</f>
        <v>941190.24999999988</v>
      </c>
      <c r="F47" s="2" t="s">
        <v>562</v>
      </c>
      <c r="H47" s="182">
        <v>45077</v>
      </c>
      <c r="I47" s="200"/>
      <c r="J47" s="200"/>
      <c r="K47" s="200">
        <v>-42791.97</v>
      </c>
      <c r="L47" s="200">
        <f t="shared" si="30"/>
        <v>398234.40000000014</v>
      </c>
      <c r="O47" s="200">
        <v>-107260.27</v>
      </c>
      <c r="P47" s="200">
        <f t="shared" si="31"/>
        <v>998145.5400000005</v>
      </c>
      <c r="S47" s="200">
        <v>-3815.74</v>
      </c>
      <c r="T47" s="200">
        <f t="shared" si="32"/>
        <v>35510.820000000014</v>
      </c>
      <c r="W47" s="200">
        <v>-6214.06</v>
      </c>
      <c r="X47" s="200">
        <f t="shared" si="33"/>
        <v>57833.920000000013</v>
      </c>
      <c r="Z47" s="200"/>
      <c r="AA47" s="200">
        <v>-20242.349999999999</v>
      </c>
      <c r="AB47" s="200">
        <f t="shared" si="34"/>
        <v>188393.81</v>
      </c>
      <c r="AC47" s="2">
        <v>212.28190000000001</v>
      </c>
      <c r="AD47" s="200">
        <v>212281.98</v>
      </c>
      <c r="AE47" s="200">
        <v>-20597.79</v>
      </c>
      <c r="AF47" s="200">
        <f t="shared" si="26"/>
        <v>191684.19</v>
      </c>
      <c r="AH47" s="200"/>
      <c r="AI47" s="200"/>
      <c r="AJ47" s="200">
        <f t="shared" si="27"/>
        <v>0</v>
      </c>
      <c r="AL47" s="200"/>
      <c r="AM47" s="200">
        <v>-168.41</v>
      </c>
      <c r="AN47" s="200">
        <f t="shared" si="35"/>
        <v>97598.340000000069</v>
      </c>
      <c r="AU47" s="200">
        <v>-6134.02</v>
      </c>
      <c r="AV47" s="200">
        <f t="shared" si="37"/>
        <v>93586.08000000006</v>
      </c>
      <c r="AY47" s="200">
        <v>-524.80999999999995</v>
      </c>
      <c r="AZ47" s="200">
        <f t="shared" si="38"/>
        <v>304511.78999999992</v>
      </c>
      <c r="BC47" s="200">
        <v>-197.59</v>
      </c>
      <c r="BD47" s="200">
        <f t="shared" si="39"/>
        <v>113393.51000000002</v>
      </c>
      <c r="BO47" s="200">
        <v>-81.23</v>
      </c>
      <c r="BP47" s="200">
        <f t="shared" si="11"/>
        <v>45547.519999999997</v>
      </c>
      <c r="BS47" s="200">
        <v>-83.15</v>
      </c>
      <c r="BT47" s="200">
        <f t="shared" si="40"/>
        <v>46491.320000000014</v>
      </c>
      <c r="BU47" s="2">
        <v>-220.19810000000001</v>
      </c>
      <c r="BV47" s="200">
        <v>-212281.98</v>
      </c>
      <c r="BW47" s="200">
        <v>-92.48</v>
      </c>
      <c r="BX47" s="200">
        <f t="shared" si="41"/>
        <v>52977.990000000347</v>
      </c>
      <c r="CA47" s="200">
        <v>-20.260000000000002</v>
      </c>
      <c r="CB47" s="200">
        <f t="shared" si="42"/>
        <v>10518.419999999998</v>
      </c>
      <c r="CE47" s="200">
        <v>-137.31</v>
      </c>
      <c r="CF47" s="200">
        <f t="shared" si="43"/>
        <v>78751.850000000006</v>
      </c>
      <c r="CI47" s="200">
        <v>-136.47999999999999</v>
      </c>
      <c r="CJ47" s="200">
        <f t="shared" si="44"/>
        <v>78772.370000000024</v>
      </c>
      <c r="CM47" s="200">
        <v>-54.48</v>
      </c>
      <c r="CN47" s="200">
        <f t="shared" si="45"/>
        <v>26182.189999999995</v>
      </c>
      <c r="CQ47" s="200">
        <v>-43.47</v>
      </c>
      <c r="CR47" s="200">
        <f t="shared" si="46"/>
        <v>19872.040000000008</v>
      </c>
      <c r="CU47" s="200">
        <v>-15.52</v>
      </c>
      <c r="CV47" s="200">
        <f t="shared" si="47"/>
        <v>7820.8399999999974</v>
      </c>
      <c r="CW47" s="237">
        <f t="shared" si="48"/>
        <v>-212281.98</v>
      </c>
      <c r="CX47" s="237">
        <f>K47+S47+AQ47+AU47+O47+AY47+BC47+BG47+BK47+BO47+BS47+BW47+CA47+CE47+CI47+CM47+CQ47+CU47+W47+AA47+AM47+AE47</f>
        <v>-208611.39000000004</v>
      </c>
      <c r="CY47" s="237">
        <f>L47+T47+AR47+AV47+P47+AZ47+BD47+BH47+BL47+BP47+BT47+BX47+CB47+CF47+CJ47+CN47+CR47+CV47+X47+AB47+AN47+AF47</f>
        <v>2845826.9400000013</v>
      </c>
    </row>
    <row r="48" spans="1:103">
      <c r="A48" s="187">
        <v>45443</v>
      </c>
      <c r="E48" s="189">
        <v>94190.26</v>
      </c>
      <c r="F48" s="243" t="s">
        <v>546</v>
      </c>
      <c r="H48" s="182">
        <v>45107</v>
      </c>
      <c r="I48" s="200"/>
      <c r="J48" s="200"/>
      <c r="K48" s="200">
        <v>8115.59</v>
      </c>
      <c r="L48" s="200">
        <f t="shared" si="30"/>
        <v>406349.99000000017</v>
      </c>
      <c r="O48" s="200">
        <v>20337.25</v>
      </c>
      <c r="P48" s="200">
        <f t="shared" si="31"/>
        <v>1018482.7900000005</v>
      </c>
      <c r="S48" s="200">
        <v>723.39</v>
      </c>
      <c r="T48" s="200">
        <f t="shared" si="32"/>
        <v>36234.210000000014</v>
      </c>
      <c r="W48" s="200">
        <v>1178.49</v>
      </c>
      <c r="X48" s="200">
        <f t="shared" si="33"/>
        <v>59012.410000000011</v>
      </c>
      <c r="Z48" s="200"/>
      <c r="AA48" s="200">
        <v>3838.49</v>
      </c>
      <c r="AB48" s="200">
        <f t="shared" si="34"/>
        <v>192232.3</v>
      </c>
      <c r="AD48" s="200"/>
      <c r="AE48" s="200">
        <v>3905.98</v>
      </c>
      <c r="AF48" s="200">
        <f t="shared" si="26"/>
        <v>195590.17</v>
      </c>
      <c r="AG48" s="2">
        <v>38.6126</v>
      </c>
      <c r="AH48" s="200">
        <v>38612.629999999997</v>
      </c>
      <c r="AI48" s="200">
        <v>639.39</v>
      </c>
      <c r="AJ48" s="200">
        <f t="shared" si="27"/>
        <v>39252.019999999997</v>
      </c>
      <c r="AL48" s="200"/>
      <c r="AM48" s="200">
        <v>-169.45</v>
      </c>
      <c r="AN48" s="200">
        <f t="shared" si="35"/>
        <v>97428.890000000072</v>
      </c>
      <c r="AS48" s="373">
        <v>-102.7123</v>
      </c>
      <c r="AT48" s="200">
        <v>-38612.629999999997</v>
      </c>
      <c r="AU48" s="200">
        <v>-105.29</v>
      </c>
      <c r="AV48" s="200">
        <f t="shared" si="37"/>
        <v>54868.160000000062</v>
      </c>
      <c r="AY48" s="200">
        <v>-524.82000000000005</v>
      </c>
      <c r="AZ48" s="200">
        <f t="shared" si="38"/>
        <v>303986.96999999991</v>
      </c>
      <c r="BC48" s="200">
        <v>-197.6</v>
      </c>
      <c r="BD48" s="200">
        <f t="shared" si="39"/>
        <v>113195.91000000002</v>
      </c>
      <c r="BO48" s="200">
        <v>-81.709999999999994</v>
      </c>
      <c r="BP48" s="200">
        <f t="shared" si="11"/>
        <v>45465.81</v>
      </c>
      <c r="BS48" s="200">
        <v>-83.15</v>
      </c>
      <c r="BT48" s="200">
        <f t="shared" si="40"/>
        <v>46408.170000000013</v>
      </c>
      <c r="BV48" s="200"/>
      <c r="BW48" s="200">
        <v>-93.04</v>
      </c>
      <c r="BX48" s="200">
        <f t="shared" si="41"/>
        <v>52884.950000000346</v>
      </c>
      <c r="CA48" s="200">
        <v>-20.59</v>
      </c>
      <c r="CB48" s="200">
        <f t="shared" si="42"/>
        <v>10497.829999999998</v>
      </c>
      <c r="CE48" s="200">
        <v>-196.15</v>
      </c>
      <c r="CF48" s="200">
        <f t="shared" si="43"/>
        <v>78555.700000000012</v>
      </c>
      <c r="CI48" s="200">
        <v>-160.18</v>
      </c>
      <c r="CJ48" s="200">
        <f t="shared" si="44"/>
        <v>78612.190000000031</v>
      </c>
      <c r="CM48" s="200">
        <v>-46.89</v>
      </c>
      <c r="CN48" s="200">
        <f t="shared" si="45"/>
        <v>26135.299999999996</v>
      </c>
      <c r="CQ48" s="200">
        <v>-36.090000000000003</v>
      </c>
      <c r="CR48" s="200">
        <f t="shared" si="46"/>
        <v>19835.950000000008</v>
      </c>
      <c r="CU48" s="200">
        <v>-15.51</v>
      </c>
      <c r="CV48" s="200">
        <f t="shared" si="47"/>
        <v>7805.3299999999972</v>
      </c>
      <c r="CW48" s="237">
        <f t="shared" si="48"/>
        <v>-38612.629999999997</v>
      </c>
      <c r="CX48" s="237">
        <f t="shared" ref="CX48:CY55" si="49">K48+S48+AQ48+AU48+O48+AY48+BC48+BG48+BK48+BO48+BS48+BW48+CA48+CE48+CI48+CM48+CQ48+CU48+W48+AA48+AM48+AE48+AI48</f>
        <v>37008.11</v>
      </c>
      <c r="CY48" s="237">
        <f t="shared" si="49"/>
        <v>2882835.0500000012</v>
      </c>
    </row>
    <row r="49" spans="1:103">
      <c r="A49" s="187">
        <v>45473</v>
      </c>
      <c r="E49" s="417">
        <v>937791.7</v>
      </c>
      <c r="F49" s="243" t="s">
        <v>546</v>
      </c>
      <c r="H49" s="182">
        <v>45138</v>
      </c>
      <c r="I49" s="373">
        <v>-253.6121</v>
      </c>
      <c r="J49" s="200">
        <v>-406349.99</v>
      </c>
      <c r="K49" s="200">
        <v>0</v>
      </c>
      <c r="L49" s="200">
        <f t="shared" si="30"/>
        <v>1.7462298274040222E-10</v>
      </c>
      <c r="M49" s="373">
        <v>-140.64879999999999</v>
      </c>
      <c r="N49" s="200">
        <v>-80438.48</v>
      </c>
      <c r="O49" s="200">
        <v>56029.11</v>
      </c>
      <c r="P49" s="200">
        <f t="shared" si="31"/>
        <v>994073.42000000051</v>
      </c>
      <c r="S49" s="200">
        <v>2164.36</v>
      </c>
      <c r="T49" s="200">
        <f t="shared" si="32"/>
        <v>38398.570000000014</v>
      </c>
      <c r="W49" s="200">
        <v>3525.05</v>
      </c>
      <c r="X49" s="200">
        <f t="shared" si="33"/>
        <v>62537.460000000014</v>
      </c>
      <c r="Z49" s="200"/>
      <c r="AA49" s="200">
        <v>11481.92</v>
      </c>
      <c r="AB49" s="200">
        <f t="shared" si="34"/>
        <v>203714.22</v>
      </c>
      <c r="AD49" s="200"/>
      <c r="AE49" s="200">
        <v>11684</v>
      </c>
      <c r="AF49" s="200">
        <f t="shared" si="26"/>
        <v>207274.17</v>
      </c>
      <c r="AH49" s="200"/>
      <c r="AI49" s="200">
        <v>1883.53</v>
      </c>
      <c r="AJ49" s="200">
        <f t="shared" si="27"/>
        <v>41135.549999999996</v>
      </c>
      <c r="AL49" s="200"/>
      <c r="AM49" s="200">
        <v>-193.21</v>
      </c>
      <c r="AN49" s="200">
        <f t="shared" si="35"/>
        <v>97235.680000000066</v>
      </c>
      <c r="AU49" s="200">
        <v>-157.93</v>
      </c>
      <c r="AV49" s="200">
        <f t="shared" si="37"/>
        <v>54710.230000000061</v>
      </c>
      <c r="AY49" s="200">
        <v>-566.41</v>
      </c>
      <c r="AZ49" s="200">
        <f t="shared" si="38"/>
        <v>303420.55999999994</v>
      </c>
      <c r="BC49" s="200">
        <v>-227.18</v>
      </c>
      <c r="BD49" s="200">
        <f t="shared" si="39"/>
        <v>112968.73000000003</v>
      </c>
      <c r="BO49" s="200">
        <v>-110.86</v>
      </c>
      <c r="BP49" s="200">
        <f t="shared" si="11"/>
        <v>45354.95</v>
      </c>
      <c r="BS49" s="200">
        <v>-89.47</v>
      </c>
      <c r="BT49" s="200">
        <f t="shared" si="40"/>
        <v>46318.700000000012</v>
      </c>
      <c r="BV49" s="200"/>
      <c r="BW49" s="200">
        <v>-105.14</v>
      </c>
      <c r="BX49" s="200">
        <f t="shared" si="41"/>
        <v>52779.810000000347</v>
      </c>
      <c r="CA49" s="200">
        <v>-32.81</v>
      </c>
      <c r="CB49" s="200">
        <f t="shared" si="42"/>
        <v>10465.019999999999</v>
      </c>
      <c r="CE49" s="200">
        <v>-137.30000000000001</v>
      </c>
      <c r="CF49" s="200">
        <f t="shared" si="43"/>
        <v>78418.400000000009</v>
      </c>
      <c r="CI49" s="200">
        <v>-149.55000000000001</v>
      </c>
      <c r="CJ49" s="200">
        <f t="shared" si="44"/>
        <v>78462.640000000029</v>
      </c>
      <c r="CM49" s="200">
        <v>-57.73</v>
      </c>
      <c r="CN49" s="200">
        <f t="shared" si="45"/>
        <v>26077.569999999996</v>
      </c>
      <c r="CQ49" s="200">
        <v>-47.78</v>
      </c>
      <c r="CR49" s="200">
        <f t="shared" si="46"/>
        <v>19788.170000000009</v>
      </c>
      <c r="CU49" s="200">
        <v>-16.48</v>
      </c>
      <c r="CV49" s="200">
        <f t="shared" si="47"/>
        <v>7788.8499999999976</v>
      </c>
      <c r="CW49" s="237">
        <f t="shared" si="48"/>
        <v>-486788.47</v>
      </c>
      <c r="CX49" s="237">
        <f t="shared" si="49"/>
        <v>84876.119999999981</v>
      </c>
      <c r="CY49" s="375">
        <f t="shared" si="49"/>
        <v>2480922.7000000011</v>
      </c>
    </row>
    <row r="50" spans="1:103">
      <c r="A50" s="187">
        <v>45504</v>
      </c>
      <c r="E50" s="417">
        <v>936123.6</v>
      </c>
      <c r="F50" s="243" t="s">
        <v>546</v>
      </c>
      <c r="H50" s="182">
        <v>45169</v>
      </c>
      <c r="I50" s="200"/>
      <c r="J50" s="200"/>
      <c r="K50" s="200"/>
      <c r="L50" s="200">
        <f t="shared" si="30"/>
        <v>1.7462298274040222E-10</v>
      </c>
      <c r="O50" s="200">
        <v>-56012.69</v>
      </c>
      <c r="P50" s="200">
        <f t="shared" si="31"/>
        <v>938060.73000000045</v>
      </c>
      <c r="S50" s="200">
        <v>-2163.7800000000002</v>
      </c>
      <c r="T50" s="200">
        <f t="shared" si="32"/>
        <v>36234.790000000015</v>
      </c>
      <c r="W50" s="200">
        <v>-3524.31</v>
      </c>
      <c r="X50" s="200">
        <f t="shared" si="33"/>
        <v>59013.150000000016</v>
      </c>
      <c r="Z50" s="200"/>
      <c r="AA50" s="200">
        <v>-11479.95</v>
      </c>
      <c r="AB50" s="200">
        <f t="shared" si="34"/>
        <v>192234.27</v>
      </c>
      <c r="AD50" s="200"/>
      <c r="AE50" s="200">
        <v>-11679.75</v>
      </c>
      <c r="AF50" s="200">
        <f t="shared" si="26"/>
        <v>195594.42</v>
      </c>
      <c r="AH50" s="200"/>
      <c r="AI50" s="200">
        <v>-1882.75</v>
      </c>
      <c r="AJ50" s="200">
        <f t="shared" si="27"/>
        <v>39252.799999999996</v>
      </c>
      <c r="AL50" s="200"/>
      <c r="AM50" s="200">
        <v>-169.45</v>
      </c>
      <c r="AN50" s="200">
        <f t="shared" si="35"/>
        <v>97066.230000000069</v>
      </c>
      <c r="AU50" s="200">
        <v>-128.69</v>
      </c>
      <c r="AV50" s="200">
        <f t="shared" si="37"/>
        <v>54581.540000000059</v>
      </c>
      <c r="AY50" s="200">
        <v>-521.61</v>
      </c>
      <c r="AZ50" s="200">
        <f t="shared" si="38"/>
        <v>302898.94999999995</v>
      </c>
      <c r="BC50" s="200">
        <v>-205.88</v>
      </c>
      <c r="BD50" s="200">
        <f t="shared" si="39"/>
        <v>112762.85000000002</v>
      </c>
      <c r="BO50" s="200">
        <v>-90.31</v>
      </c>
      <c r="BP50" s="200">
        <f t="shared" si="11"/>
        <v>45264.639999999999</v>
      </c>
      <c r="BS50" s="200">
        <v>-95.31</v>
      </c>
      <c r="BT50" s="200">
        <f t="shared" si="40"/>
        <v>46223.390000000014</v>
      </c>
      <c r="BV50" s="200"/>
      <c r="BW50" s="200">
        <v>-97.99</v>
      </c>
      <c r="BX50" s="200">
        <f t="shared" si="41"/>
        <v>52681.820000000349</v>
      </c>
      <c r="CA50" s="200">
        <v>-20.37</v>
      </c>
      <c r="CB50" s="200">
        <f t="shared" si="42"/>
        <v>10444.649999999998</v>
      </c>
      <c r="CE50" s="200">
        <v>-156.91999999999999</v>
      </c>
      <c r="CF50" s="200">
        <f t="shared" si="43"/>
        <v>78261.48000000001</v>
      </c>
      <c r="CI50" s="200">
        <v>-136.47999999999999</v>
      </c>
      <c r="CJ50" s="200">
        <f t="shared" si="44"/>
        <v>78326.160000000033</v>
      </c>
      <c r="CM50" s="200">
        <v>-46.62</v>
      </c>
      <c r="CN50" s="200">
        <f t="shared" si="45"/>
        <v>26030.949999999997</v>
      </c>
      <c r="CQ50" s="200">
        <v>-35.68</v>
      </c>
      <c r="CR50" s="200">
        <f t="shared" si="46"/>
        <v>19752.490000000009</v>
      </c>
      <c r="CU50" s="200">
        <v>-27.71</v>
      </c>
      <c r="CV50" s="200">
        <f t="shared" si="47"/>
        <v>7761.1399999999976</v>
      </c>
      <c r="CW50" s="237">
        <f t="shared" si="48"/>
        <v>0</v>
      </c>
      <c r="CX50" s="237">
        <f t="shared" si="49"/>
        <v>-88476.25</v>
      </c>
      <c r="CY50" s="375">
        <f t="shared" si="49"/>
        <v>2392446.4500000007</v>
      </c>
    </row>
    <row r="51" spans="1:103">
      <c r="A51" s="187">
        <v>45535</v>
      </c>
      <c r="E51" s="417">
        <v>934224.12</v>
      </c>
      <c r="F51" s="243" t="s">
        <v>546</v>
      </c>
      <c r="H51" s="182">
        <v>45199</v>
      </c>
      <c r="L51" s="200">
        <f t="shared" si="30"/>
        <v>1.7462298274040222E-10</v>
      </c>
      <c r="O51" s="200">
        <v>-17779.72</v>
      </c>
      <c r="P51" s="200">
        <f t="shared" si="31"/>
        <v>920281.01000000047</v>
      </c>
      <c r="S51" s="200">
        <v>-686.29</v>
      </c>
      <c r="T51" s="200">
        <f t="shared" si="32"/>
        <v>35548.500000000015</v>
      </c>
      <c r="W51" s="200">
        <v>-1118.18</v>
      </c>
      <c r="X51" s="200">
        <f t="shared" si="33"/>
        <v>57894.970000000016</v>
      </c>
      <c r="AA51" s="200">
        <v>-3641.13</v>
      </c>
      <c r="AB51" s="200">
        <f t="shared" si="34"/>
        <v>188593.13999999998</v>
      </c>
      <c r="AE51" s="200">
        <v>-3706.44</v>
      </c>
      <c r="AF51" s="200">
        <f t="shared" si="26"/>
        <v>191887.98</v>
      </c>
      <c r="AI51" s="200">
        <v>-597.73</v>
      </c>
      <c r="AJ51" s="200">
        <f t="shared" si="27"/>
        <v>38655.069999999992</v>
      </c>
      <c r="AM51" s="200">
        <v>-178.75</v>
      </c>
      <c r="AN51" s="200">
        <f t="shared" si="35"/>
        <v>96887.480000000069</v>
      </c>
      <c r="AU51" s="200">
        <v>-106.75</v>
      </c>
      <c r="AV51" s="200">
        <f t="shared" si="37"/>
        <v>54474.790000000059</v>
      </c>
      <c r="AY51" s="200">
        <v>-521.61</v>
      </c>
      <c r="AZ51" s="200">
        <f t="shared" si="38"/>
        <v>302377.33999999997</v>
      </c>
      <c r="BC51" s="200">
        <v>-197.6</v>
      </c>
      <c r="BD51" s="200">
        <f t="shared" si="39"/>
        <v>112565.25000000001</v>
      </c>
      <c r="BO51" s="200">
        <v>-82.67</v>
      </c>
      <c r="BP51" s="200">
        <f t="shared" si="11"/>
        <v>45181.97</v>
      </c>
      <c r="BS51" s="200">
        <v>-83.15</v>
      </c>
      <c r="BT51" s="200">
        <f t="shared" si="40"/>
        <v>46140.240000000013</v>
      </c>
      <c r="BW51" s="200">
        <v>-93.58</v>
      </c>
      <c r="BX51" s="200">
        <f t="shared" si="41"/>
        <v>52588.240000000347</v>
      </c>
      <c r="CA51" s="200">
        <v>-24.66</v>
      </c>
      <c r="CB51" s="200">
        <f t="shared" si="42"/>
        <v>10419.989999999998</v>
      </c>
      <c r="CE51" s="200">
        <v>-137.30000000000001</v>
      </c>
      <c r="CF51" s="200">
        <f t="shared" si="43"/>
        <v>78124.180000000008</v>
      </c>
      <c r="CI51" s="200">
        <v>-136.47999999999999</v>
      </c>
      <c r="CJ51" s="200">
        <f t="shared" si="44"/>
        <v>78189.680000000037</v>
      </c>
      <c r="CM51" s="200">
        <v>-47.16</v>
      </c>
      <c r="CN51" s="200">
        <f t="shared" si="45"/>
        <v>25983.789999999997</v>
      </c>
      <c r="CQ51" s="200">
        <v>-36.299999999999997</v>
      </c>
      <c r="CR51" s="200">
        <f t="shared" si="46"/>
        <v>19716.19000000001</v>
      </c>
      <c r="CU51" s="200">
        <v>-16.16</v>
      </c>
      <c r="CV51" s="200">
        <f t="shared" si="47"/>
        <v>7744.9799999999977</v>
      </c>
      <c r="CW51" s="237">
        <f t="shared" si="48"/>
        <v>0</v>
      </c>
      <c r="CX51" s="237">
        <f t="shared" si="49"/>
        <v>-29191.66</v>
      </c>
      <c r="CY51" s="375">
        <f t="shared" si="49"/>
        <v>2363254.7900000005</v>
      </c>
    </row>
    <row r="52" spans="1:103">
      <c r="A52" s="187">
        <v>45565</v>
      </c>
      <c r="E52" s="417">
        <v>932552.82</v>
      </c>
      <c r="F52" s="243" t="s">
        <v>546</v>
      </c>
      <c r="H52" s="182">
        <v>45230</v>
      </c>
      <c r="L52" s="200">
        <f t="shared" si="30"/>
        <v>1.7462298274040222E-10</v>
      </c>
      <c r="M52" s="373">
        <v>-851.16639999999995</v>
      </c>
      <c r="N52" s="200">
        <v>-477572.46</v>
      </c>
      <c r="O52" s="200">
        <v>-2793.14</v>
      </c>
      <c r="P52" s="200">
        <f t="shared" si="31"/>
        <v>439915.41000000044</v>
      </c>
      <c r="S52" s="200">
        <v>-224.9</v>
      </c>
      <c r="T52" s="200">
        <f t="shared" si="32"/>
        <v>35323.600000000013</v>
      </c>
      <c r="W52" s="200">
        <v>-366.28</v>
      </c>
      <c r="X52" s="200">
        <f t="shared" si="33"/>
        <v>57528.690000000017</v>
      </c>
      <c r="AA52" s="200">
        <v>-1192.01</v>
      </c>
      <c r="AB52" s="200">
        <f t="shared" si="34"/>
        <v>187401.12999999998</v>
      </c>
      <c r="AE52" s="200">
        <v>-1214.25</v>
      </c>
      <c r="AF52" s="200">
        <f t="shared" si="26"/>
        <v>190673.73</v>
      </c>
      <c r="AI52" s="200">
        <v>-233.6</v>
      </c>
      <c r="AJ52" s="200">
        <f t="shared" si="27"/>
        <v>38421.469999999994</v>
      </c>
      <c r="AM52" s="200">
        <v>-170.48</v>
      </c>
      <c r="AN52" s="200">
        <f t="shared" si="35"/>
        <v>96717.000000000073</v>
      </c>
      <c r="AU52" s="200">
        <v>-106.75</v>
      </c>
      <c r="AV52" s="200">
        <f t="shared" si="37"/>
        <v>54368.040000000059</v>
      </c>
      <c r="AY52" s="200">
        <v>-521.61</v>
      </c>
      <c r="AZ52" s="200">
        <f t="shared" si="38"/>
        <v>301855.73</v>
      </c>
      <c r="BC52" s="200">
        <v>-197.59</v>
      </c>
      <c r="BD52" s="200">
        <f t="shared" si="39"/>
        <v>112367.66000000002</v>
      </c>
      <c r="BO52" s="200">
        <v>-82.66</v>
      </c>
      <c r="BP52" s="200">
        <f t="shared" si="11"/>
        <v>45099.31</v>
      </c>
      <c r="BS52" s="200">
        <v>-82.67</v>
      </c>
      <c r="BT52" s="200">
        <f t="shared" si="40"/>
        <v>46057.570000000014</v>
      </c>
      <c r="BW52" s="200">
        <v>-94.14</v>
      </c>
      <c r="BX52" s="200">
        <f t="shared" si="41"/>
        <v>52494.100000000348</v>
      </c>
      <c r="CA52" s="200">
        <v>-20.48</v>
      </c>
      <c r="CB52" s="200">
        <f t="shared" si="42"/>
        <v>10399.509999999998</v>
      </c>
      <c r="CE52" s="200">
        <v>-137.31</v>
      </c>
      <c r="CF52" s="200">
        <f t="shared" si="43"/>
        <v>77986.87000000001</v>
      </c>
      <c r="CI52" s="200">
        <v>-136.47999999999999</v>
      </c>
      <c r="CJ52" s="200">
        <f t="shared" si="44"/>
        <v>78053.200000000041</v>
      </c>
      <c r="CM52" s="200">
        <v>-47.16</v>
      </c>
      <c r="CN52" s="200">
        <f t="shared" si="45"/>
        <v>25936.629999999997</v>
      </c>
      <c r="CQ52" s="200">
        <v>-36.29</v>
      </c>
      <c r="CR52" s="200">
        <f t="shared" si="46"/>
        <v>19679.900000000009</v>
      </c>
      <c r="CU52" s="200">
        <v>-16</v>
      </c>
      <c r="CV52" s="200">
        <f t="shared" si="47"/>
        <v>7728.9799999999977</v>
      </c>
      <c r="CW52" s="237">
        <f>J52+R52+AP52+AT52+N52+AX52+BB52+BF52+BJ52+BN52+BR52+BV52+BZ52+CD52+CH52+CL52+CP52+CT52+V52+Z52+AL52</f>
        <v>-477572.46</v>
      </c>
      <c r="CX52" s="237">
        <f t="shared" si="49"/>
        <v>-7673.7999999999993</v>
      </c>
      <c r="CY52" s="237">
        <f t="shared" si="49"/>
        <v>1878008.5300000007</v>
      </c>
    </row>
    <row r="53" spans="1:103">
      <c r="A53" s="187">
        <v>45596</v>
      </c>
      <c r="E53" s="417">
        <v>941648.37</v>
      </c>
      <c r="F53" s="243" t="s">
        <v>546</v>
      </c>
      <c r="H53" s="182">
        <v>45260</v>
      </c>
      <c r="L53" s="200">
        <f t="shared" si="30"/>
        <v>1.7462298274040222E-10</v>
      </c>
      <c r="M53" s="373"/>
      <c r="N53" s="200"/>
      <c r="O53" s="200">
        <v>30259.27</v>
      </c>
      <c r="P53" s="200">
        <f t="shared" si="31"/>
        <v>470174.68000000046</v>
      </c>
      <c r="S53" s="200">
        <v>2429.83</v>
      </c>
      <c r="T53" s="200">
        <f t="shared" si="32"/>
        <v>37753.430000000015</v>
      </c>
      <c r="W53" s="200">
        <v>3957.58</v>
      </c>
      <c r="X53" s="200">
        <f t="shared" si="33"/>
        <v>61486.270000000019</v>
      </c>
      <c r="AA53" s="200">
        <v>12891.01</v>
      </c>
      <c r="AB53" s="200">
        <f t="shared" si="34"/>
        <v>200292.13999999998</v>
      </c>
      <c r="AE53" s="200">
        <v>13116.89</v>
      </c>
      <c r="AF53" s="200">
        <f t="shared" si="26"/>
        <v>203790.62</v>
      </c>
      <c r="AI53" s="200">
        <v>2152.65</v>
      </c>
      <c r="AJ53" s="200">
        <f t="shared" si="27"/>
        <v>40574.119999999995</v>
      </c>
      <c r="AM53" s="200">
        <v>-173.58</v>
      </c>
      <c r="AN53" s="200">
        <f t="shared" si="35"/>
        <v>96543.420000000071</v>
      </c>
      <c r="AU53" s="200">
        <v>-105.29</v>
      </c>
      <c r="AV53" s="200">
        <f t="shared" si="37"/>
        <v>54262.750000000058</v>
      </c>
      <c r="AY53" s="200">
        <v>-521.61</v>
      </c>
      <c r="AZ53" s="200">
        <f t="shared" si="38"/>
        <v>301334.12</v>
      </c>
      <c r="BC53" s="200">
        <v>-198.78</v>
      </c>
      <c r="BD53" s="200">
        <f t="shared" si="39"/>
        <v>112168.88000000002</v>
      </c>
      <c r="BO53" s="200">
        <v>-82.19</v>
      </c>
      <c r="BP53" s="200">
        <f t="shared" si="11"/>
        <v>45017.119999999995</v>
      </c>
      <c r="BS53" s="200">
        <v>-83.15</v>
      </c>
      <c r="BT53" s="200">
        <f t="shared" si="40"/>
        <v>45974.420000000013</v>
      </c>
      <c r="BW53" s="200">
        <v>-93.58</v>
      </c>
      <c r="BX53" s="200">
        <f t="shared" si="41"/>
        <v>52400.520000000346</v>
      </c>
      <c r="CA53" s="200">
        <v>-20.48</v>
      </c>
      <c r="CB53" s="200">
        <f t="shared" si="42"/>
        <v>10379.029999999999</v>
      </c>
      <c r="CE53" s="200">
        <v>-137.30000000000001</v>
      </c>
      <c r="CF53" s="200">
        <f t="shared" si="43"/>
        <v>77849.570000000007</v>
      </c>
      <c r="CI53" s="200">
        <v>-136.47999999999999</v>
      </c>
      <c r="CJ53" s="200">
        <f t="shared" si="44"/>
        <v>77916.720000000045</v>
      </c>
      <c r="CM53" s="200">
        <v>-47.16</v>
      </c>
      <c r="CN53" s="200">
        <f t="shared" si="45"/>
        <v>25889.469999999998</v>
      </c>
      <c r="CQ53" s="200">
        <v>-36.299999999999997</v>
      </c>
      <c r="CR53" s="200">
        <f t="shared" si="46"/>
        <v>19643.600000000009</v>
      </c>
      <c r="CU53" s="200">
        <v>-16.079999999999998</v>
      </c>
      <c r="CV53" s="200">
        <f t="shared" si="47"/>
        <v>7712.8999999999978</v>
      </c>
      <c r="CW53" s="237">
        <f>J53+R53+AP53+AT53+N53+AX53+BB53+BF53+BJ53+BN53+BR53+BV53+BZ53+CD53+CH53+CL53+CP53+CT53+V53+Z53+AL53</f>
        <v>0</v>
      </c>
      <c r="CX53" s="237">
        <f t="shared" si="49"/>
        <v>63155.25</v>
      </c>
      <c r="CY53" s="237">
        <f t="shared" si="49"/>
        <v>1941163.7800000012</v>
      </c>
    </row>
    <row r="54" spans="1:103" ht="15">
      <c r="A54" s="187">
        <v>45623</v>
      </c>
      <c r="B54" s="132">
        <v>118.32126</v>
      </c>
      <c r="C54" s="132">
        <v>1020.46</v>
      </c>
      <c r="D54" s="404">
        <v>120742.46</v>
      </c>
      <c r="E54" s="417"/>
      <c r="F54" s="243" t="s">
        <v>563</v>
      </c>
      <c r="H54" s="182">
        <v>45291</v>
      </c>
      <c r="L54" s="200">
        <f t="shared" si="30"/>
        <v>1.7462298274040222E-10</v>
      </c>
      <c r="M54" s="373"/>
      <c r="N54" s="200"/>
      <c r="O54" s="200">
        <v>3045.65</v>
      </c>
      <c r="P54" s="200">
        <f t="shared" si="31"/>
        <v>473220.33000000048</v>
      </c>
      <c r="S54" s="200">
        <v>244.61</v>
      </c>
      <c r="T54" s="200">
        <f t="shared" si="32"/>
        <v>37998.040000000015</v>
      </c>
      <c r="W54" s="200">
        <v>398.29</v>
      </c>
      <c r="X54" s="200">
        <f t="shared" si="33"/>
        <v>61884.560000000019</v>
      </c>
      <c r="AA54" s="200">
        <v>1296.5999999999999</v>
      </c>
      <c r="AB54" s="200">
        <f t="shared" si="34"/>
        <v>201588.74</v>
      </c>
      <c r="AE54" s="200">
        <v>1320.4</v>
      </c>
      <c r="AF54" s="200">
        <f t="shared" si="26"/>
        <v>205111.02</v>
      </c>
      <c r="AI54" s="200">
        <v>212.37</v>
      </c>
      <c r="AJ54" s="200">
        <f t="shared" si="27"/>
        <v>40786.49</v>
      </c>
      <c r="AM54" s="200">
        <v>-170.48</v>
      </c>
      <c r="AN54" s="200">
        <f t="shared" si="35"/>
        <v>96372.940000000075</v>
      </c>
      <c r="AU54" s="200">
        <v>22357.599999999999</v>
      </c>
      <c r="AV54" s="200">
        <f t="shared" si="37"/>
        <v>76620.350000000064</v>
      </c>
      <c r="AY54" s="200">
        <v>-550.41</v>
      </c>
      <c r="AZ54" s="200">
        <f t="shared" si="38"/>
        <v>300783.71000000002</v>
      </c>
      <c r="BC54" s="200">
        <v>-196.42</v>
      </c>
      <c r="BD54" s="200">
        <f t="shared" si="39"/>
        <v>111972.46000000002</v>
      </c>
      <c r="BO54" s="200">
        <v>-82.67</v>
      </c>
      <c r="BP54" s="200">
        <f t="shared" si="11"/>
        <v>44934.45</v>
      </c>
      <c r="BS54" s="200">
        <v>-82.66</v>
      </c>
      <c r="BT54" s="200">
        <f t="shared" si="40"/>
        <v>45891.760000000009</v>
      </c>
      <c r="BW54" s="200">
        <v>-93.59</v>
      </c>
      <c r="BX54" s="200">
        <f t="shared" si="41"/>
        <v>52306.93000000035</v>
      </c>
      <c r="CA54" s="200">
        <v>-20.260000000000002</v>
      </c>
      <c r="CB54" s="200">
        <f t="shared" si="42"/>
        <v>10358.769999999999</v>
      </c>
      <c r="CE54" s="200">
        <v>-136.49</v>
      </c>
      <c r="CF54" s="200">
        <f t="shared" si="43"/>
        <v>77713.08</v>
      </c>
      <c r="CI54" s="200">
        <v>-136.47</v>
      </c>
      <c r="CJ54" s="200">
        <f t="shared" si="44"/>
        <v>77780.250000000044</v>
      </c>
      <c r="CM54" s="200">
        <v>-46.89</v>
      </c>
      <c r="CN54" s="200">
        <f t="shared" si="45"/>
        <v>25842.579999999998</v>
      </c>
      <c r="CQ54" s="200">
        <v>-36.090000000000003</v>
      </c>
      <c r="CR54" s="200">
        <f t="shared" si="46"/>
        <v>19607.510000000009</v>
      </c>
      <c r="CU54" s="200">
        <v>-15.99</v>
      </c>
      <c r="CV54" s="200">
        <f t="shared" si="47"/>
        <v>7696.909999999998</v>
      </c>
      <c r="CW54" s="237">
        <f>J54+R54+AP54+AT54+N54+AX54+BB54+BF54+BJ54+BN54+BR54+BV54+BZ54+CD54+CH54+CL54+CP54+CT54+V54+Z54+AL54</f>
        <v>0</v>
      </c>
      <c r="CX54" s="237">
        <f t="shared" si="49"/>
        <v>27307.100000000002</v>
      </c>
      <c r="CY54" s="237">
        <f t="shared" si="49"/>
        <v>1968470.8800000013</v>
      </c>
    </row>
    <row r="55" spans="1:103">
      <c r="A55" s="187">
        <v>45645</v>
      </c>
      <c r="B55" s="132">
        <v>55.049500000000002</v>
      </c>
      <c r="C55" s="132">
        <v>931.48</v>
      </c>
      <c r="D55" s="200">
        <f>B55*C55</f>
        <v>51277.508260000002</v>
      </c>
      <c r="E55" s="417"/>
      <c r="F55" s="243" t="s">
        <v>563</v>
      </c>
      <c r="H55" s="182">
        <v>45322</v>
      </c>
      <c r="P55" s="200">
        <f t="shared" si="31"/>
        <v>473220.33000000048</v>
      </c>
      <c r="T55" s="200">
        <f t="shared" si="32"/>
        <v>37998.040000000015</v>
      </c>
      <c r="X55" s="200">
        <f t="shared" si="33"/>
        <v>61884.560000000019</v>
      </c>
      <c r="AB55" s="200">
        <f t="shared" si="34"/>
        <v>201588.74</v>
      </c>
      <c r="AF55" s="200">
        <f t="shared" si="26"/>
        <v>205111.02</v>
      </c>
      <c r="AJ55" s="200">
        <f t="shared" si="27"/>
        <v>40786.49</v>
      </c>
      <c r="AN55" s="200">
        <f t="shared" si="35"/>
        <v>96372.940000000075</v>
      </c>
      <c r="AV55" s="200">
        <f t="shared" si="37"/>
        <v>76620.350000000064</v>
      </c>
      <c r="AZ55" s="200">
        <f t="shared" si="38"/>
        <v>300783.71000000002</v>
      </c>
      <c r="BD55" s="200">
        <f t="shared" si="39"/>
        <v>111972.46000000002</v>
      </c>
      <c r="BP55" s="200">
        <f t="shared" si="11"/>
        <v>44934.45</v>
      </c>
      <c r="BT55" s="200">
        <f t="shared" si="40"/>
        <v>45891.760000000009</v>
      </c>
      <c r="BX55" s="200">
        <f t="shared" si="41"/>
        <v>52306.93000000035</v>
      </c>
      <c r="CB55" s="200">
        <f t="shared" si="42"/>
        <v>10358.769999999999</v>
      </c>
      <c r="CF55" s="200">
        <f t="shared" si="43"/>
        <v>77713.08</v>
      </c>
      <c r="CJ55" s="200">
        <f t="shared" si="44"/>
        <v>77780.250000000044</v>
      </c>
      <c r="CN55" s="200">
        <f t="shared" si="45"/>
        <v>25842.579999999998</v>
      </c>
      <c r="CR55" s="200">
        <f t="shared" si="46"/>
        <v>19607.510000000009</v>
      </c>
      <c r="CV55" s="200">
        <f t="shared" si="47"/>
        <v>7696.909999999998</v>
      </c>
      <c r="CW55" s="237">
        <f>J55+R55+AP55+AT55+N55+AX55+BB55+BF55+BJ55+BN55+BR55+BV55+BZ55+CD55+CH55+CL55+CP55+CT55+V55+Z55+AL55</f>
        <v>0</v>
      </c>
      <c r="CX55" s="237">
        <f t="shared" si="49"/>
        <v>0</v>
      </c>
      <c r="CY55" s="237">
        <f t="shared" si="49"/>
        <v>1968470.8800000013</v>
      </c>
    </row>
    <row r="56" spans="1:103">
      <c r="A56" s="187"/>
      <c r="E56" s="417"/>
      <c r="F56" s="243"/>
      <c r="H56" s="182"/>
      <c r="P56" s="200"/>
      <c r="T56" s="200"/>
      <c r="X56" s="200"/>
      <c r="AB56" s="200"/>
      <c r="AF56" s="200"/>
      <c r="AJ56" s="200"/>
      <c r="AN56" s="200"/>
      <c r="AV56" s="200"/>
      <c r="AZ56" s="200"/>
      <c r="BD56" s="200"/>
      <c r="BP56" s="200"/>
      <c r="BT56" s="200"/>
      <c r="BX56" s="200"/>
      <c r="CB56" s="200"/>
      <c r="CF56" s="200"/>
      <c r="CJ56" s="200"/>
      <c r="CN56" s="200"/>
      <c r="CR56" s="200"/>
      <c r="CV56" s="200"/>
      <c r="CW56" s="237"/>
      <c r="CX56" s="237"/>
      <c r="CY56" s="237"/>
    </row>
    <row r="57" spans="1:103">
      <c r="A57" s="187">
        <v>45657</v>
      </c>
      <c r="E57" s="417">
        <v>793217.37</v>
      </c>
      <c r="F57" s="243" t="s">
        <v>546</v>
      </c>
      <c r="H57" s="182"/>
      <c r="P57" s="200"/>
      <c r="T57" s="200"/>
      <c r="X57" s="200"/>
      <c r="AB57" s="200"/>
      <c r="AF57" s="200"/>
      <c r="AJ57" s="200"/>
      <c r="AN57" s="200"/>
      <c r="AV57" s="200"/>
      <c r="AZ57" s="200"/>
      <c r="BD57" s="200"/>
      <c r="BP57" s="200"/>
      <c r="BT57" s="200"/>
      <c r="BX57" s="200"/>
      <c r="CB57" s="200"/>
      <c r="CF57" s="200"/>
      <c r="CJ57" s="200"/>
      <c r="CN57" s="200"/>
      <c r="CR57" s="200"/>
      <c r="CV57" s="200"/>
      <c r="CW57" s="237"/>
      <c r="CX57" s="237"/>
      <c r="CY57" s="237"/>
    </row>
    <row r="58" spans="1:103">
      <c r="A58" s="187"/>
      <c r="E58" s="417"/>
      <c r="F58" s="243"/>
      <c r="H58" s="182"/>
      <c r="P58" s="200"/>
      <c r="T58" s="200"/>
      <c r="X58" s="200"/>
      <c r="AB58" s="200"/>
      <c r="AF58" s="200"/>
      <c r="AJ58" s="200"/>
      <c r="AN58" s="200"/>
      <c r="AV58" s="200"/>
      <c r="AZ58" s="200"/>
      <c r="BD58" s="200"/>
      <c r="BP58" s="200"/>
      <c r="BT58" s="200"/>
      <c r="BX58" s="200"/>
      <c r="CB58" s="200"/>
      <c r="CF58" s="200"/>
      <c r="CJ58" s="200"/>
      <c r="CN58" s="200"/>
      <c r="CR58" s="200"/>
      <c r="CV58" s="200"/>
      <c r="CW58" s="237"/>
      <c r="CX58" s="237"/>
      <c r="CY58" s="237"/>
    </row>
    <row r="59" spans="1:103">
      <c r="E59" s="131"/>
    </row>
    <row r="60" spans="1:103">
      <c r="A60" s="192" cm="1">
        <f t="array" ref="A60:B60">_xlfn.ANCHORARRAY(A2)</f>
        <v>45657</v>
      </c>
      <c r="B60" s="132">
        <v>0</v>
      </c>
      <c r="D60" s="200">
        <v>793271.37</v>
      </c>
      <c r="F60" s="191" t="s">
        <v>288</v>
      </c>
    </row>
    <row r="61" spans="1:103" ht="12" customHeight="1"/>
    <row r="65" spans="1:4">
      <c r="A65" s="244" t="s">
        <v>564</v>
      </c>
      <c r="B65" s="245">
        <f>SUM(B6:B54)</f>
        <v>11233.43426</v>
      </c>
      <c r="C65" s="245"/>
      <c r="D65" s="246">
        <f>SUM(D6:D55)</f>
        <v>20196162.998260003</v>
      </c>
    </row>
    <row r="66" spans="1:4">
      <c r="A66" s="247" t="s">
        <v>565</v>
      </c>
      <c r="B66" s="248">
        <f>-(B5+B65)</f>
        <v>-1233.43426</v>
      </c>
      <c r="C66" s="248"/>
      <c r="D66" s="249">
        <f>D60</f>
        <v>793271.37</v>
      </c>
    </row>
    <row r="67" spans="1:4">
      <c r="A67" s="247" t="s">
        <v>115</v>
      </c>
      <c r="B67" s="250"/>
      <c r="C67" s="250"/>
      <c r="D67" s="251">
        <f>SUM(D6:D60)/-D5</f>
        <v>2.0989434368260005</v>
      </c>
    </row>
    <row r="68" spans="1:4">
      <c r="A68" s="252" t="s">
        <v>75</v>
      </c>
      <c r="B68" s="253"/>
      <c r="C68" s="253"/>
      <c r="D68" s="579">
        <f>XIRR(D5:D60,A5:A60,0)</f>
        <v>0.16955445800781249</v>
      </c>
    </row>
    <row r="71" spans="1:4">
      <c r="C71" s="132">
        <f>C6-$C$5</f>
        <v>667.67000000000007</v>
      </c>
      <c r="D71" s="200">
        <f>B6*C71</f>
        <v>1001505.0000000001</v>
      </c>
    </row>
    <row r="72" spans="1:4">
      <c r="C72" s="132">
        <f>C7-$C$5</f>
        <v>929.11999999999989</v>
      </c>
      <c r="D72" s="200">
        <f>B7*C72</f>
        <v>1393679.9999999998</v>
      </c>
    </row>
    <row r="73" spans="1:4">
      <c r="C73" s="132">
        <f>C8-$C$5</f>
        <v>939.44</v>
      </c>
      <c r="D73" s="200">
        <f>B8*C73</f>
        <v>1409160</v>
      </c>
    </row>
    <row r="74" spans="1:4">
      <c r="C74" s="132">
        <f>C9-$C$5</f>
        <v>1387.0900000000001</v>
      </c>
      <c r="D74" s="254">
        <f>B9*C74</f>
        <v>2080635.0000000002</v>
      </c>
    </row>
    <row r="75" spans="1:4">
      <c r="C75" s="132">
        <f>C11-$C$5</f>
        <v>1956.9099999999999</v>
      </c>
      <c r="D75" s="254">
        <f>B11*C75</f>
        <v>2935365</v>
      </c>
    </row>
    <row r="76" spans="1:4">
      <c r="C76" s="132">
        <f>C29-$C$5</f>
        <v>755.88000000000011</v>
      </c>
      <c r="D76" s="254">
        <f>B29*C76</f>
        <v>755880.00000000012</v>
      </c>
    </row>
    <row r="77" spans="1:4">
      <c r="C77" s="132">
        <f>C36-$C$5</f>
        <v>234.68614310980365</v>
      </c>
      <c r="D77" s="254">
        <f>B36*C77</f>
        <v>92527.569999999978</v>
      </c>
    </row>
    <row r="78" spans="1:4">
      <c r="C78" s="132">
        <f>C40-$C$5</f>
        <v>-438.91998086390618</v>
      </c>
      <c r="D78" s="254">
        <f>B40*C78</f>
        <v>-373593.93999999989</v>
      </c>
    </row>
    <row r="79" spans="1:4">
      <c r="D79" s="206">
        <f>SUM(D71:D78)</f>
        <v>9295158.6300000008</v>
      </c>
    </row>
    <row r="85" spans="5:5">
      <c r="E85" s="131">
        <f>E39-D40</f>
        <v>1885682.3199999998</v>
      </c>
    </row>
    <row r="86" spans="5:5">
      <c r="E86" s="131">
        <v>-620000</v>
      </c>
    </row>
    <row r="87" spans="5:5">
      <c r="E87" s="131">
        <f>SUM(E85:E86)</f>
        <v>1265682.3199999998</v>
      </c>
    </row>
    <row r="88" spans="5:5">
      <c r="E88" s="273">
        <v>0.5</v>
      </c>
    </row>
    <row r="89" spans="5:5">
      <c r="E89" s="131">
        <v>-630000</v>
      </c>
    </row>
    <row r="90" spans="5:5">
      <c r="E90" s="131">
        <f>E87+E89</f>
        <v>635682.31999999983</v>
      </c>
    </row>
    <row r="98" spans="2:4">
      <c r="B98" s="132">
        <v>1500</v>
      </c>
      <c r="C98" s="132">
        <f>D98/B98</f>
        <v>2956.91</v>
      </c>
      <c r="D98" s="212">
        <v>4435365</v>
      </c>
    </row>
    <row r="100" spans="2:4">
      <c r="B100" s="132" t="s">
        <v>49</v>
      </c>
    </row>
    <row r="101" spans="2:4">
      <c r="C101" s="132" t="s">
        <v>566</v>
      </c>
      <c r="D101" s="200" t="s">
        <v>567</v>
      </c>
    </row>
    <row r="102" spans="2:4">
      <c r="B102" s="588">
        <v>2020</v>
      </c>
      <c r="C102" s="132">
        <f>+SUM(D6:D9)</f>
        <v>11884980</v>
      </c>
      <c r="D102" s="200">
        <f>+C102</f>
        <v>11884980</v>
      </c>
    </row>
    <row r="103" spans="2:4">
      <c r="B103" s="588">
        <f>+B102+1</f>
        <v>2021</v>
      </c>
      <c r="C103" s="132">
        <f>+SUM(D10:D11)</f>
        <v>4435365</v>
      </c>
      <c r="D103" s="200">
        <f>+D102+C103</f>
        <v>16320345</v>
      </c>
    </row>
    <row r="104" spans="2:4">
      <c r="B104" s="588">
        <f t="shared" ref="B104:B106" si="50">+B103+1</f>
        <v>2022</v>
      </c>
      <c r="C104" s="132">
        <v>0</v>
      </c>
      <c r="D104" s="200">
        <f t="shared" ref="D104:D106" si="51">+D103+C104</f>
        <v>16320345</v>
      </c>
    </row>
    <row r="105" spans="2:4">
      <c r="B105" s="588">
        <f t="shared" si="50"/>
        <v>2023</v>
      </c>
      <c r="C105" s="132">
        <f>+D29+D36+D40</f>
        <v>2720240.9299999997</v>
      </c>
      <c r="D105" s="200">
        <f t="shared" si="51"/>
        <v>19040585.93</v>
      </c>
    </row>
    <row r="106" spans="2:4">
      <c r="B106" s="588">
        <f t="shared" si="50"/>
        <v>2024</v>
      </c>
      <c r="C106" s="132">
        <f>+SUM(D44:D57)</f>
        <v>1155577.0682600001</v>
      </c>
      <c r="D106" s="200">
        <f t="shared" si="51"/>
        <v>20196162.998259999</v>
      </c>
    </row>
    <row r="107" spans="2:4">
      <c r="B107" s="588"/>
    </row>
    <row r="108" spans="2:4">
      <c r="B108" s="588"/>
    </row>
    <row r="109" spans="2:4">
      <c r="B109" s="588"/>
    </row>
    <row r="110" spans="2:4">
      <c r="B110" s="588"/>
    </row>
  </sheetData>
  <mergeCells count="25">
    <mergeCell ref="AG3:AJ3"/>
    <mergeCell ref="CW3:CY3"/>
    <mergeCell ref="BU3:BX3"/>
    <mergeCell ref="BY3:CB3"/>
    <mergeCell ref="CC3:CF3"/>
    <mergeCell ref="CG3:CJ3"/>
    <mergeCell ref="CK3:CN3"/>
    <mergeCell ref="CO3:CR3"/>
    <mergeCell ref="CS3:CV3"/>
    <mergeCell ref="A2:B2"/>
    <mergeCell ref="BQ3:BT3"/>
    <mergeCell ref="AW3:AZ3"/>
    <mergeCell ref="BA3:BD3"/>
    <mergeCell ref="BE3:BH3"/>
    <mergeCell ref="BI3:BL3"/>
    <mergeCell ref="BM3:BP3"/>
    <mergeCell ref="I3:L3"/>
    <mergeCell ref="Q3:T3"/>
    <mergeCell ref="AO3:AR3"/>
    <mergeCell ref="AS3:AV3"/>
    <mergeCell ref="M3:P3"/>
    <mergeCell ref="U3:X3"/>
    <mergeCell ref="Y3:AB3"/>
    <mergeCell ref="AK3:AN3"/>
    <mergeCell ref="AC3:AF3"/>
  </mergeCells>
  <phoneticPr fontId="62" type="noConversion"/>
  <hyperlinks>
    <hyperlink ref="D54" r:id="rId1" display="file://C:\Users\XingQiNeo\ACH\ACH33 - ACH33 - SG Investment - CCGBVI - Documents\ACH33 - SG Investment - CCGBVI\1. Private Equity\1 - Funds\1 - USD Funds\BOYU (USD)\3 - BOYU Capital Offshore Fund\2 - Redemption\20241127 Contract Note.pdf" xr:uid="{EF9F21A0-8487-46F4-91DC-F70E4E15B8C1}"/>
  </hyperlinks>
  <pageMargins left="0.70866141732283472" right="0.70866141732283472" top="0.74803149606299213" bottom="0.74803149606299213" header="0.31496062992125984" footer="0.31496062992125984"/>
  <pageSetup paperSize="8" scale="13" orientation="landscape"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78B8A-65A4-4AD3-9368-91F7E8473318}">
  <sheetPr>
    <tabColor theme="8"/>
    <outlinePr showOutlineSymbols="0"/>
    <pageSetUpPr fitToPage="1"/>
  </sheetPr>
  <dimension ref="A1:AN56"/>
  <sheetViews>
    <sheetView workbookViewId="0"/>
  </sheetViews>
  <sheetFormatPr defaultColWidth="9" defaultRowHeight="11.25" outlineLevelRow="1" outlineLevelCol="1"/>
  <cols>
    <col min="1" max="1" width="32.140625" style="2" customWidth="1"/>
    <col min="2" max="2" width="79.42578125" style="2" bestFit="1" customWidth="1"/>
    <col min="3" max="3" width="15.7109375" style="2" customWidth="1"/>
    <col min="4" max="4" width="31.140625" style="2" customWidth="1"/>
    <col min="5" max="5" width="14.42578125" style="2" bestFit="1" customWidth="1"/>
    <col min="6" max="7" width="10.7109375" style="2" customWidth="1"/>
    <col min="8" max="8" width="38" style="2" bestFit="1" customWidth="1"/>
    <col min="9" max="9" width="19.28515625" style="2" bestFit="1" customWidth="1"/>
    <col min="10" max="10" width="19.28515625" style="2" customWidth="1"/>
    <col min="11" max="11" width="12.7109375" style="367" customWidth="1" outlineLevel="1"/>
    <col min="12" max="12" width="12.7109375" style="2" customWidth="1" outlineLevel="1"/>
    <col min="13" max="15" width="14.7109375" style="2" customWidth="1" outlineLevel="1"/>
    <col min="16" max="17" width="7.7109375" style="2" customWidth="1" outlineLevel="1"/>
    <col min="18" max="19" width="15.7109375" style="2" customWidth="1" outlineLevel="1"/>
    <col min="20" max="20" width="12.7109375" style="367" customWidth="1"/>
    <col min="21" max="21" width="12.7109375" style="2" customWidth="1"/>
    <col min="22" max="24" width="14.7109375" style="2" customWidth="1"/>
    <col min="25" max="26" width="7.7109375" style="2" customWidth="1"/>
    <col min="27" max="28" width="15.7109375" style="2" customWidth="1"/>
    <col min="29" max="29" width="12.7109375" style="367" customWidth="1"/>
    <col min="30" max="30" width="12.7109375" style="2" customWidth="1"/>
    <col min="31" max="33" width="14.7109375" style="2" customWidth="1"/>
    <col min="34" max="35" width="7.7109375" style="2" customWidth="1"/>
    <col min="36" max="39" width="15.7109375" style="2" customWidth="1"/>
    <col min="40" max="40" width="9" style="367"/>
    <col min="41" max="16384" width="9" style="2"/>
  </cols>
  <sheetData>
    <row r="1" spans="1:20">
      <c r="A1" s="117" t="s">
        <v>179</v>
      </c>
      <c r="B1" s="118"/>
      <c r="C1" s="74"/>
      <c r="D1" s="117" t="s">
        <v>180</v>
      </c>
      <c r="E1" s="219">
        <v>45657</v>
      </c>
      <c r="H1" s="117" t="s">
        <v>404</v>
      </c>
      <c r="I1" s="118"/>
      <c r="J1" s="74"/>
    </row>
    <row r="2" spans="1:20" outlineLevel="1">
      <c r="A2" s="2" t="s">
        <v>182</v>
      </c>
      <c r="B2" s="120" t="s">
        <v>30</v>
      </c>
      <c r="D2" s="2" t="s">
        <v>183</v>
      </c>
      <c r="E2" s="133">
        <f>W48</f>
        <v>504.99999999999989</v>
      </c>
      <c r="H2" s="2" t="s">
        <v>184</v>
      </c>
      <c r="I2" s="120" t="s">
        <v>568</v>
      </c>
      <c r="J2" s="120"/>
    </row>
    <row r="3" spans="1:20" outlineLevel="1">
      <c r="A3" s="2" t="s">
        <v>186</v>
      </c>
      <c r="B3" s="122">
        <v>44211</v>
      </c>
      <c r="D3" s="2" t="s">
        <v>187</v>
      </c>
      <c r="E3" s="133">
        <v>461.884657</v>
      </c>
      <c r="H3" s="2" t="s">
        <v>188</v>
      </c>
      <c r="I3" s="120" t="s">
        <v>569</v>
      </c>
      <c r="J3" s="120"/>
    </row>
    <row r="4" spans="1:20" outlineLevel="1">
      <c r="A4" s="2" t="s">
        <v>190</v>
      </c>
      <c r="B4" s="122">
        <v>44575</v>
      </c>
      <c r="D4" s="2" t="s">
        <v>191</v>
      </c>
      <c r="E4" s="319">
        <v>1</v>
      </c>
      <c r="H4" s="2" t="s">
        <v>192</v>
      </c>
      <c r="I4" s="320">
        <v>0.08</v>
      </c>
      <c r="J4" s="320"/>
    </row>
    <row r="5" spans="1:20" outlineLevel="1">
      <c r="A5" s="2" t="s">
        <v>193</v>
      </c>
      <c r="B5" s="120">
        <v>2021</v>
      </c>
      <c r="D5" s="2" t="s">
        <v>194</v>
      </c>
      <c r="E5" s="302" t="s">
        <v>570</v>
      </c>
      <c r="H5" s="2" t="s">
        <v>195</v>
      </c>
      <c r="I5" s="126">
        <v>0.2</v>
      </c>
      <c r="J5" s="126"/>
    </row>
    <row r="6" spans="1:20" outlineLevel="1">
      <c r="A6" s="2" t="s">
        <v>196</v>
      </c>
      <c r="B6" s="120" t="s">
        <v>571</v>
      </c>
      <c r="D6" s="2" t="s">
        <v>198</v>
      </c>
      <c r="E6" s="302" t="s">
        <v>570</v>
      </c>
      <c r="H6" s="117" t="s">
        <v>199</v>
      </c>
      <c r="I6" s="118"/>
      <c r="J6" s="74"/>
    </row>
    <row r="7" spans="1:20" outlineLevel="1">
      <c r="A7" s="2" t="s">
        <v>200</v>
      </c>
      <c r="B7" s="120" t="s">
        <v>44</v>
      </c>
      <c r="D7" s="2" t="s">
        <v>202</v>
      </c>
      <c r="E7" s="302" t="s">
        <v>570</v>
      </c>
      <c r="H7" s="2" t="s">
        <v>203</v>
      </c>
      <c r="I7" s="2" t="s">
        <v>204</v>
      </c>
    </row>
    <row r="8" spans="1:20" outlineLevel="1">
      <c r="A8" s="2" t="s">
        <v>205</v>
      </c>
      <c r="B8" s="120" t="s">
        <v>206</v>
      </c>
      <c r="D8" s="2" t="s">
        <v>207</v>
      </c>
      <c r="E8" s="321">
        <f>29.9/578.1</f>
        <v>5.1721155509427429E-2</v>
      </c>
      <c r="H8" s="2" t="s">
        <v>208</v>
      </c>
      <c r="I8" s="2" t="s">
        <v>408</v>
      </c>
    </row>
    <row r="9" spans="1:20" outlineLevel="1">
      <c r="A9" s="2" t="s">
        <v>65</v>
      </c>
      <c r="B9" s="120" t="s">
        <v>572</v>
      </c>
      <c r="D9" s="128" t="s">
        <v>211</v>
      </c>
      <c r="E9" s="291"/>
    </row>
    <row r="10" spans="1:20" outlineLevel="1">
      <c r="A10" s="2" t="s">
        <v>212</v>
      </c>
      <c r="B10" s="120" t="s">
        <v>573</v>
      </c>
      <c r="D10" s="2" t="s">
        <v>214</v>
      </c>
      <c r="E10" s="298">
        <v>30</v>
      </c>
    </row>
    <row r="11" spans="1:20" outlineLevel="1">
      <c r="A11" s="2" t="s">
        <v>215</v>
      </c>
      <c r="B11" s="120" t="s">
        <v>574</v>
      </c>
      <c r="D11" s="2" t="s">
        <v>216</v>
      </c>
      <c r="E11" s="130">
        <f>E10/900</f>
        <v>3.3333333333333333E-2</v>
      </c>
    </row>
    <row r="12" spans="1:20" outlineLevel="1">
      <c r="A12" s="2" t="s">
        <v>217</v>
      </c>
      <c r="B12" s="120" t="s">
        <v>24</v>
      </c>
      <c r="D12" s="116" t="s">
        <v>218</v>
      </c>
      <c r="E12" s="322">
        <f>-'Boyu Real Estate CF'!M2/10^6</f>
        <v>19.364196779999997</v>
      </c>
      <c r="T12" s="502"/>
    </row>
    <row r="13" spans="1:20" outlineLevel="1">
      <c r="A13" s="2" t="s">
        <v>219</v>
      </c>
      <c r="B13" s="120" t="s">
        <v>575</v>
      </c>
      <c r="D13" s="116" t="s">
        <v>221</v>
      </c>
      <c r="E13" s="322">
        <f>E10-E12</f>
        <v>10.635803220000003</v>
      </c>
      <c r="N13" s="314"/>
      <c r="T13" s="502"/>
    </row>
    <row r="14" spans="1:20" outlineLevel="1">
      <c r="A14" s="2" t="s">
        <v>222</v>
      </c>
      <c r="B14" s="120" t="s">
        <v>576</v>
      </c>
      <c r="D14" s="2" t="s">
        <v>224</v>
      </c>
      <c r="E14" s="133">
        <f>'Boyu Real Estate CF'!M3/10^6</f>
        <v>0.99548923</v>
      </c>
      <c r="N14" s="314"/>
      <c r="T14" s="502"/>
    </row>
    <row r="15" spans="1:20" outlineLevel="1">
      <c r="A15" s="2" t="s">
        <v>225</v>
      </c>
      <c r="B15" s="120" t="s">
        <v>577</v>
      </c>
      <c r="D15" s="2" t="s">
        <v>227</v>
      </c>
      <c r="E15" s="133">
        <f>'Boyu Real Estate CF'!M4/10^6</f>
        <v>15.34215</v>
      </c>
      <c r="N15" s="314"/>
    </row>
    <row r="16" spans="1:20" outlineLevel="1">
      <c r="A16" s="2" t="s">
        <v>228</v>
      </c>
      <c r="B16" s="134">
        <v>44196</v>
      </c>
      <c r="D16" s="2" t="s">
        <v>229</v>
      </c>
      <c r="E16" s="135">
        <f>E12/E10</f>
        <v>0.6454732259999999</v>
      </c>
      <c r="N16" s="314"/>
    </row>
    <row r="17" spans="1:40" outlineLevel="1">
      <c r="A17" s="2" t="s">
        <v>230</v>
      </c>
      <c r="B17" s="120" t="s">
        <v>231</v>
      </c>
      <c r="D17" s="2" t="s">
        <v>232</v>
      </c>
      <c r="E17" s="135">
        <f>E14/E12</f>
        <v>5.1408754068651856E-2</v>
      </c>
    </row>
    <row r="18" spans="1:40" outlineLevel="1">
      <c r="A18" s="117" t="s">
        <v>233</v>
      </c>
      <c r="B18" s="118"/>
      <c r="D18" s="2" t="s">
        <v>234</v>
      </c>
      <c r="E18" s="137">
        <f>(E14+E15)/E12</f>
        <v>0.8437034293554625</v>
      </c>
    </row>
    <row r="19" spans="1:40" outlineLevel="1">
      <c r="A19" s="2" t="s">
        <v>235</v>
      </c>
      <c r="B19" s="120">
        <v>15</v>
      </c>
      <c r="D19" s="2" t="s">
        <v>177</v>
      </c>
      <c r="E19" s="575">
        <f>'Boyu Real Estate CF'!M5</f>
        <v>-9.5536217093467699E-2</v>
      </c>
    </row>
    <row r="20" spans="1:40" ht="13.5" customHeight="1"/>
    <row r="30" spans="1:40" ht="13.5" customHeight="1">
      <c r="K30" s="503" t="s">
        <v>236</v>
      </c>
      <c r="L30" s="504"/>
      <c r="M30" s="504"/>
      <c r="N30" s="504"/>
      <c r="O30" s="504"/>
      <c r="P30" s="504"/>
      <c r="Q30" s="505"/>
      <c r="R30" s="505"/>
      <c r="S30" s="504"/>
      <c r="T30" s="503" t="s">
        <v>237</v>
      </c>
      <c r="U30" s="504"/>
      <c r="V30" s="504"/>
      <c r="W30" s="504"/>
      <c r="X30" s="504"/>
      <c r="Y30" s="504"/>
      <c r="Z30" s="505"/>
      <c r="AA30" s="505"/>
      <c r="AB30" s="504"/>
      <c r="AC30" s="503" t="s">
        <v>238</v>
      </c>
      <c r="AD30" s="504"/>
      <c r="AE30" s="504"/>
      <c r="AF30" s="504"/>
      <c r="AG30" s="504"/>
      <c r="AH30" s="504"/>
      <c r="AI30" s="505"/>
      <c r="AJ30" s="505"/>
      <c r="AK30" s="505"/>
      <c r="AL30" s="505"/>
      <c r="AM30" s="504"/>
    </row>
    <row r="31" spans="1:40" s="141" customFormat="1" ht="39.75" customHeight="1">
      <c r="A31" s="138" t="s">
        <v>239</v>
      </c>
      <c r="B31" s="139" t="s">
        <v>240</v>
      </c>
      <c r="C31" s="139" t="s">
        <v>69</v>
      </c>
      <c r="D31" s="139" t="s">
        <v>241</v>
      </c>
      <c r="E31" s="139" t="s">
        <v>242</v>
      </c>
      <c r="F31" s="139" t="s">
        <v>243</v>
      </c>
      <c r="G31" s="139" t="s">
        <v>244</v>
      </c>
      <c r="H31" s="139" t="s">
        <v>245</v>
      </c>
      <c r="I31" s="139" t="s">
        <v>246</v>
      </c>
      <c r="J31" s="501" t="s">
        <v>247</v>
      </c>
      <c r="K31" s="506" t="s">
        <v>248</v>
      </c>
      <c r="L31" s="506" t="s">
        <v>249</v>
      </c>
      <c r="M31" s="507" t="s">
        <v>250</v>
      </c>
      <c r="N31" s="506" t="s">
        <v>251</v>
      </c>
      <c r="O31" s="507" t="s">
        <v>252</v>
      </c>
      <c r="P31" s="506" t="s">
        <v>115</v>
      </c>
      <c r="Q31" s="507" t="s">
        <v>253</v>
      </c>
      <c r="R31" s="508" t="s">
        <v>254</v>
      </c>
      <c r="S31" s="509" t="s">
        <v>255</v>
      </c>
      <c r="T31" s="506" t="s">
        <v>248</v>
      </c>
      <c r="U31" s="506" t="s">
        <v>249</v>
      </c>
      <c r="V31" s="507" t="s">
        <v>250</v>
      </c>
      <c r="W31" s="506" t="s">
        <v>251</v>
      </c>
      <c r="X31" s="507" t="s">
        <v>252</v>
      </c>
      <c r="Y31" s="506" t="s">
        <v>115</v>
      </c>
      <c r="Z31" s="507" t="s">
        <v>253</v>
      </c>
      <c r="AA31" s="508" t="s">
        <v>254</v>
      </c>
      <c r="AB31" s="509" t="s">
        <v>255</v>
      </c>
      <c r="AC31" s="506" t="s">
        <v>248</v>
      </c>
      <c r="AD31" s="506" t="s">
        <v>249</v>
      </c>
      <c r="AE31" s="507" t="s">
        <v>250</v>
      </c>
      <c r="AF31" s="506" t="s">
        <v>251</v>
      </c>
      <c r="AG31" s="507" t="s">
        <v>252</v>
      </c>
      <c r="AH31" s="506" t="s">
        <v>115</v>
      </c>
      <c r="AI31" s="507" t="s">
        <v>253</v>
      </c>
      <c r="AJ31" s="508" t="s">
        <v>254</v>
      </c>
      <c r="AK31" s="509" t="s">
        <v>255</v>
      </c>
      <c r="AL31" s="508" t="s">
        <v>256</v>
      </c>
      <c r="AM31" s="509" t="s">
        <v>257</v>
      </c>
      <c r="AN31" s="510"/>
    </row>
    <row r="32" spans="1:40">
      <c r="A32" s="2" t="s">
        <v>578</v>
      </c>
      <c r="B32" s="2" t="s">
        <v>579</v>
      </c>
      <c r="C32" s="235" t="s">
        <v>53</v>
      </c>
      <c r="D32" s="235" t="s">
        <v>276</v>
      </c>
      <c r="E32" s="374">
        <v>44228</v>
      </c>
      <c r="F32" s="374" t="s">
        <v>44</v>
      </c>
      <c r="G32" s="374" t="s">
        <v>44</v>
      </c>
      <c r="H32" s="374"/>
      <c r="I32" s="235"/>
      <c r="J32" s="512" t="s">
        <v>44</v>
      </c>
      <c r="K32" s="513">
        <v>50</v>
      </c>
      <c r="L32" s="514" t="s">
        <v>44</v>
      </c>
      <c r="M32" s="513">
        <v>8.5</v>
      </c>
      <c r="N32" s="513">
        <v>25</v>
      </c>
      <c r="O32" s="513">
        <f>M32+N32</f>
        <v>33.5</v>
      </c>
      <c r="P32" s="268">
        <f>O32/K32</f>
        <v>0.67</v>
      </c>
      <c r="Q32" s="513">
        <v>0</v>
      </c>
      <c r="R32" s="513">
        <v>0</v>
      </c>
      <c r="S32" s="515" t="s">
        <v>44</v>
      </c>
      <c r="T32" s="516">
        <v>50</v>
      </c>
      <c r="U32" s="514" t="s">
        <v>44</v>
      </c>
      <c r="V32" s="513">
        <v>8.5</v>
      </c>
      <c r="W32" s="513">
        <v>5.9</v>
      </c>
      <c r="X32" s="513">
        <f>V32+W32</f>
        <v>14.4</v>
      </c>
      <c r="Y32" s="268">
        <f>X32/T32</f>
        <v>0.28800000000000003</v>
      </c>
      <c r="Z32" s="513">
        <v>0</v>
      </c>
      <c r="AA32" s="513">
        <f>X32-O32</f>
        <v>-19.100000000000001</v>
      </c>
      <c r="AB32" s="515">
        <f>IFERROR(X32/O32-1,0)</f>
        <v>-0.57014925373134329</v>
      </c>
      <c r="AC32" s="517"/>
      <c r="AD32" s="514"/>
      <c r="AE32" s="513"/>
      <c r="AF32" s="513"/>
      <c r="AG32" s="513"/>
      <c r="AH32" s="268"/>
      <c r="AI32" s="513"/>
      <c r="AJ32" s="513"/>
      <c r="AK32" s="515"/>
      <c r="AL32" s="513"/>
      <c r="AM32" s="515"/>
    </row>
    <row r="33" spans="1:40" s="367" customFormat="1">
      <c r="A33" s="2" t="s">
        <v>580</v>
      </c>
      <c r="B33" s="2" t="s">
        <v>581</v>
      </c>
      <c r="C33" s="235" t="s">
        <v>53</v>
      </c>
      <c r="D33" s="235" t="s">
        <v>276</v>
      </c>
      <c r="E33" s="374">
        <v>44256</v>
      </c>
      <c r="F33" s="374" t="s">
        <v>44</v>
      </c>
      <c r="G33" s="374" t="s">
        <v>44</v>
      </c>
      <c r="H33" s="374" t="s">
        <v>44</v>
      </c>
      <c r="I33" s="235" t="s">
        <v>44</v>
      </c>
      <c r="J33" s="518" t="s">
        <v>44</v>
      </c>
      <c r="K33" s="513">
        <v>69</v>
      </c>
      <c r="L33" s="514" t="s">
        <v>44</v>
      </c>
      <c r="M33" s="513">
        <v>18.399999999999999</v>
      </c>
      <c r="N33" s="513">
        <v>54.6</v>
      </c>
      <c r="O33" s="513">
        <f>N33+M33</f>
        <v>73</v>
      </c>
      <c r="P33" s="269">
        <f>O33/K33</f>
        <v>1.0579710144927537</v>
      </c>
      <c r="Q33" s="513">
        <v>0</v>
      </c>
      <c r="R33" s="513">
        <v>0</v>
      </c>
      <c r="S33" s="515" t="s">
        <v>44</v>
      </c>
      <c r="T33" s="519">
        <v>77.5</v>
      </c>
      <c r="U33" s="514" t="s">
        <v>44</v>
      </c>
      <c r="V33" s="513">
        <v>18.399999999999999</v>
      </c>
      <c r="W33" s="513">
        <v>58.2</v>
      </c>
      <c r="X33" s="513">
        <f>W33+V33</f>
        <v>76.599999999999994</v>
      </c>
      <c r="Y33" s="268">
        <f>X33/T33</f>
        <v>0.98838709677419345</v>
      </c>
      <c r="Z33" s="513">
        <v>0</v>
      </c>
      <c r="AA33" s="513">
        <f t="shared" ref="AA33:AA46" si="0">X33-O33</f>
        <v>3.5999999999999943</v>
      </c>
      <c r="AB33" s="515">
        <f t="shared" ref="AB33:AB46" si="1">IFERROR(X33/O33-1,0)</f>
        <v>4.9315068493150704E-2</v>
      </c>
      <c r="AC33" s="517"/>
      <c r="AD33" s="514"/>
      <c r="AE33" s="513"/>
      <c r="AF33" s="513"/>
      <c r="AG33" s="513"/>
      <c r="AH33" s="268"/>
      <c r="AI33" s="513"/>
      <c r="AJ33" s="513"/>
      <c r="AK33" s="515"/>
      <c r="AL33" s="513"/>
      <c r="AM33" s="515"/>
    </row>
    <row r="34" spans="1:40" s="367" customFormat="1">
      <c r="A34" s="2" t="s">
        <v>582</v>
      </c>
      <c r="B34" s="2" t="s">
        <v>583</v>
      </c>
      <c r="C34" s="235" t="s">
        <v>53</v>
      </c>
      <c r="D34" s="235" t="s">
        <v>584</v>
      </c>
      <c r="E34" s="374">
        <v>44470</v>
      </c>
      <c r="F34" s="374" t="s">
        <v>44</v>
      </c>
      <c r="G34" s="374" t="s">
        <v>44</v>
      </c>
      <c r="H34" s="374" t="s">
        <v>44</v>
      </c>
      <c r="I34" s="235" t="s">
        <v>44</v>
      </c>
      <c r="J34" s="518" t="s">
        <v>44</v>
      </c>
      <c r="K34" s="513">
        <v>79.099999999999994</v>
      </c>
      <c r="L34" s="514" t="s">
        <v>44</v>
      </c>
      <c r="M34" s="513">
        <v>0</v>
      </c>
      <c r="N34" s="513">
        <v>84.1</v>
      </c>
      <c r="O34" s="513">
        <f t="shared" ref="O34:O46" si="2">N34+M34</f>
        <v>84.1</v>
      </c>
      <c r="P34" s="269">
        <f t="shared" ref="P34:P50" si="3">O34/K34</f>
        <v>1.0632111251580278</v>
      </c>
      <c r="Q34" s="513">
        <v>0</v>
      </c>
      <c r="R34" s="513">
        <v>0</v>
      </c>
      <c r="S34" s="515" t="s">
        <v>44</v>
      </c>
      <c r="T34" s="519">
        <v>79.099999999999994</v>
      </c>
      <c r="U34" s="514" t="s">
        <v>44</v>
      </c>
      <c r="V34" s="513">
        <v>0</v>
      </c>
      <c r="W34" s="513">
        <v>76.599999999999994</v>
      </c>
      <c r="X34" s="513">
        <f t="shared" ref="X34:X46" si="4">W34+V34</f>
        <v>76.599999999999994</v>
      </c>
      <c r="Y34" s="268">
        <f t="shared" ref="Y34:Y46" si="5">X34/T34</f>
        <v>0.96839443742098608</v>
      </c>
      <c r="Z34" s="513">
        <v>0</v>
      </c>
      <c r="AA34" s="513">
        <f t="shared" si="0"/>
        <v>-7.5</v>
      </c>
      <c r="AB34" s="515">
        <f t="shared" si="1"/>
        <v>-8.9179548156956057E-2</v>
      </c>
      <c r="AC34" s="517"/>
      <c r="AD34" s="514"/>
      <c r="AE34" s="513"/>
      <c r="AF34" s="513"/>
      <c r="AG34" s="513"/>
      <c r="AH34" s="268"/>
      <c r="AI34" s="513"/>
      <c r="AJ34" s="513"/>
      <c r="AK34" s="515"/>
      <c r="AL34" s="513"/>
      <c r="AM34" s="515"/>
    </row>
    <row r="35" spans="1:40" s="367" customFormat="1">
      <c r="A35" s="2" t="s">
        <v>585</v>
      </c>
      <c r="B35" s="2" t="s">
        <v>586</v>
      </c>
      <c r="C35" s="235" t="s">
        <v>53</v>
      </c>
      <c r="D35" s="235" t="s">
        <v>584</v>
      </c>
      <c r="E35" s="374">
        <v>44501</v>
      </c>
      <c r="F35" s="374" t="s">
        <v>44</v>
      </c>
      <c r="G35" s="374" t="s">
        <v>44</v>
      </c>
      <c r="H35" s="374" t="s">
        <v>44</v>
      </c>
      <c r="I35" s="235" t="s">
        <v>44</v>
      </c>
      <c r="J35" s="518" t="s">
        <v>44</v>
      </c>
      <c r="K35" s="513">
        <v>33.200000000000003</v>
      </c>
      <c r="L35" s="514" t="s">
        <v>44</v>
      </c>
      <c r="M35" s="513">
        <v>0</v>
      </c>
      <c r="N35" s="513">
        <v>30.2</v>
      </c>
      <c r="O35" s="513">
        <f t="shared" si="2"/>
        <v>30.2</v>
      </c>
      <c r="P35" s="269">
        <f t="shared" si="3"/>
        <v>0.90963855421686735</v>
      </c>
      <c r="Q35" s="513">
        <v>0</v>
      </c>
      <c r="R35" s="513">
        <v>0</v>
      </c>
      <c r="S35" s="515" t="s">
        <v>44</v>
      </c>
      <c r="T35" s="519">
        <v>37.9</v>
      </c>
      <c r="U35" s="514" t="s">
        <v>44</v>
      </c>
      <c r="V35" s="513">
        <v>0</v>
      </c>
      <c r="W35" s="513">
        <v>20.399999999999999</v>
      </c>
      <c r="X35" s="513">
        <f t="shared" si="4"/>
        <v>20.399999999999999</v>
      </c>
      <c r="Y35" s="268">
        <f t="shared" si="5"/>
        <v>0.53825857519788911</v>
      </c>
      <c r="Z35" s="513">
        <v>0</v>
      </c>
      <c r="AA35" s="513">
        <f t="shared" si="0"/>
        <v>-9.8000000000000007</v>
      </c>
      <c r="AB35" s="515">
        <f t="shared" si="1"/>
        <v>-0.32450331125827814</v>
      </c>
      <c r="AC35" s="517"/>
      <c r="AD35" s="514"/>
      <c r="AE35" s="513"/>
      <c r="AF35" s="513"/>
      <c r="AG35" s="513"/>
      <c r="AH35" s="268"/>
      <c r="AI35" s="513"/>
      <c r="AJ35" s="513"/>
      <c r="AK35" s="515"/>
      <c r="AL35" s="513"/>
      <c r="AM35" s="515"/>
    </row>
    <row r="36" spans="1:40" s="367" customFormat="1">
      <c r="A36" s="2" t="s">
        <v>587</v>
      </c>
      <c r="B36" s="2" t="s">
        <v>588</v>
      </c>
      <c r="C36" s="235" t="s">
        <v>53</v>
      </c>
      <c r="D36" s="235" t="s">
        <v>584</v>
      </c>
      <c r="E36" s="374">
        <v>44531</v>
      </c>
      <c r="F36" s="374" t="s">
        <v>44</v>
      </c>
      <c r="G36" s="374" t="s">
        <v>44</v>
      </c>
      <c r="H36" s="374" t="s">
        <v>44</v>
      </c>
      <c r="I36" s="235" t="s">
        <v>44</v>
      </c>
      <c r="J36" s="518" t="s">
        <v>44</v>
      </c>
      <c r="K36" s="513">
        <v>22.7</v>
      </c>
      <c r="L36" s="514" t="s">
        <v>44</v>
      </c>
      <c r="M36" s="513">
        <v>0</v>
      </c>
      <c r="N36" s="513">
        <v>25.4</v>
      </c>
      <c r="O36" s="513">
        <f t="shared" si="2"/>
        <v>25.4</v>
      </c>
      <c r="P36" s="269">
        <f t="shared" si="3"/>
        <v>1.1189427312775331</v>
      </c>
      <c r="Q36" s="513">
        <v>0</v>
      </c>
      <c r="R36" s="513">
        <v>0</v>
      </c>
      <c r="S36" s="515" t="s">
        <v>44</v>
      </c>
      <c r="T36" s="519">
        <v>22.7</v>
      </c>
      <c r="U36" s="514" t="s">
        <v>44</v>
      </c>
      <c r="V36" s="513">
        <v>0</v>
      </c>
      <c r="W36" s="513">
        <v>24.1</v>
      </c>
      <c r="X36" s="513">
        <f t="shared" si="4"/>
        <v>24.1</v>
      </c>
      <c r="Y36" s="268">
        <f t="shared" si="5"/>
        <v>1.0616740088105727</v>
      </c>
      <c r="Z36" s="513">
        <v>0</v>
      </c>
      <c r="AA36" s="513">
        <f t="shared" si="0"/>
        <v>-1.2999999999999972</v>
      </c>
      <c r="AB36" s="515">
        <f t="shared" si="1"/>
        <v>-5.1181102362204633E-2</v>
      </c>
      <c r="AC36" s="517"/>
      <c r="AD36" s="514"/>
      <c r="AE36" s="513"/>
      <c r="AF36" s="513"/>
      <c r="AG36" s="513"/>
      <c r="AH36" s="268"/>
      <c r="AI36" s="513"/>
      <c r="AJ36" s="513"/>
      <c r="AK36" s="515"/>
      <c r="AL36" s="513"/>
      <c r="AM36" s="515"/>
    </row>
    <row r="37" spans="1:40" s="367" customFormat="1">
      <c r="A37" s="2" t="s">
        <v>589</v>
      </c>
      <c r="B37" s="2" t="s">
        <v>590</v>
      </c>
      <c r="C37" s="235" t="s">
        <v>53</v>
      </c>
      <c r="D37" s="235" t="s">
        <v>276</v>
      </c>
      <c r="E37" s="374">
        <v>44531</v>
      </c>
      <c r="F37" s="374" t="s">
        <v>44</v>
      </c>
      <c r="G37" s="374" t="s">
        <v>44</v>
      </c>
      <c r="H37" s="374" t="s">
        <v>44</v>
      </c>
      <c r="I37" s="235" t="s">
        <v>44</v>
      </c>
      <c r="J37" s="518" t="s">
        <v>44</v>
      </c>
      <c r="K37" s="513">
        <v>91.5</v>
      </c>
      <c r="L37" s="514" t="s">
        <v>44</v>
      </c>
      <c r="M37" s="513">
        <v>3</v>
      </c>
      <c r="N37" s="513">
        <v>91.5</v>
      </c>
      <c r="O37" s="513">
        <f t="shared" si="2"/>
        <v>94.5</v>
      </c>
      <c r="P37" s="269">
        <f t="shared" si="3"/>
        <v>1.0327868852459017</v>
      </c>
      <c r="Q37" s="513">
        <v>0</v>
      </c>
      <c r="R37" s="513">
        <v>0</v>
      </c>
      <c r="S37" s="515" t="s">
        <v>44</v>
      </c>
      <c r="T37" s="519">
        <v>91.5</v>
      </c>
      <c r="U37" s="514" t="s">
        <v>44</v>
      </c>
      <c r="V37" s="513">
        <v>3</v>
      </c>
      <c r="W37" s="513">
        <v>91.5</v>
      </c>
      <c r="X37" s="513">
        <f t="shared" si="4"/>
        <v>94.5</v>
      </c>
      <c r="Y37" s="268">
        <f t="shared" si="5"/>
        <v>1.0327868852459017</v>
      </c>
      <c r="Z37" s="513">
        <v>0</v>
      </c>
      <c r="AA37" s="513">
        <f t="shared" si="0"/>
        <v>0</v>
      </c>
      <c r="AB37" s="515">
        <f t="shared" si="1"/>
        <v>0</v>
      </c>
      <c r="AC37" s="517"/>
      <c r="AD37" s="514"/>
      <c r="AE37" s="513"/>
      <c r="AF37" s="513"/>
      <c r="AG37" s="513"/>
      <c r="AH37" s="268"/>
      <c r="AI37" s="513"/>
      <c r="AJ37" s="513"/>
      <c r="AK37" s="515"/>
      <c r="AL37" s="513"/>
      <c r="AM37" s="515"/>
    </row>
    <row r="38" spans="1:40">
      <c r="A38" s="2" t="s">
        <v>591</v>
      </c>
      <c r="B38" s="2" t="s">
        <v>592</v>
      </c>
      <c r="C38" s="235" t="s">
        <v>53</v>
      </c>
      <c r="D38" s="235" t="s">
        <v>584</v>
      </c>
      <c r="E38" s="374">
        <v>44743</v>
      </c>
      <c r="F38" s="560" t="s">
        <v>44</v>
      </c>
      <c r="G38" s="560" t="s">
        <v>44</v>
      </c>
      <c r="H38" s="560" t="s">
        <v>44</v>
      </c>
      <c r="I38" s="234" t="s">
        <v>44</v>
      </c>
      <c r="J38" s="561" t="s">
        <v>44</v>
      </c>
      <c r="K38" s="513">
        <f>22.9/4</f>
        <v>5.7249999999999996</v>
      </c>
      <c r="L38" s="514" t="s">
        <v>44</v>
      </c>
      <c r="M38" s="513">
        <v>0</v>
      </c>
      <c r="N38" s="513">
        <f>23.2/4</f>
        <v>5.8</v>
      </c>
      <c r="O38" s="513">
        <f t="shared" si="2"/>
        <v>5.8</v>
      </c>
      <c r="P38" s="269">
        <f t="shared" si="3"/>
        <v>1.0131004366812228</v>
      </c>
      <c r="Q38" s="513">
        <v>0</v>
      </c>
      <c r="R38" s="513">
        <v>0</v>
      </c>
      <c r="S38" s="552" t="s">
        <v>44</v>
      </c>
      <c r="T38" s="513">
        <f>25/4</f>
        <v>6.25</v>
      </c>
      <c r="U38" s="514" t="s">
        <v>44</v>
      </c>
      <c r="V38" s="513">
        <v>0</v>
      </c>
      <c r="W38" s="513">
        <f>26.6/4</f>
        <v>6.65</v>
      </c>
      <c r="X38" s="513">
        <f t="shared" si="4"/>
        <v>6.65</v>
      </c>
      <c r="Y38" s="268">
        <f t="shared" si="5"/>
        <v>1.0640000000000001</v>
      </c>
      <c r="Z38" s="513">
        <v>0</v>
      </c>
      <c r="AA38" s="513">
        <f t="shared" si="0"/>
        <v>0.85000000000000053</v>
      </c>
      <c r="AB38" s="515">
        <f t="shared" si="1"/>
        <v>0.14655172413793105</v>
      </c>
    </row>
    <row r="39" spans="1:40">
      <c r="A39" s="2" t="s">
        <v>593</v>
      </c>
      <c r="B39" s="2" t="s">
        <v>594</v>
      </c>
      <c r="C39" s="235" t="s">
        <v>53</v>
      </c>
      <c r="D39" s="235" t="s">
        <v>584</v>
      </c>
      <c r="E39" s="374">
        <v>44805</v>
      </c>
      <c r="F39" s="560" t="s">
        <v>44</v>
      </c>
      <c r="G39" s="560" t="s">
        <v>44</v>
      </c>
      <c r="H39" s="560" t="s">
        <v>44</v>
      </c>
      <c r="I39" s="234" t="s">
        <v>44</v>
      </c>
      <c r="J39" s="561" t="s">
        <v>44</v>
      </c>
      <c r="K39" s="513">
        <f t="shared" ref="K39:K41" si="6">22.9/4</f>
        <v>5.7249999999999996</v>
      </c>
      <c r="L39" s="514" t="s">
        <v>44</v>
      </c>
      <c r="M39" s="513">
        <v>0</v>
      </c>
      <c r="N39" s="513">
        <f t="shared" ref="N39:N41" si="7">23.2/4</f>
        <v>5.8</v>
      </c>
      <c r="O39" s="513">
        <f t="shared" si="2"/>
        <v>5.8</v>
      </c>
      <c r="P39" s="269">
        <f t="shared" si="3"/>
        <v>1.0131004366812228</v>
      </c>
      <c r="Q39" s="513">
        <v>0</v>
      </c>
      <c r="R39" s="513">
        <v>0</v>
      </c>
      <c r="S39" s="552" t="s">
        <v>44</v>
      </c>
      <c r="T39" s="513">
        <f t="shared" ref="T39:T41" si="8">25/4</f>
        <v>6.25</v>
      </c>
      <c r="U39" s="514" t="s">
        <v>44</v>
      </c>
      <c r="V39" s="513">
        <v>0</v>
      </c>
      <c r="W39" s="513">
        <f t="shared" ref="W39:W41" si="9">26.6/4</f>
        <v>6.65</v>
      </c>
      <c r="X39" s="513">
        <f t="shared" si="4"/>
        <v>6.65</v>
      </c>
      <c r="Y39" s="268">
        <f t="shared" si="5"/>
        <v>1.0640000000000001</v>
      </c>
      <c r="Z39" s="513">
        <v>0</v>
      </c>
      <c r="AA39" s="513">
        <f t="shared" si="0"/>
        <v>0.85000000000000053</v>
      </c>
      <c r="AB39" s="515">
        <f t="shared" si="1"/>
        <v>0.14655172413793105</v>
      </c>
    </row>
    <row r="40" spans="1:40">
      <c r="A40" s="2" t="s">
        <v>595</v>
      </c>
      <c r="B40" s="2" t="s">
        <v>596</v>
      </c>
      <c r="C40" s="235" t="s">
        <v>53</v>
      </c>
      <c r="D40" s="235" t="s">
        <v>584</v>
      </c>
      <c r="E40" s="374">
        <v>44927</v>
      </c>
      <c r="F40" s="560" t="s">
        <v>44</v>
      </c>
      <c r="G40" s="560" t="s">
        <v>44</v>
      </c>
      <c r="H40" s="560" t="s">
        <v>44</v>
      </c>
      <c r="I40" s="234" t="s">
        <v>44</v>
      </c>
      <c r="J40" s="561" t="s">
        <v>44</v>
      </c>
      <c r="K40" s="513">
        <f t="shared" si="6"/>
        <v>5.7249999999999996</v>
      </c>
      <c r="L40" s="514" t="s">
        <v>44</v>
      </c>
      <c r="M40" s="513">
        <v>0</v>
      </c>
      <c r="N40" s="513">
        <f t="shared" si="7"/>
        <v>5.8</v>
      </c>
      <c r="O40" s="513">
        <f t="shared" si="2"/>
        <v>5.8</v>
      </c>
      <c r="P40" s="269">
        <f t="shared" si="3"/>
        <v>1.0131004366812228</v>
      </c>
      <c r="Q40" s="513">
        <v>0</v>
      </c>
      <c r="R40" s="513">
        <v>0</v>
      </c>
      <c r="S40" s="552" t="s">
        <v>44</v>
      </c>
      <c r="T40" s="513">
        <f t="shared" si="8"/>
        <v>6.25</v>
      </c>
      <c r="U40" s="514" t="s">
        <v>44</v>
      </c>
      <c r="V40" s="513">
        <v>0</v>
      </c>
      <c r="W40" s="513">
        <f t="shared" si="9"/>
        <v>6.65</v>
      </c>
      <c r="X40" s="513">
        <f t="shared" si="4"/>
        <v>6.65</v>
      </c>
      <c r="Y40" s="268">
        <f t="shared" si="5"/>
        <v>1.0640000000000001</v>
      </c>
      <c r="Z40" s="513">
        <v>0</v>
      </c>
      <c r="AA40" s="513">
        <f t="shared" si="0"/>
        <v>0.85000000000000053</v>
      </c>
      <c r="AB40" s="515">
        <f t="shared" si="1"/>
        <v>0.14655172413793105</v>
      </c>
    </row>
    <row r="41" spans="1:40">
      <c r="A41" s="2" t="s">
        <v>597</v>
      </c>
      <c r="B41" s="2" t="s">
        <v>598</v>
      </c>
      <c r="C41" s="235" t="s">
        <v>53</v>
      </c>
      <c r="D41" s="235" t="s">
        <v>584</v>
      </c>
      <c r="E41" s="374">
        <v>44986</v>
      </c>
      <c r="F41" s="560" t="s">
        <v>44</v>
      </c>
      <c r="G41" s="560" t="s">
        <v>44</v>
      </c>
      <c r="H41" s="560" t="s">
        <v>44</v>
      </c>
      <c r="I41" s="234" t="s">
        <v>44</v>
      </c>
      <c r="J41" s="561" t="s">
        <v>44</v>
      </c>
      <c r="K41" s="513">
        <f t="shared" si="6"/>
        <v>5.7249999999999996</v>
      </c>
      <c r="L41" s="514" t="s">
        <v>44</v>
      </c>
      <c r="M41" s="513">
        <v>0</v>
      </c>
      <c r="N41" s="513">
        <f t="shared" si="7"/>
        <v>5.8</v>
      </c>
      <c r="O41" s="513">
        <f t="shared" si="2"/>
        <v>5.8</v>
      </c>
      <c r="P41" s="269">
        <f t="shared" si="3"/>
        <v>1.0131004366812228</v>
      </c>
      <c r="Q41" s="513">
        <v>0</v>
      </c>
      <c r="R41" s="513">
        <v>0</v>
      </c>
      <c r="S41" s="552" t="s">
        <v>44</v>
      </c>
      <c r="T41" s="513">
        <f t="shared" si="8"/>
        <v>6.25</v>
      </c>
      <c r="U41" s="514" t="s">
        <v>44</v>
      </c>
      <c r="V41" s="513">
        <v>0</v>
      </c>
      <c r="W41" s="513">
        <f t="shared" si="9"/>
        <v>6.65</v>
      </c>
      <c r="X41" s="513">
        <f t="shared" si="4"/>
        <v>6.65</v>
      </c>
      <c r="Y41" s="268">
        <f t="shared" si="5"/>
        <v>1.0640000000000001</v>
      </c>
      <c r="Z41" s="513">
        <v>0</v>
      </c>
      <c r="AA41" s="513">
        <f t="shared" si="0"/>
        <v>0.85000000000000053</v>
      </c>
      <c r="AB41" s="515">
        <f t="shared" si="1"/>
        <v>0.14655172413793105</v>
      </c>
    </row>
    <row r="42" spans="1:40">
      <c r="A42" s="2" t="s">
        <v>599</v>
      </c>
      <c r="B42" s="2" t="s">
        <v>600</v>
      </c>
      <c r="C42" s="235" t="s">
        <v>53</v>
      </c>
      <c r="D42" s="235" t="s">
        <v>584</v>
      </c>
      <c r="E42" s="374">
        <v>44805</v>
      </c>
      <c r="F42" s="560" t="s">
        <v>44</v>
      </c>
      <c r="G42" s="560" t="s">
        <v>44</v>
      </c>
      <c r="H42" s="560" t="s">
        <v>44</v>
      </c>
      <c r="I42" s="234" t="s">
        <v>44</v>
      </c>
      <c r="J42" s="561" t="s">
        <v>44</v>
      </c>
      <c r="K42" s="513">
        <v>56.5</v>
      </c>
      <c r="L42" s="514" t="s">
        <v>44</v>
      </c>
      <c r="M42" s="513">
        <v>0</v>
      </c>
      <c r="N42" s="513">
        <v>72.599999999999994</v>
      </c>
      <c r="O42" s="513">
        <f t="shared" si="2"/>
        <v>72.599999999999994</v>
      </c>
      <c r="P42" s="269">
        <f t="shared" si="3"/>
        <v>1.2849557522123893</v>
      </c>
      <c r="Q42" s="513">
        <v>0</v>
      </c>
      <c r="R42" s="513">
        <v>0</v>
      </c>
      <c r="S42" s="515" t="s">
        <v>44</v>
      </c>
      <c r="T42" s="519">
        <v>56.2</v>
      </c>
      <c r="U42" s="514" t="s">
        <v>44</v>
      </c>
      <c r="V42" s="513">
        <v>0</v>
      </c>
      <c r="W42" s="513">
        <v>88.7</v>
      </c>
      <c r="X42" s="513">
        <f t="shared" si="4"/>
        <v>88.7</v>
      </c>
      <c r="Y42" s="268">
        <f t="shared" si="5"/>
        <v>1.5782918149466192</v>
      </c>
      <c r="Z42" s="513">
        <v>0</v>
      </c>
      <c r="AA42" s="513">
        <f t="shared" si="0"/>
        <v>16.100000000000009</v>
      </c>
      <c r="AB42" s="515">
        <f t="shared" si="1"/>
        <v>0.22176308539944922</v>
      </c>
    </row>
    <row r="43" spans="1:40">
      <c r="A43" s="2" t="s">
        <v>601</v>
      </c>
      <c r="B43" s="2" t="s">
        <v>602</v>
      </c>
      <c r="C43" s="235" t="s">
        <v>53</v>
      </c>
      <c r="D43" s="235" t="s">
        <v>584</v>
      </c>
      <c r="E43" s="374">
        <v>45200</v>
      </c>
      <c r="F43" s="560" t="s">
        <v>44</v>
      </c>
      <c r="G43" s="560" t="s">
        <v>44</v>
      </c>
      <c r="H43" s="560" t="s">
        <v>44</v>
      </c>
      <c r="I43" s="234" t="s">
        <v>44</v>
      </c>
      <c r="J43" s="561" t="s">
        <v>44</v>
      </c>
      <c r="K43" s="513">
        <v>12.8</v>
      </c>
      <c r="L43" s="514" t="s">
        <v>44</v>
      </c>
      <c r="M43" s="513">
        <v>0</v>
      </c>
      <c r="N43" s="513">
        <v>12.8</v>
      </c>
      <c r="O43" s="513">
        <f t="shared" si="2"/>
        <v>12.8</v>
      </c>
      <c r="P43" s="269">
        <f t="shared" si="3"/>
        <v>1</v>
      </c>
      <c r="Q43" s="513">
        <v>0</v>
      </c>
      <c r="R43" s="513">
        <v>0</v>
      </c>
      <c r="S43" s="515" t="s">
        <v>44</v>
      </c>
      <c r="T43" s="519">
        <v>12.9</v>
      </c>
      <c r="U43" s="514" t="s">
        <v>44</v>
      </c>
      <c r="V43" s="513">
        <v>0</v>
      </c>
      <c r="W43" s="513">
        <v>13.5</v>
      </c>
      <c r="X43" s="513">
        <f t="shared" si="4"/>
        <v>13.5</v>
      </c>
      <c r="Y43" s="268">
        <f t="shared" si="5"/>
        <v>1.0465116279069766</v>
      </c>
      <c r="Z43" s="513">
        <v>0</v>
      </c>
      <c r="AA43" s="513">
        <f t="shared" si="0"/>
        <v>0.69999999999999929</v>
      </c>
      <c r="AB43" s="515">
        <f t="shared" si="1"/>
        <v>5.46875E-2</v>
      </c>
    </row>
    <row r="44" spans="1:40">
      <c r="A44" s="2" t="s">
        <v>603</v>
      </c>
      <c r="B44" s="2" t="s">
        <v>604</v>
      </c>
      <c r="C44" s="235" t="s">
        <v>53</v>
      </c>
      <c r="D44" s="235" t="s">
        <v>584</v>
      </c>
      <c r="E44" s="374">
        <v>45200</v>
      </c>
      <c r="F44" s="560" t="s">
        <v>44</v>
      </c>
      <c r="G44" s="560" t="s">
        <v>44</v>
      </c>
      <c r="H44" s="560" t="s">
        <v>44</v>
      </c>
      <c r="I44" s="234" t="s">
        <v>44</v>
      </c>
      <c r="J44" s="561" t="s">
        <v>44</v>
      </c>
      <c r="K44" s="513">
        <v>27</v>
      </c>
      <c r="L44" s="514" t="s">
        <v>44</v>
      </c>
      <c r="M44" s="513">
        <v>0</v>
      </c>
      <c r="N44" s="513">
        <v>27</v>
      </c>
      <c r="O44" s="513">
        <f t="shared" si="2"/>
        <v>27</v>
      </c>
      <c r="P44" s="269">
        <f t="shared" si="3"/>
        <v>1</v>
      </c>
      <c r="Q44" s="513">
        <v>0</v>
      </c>
      <c r="R44" s="513">
        <v>0</v>
      </c>
      <c r="S44" s="515" t="s">
        <v>44</v>
      </c>
      <c r="T44" s="519">
        <v>28.7</v>
      </c>
      <c r="U44" s="514" t="s">
        <v>44</v>
      </c>
      <c r="V44" s="513">
        <v>0</v>
      </c>
      <c r="W44" s="513">
        <v>40.299999999999997</v>
      </c>
      <c r="X44" s="513">
        <f t="shared" si="4"/>
        <v>40.299999999999997</v>
      </c>
      <c r="Y44" s="268">
        <f t="shared" si="5"/>
        <v>1.4041811846689896</v>
      </c>
      <c r="Z44" s="513">
        <v>0</v>
      </c>
      <c r="AA44" s="513">
        <f t="shared" si="0"/>
        <v>13.299999999999997</v>
      </c>
      <c r="AB44" s="515">
        <f t="shared" si="1"/>
        <v>0.49259259259259247</v>
      </c>
    </row>
    <row r="45" spans="1:40">
      <c r="A45" s="2" t="s">
        <v>605</v>
      </c>
      <c r="B45" s="2" t="s">
        <v>606</v>
      </c>
      <c r="C45" s="235" t="s">
        <v>53</v>
      </c>
      <c r="D45" s="235" t="s">
        <v>584</v>
      </c>
      <c r="E45" s="374">
        <v>45383</v>
      </c>
      <c r="F45" s="560" t="s">
        <v>44</v>
      </c>
      <c r="G45" s="560" t="s">
        <v>44</v>
      </c>
      <c r="H45" s="560" t="s">
        <v>44</v>
      </c>
      <c r="I45" s="234" t="s">
        <v>44</v>
      </c>
      <c r="J45" s="561" t="s">
        <v>44</v>
      </c>
      <c r="K45" s="513">
        <v>0</v>
      </c>
      <c r="L45" s="514" t="s">
        <v>44</v>
      </c>
      <c r="M45" s="513">
        <v>0</v>
      </c>
      <c r="N45" s="513">
        <v>0</v>
      </c>
      <c r="O45" s="513">
        <f t="shared" si="2"/>
        <v>0</v>
      </c>
      <c r="P45" s="269" t="s">
        <v>44</v>
      </c>
      <c r="Q45" s="513">
        <v>0</v>
      </c>
      <c r="R45" s="513">
        <v>0</v>
      </c>
      <c r="S45" s="515" t="s">
        <v>44</v>
      </c>
      <c r="T45" s="519">
        <v>9.9</v>
      </c>
      <c r="U45" s="514" t="s">
        <v>44</v>
      </c>
      <c r="V45" s="513">
        <v>0</v>
      </c>
      <c r="W45" s="513">
        <v>13.8</v>
      </c>
      <c r="X45" s="513">
        <f t="shared" si="4"/>
        <v>13.8</v>
      </c>
      <c r="Y45" s="268">
        <f t="shared" si="5"/>
        <v>1.393939393939394</v>
      </c>
      <c r="Z45" s="513">
        <v>0</v>
      </c>
      <c r="AA45" s="513">
        <f t="shared" si="0"/>
        <v>13.8</v>
      </c>
      <c r="AB45" s="515">
        <f t="shared" si="1"/>
        <v>0</v>
      </c>
    </row>
    <row r="46" spans="1:40">
      <c r="A46" s="2" t="s">
        <v>607</v>
      </c>
      <c r="B46" s="2" t="s">
        <v>608</v>
      </c>
      <c r="C46" s="235" t="s">
        <v>53</v>
      </c>
      <c r="D46" s="235" t="s">
        <v>584</v>
      </c>
      <c r="E46" s="374">
        <v>45444</v>
      </c>
      <c r="F46" s="560" t="s">
        <v>44</v>
      </c>
      <c r="G46" s="560" t="s">
        <v>44</v>
      </c>
      <c r="H46" s="560" t="s">
        <v>44</v>
      </c>
      <c r="I46" s="234" t="s">
        <v>44</v>
      </c>
      <c r="J46" s="561" t="s">
        <v>44</v>
      </c>
      <c r="K46" s="513">
        <v>0</v>
      </c>
      <c r="L46" s="514" t="s">
        <v>44</v>
      </c>
      <c r="M46" s="513">
        <v>0</v>
      </c>
      <c r="N46" s="513">
        <v>0</v>
      </c>
      <c r="O46" s="513">
        <f t="shared" si="2"/>
        <v>0</v>
      </c>
      <c r="P46" s="269" t="s">
        <v>44</v>
      </c>
      <c r="Q46" s="513">
        <v>0</v>
      </c>
      <c r="R46" s="513">
        <v>0</v>
      </c>
      <c r="S46" s="515" t="s">
        <v>44</v>
      </c>
      <c r="T46" s="519">
        <v>30.5</v>
      </c>
      <c r="U46" s="514" t="s">
        <v>44</v>
      </c>
      <c r="V46" s="513">
        <v>0</v>
      </c>
      <c r="W46" s="513">
        <v>45.4</v>
      </c>
      <c r="X46" s="513">
        <f t="shared" si="4"/>
        <v>45.4</v>
      </c>
      <c r="Y46" s="268">
        <f t="shared" si="5"/>
        <v>1.4885245901639343</v>
      </c>
      <c r="Z46" s="513">
        <v>0</v>
      </c>
      <c r="AA46" s="513">
        <f t="shared" si="0"/>
        <v>45.4</v>
      </c>
      <c r="AB46" s="515">
        <f t="shared" si="1"/>
        <v>0</v>
      </c>
    </row>
    <row r="48" spans="1:40" s="520" customFormat="1" ht="12" thickBot="1">
      <c r="A48" s="520" t="s">
        <v>45</v>
      </c>
      <c r="K48" s="521">
        <f>SUM(K32:K46)</f>
        <v>464.7000000000001</v>
      </c>
      <c r="M48" s="522">
        <f>SUM(M32:M46)</f>
        <v>29.9</v>
      </c>
      <c r="N48" s="522">
        <f>SUM(N32:N46)</f>
        <v>446.40000000000003</v>
      </c>
      <c r="O48" s="522">
        <f>SUM(O32:O46)</f>
        <v>476.3</v>
      </c>
      <c r="P48" s="523">
        <f t="shared" si="3"/>
        <v>1.0249623412954592</v>
      </c>
      <c r="Q48" s="524" t="s">
        <v>44</v>
      </c>
      <c r="R48" s="524" t="s">
        <v>44</v>
      </c>
      <c r="S48" s="524" t="s">
        <v>44</v>
      </c>
      <c r="T48" s="521">
        <f>SUM(T32:T46)</f>
        <v>521.89999999999986</v>
      </c>
      <c r="V48" s="522">
        <f>SUM(V32:V46)</f>
        <v>29.9</v>
      </c>
      <c r="W48" s="522">
        <f>SUM(W32:W46)</f>
        <v>504.99999999999989</v>
      </c>
      <c r="X48" s="522">
        <f>SUM(X32:X46)</f>
        <v>534.9</v>
      </c>
      <c r="Y48" s="523">
        <f t="shared" ref="Y48" si="10">X48/T48</f>
        <v>1.0249089863958616</v>
      </c>
      <c r="Z48" s="525" t="s">
        <v>44</v>
      </c>
      <c r="AA48" s="525">
        <f t="shared" ref="AA48" si="11">X48-O48</f>
        <v>58.599999999999966</v>
      </c>
      <c r="AB48" s="526">
        <f t="shared" ref="AB48" si="12">IFERROR(X48/O48-1,0)</f>
        <v>0.12303170270837693</v>
      </c>
      <c r="AC48" s="527"/>
      <c r="AN48" s="527"/>
    </row>
    <row r="50" spans="1:40" s="389" customFormat="1">
      <c r="A50" s="388" t="s">
        <v>277</v>
      </c>
      <c r="K50" s="528">
        <f>SUMIF($D$32:$D$46,"Unrealized",K$32:K$46)+SUMIF($D$32:$D$46,"Partial Realized",K$32:K$46)</f>
        <v>464.7</v>
      </c>
      <c r="M50" s="529">
        <f>SUMIF($D$32:$D$46,"Unrealized",M$32:M$46)+SUMIF($D$32:$D$46,"Partial Realized",M$32:M$46)</f>
        <v>29.9</v>
      </c>
      <c r="N50" s="529">
        <f>SUMIF($D$32:$D$46,"Unrealized",N$32:N$46)+SUMIF($D$32:$D$46,"Partial Realized",N$32:N$46)</f>
        <v>446.40000000000009</v>
      </c>
      <c r="O50" s="529">
        <f>SUMIF($D$32:$D$46,"Unrealized",O$32:O$46)+SUMIF($D$32:$D$46,"Partial Realized",O$32:O$46)</f>
        <v>476.30000000000007</v>
      </c>
      <c r="P50" s="530">
        <f t="shared" si="3"/>
        <v>1.0249623412954596</v>
      </c>
      <c r="R50" s="531" t="s">
        <v>44</v>
      </c>
      <c r="S50" s="532" t="s">
        <v>44</v>
      </c>
      <c r="T50" s="528">
        <f>SUMIF($D$32:$D$46,"Unrealized",T$32:T$46)+SUMIF($D$32:$D$46,"Partial Realized",T$32:T$46)</f>
        <v>521.9</v>
      </c>
      <c r="V50" s="529">
        <f>SUMIF($D$32:$D$46,"Unrealized",V$32:V$46)+SUMIF($D$32:$D$46,"Partial Realized",V$32:V$46)</f>
        <v>29.9</v>
      </c>
      <c r="W50" s="529">
        <f>SUMIF($D$32:$D$46,"Unrealized",W$32:W$46)+SUMIF($D$32:$D$46,"Partial Realized",W$32:W$46)</f>
        <v>505.00000000000006</v>
      </c>
      <c r="X50" s="529">
        <f>SUMIF($D$32:$D$46,"Unrealized",X$32:X$46)+SUMIF($D$32:$D$46,"Partial Realized",X$32:X$46)</f>
        <v>534.90000000000009</v>
      </c>
      <c r="Y50" s="530">
        <f t="shared" ref="Y50" si="13">X50/T50</f>
        <v>1.0249089863958616</v>
      </c>
      <c r="AA50" s="533">
        <f t="shared" ref="AA50:AA51" si="14">X50-O50</f>
        <v>58.600000000000023</v>
      </c>
      <c r="AB50" s="534">
        <f t="shared" ref="AB50:AB51" si="15">IFERROR(X50/O50-1,0)</f>
        <v>0.12303170270837716</v>
      </c>
      <c r="AN50" s="535"/>
    </row>
    <row r="51" spans="1:40" s="389" customFormat="1">
      <c r="A51" s="388" t="s">
        <v>278</v>
      </c>
      <c r="K51" s="528">
        <f>SUMIF($D$32:$D$46,"Realized",K$32:K$46)+SUMIF($D$32:$D$46,"Write-off",K$32:K$46)</f>
        <v>0</v>
      </c>
      <c r="M51" s="529">
        <f>SUMIF($D$32:$D$46,"Realized",M$32:M$46)+SUMIF($D$32:$D$46,"Write-off",M$32:M$46)</f>
        <v>0</v>
      </c>
      <c r="N51" s="529">
        <f>SUMIF($D$32:$D$46,"Realized",N$32:N$46)+SUMIF($D$32:$D$46,"Write-off",N$32:N$46)</f>
        <v>0</v>
      </c>
      <c r="O51" s="529">
        <f>SUMIF($D$32:$D$46,"Realized",O$32:O$46)+SUMIF($D$32:$D$46,"Write-off",O$32:O$46)</f>
        <v>0</v>
      </c>
      <c r="P51" s="530" t="s">
        <v>44</v>
      </c>
      <c r="R51" s="531" t="s">
        <v>44</v>
      </c>
      <c r="S51" s="532" t="s">
        <v>44</v>
      </c>
      <c r="T51" s="528">
        <f>SUMIF($D$32:$D$46,"Realized",T$32:T$46)+SUMIF($D$32:$D$46,"Write-off",T$32:T$46)</f>
        <v>0</v>
      </c>
      <c r="V51" s="529">
        <f>SUMIF($D$32:$D$46,"Realized",V$32:V$46)+SUMIF($D$32:$D$46,"Write-off",V$32:V$46)</f>
        <v>0</v>
      </c>
      <c r="W51" s="529">
        <f>SUMIF($D$32:$D$46,"Realized",W$32:W$46)+SUMIF($D$32:$D$46,"Write-off",W$32:W$46)</f>
        <v>0</v>
      </c>
      <c r="X51" s="529">
        <f>SUMIF($D$32:$D$46,"Realized",X$32:X$46)+SUMIF($D$32:$D$46,"Write-off",X$32:X$46)</f>
        <v>0</v>
      </c>
      <c r="Y51" s="530" t="s">
        <v>44</v>
      </c>
      <c r="AA51" s="533">
        <f t="shared" si="14"/>
        <v>0</v>
      </c>
      <c r="AB51" s="534">
        <f t="shared" si="15"/>
        <v>0</v>
      </c>
      <c r="AN51" s="535"/>
    </row>
    <row r="54" spans="1:40" s="536" customFormat="1">
      <c r="A54" s="536" t="s">
        <v>279</v>
      </c>
      <c r="K54" s="537"/>
      <c r="T54" s="537"/>
      <c r="AC54" s="537"/>
      <c r="AN54" s="537"/>
    </row>
    <row r="55" spans="1:40" ht="13.5" customHeight="1">
      <c r="K55" s="538" t="s">
        <v>236</v>
      </c>
      <c r="L55" s="539"/>
      <c r="M55" s="539"/>
      <c r="N55" s="539"/>
      <c r="O55" s="539"/>
      <c r="P55" s="539"/>
      <c r="Q55" s="540"/>
      <c r="R55" s="540"/>
      <c r="S55" s="539"/>
      <c r="T55" s="503" t="s">
        <v>237</v>
      </c>
      <c r="U55" s="504"/>
      <c r="V55" s="504"/>
      <c r="W55" s="504"/>
      <c r="X55" s="504"/>
      <c r="Y55" s="504"/>
      <c r="Z55" s="505"/>
      <c r="AA55" s="505"/>
      <c r="AB55" s="504"/>
      <c r="AC55" s="503" t="s">
        <v>238</v>
      </c>
      <c r="AD55" s="504"/>
      <c r="AE55" s="504"/>
      <c r="AF55" s="504"/>
      <c r="AG55" s="539"/>
      <c r="AH55" s="539"/>
      <c r="AI55" s="540"/>
      <c r="AJ55" s="540"/>
      <c r="AK55" s="540"/>
      <c r="AL55" s="540"/>
      <c r="AM55" s="539"/>
    </row>
    <row r="56" spans="1:40" s="141" customFormat="1" ht="39.75" customHeight="1">
      <c r="A56" s="138" t="s">
        <v>239</v>
      </c>
      <c r="B56" s="139" t="s">
        <v>240</v>
      </c>
      <c r="C56" s="139" t="s">
        <v>69</v>
      </c>
      <c r="D56" s="139" t="s">
        <v>241</v>
      </c>
      <c r="E56" s="139" t="s">
        <v>242</v>
      </c>
      <c r="F56" s="139" t="s">
        <v>243</v>
      </c>
      <c r="G56" s="139" t="s">
        <v>244</v>
      </c>
      <c r="H56" s="139" t="s">
        <v>245</v>
      </c>
      <c r="I56" s="139" t="s">
        <v>246</v>
      </c>
      <c r="J56" s="501" t="s">
        <v>247</v>
      </c>
      <c r="K56" s="541" t="s">
        <v>280</v>
      </c>
      <c r="L56" s="542"/>
      <c r="M56" s="543"/>
      <c r="N56" s="542"/>
      <c r="O56" s="541" t="s">
        <v>281</v>
      </c>
      <c r="P56" s="542"/>
      <c r="Q56" s="543"/>
      <c r="R56" s="542"/>
      <c r="S56" s="544"/>
      <c r="T56" s="541" t="s">
        <v>280</v>
      </c>
      <c r="U56" s="542"/>
      <c r="V56" s="543"/>
      <c r="W56" s="542"/>
      <c r="X56" s="541" t="s">
        <v>281</v>
      </c>
      <c r="Y56" s="542"/>
      <c r="Z56" s="543"/>
      <c r="AA56" s="542"/>
      <c r="AB56" s="544"/>
      <c r="AC56" s="541" t="s">
        <v>280</v>
      </c>
      <c r="AD56" s="542"/>
      <c r="AE56" s="543"/>
      <c r="AF56" s="542"/>
      <c r="AG56" s="541" t="s">
        <v>281</v>
      </c>
      <c r="AH56" s="542"/>
      <c r="AI56" s="543"/>
      <c r="AJ56" s="542"/>
      <c r="AK56" s="545"/>
      <c r="AL56" s="545"/>
      <c r="AM56" s="544"/>
      <c r="AN56" s="510"/>
    </row>
  </sheetData>
  <conditionalFormatting sqref="R32:S46">
    <cfRule type="cellIs" dxfId="151" priority="5" operator="lessThan">
      <formula>0</formula>
    </cfRule>
    <cfRule type="cellIs" dxfId="150" priority="6" operator="greaterThan">
      <formula>0</formula>
    </cfRule>
  </conditionalFormatting>
  <conditionalFormatting sqref="AA32:AB46">
    <cfRule type="cellIs" dxfId="149" priority="9" operator="lessThan">
      <formula>0</formula>
    </cfRule>
    <cfRule type="cellIs" dxfId="148" priority="10" operator="greaterThan">
      <formula>0</formula>
    </cfRule>
  </conditionalFormatting>
  <conditionalFormatting sqref="AA48:AB48">
    <cfRule type="cellIs" dxfId="147" priority="3" operator="lessThan">
      <formula>0</formula>
    </cfRule>
    <cfRule type="cellIs" dxfId="146" priority="4" operator="greaterThan">
      <formula>0</formula>
    </cfRule>
  </conditionalFormatting>
  <conditionalFormatting sqref="AA50:AB51">
    <cfRule type="cellIs" dxfId="145" priority="1" operator="lessThan">
      <formula>0</formula>
    </cfRule>
    <cfRule type="cellIs" dxfId="144" priority="2" operator="greaterThan">
      <formula>0</formula>
    </cfRule>
  </conditionalFormatting>
  <conditionalFormatting sqref="AJ32:AM33">
    <cfRule type="cellIs" dxfId="143" priority="7" operator="lessThan">
      <formula>0</formula>
    </cfRule>
    <cfRule type="cellIs" dxfId="142" priority="8" operator="greaterThan">
      <formula>0</formula>
    </cfRule>
  </conditionalFormatting>
  <printOptions horizontalCentered="1"/>
  <pageMargins left="0.23622047244094491" right="0" top="0.35433070866141736" bottom="0.19685039370078741" header="0.15748031496062992" footer="0.15748031496062992"/>
  <pageSetup paperSize="8" scale="37"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E3098-6D2A-4132-A6B5-71414DCAC5D3}">
  <sheetPr>
    <tabColor theme="8"/>
  </sheetPr>
  <dimension ref="B1:Q44"/>
  <sheetViews>
    <sheetView workbookViewId="0">
      <selection activeCell="D42" sqref="D42"/>
    </sheetView>
  </sheetViews>
  <sheetFormatPr defaultColWidth="9" defaultRowHeight="11.25"/>
  <cols>
    <col min="1" max="1" width="2" style="2" customWidth="1"/>
    <col min="2" max="2" width="18.7109375" style="2" customWidth="1"/>
    <col min="3" max="3" width="34.42578125" style="2" bestFit="1" customWidth="1"/>
    <col min="4" max="4" width="14" style="2" customWidth="1"/>
    <col min="5" max="5" width="10" style="2" bestFit="1" customWidth="1"/>
    <col min="6" max="6" width="29.42578125" style="2" bestFit="1" customWidth="1"/>
    <col min="7" max="7" width="18.7109375" style="2" customWidth="1"/>
    <col min="8" max="8" width="13.7109375" style="2" customWidth="1"/>
    <col min="9" max="9" width="14" style="2" customWidth="1"/>
    <col min="10" max="10" width="15.28515625" style="255" customWidth="1"/>
    <col min="11" max="11" width="15" style="2" customWidth="1"/>
    <col min="12" max="12" width="21.7109375" style="2" bestFit="1" customWidth="1"/>
    <col min="13" max="13" width="17.140625" style="2" bestFit="1" customWidth="1"/>
    <col min="14" max="14" width="14.7109375" style="2" bestFit="1" customWidth="1"/>
    <col min="15" max="15" width="13.7109375" style="2" bestFit="1" customWidth="1"/>
    <col min="16" max="16" width="12.28515625" style="2" customWidth="1"/>
    <col min="17" max="16384" width="9" style="2"/>
  </cols>
  <sheetData>
    <row r="1" spans="2:16">
      <c r="B1" s="75" t="s">
        <v>282</v>
      </c>
      <c r="L1" s="635">
        <f>C3</f>
        <v>45657</v>
      </c>
      <c r="M1" s="636"/>
      <c r="N1" s="198" t="s">
        <v>283</v>
      </c>
      <c r="O1" s="199" t="s">
        <v>284</v>
      </c>
    </row>
    <row r="2" spans="2:16" ht="12" thickBot="1">
      <c r="L2" s="172" t="s">
        <v>285</v>
      </c>
      <c r="M2" s="173">
        <f>L38</f>
        <v>-19364196.779999997</v>
      </c>
      <c r="N2" s="201">
        <v>-19364197</v>
      </c>
      <c r="O2" s="205">
        <f>M2-N2</f>
        <v>0.2200000025331974</v>
      </c>
    </row>
    <row r="3" spans="2:16" ht="12" thickBot="1">
      <c r="B3" s="202" t="s">
        <v>286</v>
      </c>
      <c r="C3" s="272">
        <f>'Boyu Real Estate'!E1</f>
        <v>45657</v>
      </c>
      <c r="L3" s="172" t="s">
        <v>287</v>
      </c>
      <c r="M3" s="173">
        <f>O38</f>
        <v>995489.23</v>
      </c>
      <c r="N3" s="201">
        <v>995489</v>
      </c>
      <c r="O3" s="205">
        <f>M3-N3</f>
        <v>0.22999999998137355</v>
      </c>
    </row>
    <row r="4" spans="2:16">
      <c r="L4" s="175" t="s">
        <v>288</v>
      </c>
      <c r="M4" s="176">
        <f>K44</f>
        <v>15342150</v>
      </c>
    </row>
    <row r="5" spans="2:16" s="75" customFormat="1">
      <c r="B5" s="75" t="s">
        <v>289</v>
      </c>
      <c r="C5" s="75" t="str">
        <f>'Boyu Real Estate'!B2</f>
        <v>Boyu Real Estate Fund I, LP</v>
      </c>
      <c r="J5" s="257"/>
      <c r="L5" s="172" t="s">
        <v>75</v>
      </c>
      <c r="M5" s="180">
        <f>XIRR(K10:K44,D10:D44)</f>
        <v>-9.5536217093467699E-2</v>
      </c>
    </row>
    <row r="6" spans="2:16">
      <c r="B6" s="75" t="s">
        <v>291</v>
      </c>
      <c r="C6" s="75" t="s">
        <v>24</v>
      </c>
    </row>
    <row r="7" spans="2:16">
      <c r="B7" s="75" t="s">
        <v>52</v>
      </c>
      <c r="C7" s="181">
        <v>30000000</v>
      </c>
    </row>
    <row r="8" spans="2:16">
      <c r="B8" s="75"/>
      <c r="C8" s="182"/>
    </row>
    <row r="9" spans="2:16" s="186" customFormat="1" ht="22.5">
      <c r="B9" s="183" t="s">
        <v>292</v>
      </c>
      <c r="C9" s="183" t="s">
        <v>0</v>
      </c>
      <c r="D9" s="183" t="s">
        <v>294</v>
      </c>
      <c r="E9" s="183" t="s">
        <v>295</v>
      </c>
      <c r="F9" s="183" t="s">
        <v>176</v>
      </c>
      <c r="G9" s="184" t="s">
        <v>296</v>
      </c>
      <c r="H9" s="185" t="s">
        <v>435</v>
      </c>
      <c r="I9" s="185" t="s">
        <v>436</v>
      </c>
      <c r="J9" s="258" t="s">
        <v>299</v>
      </c>
      <c r="K9" s="185" t="s">
        <v>300</v>
      </c>
      <c r="L9" s="185" t="s">
        <v>301</v>
      </c>
      <c r="M9" s="185" t="s">
        <v>302</v>
      </c>
      <c r="N9" s="185" t="s">
        <v>437</v>
      </c>
      <c r="O9" s="185" t="s">
        <v>438</v>
      </c>
      <c r="P9" s="184" t="s">
        <v>195</v>
      </c>
    </row>
    <row r="10" spans="2:16">
      <c r="B10" s="2" t="s">
        <v>307</v>
      </c>
      <c r="C10" s="235" t="s">
        <v>308</v>
      </c>
      <c r="D10" s="187">
        <v>44224</v>
      </c>
      <c r="E10" s="2">
        <f>YEAR(D10)</f>
        <v>2021</v>
      </c>
      <c r="F10" s="2" t="s">
        <v>609</v>
      </c>
      <c r="G10" s="108">
        <v>-2650176.6800000002</v>
      </c>
      <c r="H10" s="211">
        <v>-242196.13</v>
      </c>
      <c r="I10" s="211">
        <v>-106007.07</v>
      </c>
      <c r="J10" s="91">
        <v>-12190.81</v>
      </c>
      <c r="K10" s="211">
        <f t="shared" ref="K10:K32" si="0">SUM(G10:J10)</f>
        <v>-3010570.69</v>
      </c>
      <c r="L10" s="211">
        <f>K10</f>
        <v>-3010570.69</v>
      </c>
      <c r="M10" s="211">
        <f t="shared" ref="M10:M32" si="1">$C$7+L10</f>
        <v>26989429.309999999</v>
      </c>
      <c r="N10" s="131">
        <f t="shared" ref="N10:N16" si="2">IF(K10&gt;0,K10,0)</f>
        <v>0</v>
      </c>
      <c r="O10" s="131">
        <f>N10</f>
        <v>0</v>
      </c>
    </row>
    <row r="11" spans="2:16">
      <c r="B11" s="2" t="s">
        <v>307</v>
      </c>
      <c r="C11" s="235" t="s">
        <v>310</v>
      </c>
      <c r="D11" s="187">
        <v>44256</v>
      </c>
      <c r="E11" s="2">
        <v>2021</v>
      </c>
      <c r="F11" s="2" t="s">
        <v>610</v>
      </c>
      <c r="G11" s="108">
        <v>-1961130.74</v>
      </c>
      <c r="H11" s="211"/>
      <c r="I11" s="211">
        <v>-53003.54</v>
      </c>
      <c r="J11" s="91"/>
      <c r="K11" s="211">
        <f t="shared" si="0"/>
        <v>-2014134.28</v>
      </c>
      <c r="L11" s="211">
        <f t="shared" ref="L11:L16" si="3">L10+IF(K11&lt;0,K11,0)</f>
        <v>-5024704.97</v>
      </c>
      <c r="M11" s="211">
        <f t="shared" si="1"/>
        <v>24975295.030000001</v>
      </c>
      <c r="N11" s="131">
        <f t="shared" si="2"/>
        <v>0</v>
      </c>
      <c r="O11" s="131">
        <f t="shared" ref="O11:O23" si="4">O10+N11</f>
        <v>0</v>
      </c>
    </row>
    <row r="12" spans="2:16">
      <c r="B12" s="2" t="s">
        <v>307</v>
      </c>
      <c r="C12" s="235" t="s">
        <v>311</v>
      </c>
      <c r="D12" s="187">
        <v>44253</v>
      </c>
      <c r="E12" s="2">
        <v>2021</v>
      </c>
      <c r="G12" s="108"/>
      <c r="H12" s="211"/>
      <c r="I12" s="211">
        <v>-53003.53</v>
      </c>
      <c r="J12" s="91"/>
      <c r="K12" s="211">
        <f t="shared" si="0"/>
        <v>-53003.53</v>
      </c>
      <c r="L12" s="211">
        <f t="shared" si="3"/>
        <v>-5077708.5</v>
      </c>
      <c r="M12" s="211">
        <f t="shared" si="1"/>
        <v>24922291.5</v>
      </c>
      <c r="N12" s="131">
        <f t="shared" si="2"/>
        <v>0</v>
      </c>
      <c r="O12" s="131">
        <f t="shared" si="4"/>
        <v>0</v>
      </c>
    </row>
    <row r="13" spans="2:16">
      <c r="B13" s="2" t="s">
        <v>49</v>
      </c>
      <c r="C13" s="235" t="s">
        <v>314</v>
      </c>
      <c r="D13" s="187">
        <v>44253</v>
      </c>
      <c r="E13" s="2">
        <v>2021</v>
      </c>
      <c r="F13" s="2" t="s">
        <v>609</v>
      </c>
      <c r="G13" s="108">
        <v>53003.53</v>
      </c>
      <c r="H13" s="211"/>
      <c r="I13" s="211"/>
      <c r="J13" s="91"/>
      <c r="K13" s="211">
        <f t="shared" si="0"/>
        <v>53003.53</v>
      </c>
      <c r="L13" s="211">
        <f t="shared" si="3"/>
        <v>-5077708.5</v>
      </c>
      <c r="M13" s="211">
        <f t="shared" si="1"/>
        <v>24922291.5</v>
      </c>
      <c r="N13" s="131">
        <f t="shared" si="2"/>
        <v>53003.53</v>
      </c>
      <c r="O13" s="131">
        <f t="shared" si="4"/>
        <v>53003.53</v>
      </c>
    </row>
    <row r="14" spans="2:16">
      <c r="B14" s="2" t="s">
        <v>307</v>
      </c>
      <c r="C14" s="235" t="s">
        <v>611</v>
      </c>
      <c r="D14" s="187">
        <v>44405</v>
      </c>
      <c r="E14" s="2">
        <v>2021</v>
      </c>
      <c r="F14" s="2" t="s">
        <v>610</v>
      </c>
      <c r="G14" s="108">
        <v>-78226.86</v>
      </c>
      <c r="H14" s="211"/>
      <c r="I14" s="211"/>
      <c r="J14" s="91"/>
      <c r="K14" s="211">
        <f t="shared" si="0"/>
        <v>-78226.86</v>
      </c>
      <c r="L14" s="211">
        <f>L13+IF(K14&lt;0,K14,0)</f>
        <v>-5155935.3600000003</v>
      </c>
      <c r="M14" s="211">
        <f t="shared" si="1"/>
        <v>24844064.640000001</v>
      </c>
      <c r="N14" s="131">
        <f t="shared" si="2"/>
        <v>0</v>
      </c>
      <c r="O14" s="131">
        <f>O13+N14</f>
        <v>53003.53</v>
      </c>
    </row>
    <row r="15" spans="2:16">
      <c r="B15" s="2" t="s">
        <v>307</v>
      </c>
      <c r="C15" s="235" t="s">
        <v>611</v>
      </c>
      <c r="D15" s="187">
        <v>44405</v>
      </c>
      <c r="E15" s="2">
        <v>2021</v>
      </c>
      <c r="G15" s="108"/>
      <c r="H15" s="211"/>
      <c r="I15" s="211">
        <v>-38839.620000000003</v>
      </c>
      <c r="J15" s="91"/>
      <c r="K15" s="211">
        <f t="shared" si="0"/>
        <v>-38839.620000000003</v>
      </c>
      <c r="L15" s="211">
        <f t="shared" si="3"/>
        <v>-5194774.9800000004</v>
      </c>
      <c r="M15" s="211">
        <f t="shared" si="1"/>
        <v>24805225.02</v>
      </c>
      <c r="N15" s="131">
        <f t="shared" si="2"/>
        <v>0</v>
      </c>
      <c r="O15" s="131">
        <f t="shared" si="4"/>
        <v>53003.53</v>
      </c>
    </row>
    <row r="16" spans="2:16">
      <c r="B16" s="2" t="s">
        <v>307</v>
      </c>
      <c r="C16" s="235" t="s">
        <v>611</v>
      </c>
      <c r="D16" s="187">
        <v>44405</v>
      </c>
      <c r="E16" s="2">
        <v>2021</v>
      </c>
      <c r="G16" s="108"/>
      <c r="H16" s="211">
        <v>-262500</v>
      </c>
      <c r="I16" s="211"/>
      <c r="J16" s="91"/>
      <c r="K16" s="211">
        <f t="shared" si="0"/>
        <v>-262500</v>
      </c>
      <c r="L16" s="211">
        <f t="shared" si="3"/>
        <v>-5457274.9800000004</v>
      </c>
      <c r="M16" s="211">
        <f t="shared" si="1"/>
        <v>24542725.02</v>
      </c>
      <c r="N16" s="131">
        <f t="shared" si="2"/>
        <v>0</v>
      </c>
      <c r="O16" s="131">
        <f t="shared" si="4"/>
        <v>53003.53</v>
      </c>
    </row>
    <row r="17" spans="2:17">
      <c r="B17" s="2" t="s">
        <v>49</v>
      </c>
      <c r="C17" s="235" t="s">
        <v>611</v>
      </c>
      <c r="D17" s="187">
        <v>44405</v>
      </c>
      <c r="E17" s="2">
        <v>2021</v>
      </c>
      <c r="F17" s="2" t="s">
        <v>609</v>
      </c>
      <c r="G17" s="108">
        <v>694505.23</v>
      </c>
      <c r="H17" s="211"/>
      <c r="I17" s="211">
        <v>3194.72</v>
      </c>
      <c r="J17" s="91">
        <v>27780.21</v>
      </c>
      <c r="K17" s="418">
        <f t="shared" si="0"/>
        <v>725480.15999999992</v>
      </c>
      <c r="L17" s="211">
        <f>L16+IF(K17&lt;0,K17,0)+K17</f>
        <v>-4731794.82</v>
      </c>
      <c r="M17" s="211">
        <f t="shared" si="1"/>
        <v>25268205.18</v>
      </c>
      <c r="N17" s="131">
        <f>IF(K17&gt;0,K17,0)-K17</f>
        <v>0</v>
      </c>
      <c r="O17" s="131">
        <f t="shared" si="4"/>
        <v>53003.53</v>
      </c>
    </row>
    <row r="18" spans="2:17">
      <c r="B18" s="2" t="s">
        <v>49</v>
      </c>
      <c r="C18" s="235" t="s">
        <v>611</v>
      </c>
      <c r="D18" s="187">
        <v>44405</v>
      </c>
      <c r="E18" s="2">
        <v>2021</v>
      </c>
      <c r="F18" s="2" t="s">
        <v>609</v>
      </c>
      <c r="G18" s="241">
        <v>513933.87</v>
      </c>
      <c r="H18" s="211"/>
      <c r="I18" s="241">
        <v>13890.1</v>
      </c>
      <c r="J18" s="91"/>
      <c r="K18" s="418">
        <f t="shared" si="0"/>
        <v>527823.97</v>
      </c>
      <c r="L18" s="211">
        <f>L17+IF(K18&lt;0,K18,0)+K18</f>
        <v>-4203970.8500000006</v>
      </c>
      <c r="M18" s="211">
        <f t="shared" si="1"/>
        <v>25796029.149999999</v>
      </c>
      <c r="N18" s="131">
        <f>IF(K18&gt;0,K18,0)-K18</f>
        <v>0</v>
      </c>
      <c r="O18" s="131">
        <f t="shared" si="4"/>
        <v>53003.53</v>
      </c>
    </row>
    <row r="19" spans="2:17">
      <c r="B19" s="2" t="s">
        <v>49</v>
      </c>
      <c r="C19" s="235" t="s">
        <v>611</v>
      </c>
      <c r="D19" s="187">
        <v>44405</v>
      </c>
      <c r="E19" s="2">
        <v>2021</v>
      </c>
      <c r="F19" s="2" t="s">
        <v>609</v>
      </c>
      <c r="G19" s="241"/>
      <c r="H19" s="211"/>
      <c r="I19" s="241">
        <v>13890.1</v>
      </c>
      <c r="J19" s="91"/>
      <c r="K19" s="418">
        <f t="shared" si="0"/>
        <v>13890.1</v>
      </c>
      <c r="L19" s="211">
        <f>L18+IF(K19&lt;0,K19,0)+K19</f>
        <v>-4190080.7500000005</v>
      </c>
      <c r="M19" s="211">
        <f t="shared" si="1"/>
        <v>25809919.25</v>
      </c>
      <c r="N19" s="131">
        <f>-IF(K19&gt;0,K19,0)</f>
        <v>-13890.1</v>
      </c>
      <c r="O19" s="131">
        <f t="shared" si="4"/>
        <v>39113.43</v>
      </c>
    </row>
    <row r="20" spans="2:17">
      <c r="B20" s="2" t="s">
        <v>49</v>
      </c>
      <c r="C20" s="235" t="s">
        <v>611</v>
      </c>
      <c r="D20" s="187">
        <v>44405</v>
      </c>
      <c r="E20" s="2">
        <v>2021</v>
      </c>
      <c r="F20" s="2" t="s">
        <v>609</v>
      </c>
      <c r="G20" s="241">
        <v>-13890.1</v>
      </c>
      <c r="H20" s="211"/>
      <c r="I20" s="241"/>
      <c r="J20" s="91"/>
      <c r="K20" s="418">
        <f t="shared" si="0"/>
        <v>-13890.1</v>
      </c>
      <c r="L20" s="211">
        <f>L19+IF(K20&lt;0,K20,0)+K20</f>
        <v>-4217860.95</v>
      </c>
      <c r="M20" s="211">
        <f t="shared" si="1"/>
        <v>25782139.050000001</v>
      </c>
      <c r="N20" s="131">
        <f t="shared" ref="N20" si="5">IF(K20&gt;0,K20,0)</f>
        <v>0</v>
      </c>
      <c r="O20" s="131">
        <f t="shared" si="4"/>
        <v>39113.43</v>
      </c>
    </row>
    <row r="21" spans="2:17">
      <c r="B21" s="2" t="s">
        <v>307</v>
      </c>
      <c r="C21" s="235" t="s">
        <v>612</v>
      </c>
      <c r="D21" s="187">
        <v>44419</v>
      </c>
      <c r="E21" s="2">
        <v>2021</v>
      </c>
      <c r="F21" s="2" t="s">
        <v>613</v>
      </c>
      <c r="G21" s="241">
        <v>-146675.35999999999</v>
      </c>
      <c r="H21" s="211"/>
      <c r="I21" s="241"/>
      <c r="J21" s="91"/>
      <c r="K21" s="211">
        <f t="shared" si="0"/>
        <v>-146675.35999999999</v>
      </c>
      <c r="L21" s="211">
        <f>L19+IF(K21&lt;0,K21,0)</f>
        <v>-4336756.1100000003</v>
      </c>
      <c r="M21" s="211">
        <f t="shared" si="1"/>
        <v>25663243.890000001</v>
      </c>
      <c r="N21" s="131">
        <f>-IF(K21&gt;0,K21,0)</f>
        <v>0</v>
      </c>
      <c r="O21" s="131">
        <f t="shared" si="4"/>
        <v>39113.43</v>
      </c>
    </row>
    <row r="22" spans="2:17">
      <c r="B22" s="2" t="s">
        <v>49</v>
      </c>
      <c r="C22" s="235" t="s">
        <v>612</v>
      </c>
      <c r="D22" s="187">
        <v>44419</v>
      </c>
      <c r="E22" s="2">
        <v>2021</v>
      </c>
      <c r="F22" s="2" t="s">
        <v>609</v>
      </c>
      <c r="G22" s="241">
        <v>146675.35999999999</v>
      </c>
      <c r="H22" s="211"/>
      <c r="I22" s="241"/>
      <c r="J22" s="91"/>
      <c r="K22" s="211">
        <f t="shared" si="0"/>
        <v>146675.35999999999</v>
      </c>
      <c r="L22" s="211">
        <f>L21+IF(K22&lt;0,K22,0)</f>
        <v>-4336756.1100000003</v>
      </c>
      <c r="M22" s="211">
        <f t="shared" si="1"/>
        <v>25663243.890000001</v>
      </c>
      <c r="N22" s="131">
        <f>IF(K22&gt;0,K22,0)</f>
        <v>146675.35999999999</v>
      </c>
      <c r="O22" s="131">
        <f t="shared" si="4"/>
        <v>185788.78999999998</v>
      </c>
    </row>
    <row r="23" spans="2:17">
      <c r="B23" s="2" t="s">
        <v>307</v>
      </c>
      <c r="C23" s="235" t="s">
        <v>325</v>
      </c>
      <c r="D23" s="187">
        <v>44589</v>
      </c>
      <c r="E23" s="2">
        <f t="shared" ref="E23:E36" si="6">YEAR(D23)</f>
        <v>2022</v>
      </c>
      <c r="G23" s="241"/>
      <c r="H23" s="241">
        <v>-262500</v>
      </c>
      <c r="I23" s="241">
        <v>-133333.32999999999</v>
      </c>
      <c r="J23" s="241"/>
      <c r="K23" s="211">
        <f t="shared" si="0"/>
        <v>-395833.32999999996</v>
      </c>
      <c r="L23" s="211">
        <f>L22+IF(K23&lt;0,K23,0)</f>
        <v>-4732589.4400000004</v>
      </c>
      <c r="M23" s="211">
        <f t="shared" si="1"/>
        <v>25267410.559999999</v>
      </c>
      <c r="N23" s="131">
        <f>IF(K23&gt;0,K23,0)</f>
        <v>0</v>
      </c>
      <c r="O23" s="131">
        <f t="shared" si="4"/>
        <v>185788.78999999998</v>
      </c>
    </row>
    <row r="24" spans="2:17">
      <c r="B24" s="2" t="s">
        <v>49</v>
      </c>
      <c r="C24" s="235" t="s">
        <v>330</v>
      </c>
      <c r="D24" s="187">
        <v>44589</v>
      </c>
      <c r="E24" s="2">
        <f t="shared" si="6"/>
        <v>2022</v>
      </c>
      <c r="F24" s="2" t="s">
        <v>614</v>
      </c>
      <c r="G24" s="241">
        <f>567195.41</f>
        <v>567195.41</v>
      </c>
      <c r="H24" s="241"/>
      <c r="I24" s="241"/>
      <c r="J24" s="241"/>
      <c r="K24" s="211">
        <f t="shared" si="0"/>
        <v>567195.41</v>
      </c>
      <c r="L24" s="211">
        <f>L23+IF(K24&lt;0,K24,0)+K24</f>
        <v>-4165394.0300000003</v>
      </c>
      <c r="M24" s="211">
        <f t="shared" si="1"/>
        <v>25834605.969999999</v>
      </c>
      <c r="N24" s="131">
        <f>IF(K24&gt;0,K24,0)-K24</f>
        <v>0</v>
      </c>
      <c r="O24" s="131">
        <f>O23</f>
        <v>185788.78999999998</v>
      </c>
    </row>
    <row r="25" spans="2:17">
      <c r="B25" s="2" t="s">
        <v>49</v>
      </c>
      <c r="C25" s="235" t="s">
        <v>330</v>
      </c>
      <c r="D25" s="187">
        <v>44589</v>
      </c>
      <c r="E25" s="2">
        <f t="shared" si="6"/>
        <v>2022</v>
      </c>
      <c r="F25" s="2" t="s">
        <v>614</v>
      </c>
      <c r="G25" s="241">
        <v>-27455.46</v>
      </c>
      <c r="H25" s="241"/>
      <c r="I25" s="241"/>
      <c r="J25" s="241"/>
      <c r="K25" s="211">
        <f t="shared" si="0"/>
        <v>-27455.46</v>
      </c>
      <c r="L25" s="211">
        <f>L24+IF(K25&lt;0,K25,0)+K25</f>
        <v>-4220304.95</v>
      </c>
      <c r="M25" s="211">
        <f t="shared" si="1"/>
        <v>25779695.050000001</v>
      </c>
      <c r="N25" s="131">
        <f>K25</f>
        <v>-27455.46</v>
      </c>
      <c r="O25" s="131">
        <f>O23+N25</f>
        <v>158333.32999999999</v>
      </c>
    </row>
    <row r="26" spans="2:17">
      <c r="B26" s="2" t="s">
        <v>49</v>
      </c>
      <c r="C26" s="235" t="s">
        <v>337</v>
      </c>
      <c r="D26" s="187">
        <v>44630</v>
      </c>
      <c r="E26" s="2">
        <f t="shared" si="6"/>
        <v>2022</v>
      </c>
      <c r="F26" s="2" t="s">
        <v>609</v>
      </c>
      <c r="G26" s="241">
        <v>125000</v>
      </c>
      <c r="H26" s="241"/>
      <c r="I26" s="241"/>
      <c r="J26" s="241"/>
      <c r="K26" s="211">
        <f t="shared" si="0"/>
        <v>125000</v>
      </c>
      <c r="L26" s="211">
        <f>L24+IF(K26&lt;0,K26,0)</f>
        <v>-4165394.0300000003</v>
      </c>
      <c r="M26" s="211">
        <f t="shared" si="1"/>
        <v>25834605.969999999</v>
      </c>
      <c r="N26" s="131">
        <f t="shared" ref="N26:N38" si="7">IF(K26&gt;0,K26,0)</f>
        <v>125000</v>
      </c>
      <c r="O26" s="131">
        <f t="shared" ref="O26:O38" si="8">O25+N26</f>
        <v>283333.32999999996</v>
      </c>
    </row>
    <row r="27" spans="2:17">
      <c r="B27" s="2" t="s">
        <v>49</v>
      </c>
      <c r="C27" s="235" t="s">
        <v>338</v>
      </c>
      <c r="D27" s="187">
        <v>44630</v>
      </c>
      <c r="E27" s="2">
        <f t="shared" si="6"/>
        <v>2022</v>
      </c>
      <c r="G27" s="241">
        <v>-46571.48</v>
      </c>
      <c r="H27" s="241"/>
      <c r="I27" s="241">
        <v>-25827.49</v>
      </c>
      <c r="J27" s="241"/>
      <c r="K27" s="211">
        <f t="shared" si="0"/>
        <v>-72398.97</v>
      </c>
      <c r="L27" s="211">
        <f t="shared" ref="L27:L32" si="9">L26+IF(K27&lt;0,K27,0)</f>
        <v>-4237793</v>
      </c>
      <c r="M27" s="211">
        <f t="shared" si="1"/>
        <v>25762207</v>
      </c>
      <c r="N27" s="131">
        <f t="shared" si="7"/>
        <v>0</v>
      </c>
      <c r="O27" s="131">
        <f t="shared" si="8"/>
        <v>283333.32999999996</v>
      </c>
    </row>
    <row r="28" spans="2:17">
      <c r="B28" s="2" t="s">
        <v>307</v>
      </c>
      <c r="C28" s="235" t="s">
        <v>322</v>
      </c>
      <c r="D28" s="187">
        <v>44680</v>
      </c>
      <c r="E28" s="2">
        <f t="shared" si="6"/>
        <v>2022</v>
      </c>
      <c r="F28" s="2" t="s">
        <v>615</v>
      </c>
      <c r="G28" s="241">
        <v>-1804359.97</v>
      </c>
      <c r="H28" s="241"/>
      <c r="I28" s="241">
        <v>-16932.05</v>
      </c>
      <c r="J28" s="241"/>
      <c r="K28" s="211">
        <f t="shared" si="0"/>
        <v>-1821292.02</v>
      </c>
      <c r="L28" s="211">
        <f t="shared" si="9"/>
        <v>-6059085.0199999996</v>
      </c>
      <c r="M28" s="211">
        <f t="shared" si="1"/>
        <v>23940914.98</v>
      </c>
      <c r="N28" s="131">
        <f t="shared" si="7"/>
        <v>0</v>
      </c>
      <c r="O28" s="131">
        <f t="shared" si="8"/>
        <v>283333.32999999996</v>
      </c>
    </row>
    <row r="29" spans="2:17">
      <c r="B29" s="2" t="s">
        <v>307</v>
      </c>
      <c r="C29" s="235" t="s">
        <v>327</v>
      </c>
      <c r="D29" s="187">
        <v>44762</v>
      </c>
      <c r="E29" s="2">
        <f t="shared" si="6"/>
        <v>2022</v>
      </c>
      <c r="G29" s="241"/>
      <c r="H29" s="241">
        <v>-262500</v>
      </c>
      <c r="I29" s="241">
        <v>-95967.18</v>
      </c>
      <c r="J29" s="241"/>
      <c r="K29" s="211">
        <f t="shared" si="0"/>
        <v>-358467.18</v>
      </c>
      <c r="L29" s="211">
        <f t="shared" si="9"/>
        <v>-6417552.1999999993</v>
      </c>
      <c r="M29" s="211">
        <f t="shared" si="1"/>
        <v>23582447.800000001</v>
      </c>
      <c r="N29" s="131">
        <f t="shared" si="7"/>
        <v>0</v>
      </c>
      <c r="O29" s="131">
        <f t="shared" si="8"/>
        <v>283333.32999999996</v>
      </c>
    </row>
    <row r="30" spans="2:17">
      <c r="B30" s="2" t="s">
        <v>307</v>
      </c>
      <c r="C30" s="235" t="s">
        <v>329</v>
      </c>
      <c r="D30" s="187">
        <v>44943</v>
      </c>
      <c r="E30" s="2">
        <f t="shared" si="6"/>
        <v>2023</v>
      </c>
      <c r="G30" s="241"/>
      <c r="H30" s="241">
        <v>-262500</v>
      </c>
      <c r="I30" s="241"/>
      <c r="J30" s="241"/>
      <c r="K30" s="211">
        <f t="shared" si="0"/>
        <v>-262500</v>
      </c>
      <c r="L30" s="211">
        <f t="shared" si="9"/>
        <v>-6680052.1999999993</v>
      </c>
      <c r="M30" s="211">
        <f t="shared" si="1"/>
        <v>23319947.800000001</v>
      </c>
      <c r="N30" s="131">
        <f t="shared" si="7"/>
        <v>0</v>
      </c>
      <c r="O30" s="131">
        <f t="shared" si="8"/>
        <v>283333.32999999996</v>
      </c>
      <c r="Q30" s="2" t="s">
        <v>401</v>
      </c>
    </row>
    <row r="31" spans="2:17">
      <c r="B31" s="2" t="s">
        <v>307</v>
      </c>
      <c r="C31" s="235" t="s">
        <v>331</v>
      </c>
      <c r="D31" s="187">
        <v>45132</v>
      </c>
      <c r="E31" s="2">
        <f t="shared" si="6"/>
        <v>2023</v>
      </c>
      <c r="G31" s="241">
        <v>-4168012.69</v>
      </c>
      <c r="H31" s="241">
        <v>-262500</v>
      </c>
      <c r="I31" s="241">
        <v>-324308</v>
      </c>
      <c r="J31" s="241"/>
      <c r="K31" s="211">
        <f t="shared" si="0"/>
        <v>-4754820.6899999995</v>
      </c>
      <c r="L31" s="211">
        <f t="shared" si="9"/>
        <v>-11434872.889999999</v>
      </c>
      <c r="M31" s="211">
        <f t="shared" si="1"/>
        <v>18565127.109999999</v>
      </c>
      <c r="N31" s="131">
        <f t="shared" si="7"/>
        <v>0</v>
      </c>
      <c r="O31" s="131">
        <f t="shared" si="8"/>
        <v>283333.32999999996</v>
      </c>
    </row>
    <row r="32" spans="2:17">
      <c r="B32" s="2" t="s">
        <v>49</v>
      </c>
      <c r="C32" s="235" t="s">
        <v>338</v>
      </c>
      <c r="D32" s="187">
        <v>45132</v>
      </c>
      <c r="E32" s="2">
        <f t="shared" si="6"/>
        <v>2023</v>
      </c>
      <c r="G32" s="241">
        <v>678678.92</v>
      </c>
      <c r="H32" s="241"/>
      <c r="I32" s="241"/>
      <c r="J32" s="241"/>
      <c r="K32" s="211">
        <f t="shared" si="0"/>
        <v>678678.92</v>
      </c>
      <c r="L32" s="211">
        <f t="shared" si="9"/>
        <v>-11434872.889999999</v>
      </c>
      <c r="M32" s="211">
        <f t="shared" si="1"/>
        <v>18565127.109999999</v>
      </c>
      <c r="N32" s="131">
        <f t="shared" si="7"/>
        <v>678678.92</v>
      </c>
      <c r="O32" s="131">
        <f t="shared" si="8"/>
        <v>962012.25</v>
      </c>
      <c r="Q32" s="2" t="s">
        <v>514</v>
      </c>
    </row>
    <row r="33" spans="2:17">
      <c r="B33" s="2" t="s">
        <v>307</v>
      </c>
      <c r="C33" s="235" t="s">
        <v>333</v>
      </c>
      <c r="D33" s="187">
        <v>45251</v>
      </c>
      <c r="E33" s="2">
        <f t="shared" si="6"/>
        <v>2023</v>
      </c>
      <c r="G33" s="241">
        <v>-2995767.09</v>
      </c>
      <c r="H33" s="241"/>
      <c r="I33" s="241">
        <v>-374454.3</v>
      </c>
      <c r="J33" s="241"/>
      <c r="K33" s="211">
        <f>SUM(G33:J33)</f>
        <v>-3370221.3899999997</v>
      </c>
      <c r="L33" s="211">
        <f>L32+IF(K33&lt;0,K33,0)</f>
        <v>-14805094.279999997</v>
      </c>
      <c r="M33" s="211">
        <f>$C$7+L33</f>
        <v>15194905.720000003</v>
      </c>
      <c r="N33" s="131">
        <f t="shared" si="7"/>
        <v>0</v>
      </c>
      <c r="O33" s="131">
        <f t="shared" si="8"/>
        <v>962012.25</v>
      </c>
    </row>
    <row r="34" spans="2:17">
      <c r="B34" s="2" t="s">
        <v>49</v>
      </c>
      <c r="C34" s="235" t="s">
        <v>340</v>
      </c>
      <c r="D34" s="187">
        <v>45251</v>
      </c>
      <c r="E34" s="2">
        <f t="shared" si="6"/>
        <v>2023</v>
      </c>
      <c r="F34" s="2" t="s">
        <v>616</v>
      </c>
      <c r="G34" s="241">
        <v>33476.980000000003</v>
      </c>
      <c r="H34" s="241"/>
      <c r="I34" s="241"/>
      <c r="J34" s="241"/>
      <c r="K34" s="211">
        <f>SUM(G34:J34)</f>
        <v>33476.980000000003</v>
      </c>
      <c r="L34" s="211">
        <f>L33+IF(K34&lt;0,K34,0)</f>
        <v>-14805094.279999997</v>
      </c>
      <c r="M34" s="211">
        <f>$C$7+L34</f>
        <v>15194905.720000003</v>
      </c>
      <c r="N34" s="131">
        <f t="shared" si="7"/>
        <v>33476.980000000003</v>
      </c>
      <c r="O34" s="131">
        <f t="shared" si="8"/>
        <v>995489.23</v>
      </c>
    </row>
    <row r="35" spans="2:17" ht="15">
      <c r="B35" s="2" t="s">
        <v>307</v>
      </c>
      <c r="C35" s="235" t="s">
        <v>335</v>
      </c>
      <c r="D35" s="187">
        <v>45314</v>
      </c>
      <c r="E35" s="2">
        <f t="shared" si="6"/>
        <v>2024</v>
      </c>
      <c r="G35" s="241">
        <v>-262500</v>
      </c>
      <c r="H35" s="241"/>
      <c r="I35" s="241"/>
      <c r="J35" s="241"/>
      <c r="K35" s="403">
        <f>SUM(G35:J35)</f>
        <v>-262500</v>
      </c>
      <c r="L35" s="211">
        <f t="shared" ref="L35:L38" si="10">L34+IF(K35&lt;0,K35,0)</f>
        <v>-15067594.279999997</v>
      </c>
      <c r="M35" s="211">
        <f t="shared" ref="M35:M38" si="11">$C$7+L35</f>
        <v>14932405.720000003</v>
      </c>
      <c r="N35" s="131">
        <f t="shared" si="7"/>
        <v>0</v>
      </c>
      <c r="O35" s="131">
        <f t="shared" si="8"/>
        <v>995489.23</v>
      </c>
    </row>
    <row r="36" spans="2:17" ht="15">
      <c r="B36" s="2" t="s">
        <v>307</v>
      </c>
      <c r="C36" s="235" t="s">
        <v>342</v>
      </c>
      <c r="D36" s="187">
        <v>45408</v>
      </c>
      <c r="E36" s="2">
        <f t="shared" si="6"/>
        <v>2024</v>
      </c>
      <c r="G36" s="241">
        <v>-3007626.49</v>
      </c>
      <c r="H36" s="241"/>
      <c r="I36" s="241"/>
      <c r="J36" s="241"/>
      <c r="K36" s="403">
        <v>-3007626.49</v>
      </c>
      <c r="L36" s="211">
        <f t="shared" si="10"/>
        <v>-18075220.769999996</v>
      </c>
      <c r="M36" s="211">
        <f t="shared" si="11"/>
        <v>11924779.230000004</v>
      </c>
      <c r="N36" s="131">
        <f t="shared" si="7"/>
        <v>0</v>
      </c>
      <c r="O36" s="131">
        <f t="shared" si="8"/>
        <v>995489.23</v>
      </c>
    </row>
    <row r="37" spans="2:17" ht="15">
      <c r="B37" s="2" t="s">
        <v>307</v>
      </c>
      <c r="C37" s="235" t="s">
        <v>346</v>
      </c>
      <c r="D37" s="187">
        <v>45490</v>
      </c>
      <c r="E37" s="2">
        <v>2024</v>
      </c>
      <c r="G37" s="241">
        <v>-292487.23</v>
      </c>
      <c r="H37" s="241"/>
      <c r="I37" s="241"/>
      <c r="J37" s="241"/>
      <c r="K37" s="403">
        <f>SUM(G37:J37)</f>
        <v>-292487.23</v>
      </c>
      <c r="L37" s="211">
        <f t="shared" si="10"/>
        <v>-18367707.999999996</v>
      </c>
      <c r="M37" s="211">
        <f t="shared" si="11"/>
        <v>11632292.000000004</v>
      </c>
      <c r="N37" s="131">
        <f t="shared" si="7"/>
        <v>0</v>
      </c>
      <c r="O37" s="131">
        <f t="shared" si="8"/>
        <v>995489.23</v>
      </c>
      <c r="Q37" s="2" t="s">
        <v>617</v>
      </c>
    </row>
    <row r="38" spans="2:17" ht="15">
      <c r="B38" s="2" t="s">
        <v>307</v>
      </c>
      <c r="C38" s="235" t="s">
        <v>456</v>
      </c>
      <c r="D38" s="187">
        <v>45603</v>
      </c>
      <c r="E38" s="2">
        <v>2024</v>
      </c>
      <c r="G38" s="241">
        <v>-996488.78</v>
      </c>
      <c r="H38" s="241"/>
      <c r="I38" s="241"/>
      <c r="J38" s="241"/>
      <c r="K38" s="403">
        <f>SUM(G38:J38)</f>
        <v>-996488.78</v>
      </c>
      <c r="L38" s="211">
        <f t="shared" si="10"/>
        <v>-19364196.779999997</v>
      </c>
      <c r="M38" s="211">
        <f t="shared" si="11"/>
        <v>10635803.220000003</v>
      </c>
      <c r="N38" s="131">
        <f t="shared" si="7"/>
        <v>0</v>
      </c>
      <c r="O38" s="131">
        <f t="shared" si="8"/>
        <v>995489.23</v>
      </c>
      <c r="Q38" s="2" t="s">
        <v>403</v>
      </c>
    </row>
    <row r="39" spans="2:17">
      <c r="C39" s="235"/>
      <c r="D39" s="187"/>
      <c r="G39" s="241"/>
      <c r="H39" s="241"/>
      <c r="I39" s="241"/>
      <c r="J39" s="241"/>
      <c r="K39" s="211"/>
      <c r="L39" s="211"/>
      <c r="M39" s="211"/>
      <c r="N39" s="131"/>
      <c r="O39" s="131"/>
    </row>
    <row r="40" spans="2:17">
      <c r="C40" s="235"/>
      <c r="D40" s="187"/>
      <c r="G40" s="241"/>
      <c r="H40" s="241"/>
      <c r="I40" s="241"/>
      <c r="J40" s="241"/>
      <c r="K40" s="211"/>
      <c r="L40" s="211"/>
      <c r="M40" s="211"/>
      <c r="N40" s="131"/>
      <c r="O40" s="131"/>
    </row>
    <row r="41" spans="2:17">
      <c r="C41" s="235"/>
      <c r="D41" s="187"/>
      <c r="G41" s="241"/>
      <c r="H41" s="241"/>
      <c r="I41" s="241"/>
      <c r="J41" s="241"/>
      <c r="K41" s="211"/>
      <c r="L41" s="211"/>
      <c r="M41" s="211"/>
      <c r="N41" s="131"/>
      <c r="O41" s="131"/>
    </row>
    <row r="42" spans="2:17">
      <c r="C42" s="235"/>
      <c r="D42" s="187"/>
      <c r="G42" s="241"/>
      <c r="H42" s="241"/>
      <c r="I42" s="241"/>
      <c r="J42" s="241"/>
      <c r="K42" s="211"/>
      <c r="L42" s="211"/>
      <c r="M42" s="211"/>
      <c r="N42" s="131"/>
      <c r="O42" s="131"/>
    </row>
    <row r="43" spans="2:17">
      <c r="C43" s="235"/>
      <c r="D43" s="187"/>
      <c r="G43" s="241"/>
      <c r="H43" s="241"/>
      <c r="I43" s="241"/>
      <c r="J43" s="241"/>
      <c r="K43" s="211"/>
      <c r="L43" s="211"/>
      <c r="M43" s="211"/>
      <c r="N43" s="131"/>
      <c r="O43" s="131"/>
    </row>
    <row r="44" spans="2:17">
      <c r="B44" s="191"/>
      <c r="C44" s="191" t="s">
        <v>227</v>
      </c>
      <c r="D44" s="192">
        <f>C3</f>
        <v>45657</v>
      </c>
      <c r="E44" s="191"/>
      <c r="F44" s="191"/>
      <c r="G44" s="194"/>
      <c r="H44" s="194"/>
      <c r="I44" s="263"/>
      <c r="J44" s="194"/>
      <c r="K44" s="194">
        <v>15342150</v>
      </c>
      <c r="L44" s="194"/>
      <c r="M44" s="193"/>
      <c r="N44" s="191"/>
      <c r="O44" s="191"/>
      <c r="P44" s="191"/>
      <c r="Q44" s="75"/>
    </row>
  </sheetData>
  <autoFilter ref="A9:P36" xr:uid="{A7BE3098-6D2A-4132-A6B5-71414DCAC5D3}"/>
  <mergeCells count="1">
    <mergeCell ref="L1:M1"/>
  </mergeCells>
  <phoneticPr fontId="62" type="noConversion"/>
  <hyperlinks>
    <hyperlink ref="K35" r:id="rId1" display="../../../../Forms/AllItems.aspx?CT=1722236910052&amp;OR=OWA%2DNT%2DMail&amp;CID=4ee197c8%2D4f6b%2D8418%2D90d3%2Dff79d36307e2&amp;id=%2Fsites%2FACH33%2DACH33%2DSGInvestment%2DCCGBVI%2FShared%20Documents%2FACH33%20%2D%20SG%20Investment%20%2D%20CCGBVI%2F1%2E%20Private%20Equity%2F1%20%2D%20Funds%2F1%20%2D%20USD%20Funds%2FBOYU%20%28USD%29%2F2%20%2D%20BOYU%20Real%20Estate%20Fund%20I%2F3%20%2D%20Contribution%20Notice%2FCC013%20%2D%20Capital%20China%20Group%20Limited%2Epdf&amp;viewid=048c04e9%2D146b%2D425b%2D9d09%2D84676d2821bc&amp;parent=%2Fsites%2FACH33%2DACH33%2DSGInvestment%2DCCGBVI%2FShared%20Documents%2FACH33%20%2D%20SG%20Investment%20%2D%20CCGBVI%2F1%2E%20Private%20Equity%2F1%20%2D%20Funds%2F1%20%2D%20USD%20Funds%2FBOYU%20%28USD%29%2F2%20%2D%20BOYU%20Real%20Estate%20Fund%20I%2F3%20%2D%20Contribution%20Notice" xr:uid="{BE5D8514-A476-4781-AA24-8DD2A1F61D25}"/>
    <hyperlink ref="K37" r:id="rId2" display="../../../../Forms/AllItems.aspx?CT=1722236910052&amp;OR=OWA%2DNT%2DMail&amp;CID=4ee197c8%2D4f6b%2D8418%2D90d3%2Dff79d36307e2&amp;id=%2Fsites%2FACH33%2DACH33%2DSGInvestment%2DCCGBVI%2FShared%20Documents%2FACH33%20%2D%20SG%20Investment%20%2D%20CCGBVI%2F1%2E%20Private%20Equity%2F1%20%2D%20Funds%2F1%20%2D%20USD%20Funds%2FBOYU%20%28USD%29%2F2%20%2D%20BOYU%20Real%20Estate%20Fund%20I%2F3%20%2D%20Contribution%20Notice%2FCC015%5FCapital%20China%20Group%20Limited%2Epdf&amp;viewid=048c04e9%2D146b%2D425b%2D9d09%2D84676d2821bc&amp;parent=%2Fsites%2FACH33%2DACH33%2DSGInvestment%2DCCGBVI%2FShared%20Documents%2FACH33%20%2D%20SG%20Investment%20%2D%20CCGBVI%2F1%2E%20Private%20Equity%2F1%20%2D%20Funds%2F1%20%2D%20USD%20Funds%2FBOYU%20%28USD%29%2F2%20%2D%20BOYU%20Real%20Estate%20Fund%20I%2F3%20%2D%20Contribution%20Notice" xr:uid="{DF9D59DA-B5E1-441D-8023-15D1D009CB95}"/>
    <hyperlink ref="K36" r:id="rId3" display="../../../../Forms/AllItems.aspx?CT=1722236910052&amp;OR=OWA%2DNT%2DMail&amp;CID=4ee197c8%2D4f6b%2D8418%2D90d3%2Dff79d36307e2&amp;id=%2Fsites%2FACH33%2DACH33%2DSGInvestment%2DCCGBVI%2FShared%20Documents%2FACH33%20%2D%20SG%20Investment%20%2D%20CCGBVI%2F1%2E%20Private%20Equity%2F1%20%2D%20Funds%2F1%20%2D%20USD%20Funds%2FBOYU%20%28USD%29%2F2%20%2D%20BOYU%20Real%20Estate%20Fund%20I%2F3%20%2D%20Contribution%20Notice%2FCC014%5FCapital%20China%20Group%20Limited%2Epdf&amp;viewid=048c04e9%2D146b%2D425b%2D9d09%2D84676d2821bc&amp;parent=%2Fsites%2FACH33%2DACH33%2DSGInvestment%2DCCGBVI%2FShared%20Documents%2FACH33%20%2D%20SG%20Investment%20%2D%20CCGBVI%2F1%2E%20Private%20Equity%2F1%20%2D%20Funds%2F1%20%2D%20USD%20Funds%2FBOYU%20%28USD%29%2F2%20%2D%20BOYU%20Real%20Estate%20Fund%20I%2F3%20%2D%20Contribution%20Notice" xr:uid="{D8B2DC0B-E42B-433B-8CC4-8C813BE65254}"/>
    <hyperlink ref="K38" r:id="rId4" display="../../../../Forms/AllItems.aspx?CT=1722236910052&amp;OR=OWA%2DNT%2DMail&amp;CID=4ee197c8%2D4f6b%2D8418%2D90d3%2Dff79d36307e2&amp;id=%2Fsites%2FACH33%2DACH33%2DSGInvestment%2DCCGBVI%2FShared%20Documents%2FACH33%20%2D%20SG%20Investment%20%2D%20CCGBVI%2F1%2E%20Private%20Equity%2F1%20%2D%20Funds%2F1%20%2D%20USD%20Funds%2FBOYU%20%28USD%29%2F2%20%2D%20BOYU%20Real%20Estate%20Fund%20I%2F3%20%2D%20Contribution%20Notice%2FCC016%5FCapital%20China%20Group%20Limited%2Epdf&amp;viewid=048c04e9%2D146b%2D425b%2D9d09%2D84676d2821bc&amp;parent=%2Fsites%2FACH33%2DACH33%2DSGInvestment%2DCCGBVI%2FShared%20Documents%2FACH33%20%2D%20SG%20Investment%20%2D%20CCGBVI%2F1%2E%20Private%20Equity%2F1%20%2D%20Funds%2F1%20%2D%20USD%20Funds%2FBOYU%20%28USD%29%2F2%20%2D%20BOYU%20Real%20Estate%20Fund%20I%2F3%20%2D%20Contribution%20Notice" xr:uid="{66DE9DE8-C983-4603-99F4-ECB7ADD5B623}"/>
  </hyperlinks>
  <pageMargins left="0.7" right="0.7" top="0.75" bottom="0.75" header="0.3" footer="0.3"/>
  <pageSetup paperSize="9" orientation="portrait" r:id="rId5"/>
  <legacyDrawing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78693-24C4-4FC7-83BE-CCC03D6104D6}">
  <sheetPr>
    <tabColor theme="8"/>
    <outlinePr showOutlineSymbols="0"/>
    <pageSetUpPr fitToPage="1"/>
  </sheetPr>
  <dimension ref="A1:AN75"/>
  <sheetViews>
    <sheetView workbookViewId="0">
      <selection activeCell="C20" sqref="C20"/>
    </sheetView>
  </sheetViews>
  <sheetFormatPr defaultColWidth="9" defaultRowHeight="11.25" outlineLevelRow="1" outlineLevelCol="1"/>
  <cols>
    <col min="1" max="1" width="32.140625" style="2" customWidth="1"/>
    <col min="2" max="2" width="79.42578125" style="2" bestFit="1" customWidth="1"/>
    <col min="3" max="3" width="15.7109375" style="2" customWidth="1"/>
    <col min="4" max="4" width="31.140625" style="2" customWidth="1"/>
    <col min="5" max="5" width="14.42578125" style="2" bestFit="1" customWidth="1"/>
    <col min="6" max="7" width="10.7109375" style="2" customWidth="1"/>
    <col min="8" max="8" width="38" style="2" bestFit="1" customWidth="1"/>
    <col min="9" max="9" width="19.28515625" style="2" bestFit="1" customWidth="1"/>
    <col min="10" max="10" width="19.28515625" style="2" customWidth="1"/>
    <col min="11" max="11" width="12.7109375" style="367" customWidth="1" outlineLevel="1"/>
    <col min="12" max="12" width="12.7109375" style="2" customWidth="1" outlineLevel="1"/>
    <col min="13" max="15" width="14.7109375" style="2" customWidth="1" outlineLevel="1"/>
    <col min="16" max="17" width="7.7109375" style="2" customWidth="1" outlineLevel="1"/>
    <col min="18" max="19" width="15.7109375" style="2" customWidth="1" outlineLevel="1"/>
    <col min="20" max="20" width="12.7109375" style="367" customWidth="1"/>
    <col min="21" max="21" width="12.7109375" style="2" customWidth="1"/>
    <col min="22" max="24" width="14.7109375" style="2" customWidth="1"/>
    <col min="25" max="26" width="7.7109375" style="2" customWidth="1"/>
    <col min="27" max="28" width="15.7109375" style="2" customWidth="1"/>
    <col min="29" max="29" width="12.7109375" style="367" customWidth="1"/>
    <col min="30" max="30" width="12.7109375" style="2" customWidth="1"/>
    <col min="31" max="33" width="14.7109375" style="2" customWidth="1"/>
    <col min="34" max="35" width="7.7109375" style="2" customWidth="1"/>
    <col min="36" max="39" width="15.7109375" style="2" customWidth="1"/>
    <col min="40" max="40" width="9" style="367"/>
    <col min="41" max="16384" width="9" style="2"/>
  </cols>
  <sheetData>
    <row r="1" spans="1:20">
      <c r="A1" s="117" t="s">
        <v>179</v>
      </c>
      <c r="B1" s="118"/>
      <c r="C1" s="74"/>
      <c r="D1" s="117" t="s">
        <v>180</v>
      </c>
      <c r="E1" s="219">
        <v>45657</v>
      </c>
      <c r="H1" s="117" t="s">
        <v>404</v>
      </c>
      <c r="I1" s="118"/>
      <c r="J1" s="74"/>
    </row>
    <row r="2" spans="1:20" outlineLevel="1">
      <c r="A2" s="2" t="s">
        <v>182</v>
      </c>
      <c r="B2" s="120" t="s">
        <v>31</v>
      </c>
      <c r="D2" s="2" t="s">
        <v>183</v>
      </c>
      <c r="E2" s="220">
        <f>W50</f>
        <v>45.7</v>
      </c>
      <c r="H2" s="2" t="s">
        <v>184</v>
      </c>
      <c r="I2" s="120" t="s">
        <v>185</v>
      </c>
      <c r="J2" s="120"/>
    </row>
    <row r="3" spans="1:20" outlineLevel="1">
      <c r="A3" s="2" t="s">
        <v>186</v>
      </c>
      <c r="B3" s="122">
        <v>43373</v>
      </c>
      <c r="D3" s="2" t="s">
        <v>187</v>
      </c>
      <c r="E3" s="220">
        <v>50.944341999999999</v>
      </c>
      <c r="H3" s="2" t="s">
        <v>188</v>
      </c>
      <c r="I3" s="120" t="s">
        <v>189</v>
      </c>
      <c r="J3" s="120"/>
    </row>
    <row r="4" spans="1:20" outlineLevel="1">
      <c r="A4" s="2" t="s">
        <v>190</v>
      </c>
      <c r="B4" s="122">
        <v>43646</v>
      </c>
      <c r="D4" s="2" t="s">
        <v>191</v>
      </c>
      <c r="E4" s="125">
        <f>Y50</f>
        <v>1.2857142857142856</v>
      </c>
      <c r="H4" s="2" t="s">
        <v>192</v>
      </c>
      <c r="I4" s="124">
        <v>0.06</v>
      </c>
      <c r="J4" s="320"/>
    </row>
    <row r="5" spans="1:20" outlineLevel="1">
      <c r="A5" s="2" t="s">
        <v>193</v>
      </c>
      <c r="B5" s="120">
        <v>2019</v>
      </c>
      <c r="D5" s="2" t="s">
        <v>194</v>
      </c>
      <c r="E5" s="125">
        <v>1.24</v>
      </c>
      <c r="H5" s="2" t="s">
        <v>195</v>
      </c>
      <c r="I5" s="126">
        <v>0.2</v>
      </c>
      <c r="J5" s="126"/>
    </row>
    <row r="6" spans="1:20" outlineLevel="1">
      <c r="A6" s="2" t="s">
        <v>196</v>
      </c>
      <c r="B6" s="120" t="s">
        <v>618</v>
      </c>
      <c r="D6" s="2" t="s">
        <v>198</v>
      </c>
      <c r="E6" s="284">
        <v>0.111</v>
      </c>
      <c r="H6" s="117" t="s">
        <v>199</v>
      </c>
      <c r="I6" s="118"/>
      <c r="J6" s="74"/>
    </row>
    <row r="7" spans="1:20" outlineLevel="1">
      <c r="A7" s="2" t="s">
        <v>200</v>
      </c>
      <c r="B7" s="120" t="s">
        <v>619</v>
      </c>
      <c r="D7" s="2" t="s">
        <v>202</v>
      </c>
      <c r="E7" s="284">
        <v>6.5000000000000002E-2</v>
      </c>
      <c r="H7" s="2" t="s">
        <v>203</v>
      </c>
      <c r="I7" s="2" t="s">
        <v>204</v>
      </c>
    </row>
    <row r="8" spans="1:20" outlineLevel="1">
      <c r="A8" s="2" t="s">
        <v>205</v>
      </c>
      <c r="B8" s="120" t="s">
        <v>206</v>
      </c>
      <c r="D8" s="2" t="s">
        <v>620</v>
      </c>
      <c r="E8" s="284">
        <v>0.41799999999999998</v>
      </c>
      <c r="H8" s="120" t="s">
        <v>208</v>
      </c>
      <c r="I8" s="2" t="s">
        <v>209</v>
      </c>
    </row>
    <row r="9" spans="1:20" outlineLevel="1">
      <c r="A9" s="2" t="s">
        <v>65</v>
      </c>
      <c r="B9" s="120" t="s">
        <v>621</v>
      </c>
      <c r="D9" s="128" t="s">
        <v>211</v>
      </c>
      <c r="E9" s="291"/>
    </row>
    <row r="10" spans="1:20" outlineLevel="1">
      <c r="A10" s="2" t="s">
        <v>212</v>
      </c>
      <c r="B10" s="120" t="s">
        <v>622</v>
      </c>
      <c r="D10" s="2" t="s">
        <v>214</v>
      </c>
      <c r="E10" s="292">
        <v>20</v>
      </c>
    </row>
    <row r="11" spans="1:20" outlineLevel="1">
      <c r="A11" s="2" t="s">
        <v>215</v>
      </c>
      <c r="B11" s="120" t="s">
        <v>623</v>
      </c>
      <c r="D11" s="2" t="s">
        <v>216</v>
      </c>
      <c r="E11" s="378">
        <f>E10/56</f>
        <v>0.35714285714285715</v>
      </c>
    </row>
    <row r="12" spans="1:20" outlineLevel="1">
      <c r="A12" s="2" t="s">
        <v>217</v>
      </c>
      <c r="B12" s="120" t="s">
        <v>24</v>
      </c>
      <c r="D12" s="2" t="s">
        <v>218</v>
      </c>
      <c r="E12" s="264">
        <f>-'C Ventures II CF '!K2/10^6</f>
        <v>19.929372359999999</v>
      </c>
      <c r="T12" s="502"/>
    </row>
    <row r="13" spans="1:20" outlineLevel="1">
      <c r="A13" s="2" t="s">
        <v>219</v>
      </c>
      <c r="B13" s="120" t="s">
        <v>624</v>
      </c>
      <c r="D13" s="2" t="s">
        <v>221</v>
      </c>
      <c r="E13" s="264">
        <f>E10-E12</f>
        <v>7.0627640000001435E-2</v>
      </c>
      <c r="N13" s="314"/>
      <c r="T13" s="502"/>
    </row>
    <row r="14" spans="1:20" outlineLevel="1">
      <c r="A14" s="2" t="s">
        <v>222</v>
      </c>
      <c r="B14" s="120" t="s">
        <v>223</v>
      </c>
      <c r="D14" s="2" t="s">
        <v>224</v>
      </c>
      <c r="E14" s="264">
        <f>'C Ventures II CF '!K3/10^6</f>
        <v>5.3248989900000003</v>
      </c>
      <c r="N14" s="314"/>
      <c r="T14" s="502"/>
    </row>
    <row r="15" spans="1:20" outlineLevel="1">
      <c r="A15" s="2" t="s">
        <v>225</v>
      </c>
      <c r="B15" s="2" t="s">
        <v>625</v>
      </c>
      <c r="D15" s="2" t="s">
        <v>227</v>
      </c>
      <c r="E15" s="265">
        <f>'C Ventures II CF '!K4/10^6</f>
        <v>16.039004680000001</v>
      </c>
      <c r="N15" s="314"/>
    </row>
    <row r="16" spans="1:20" outlineLevel="1">
      <c r="A16" s="2" t="s">
        <v>228</v>
      </c>
      <c r="B16" s="134">
        <v>44196</v>
      </c>
      <c r="D16" s="2" t="s">
        <v>229</v>
      </c>
      <c r="E16" s="225">
        <f>E12/E10</f>
        <v>0.99646861799999997</v>
      </c>
      <c r="N16" s="314"/>
    </row>
    <row r="17" spans="1:40" outlineLevel="1">
      <c r="A17" s="2" t="s">
        <v>230</v>
      </c>
      <c r="B17" s="120" t="s">
        <v>626</v>
      </c>
      <c r="D17" s="2" t="s">
        <v>232</v>
      </c>
      <c r="E17" s="266">
        <f>E14/E12</f>
        <v>0.26718849413880891</v>
      </c>
    </row>
    <row r="18" spans="1:40" outlineLevel="1">
      <c r="A18" s="117" t="s">
        <v>233</v>
      </c>
      <c r="B18" s="118"/>
      <c r="D18" s="2" t="s">
        <v>234</v>
      </c>
      <c r="E18" s="416">
        <f>(E15+E14)/E12</f>
        <v>1.0719807570497921</v>
      </c>
    </row>
    <row r="19" spans="1:40" outlineLevel="1">
      <c r="A19" s="2" t="s">
        <v>235</v>
      </c>
      <c r="B19" s="120">
        <v>17</v>
      </c>
      <c r="D19" s="2" t="s">
        <v>627</v>
      </c>
      <c r="E19" s="266">
        <f>'C Ventures II CF '!K5</f>
        <v>1.7202332615852356E-2</v>
      </c>
    </row>
    <row r="20" spans="1:40" ht="13.5" customHeight="1"/>
    <row r="30" spans="1:40" ht="13.5" customHeight="1">
      <c r="K30" s="503" t="s">
        <v>236</v>
      </c>
      <c r="L30" s="504"/>
      <c r="M30" s="504"/>
      <c r="N30" s="504"/>
      <c r="O30" s="504"/>
      <c r="P30" s="504"/>
      <c r="Q30" s="505"/>
      <c r="R30" s="505"/>
      <c r="S30" s="504"/>
      <c r="T30" s="503" t="s">
        <v>237</v>
      </c>
      <c r="U30" s="504"/>
      <c r="V30" s="504"/>
      <c r="W30" s="504"/>
      <c r="X30" s="504"/>
      <c r="Y30" s="504"/>
      <c r="Z30" s="505"/>
      <c r="AA30" s="505"/>
      <c r="AB30" s="504"/>
      <c r="AC30" s="503" t="s">
        <v>238</v>
      </c>
      <c r="AD30" s="504"/>
      <c r="AE30" s="504"/>
      <c r="AF30" s="504"/>
      <c r="AG30" s="504"/>
      <c r="AH30" s="504"/>
      <c r="AI30" s="505"/>
      <c r="AJ30" s="505"/>
      <c r="AK30" s="505"/>
      <c r="AL30" s="505"/>
      <c r="AM30" s="504"/>
    </row>
    <row r="31" spans="1:40" s="141" customFormat="1" ht="39.75" customHeight="1">
      <c r="A31" s="138" t="s">
        <v>239</v>
      </c>
      <c r="B31" s="139" t="s">
        <v>240</v>
      </c>
      <c r="C31" s="139" t="s">
        <v>69</v>
      </c>
      <c r="D31" s="139" t="s">
        <v>241</v>
      </c>
      <c r="E31" s="139" t="s">
        <v>242</v>
      </c>
      <c r="F31" s="139" t="s">
        <v>243</v>
      </c>
      <c r="G31" s="139" t="s">
        <v>244</v>
      </c>
      <c r="H31" s="139" t="s">
        <v>245</v>
      </c>
      <c r="I31" s="139" t="s">
        <v>246</v>
      </c>
      <c r="J31" s="501" t="s">
        <v>247</v>
      </c>
      <c r="K31" s="506" t="s">
        <v>248</v>
      </c>
      <c r="L31" s="506" t="s">
        <v>249</v>
      </c>
      <c r="M31" s="507" t="s">
        <v>250</v>
      </c>
      <c r="N31" s="506" t="s">
        <v>251</v>
      </c>
      <c r="O31" s="507" t="s">
        <v>252</v>
      </c>
      <c r="P31" s="506" t="s">
        <v>115</v>
      </c>
      <c r="Q31" s="507" t="s">
        <v>253</v>
      </c>
      <c r="R31" s="508" t="s">
        <v>254</v>
      </c>
      <c r="S31" s="509" t="s">
        <v>255</v>
      </c>
      <c r="T31" s="506" t="s">
        <v>248</v>
      </c>
      <c r="U31" s="506" t="s">
        <v>249</v>
      </c>
      <c r="V31" s="507" t="s">
        <v>250</v>
      </c>
      <c r="W31" s="506" t="s">
        <v>251</v>
      </c>
      <c r="X31" s="507" t="s">
        <v>252</v>
      </c>
      <c r="Y31" s="506" t="s">
        <v>115</v>
      </c>
      <c r="Z31" s="507" t="s">
        <v>253</v>
      </c>
      <c r="AA31" s="508" t="s">
        <v>254</v>
      </c>
      <c r="AB31" s="509" t="s">
        <v>255</v>
      </c>
      <c r="AC31" s="506" t="s">
        <v>248</v>
      </c>
      <c r="AD31" s="506" t="s">
        <v>249</v>
      </c>
      <c r="AE31" s="507" t="s">
        <v>250</v>
      </c>
      <c r="AF31" s="506" t="s">
        <v>251</v>
      </c>
      <c r="AG31" s="507" t="s">
        <v>252</v>
      </c>
      <c r="AH31" s="506" t="s">
        <v>115</v>
      </c>
      <c r="AI31" s="507" t="s">
        <v>253</v>
      </c>
      <c r="AJ31" s="508" t="s">
        <v>254</v>
      </c>
      <c r="AK31" s="509" t="s">
        <v>255</v>
      </c>
      <c r="AL31" s="508" t="s">
        <v>256</v>
      </c>
      <c r="AM31" s="509" t="s">
        <v>257</v>
      </c>
      <c r="AN31" s="510"/>
    </row>
    <row r="32" spans="1:40">
      <c r="A32" s="2" t="s">
        <v>628</v>
      </c>
      <c r="B32" s="2" t="s">
        <v>629</v>
      </c>
      <c r="C32" s="235" t="s">
        <v>260</v>
      </c>
      <c r="D32" s="374" t="s">
        <v>584</v>
      </c>
      <c r="E32" s="374">
        <v>43800</v>
      </c>
      <c r="F32" s="374" t="s">
        <v>44</v>
      </c>
      <c r="G32" s="374" t="s">
        <v>44</v>
      </c>
      <c r="H32" s="374" t="s">
        <v>44</v>
      </c>
      <c r="I32" s="235" t="s">
        <v>44</v>
      </c>
      <c r="J32" s="512" t="s">
        <v>44</v>
      </c>
      <c r="K32" s="513">
        <v>7.3</v>
      </c>
      <c r="L32" s="514" t="s">
        <v>44</v>
      </c>
      <c r="M32" s="513">
        <v>0</v>
      </c>
      <c r="N32" s="513">
        <v>17.8</v>
      </c>
      <c r="O32" s="513">
        <f>M32+N32</f>
        <v>17.8</v>
      </c>
      <c r="P32" s="268">
        <f>O32/K32</f>
        <v>2.4383561643835616</v>
      </c>
      <c r="Q32" s="513">
        <v>0</v>
      </c>
      <c r="R32" s="513">
        <v>0</v>
      </c>
      <c r="S32" s="515" t="s">
        <v>44</v>
      </c>
      <c r="T32" s="516">
        <v>7.3</v>
      </c>
      <c r="U32" s="514" t="s">
        <v>44</v>
      </c>
      <c r="V32" s="513">
        <v>0</v>
      </c>
      <c r="W32" s="513">
        <v>11</v>
      </c>
      <c r="X32" s="513">
        <f>V32+W32</f>
        <v>11</v>
      </c>
      <c r="Y32" s="268">
        <f>X32/T32</f>
        <v>1.5068493150684932</v>
      </c>
      <c r="Z32" s="515">
        <v>8.4000000000000005E-2</v>
      </c>
      <c r="AA32" s="513">
        <f>X32-O32</f>
        <v>-6.8000000000000007</v>
      </c>
      <c r="AB32" s="515">
        <f>IFERROR(X32/O32-1,0)</f>
        <v>-0.3820224719101124</v>
      </c>
      <c r="AC32" s="517"/>
      <c r="AD32" s="514"/>
      <c r="AE32" s="513"/>
      <c r="AF32" s="513"/>
      <c r="AG32" s="513"/>
      <c r="AH32" s="268"/>
      <c r="AI32" s="513"/>
      <c r="AJ32" s="513"/>
      <c r="AK32" s="515"/>
      <c r="AL32" s="513"/>
      <c r="AM32" s="515"/>
    </row>
    <row r="33" spans="1:39">
      <c r="A33" s="2" t="s">
        <v>630</v>
      </c>
      <c r="B33" s="2" t="s">
        <v>631</v>
      </c>
      <c r="C33" s="235" t="s">
        <v>99</v>
      </c>
      <c r="D33" s="374" t="s">
        <v>584</v>
      </c>
      <c r="E33" s="374">
        <v>44287</v>
      </c>
      <c r="F33" s="374" t="s">
        <v>44</v>
      </c>
      <c r="G33" s="374" t="s">
        <v>44</v>
      </c>
      <c r="H33" s="374" t="s">
        <v>44</v>
      </c>
      <c r="I33" s="235" t="s">
        <v>44</v>
      </c>
      <c r="J33" s="518" t="s">
        <v>44</v>
      </c>
      <c r="K33" s="513">
        <v>8</v>
      </c>
      <c r="L33" s="514" t="s">
        <v>44</v>
      </c>
      <c r="M33" s="513">
        <v>0</v>
      </c>
      <c r="N33" s="513">
        <v>10.199999999999999</v>
      </c>
      <c r="O33" s="513">
        <f>N33+M33</f>
        <v>10.199999999999999</v>
      </c>
      <c r="P33" s="269">
        <f>O33/K33</f>
        <v>1.2749999999999999</v>
      </c>
      <c r="Q33" s="513">
        <v>0</v>
      </c>
      <c r="R33" s="513">
        <v>0</v>
      </c>
      <c r="S33" s="515" t="s">
        <v>44</v>
      </c>
      <c r="T33" s="519">
        <v>8</v>
      </c>
      <c r="U33" s="514" t="s">
        <v>44</v>
      </c>
      <c r="V33" s="513">
        <v>0</v>
      </c>
      <c r="W33" s="513">
        <v>9.1</v>
      </c>
      <c r="X33" s="513">
        <f>W33+V33</f>
        <v>9.1</v>
      </c>
      <c r="Y33" s="268">
        <f>X33/T33</f>
        <v>1.1375</v>
      </c>
      <c r="Z33" s="515">
        <v>3.4000000000000002E-2</v>
      </c>
      <c r="AA33" s="513">
        <f t="shared" ref="AA33:AA48" si="0">X33-O33</f>
        <v>-1.0999999999999996</v>
      </c>
      <c r="AB33" s="515">
        <f t="shared" ref="AB33:AB48" si="1">IFERROR(X33/O33-1,0)</f>
        <v>-0.10784313725490191</v>
      </c>
      <c r="AC33" s="517"/>
      <c r="AD33" s="514"/>
      <c r="AE33" s="513"/>
      <c r="AF33" s="513"/>
      <c r="AG33" s="513"/>
      <c r="AH33" s="268"/>
      <c r="AI33" s="513"/>
      <c r="AJ33" s="513"/>
      <c r="AK33" s="515"/>
      <c r="AL33" s="513"/>
      <c r="AM33" s="515"/>
    </row>
    <row r="34" spans="1:39">
      <c r="A34" s="2" t="s">
        <v>632</v>
      </c>
      <c r="B34" s="2" t="s">
        <v>633</v>
      </c>
      <c r="C34" s="235" t="s">
        <v>260</v>
      </c>
      <c r="D34" s="374" t="s">
        <v>584</v>
      </c>
      <c r="E34" s="374">
        <v>44075</v>
      </c>
      <c r="F34" s="374" t="s">
        <v>44</v>
      </c>
      <c r="G34" s="374" t="s">
        <v>44</v>
      </c>
      <c r="H34" s="374" t="s">
        <v>44</v>
      </c>
      <c r="I34" s="235" t="s">
        <v>44</v>
      </c>
      <c r="J34" s="518" t="s">
        <v>44</v>
      </c>
      <c r="K34" s="513">
        <v>7</v>
      </c>
      <c r="L34" s="514" t="s">
        <v>44</v>
      </c>
      <c r="M34" s="513">
        <v>0</v>
      </c>
      <c r="N34" s="513">
        <v>18.899999999999999</v>
      </c>
      <c r="O34" s="513">
        <f t="shared" ref="O34:O48" si="2">N34+M34</f>
        <v>18.899999999999999</v>
      </c>
      <c r="P34" s="269">
        <f t="shared" ref="P34:P53" si="3">O34/K34</f>
        <v>2.6999999999999997</v>
      </c>
      <c r="Q34" s="513">
        <v>0</v>
      </c>
      <c r="R34" s="513">
        <v>0</v>
      </c>
      <c r="S34" s="515" t="s">
        <v>44</v>
      </c>
      <c r="T34" s="519">
        <v>7</v>
      </c>
      <c r="U34" s="514" t="s">
        <v>44</v>
      </c>
      <c r="V34" s="513">
        <v>0</v>
      </c>
      <c r="W34" s="513">
        <v>7</v>
      </c>
      <c r="X34" s="513">
        <f t="shared" ref="X34:X48" si="4">W34+V34</f>
        <v>7</v>
      </c>
      <c r="Y34" s="268">
        <f t="shared" ref="Y34:Y48" si="5">X34/T34</f>
        <v>1</v>
      </c>
      <c r="Z34" s="515">
        <v>-1E-3</v>
      </c>
      <c r="AA34" s="513">
        <f t="shared" si="0"/>
        <v>-11.899999999999999</v>
      </c>
      <c r="AB34" s="515">
        <f t="shared" si="1"/>
        <v>-0.62962962962962954</v>
      </c>
      <c r="AC34" s="517"/>
      <c r="AD34" s="514"/>
      <c r="AE34" s="513"/>
      <c r="AF34" s="513"/>
      <c r="AG34" s="513"/>
      <c r="AH34" s="268"/>
      <c r="AI34" s="513"/>
      <c r="AJ34" s="513"/>
      <c r="AK34" s="515"/>
      <c r="AL34" s="513"/>
      <c r="AM34" s="515"/>
    </row>
    <row r="35" spans="1:39">
      <c r="A35" s="2" t="s">
        <v>634</v>
      </c>
      <c r="B35" s="2" t="s">
        <v>635</v>
      </c>
      <c r="C35" s="235" t="s">
        <v>636</v>
      </c>
      <c r="D35" s="374" t="s">
        <v>584</v>
      </c>
      <c r="E35" s="374">
        <v>44228</v>
      </c>
      <c r="F35" s="374" t="s">
        <v>44</v>
      </c>
      <c r="G35" s="374" t="s">
        <v>44</v>
      </c>
      <c r="H35" s="374" t="s">
        <v>44</v>
      </c>
      <c r="I35" s="235" t="s">
        <v>44</v>
      </c>
      <c r="J35" s="518" t="s">
        <v>44</v>
      </c>
      <c r="K35" s="513">
        <v>4</v>
      </c>
      <c r="L35" s="514" t="s">
        <v>44</v>
      </c>
      <c r="M35" s="513">
        <v>0</v>
      </c>
      <c r="N35" s="513">
        <v>5</v>
      </c>
      <c r="O35" s="513">
        <f t="shared" si="2"/>
        <v>5</v>
      </c>
      <c r="P35" s="269">
        <f t="shared" si="3"/>
        <v>1.25</v>
      </c>
      <c r="Q35" s="513">
        <v>0</v>
      </c>
      <c r="R35" s="513">
        <v>0</v>
      </c>
      <c r="S35" s="515" t="s">
        <v>44</v>
      </c>
      <c r="T35" s="519">
        <v>4</v>
      </c>
      <c r="U35" s="514" t="s">
        <v>44</v>
      </c>
      <c r="V35" s="513">
        <v>0</v>
      </c>
      <c r="W35" s="513">
        <v>6.1</v>
      </c>
      <c r="X35" s="513">
        <f t="shared" si="4"/>
        <v>6.1</v>
      </c>
      <c r="Y35" s="268">
        <f t="shared" si="5"/>
        <v>1.5249999999999999</v>
      </c>
      <c r="Z35" s="515">
        <v>0.114</v>
      </c>
      <c r="AA35" s="513">
        <f t="shared" si="0"/>
        <v>1.0999999999999996</v>
      </c>
      <c r="AB35" s="515">
        <f t="shared" si="1"/>
        <v>0.21999999999999997</v>
      </c>
      <c r="AC35" s="517"/>
      <c r="AD35" s="514"/>
      <c r="AE35" s="513"/>
      <c r="AF35" s="513"/>
      <c r="AG35" s="513"/>
      <c r="AH35" s="268"/>
      <c r="AI35" s="513"/>
      <c r="AJ35" s="513"/>
      <c r="AK35" s="515"/>
      <c r="AL35" s="513"/>
      <c r="AM35" s="515"/>
    </row>
    <row r="36" spans="1:39">
      <c r="A36" s="2" t="s">
        <v>637</v>
      </c>
      <c r="B36" s="2" t="s">
        <v>638</v>
      </c>
      <c r="C36" s="235" t="s">
        <v>99</v>
      </c>
      <c r="D36" s="374" t="s">
        <v>276</v>
      </c>
      <c r="E36" s="374">
        <v>43739</v>
      </c>
      <c r="F36" s="374" t="s">
        <v>44</v>
      </c>
      <c r="G36" s="374" t="s">
        <v>44</v>
      </c>
      <c r="H36" s="374" t="s">
        <v>44</v>
      </c>
      <c r="I36" s="235" t="s">
        <v>44</v>
      </c>
      <c r="J36" s="518" t="s">
        <v>44</v>
      </c>
      <c r="K36" s="513">
        <v>2.7</v>
      </c>
      <c r="L36" s="514" t="s">
        <v>44</v>
      </c>
      <c r="M36" s="513">
        <v>1.6</v>
      </c>
      <c r="N36" s="513">
        <v>6.2</v>
      </c>
      <c r="O36" s="513">
        <f t="shared" si="2"/>
        <v>7.8000000000000007</v>
      </c>
      <c r="P36" s="269">
        <f t="shared" si="3"/>
        <v>2.8888888888888888</v>
      </c>
      <c r="Q36" s="513">
        <v>0</v>
      </c>
      <c r="R36" s="513">
        <v>0</v>
      </c>
      <c r="S36" s="515" t="s">
        <v>44</v>
      </c>
      <c r="T36" s="519">
        <v>2.7</v>
      </c>
      <c r="U36" s="514" t="s">
        <v>44</v>
      </c>
      <c r="V36" s="513">
        <v>1.6</v>
      </c>
      <c r="W36" s="513">
        <v>6</v>
      </c>
      <c r="X36" s="513">
        <f t="shared" si="4"/>
        <v>7.6</v>
      </c>
      <c r="Y36" s="268">
        <f t="shared" si="5"/>
        <v>2.8148148148148144</v>
      </c>
      <c r="Z36" s="515">
        <v>0.23599999999999999</v>
      </c>
      <c r="AA36" s="513">
        <f t="shared" si="0"/>
        <v>-0.20000000000000107</v>
      </c>
      <c r="AB36" s="515">
        <f t="shared" si="1"/>
        <v>-2.5641025641025772E-2</v>
      </c>
      <c r="AC36" s="517"/>
      <c r="AD36" s="514"/>
      <c r="AE36" s="513"/>
      <c r="AF36" s="513"/>
      <c r="AG36" s="513"/>
      <c r="AH36" s="268"/>
      <c r="AI36" s="513"/>
      <c r="AJ36" s="513"/>
      <c r="AK36" s="515"/>
      <c r="AL36" s="513"/>
      <c r="AM36" s="515"/>
    </row>
    <row r="37" spans="1:39">
      <c r="A37" s="2" t="s">
        <v>639</v>
      </c>
      <c r="B37" s="2" t="s">
        <v>640</v>
      </c>
      <c r="C37" s="235" t="s">
        <v>99</v>
      </c>
      <c r="D37" s="374" t="s">
        <v>584</v>
      </c>
      <c r="E37" s="374">
        <v>44256</v>
      </c>
      <c r="F37" s="374" t="s">
        <v>44</v>
      </c>
      <c r="G37" s="374" t="s">
        <v>44</v>
      </c>
      <c r="H37" s="374" t="s">
        <v>44</v>
      </c>
      <c r="I37" s="235" t="s">
        <v>44</v>
      </c>
      <c r="J37" s="518" t="s">
        <v>44</v>
      </c>
      <c r="K37" s="513">
        <v>1.5</v>
      </c>
      <c r="L37" s="514" t="s">
        <v>44</v>
      </c>
      <c r="M37" s="513">
        <v>0</v>
      </c>
      <c r="N37" s="513">
        <v>4.2</v>
      </c>
      <c r="O37" s="513">
        <f t="shared" si="2"/>
        <v>4.2</v>
      </c>
      <c r="P37" s="269">
        <f t="shared" si="3"/>
        <v>2.8000000000000003</v>
      </c>
      <c r="Q37" s="513">
        <v>0</v>
      </c>
      <c r="R37" s="513">
        <v>0</v>
      </c>
      <c r="S37" s="515" t="s">
        <v>44</v>
      </c>
      <c r="T37" s="519">
        <v>1.5</v>
      </c>
      <c r="U37" s="514" t="s">
        <v>44</v>
      </c>
      <c r="V37" s="513">
        <v>0</v>
      </c>
      <c r="W37" s="513">
        <v>2.8</v>
      </c>
      <c r="X37" s="513">
        <f t="shared" si="4"/>
        <v>2.8</v>
      </c>
      <c r="Y37" s="268">
        <f t="shared" si="5"/>
        <v>1.8666666666666665</v>
      </c>
      <c r="Z37" s="515">
        <v>0.17499999999999999</v>
      </c>
      <c r="AA37" s="513">
        <f t="shared" si="0"/>
        <v>-1.4000000000000004</v>
      </c>
      <c r="AB37" s="515">
        <f t="shared" si="1"/>
        <v>-0.33333333333333337</v>
      </c>
      <c r="AC37" s="517"/>
      <c r="AD37" s="514"/>
      <c r="AE37" s="513"/>
      <c r="AF37" s="513"/>
      <c r="AG37" s="513"/>
      <c r="AH37" s="268"/>
      <c r="AI37" s="513"/>
      <c r="AJ37" s="513"/>
      <c r="AK37" s="515"/>
      <c r="AL37" s="513"/>
      <c r="AM37" s="515"/>
    </row>
    <row r="38" spans="1:39">
      <c r="A38" s="2" t="s">
        <v>641</v>
      </c>
      <c r="B38" s="2" t="s">
        <v>642</v>
      </c>
      <c r="C38" s="235" t="s">
        <v>99</v>
      </c>
      <c r="D38" s="374" t="s">
        <v>584</v>
      </c>
      <c r="E38" s="374">
        <v>44287</v>
      </c>
      <c r="F38" s="374" t="s">
        <v>44</v>
      </c>
      <c r="G38" s="374" t="s">
        <v>44</v>
      </c>
      <c r="H38" s="374" t="s">
        <v>44</v>
      </c>
      <c r="I38" s="235" t="s">
        <v>44</v>
      </c>
      <c r="J38" s="518" t="s">
        <v>44</v>
      </c>
      <c r="K38" s="513">
        <v>1.4</v>
      </c>
      <c r="L38" s="514" t="s">
        <v>44</v>
      </c>
      <c r="M38" s="513">
        <v>0</v>
      </c>
      <c r="N38" s="513">
        <v>1.7</v>
      </c>
      <c r="O38" s="513">
        <f t="shared" si="2"/>
        <v>1.7</v>
      </c>
      <c r="P38" s="269">
        <f t="shared" si="3"/>
        <v>1.2142857142857144</v>
      </c>
      <c r="Q38" s="513">
        <v>0</v>
      </c>
      <c r="R38" s="513">
        <v>0</v>
      </c>
      <c r="S38" s="515" t="s">
        <v>44</v>
      </c>
      <c r="T38" s="519">
        <v>1.4</v>
      </c>
      <c r="U38" s="514" t="s">
        <v>44</v>
      </c>
      <c r="V38" s="513">
        <v>0</v>
      </c>
      <c r="W38" s="513">
        <v>1.7</v>
      </c>
      <c r="X38" s="513">
        <f t="shared" si="4"/>
        <v>1.7</v>
      </c>
      <c r="Y38" s="268">
        <f t="shared" si="5"/>
        <v>1.2142857142857144</v>
      </c>
      <c r="Z38" s="515">
        <v>6.7000000000000004E-2</v>
      </c>
      <c r="AA38" s="513">
        <f t="shared" si="0"/>
        <v>0</v>
      </c>
      <c r="AB38" s="515">
        <f t="shared" si="1"/>
        <v>0</v>
      </c>
    </row>
    <row r="39" spans="1:39">
      <c r="A39" s="2" t="s">
        <v>643</v>
      </c>
      <c r="B39" s="2" t="s">
        <v>644</v>
      </c>
      <c r="C39" s="235" t="s">
        <v>99</v>
      </c>
      <c r="D39" s="374" t="s">
        <v>584</v>
      </c>
      <c r="E39" s="374">
        <v>44105</v>
      </c>
      <c r="F39" s="374" t="s">
        <v>44</v>
      </c>
      <c r="G39" s="374" t="s">
        <v>44</v>
      </c>
      <c r="H39" s="374" t="s">
        <v>44</v>
      </c>
      <c r="I39" s="235" t="s">
        <v>44</v>
      </c>
      <c r="J39" s="518" t="s">
        <v>44</v>
      </c>
      <c r="K39" s="513">
        <v>1.5</v>
      </c>
      <c r="L39" s="514" t="s">
        <v>44</v>
      </c>
      <c r="M39" s="513">
        <v>0</v>
      </c>
      <c r="N39" s="513">
        <v>1.5</v>
      </c>
      <c r="O39" s="513">
        <f t="shared" si="2"/>
        <v>1.5</v>
      </c>
      <c r="P39" s="269">
        <f t="shared" si="3"/>
        <v>1</v>
      </c>
      <c r="Q39" s="513">
        <v>0</v>
      </c>
      <c r="R39" s="513">
        <v>0</v>
      </c>
      <c r="S39" s="515" t="s">
        <v>44</v>
      </c>
      <c r="T39" s="519">
        <v>1.5</v>
      </c>
      <c r="U39" s="514" t="s">
        <v>44</v>
      </c>
      <c r="V39" s="513">
        <v>0</v>
      </c>
      <c r="W39" s="513">
        <v>1.5</v>
      </c>
      <c r="X39" s="513">
        <f t="shared" si="4"/>
        <v>1.5</v>
      </c>
      <c r="Y39" s="268">
        <f t="shared" si="5"/>
        <v>1</v>
      </c>
      <c r="Z39" s="515">
        <v>0</v>
      </c>
      <c r="AA39" s="513">
        <f t="shared" si="0"/>
        <v>0</v>
      </c>
      <c r="AB39" s="515">
        <f t="shared" si="1"/>
        <v>0</v>
      </c>
    </row>
    <row r="40" spans="1:39">
      <c r="A40" s="2" t="s">
        <v>645</v>
      </c>
      <c r="B40" s="2" t="s">
        <v>646</v>
      </c>
      <c r="C40" s="235" t="s">
        <v>53</v>
      </c>
      <c r="D40" s="374" t="s">
        <v>584</v>
      </c>
      <c r="E40" s="374">
        <v>43983</v>
      </c>
      <c r="F40" s="374" t="s">
        <v>647</v>
      </c>
      <c r="G40" s="374" t="s">
        <v>648</v>
      </c>
      <c r="H40" s="374" t="s">
        <v>44</v>
      </c>
      <c r="I40" s="235" t="s">
        <v>44</v>
      </c>
      <c r="J40" s="518" t="s">
        <v>44</v>
      </c>
      <c r="K40" s="513">
        <v>5</v>
      </c>
      <c r="L40" s="514" t="s">
        <v>44</v>
      </c>
      <c r="M40" s="513">
        <v>0</v>
      </c>
      <c r="N40" s="513">
        <v>1</v>
      </c>
      <c r="O40" s="513">
        <f t="shared" si="2"/>
        <v>1</v>
      </c>
      <c r="P40" s="269">
        <f t="shared" si="3"/>
        <v>0.2</v>
      </c>
      <c r="Q40" s="513">
        <v>0</v>
      </c>
      <c r="R40" s="513">
        <v>0</v>
      </c>
      <c r="S40" s="515" t="s">
        <v>44</v>
      </c>
      <c r="T40" s="519">
        <v>5</v>
      </c>
      <c r="U40" s="514" t="s">
        <v>44</v>
      </c>
      <c r="V40" s="513">
        <v>0</v>
      </c>
      <c r="W40" s="513">
        <v>0.5</v>
      </c>
      <c r="X40" s="513">
        <f t="shared" si="4"/>
        <v>0.5</v>
      </c>
      <c r="Y40" s="268">
        <f t="shared" si="5"/>
        <v>0.1</v>
      </c>
      <c r="Z40" s="515" t="s">
        <v>44</v>
      </c>
      <c r="AA40" s="513">
        <f t="shared" si="0"/>
        <v>-0.5</v>
      </c>
      <c r="AB40" s="515">
        <f t="shared" si="1"/>
        <v>-0.5</v>
      </c>
    </row>
    <row r="41" spans="1:39">
      <c r="A41" s="2" t="s">
        <v>649</v>
      </c>
      <c r="B41" s="2" t="s">
        <v>650</v>
      </c>
      <c r="C41" s="235" t="s">
        <v>99</v>
      </c>
      <c r="D41" s="374" t="s">
        <v>261</v>
      </c>
      <c r="E41" s="374">
        <v>43862</v>
      </c>
      <c r="F41" s="374">
        <v>44531</v>
      </c>
      <c r="G41" s="374" t="s">
        <v>651</v>
      </c>
      <c r="H41" s="374">
        <v>44440</v>
      </c>
      <c r="I41" s="235"/>
      <c r="J41" s="518">
        <f>YEAR(H41)-YEAR(E41)</f>
        <v>1</v>
      </c>
      <c r="K41" s="513">
        <v>2</v>
      </c>
      <c r="L41" s="514" t="s">
        <v>44</v>
      </c>
      <c r="M41" s="513">
        <v>11.1</v>
      </c>
      <c r="N41" s="513">
        <v>0</v>
      </c>
      <c r="O41" s="513">
        <f t="shared" si="2"/>
        <v>11.1</v>
      </c>
      <c r="P41" s="269">
        <f t="shared" si="3"/>
        <v>5.55</v>
      </c>
      <c r="Q41" s="513">
        <v>0</v>
      </c>
      <c r="R41" s="513">
        <v>0</v>
      </c>
      <c r="S41" s="515" t="s">
        <v>44</v>
      </c>
      <c r="T41" s="519">
        <v>2</v>
      </c>
      <c r="U41" s="514" t="s">
        <v>44</v>
      </c>
      <c r="V41" s="513">
        <v>11.1</v>
      </c>
      <c r="W41" s="513">
        <v>0</v>
      </c>
      <c r="X41" s="513">
        <f t="shared" si="4"/>
        <v>11.1</v>
      </c>
      <c r="Y41" s="268">
        <f t="shared" si="5"/>
        <v>5.55</v>
      </c>
      <c r="Z41" s="515" t="s">
        <v>44</v>
      </c>
      <c r="AA41" s="513">
        <f t="shared" si="0"/>
        <v>0</v>
      </c>
      <c r="AB41" s="515">
        <f t="shared" si="1"/>
        <v>0</v>
      </c>
    </row>
    <row r="42" spans="1:39">
      <c r="A42" s="2" t="s">
        <v>652</v>
      </c>
      <c r="B42" s="2" t="s">
        <v>653</v>
      </c>
      <c r="C42" s="235" t="s">
        <v>654</v>
      </c>
      <c r="D42" s="374" t="s">
        <v>261</v>
      </c>
      <c r="E42" s="374">
        <v>43831</v>
      </c>
      <c r="F42" s="374" t="s">
        <v>44</v>
      </c>
      <c r="G42" s="374" t="s">
        <v>44</v>
      </c>
      <c r="H42" s="374" t="s">
        <v>44</v>
      </c>
      <c r="I42" s="235" t="s">
        <v>44</v>
      </c>
      <c r="J42" s="518" t="s">
        <v>44</v>
      </c>
      <c r="K42" s="513">
        <v>6</v>
      </c>
      <c r="L42" s="514" t="s">
        <v>44</v>
      </c>
      <c r="M42" s="513">
        <v>6.6</v>
      </c>
      <c r="N42" s="513">
        <v>0</v>
      </c>
      <c r="O42" s="513">
        <f t="shared" si="2"/>
        <v>6.6</v>
      </c>
      <c r="P42" s="269">
        <f t="shared" si="3"/>
        <v>1.0999999999999999</v>
      </c>
      <c r="Q42" s="513">
        <v>0</v>
      </c>
      <c r="R42" s="513">
        <v>0</v>
      </c>
      <c r="S42" s="515" t="s">
        <v>44</v>
      </c>
      <c r="T42" s="519">
        <v>6</v>
      </c>
      <c r="U42" s="514" t="s">
        <v>44</v>
      </c>
      <c r="V42" s="513">
        <v>6.6</v>
      </c>
      <c r="W42" s="513">
        <v>0</v>
      </c>
      <c r="X42" s="513">
        <f t="shared" si="4"/>
        <v>6.6</v>
      </c>
      <c r="Y42" s="268">
        <f t="shared" si="5"/>
        <v>1.0999999999999999</v>
      </c>
      <c r="Z42" s="515" t="s">
        <v>44</v>
      </c>
      <c r="AA42" s="513">
        <f t="shared" si="0"/>
        <v>0</v>
      </c>
      <c r="AB42" s="515">
        <f t="shared" si="1"/>
        <v>0</v>
      </c>
    </row>
    <row r="43" spans="1:39">
      <c r="A43" s="2" t="s">
        <v>655</v>
      </c>
      <c r="B43" s="2" t="s">
        <v>656</v>
      </c>
      <c r="C43" s="235" t="s">
        <v>260</v>
      </c>
      <c r="D43" s="374" t="s">
        <v>261</v>
      </c>
      <c r="E43" s="374">
        <v>44228</v>
      </c>
      <c r="F43" s="374" t="s">
        <v>44</v>
      </c>
      <c r="G43" s="374" t="s">
        <v>44</v>
      </c>
      <c r="H43" s="374">
        <v>44866</v>
      </c>
      <c r="I43" s="235"/>
      <c r="J43" s="518">
        <f>YEAR(H43)-YEAR(E43)</f>
        <v>1</v>
      </c>
      <c r="K43" s="513">
        <v>3</v>
      </c>
      <c r="L43" s="514" t="s">
        <v>44</v>
      </c>
      <c r="M43" s="513">
        <v>3.7</v>
      </c>
      <c r="N43" s="513">
        <v>0</v>
      </c>
      <c r="O43" s="513">
        <f t="shared" si="2"/>
        <v>3.7</v>
      </c>
      <c r="P43" s="269">
        <f t="shared" si="3"/>
        <v>1.2333333333333334</v>
      </c>
      <c r="Q43" s="513">
        <v>0</v>
      </c>
      <c r="R43" s="513">
        <v>0</v>
      </c>
      <c r="S43" s="515" t="s">
        <v>44</v>
      </c>
      <c r="T43" s="519">
        <v>3</v>
      </c>
      <c r="U43" s="514" t="s">
        <v>44</v>
      </c>
      <c r="V43" s="513">
        <v>3.7</v>
      </c>
      <c r="W43" s="513">
        <v>0</v>
      </c>
      <c r="X43" s="513">
        <f t="shared" si="4"/>
        <v>3.7</v>
      </c>
      <c r="Y43" s="268">
        <f t="shared" si="5"/>
        <v>1.2333333333333334</v>
      </c>
      <c r="Z43" s="515" t="s">
        <v>44</v>
      </c>
      <c r="AA43" s="513">
        <f t="shared" si="0"/>
        <v>0</v>
      </c>
      <c r="AB43" s="515">
        <f t="shared" si="1"/>
        <v>0</v>
      </c>
    </row>
    <row r="44" spans="1:39">
      <c r="A44" s="2" t="s">
        <v>657</v>
      </c>
      <c r="B44" s="2" t="s">
        <v>658</v>
      </c>
      <c r="C44" s="235" t="s">
        <v>99</v>
      </c>
      <c r="D44" s="374" t="s">
        <v>261</v>
      </c>
      <c r="E44" s="374">
        <v>44197</v>
      </c>
      <c r="F44" s="374" t="s">
        <v>44</v>
      </c>
      <c r="G44" s="374" t="s">
        <v>44</v>
      </c>
      <c r="H44" s="374">
        <v>44713</v>
      </c>
      <c r="I44" s="235"/>
      <c r="J44" s="518">
        <f>YEAR(H44)-YEAR(E44)</f>
        <v>1</v>
      </c>
      <c r="K44" s="513">
        <v>2</v>
      </c>
      <c r="L44" s="514" t="s">
        <v>44</v>
      </c>
      <c r="M44" s="513">
        <v>2.6</v>
      </c>
      <c r="N44" s="513">
        <v>0</v>
      </c>
      <c r="O44" s="513">
        <f t="shared" si="2"/>
        <v>2.6</v>
      </c>
      <c r="P44" s="269">
        <f t="shared" si="3"/>
        <v>1.3</v>
      </c>
      <c r="Q44" s="513">
        <v>0</v>
      </c>
      <c r="R44" s="513">
        <v>0</v>
      </c>
      <c r="S44" s="515" t="s">
        <v>44</v>
      </c>
      <c r="T44" s="519">
        <v>2</v>
      </c>
      <c r="U44" s="514" t="s">
        <v>44</v>
      </c>
      <c r="V44" s="513">
        <v>2.6</v>
      </c>
      <c r="W44" s="513">
        <v>0</v>
      </c>
      <c r="X44" s="513">
        <f t="shared" si="4"/>
        <v>2.6</v>
      </c>
      <c r="Y44" s="268">
        <f t="shared" si="5"/>
        <v>1.3</v>
      </c>
      <c r="Z44" s="515" t="s">
        <v>44</v>
      </c>
      <c r="AA44" s="513">
        <f t="shared" si="0"/>
        <v>0</v>
      </c>
      <c r="AB44" s="515">
        <f t="shared" si="1"/>
        <v>0</v>
      </c>
    </row>
    <row r="45" spans="1:39">
      <c r="A45" s="2" t="s">
        <v>659</v>
      </c>
      <c r="B45" s="2" t="s">
        <v>660</v>
      </c>
      <c r="C45" s="235" t="s">
        <v>99</v>
      </c>
      <c r="D45" s="374" t="s">
        <v>261</v>
      </c>
      <c r="E45" s="374">
        <v>44287</v>
      </c>
      <c r="F45" s="374" t="s">
        <v>44</v>
      </c>
      <c r="G45" s="374" t="s">
        <v>44</v>
      </c>
      <c r="H45" s="374">
        <v>44531</v>
      </c>
      <c r="I45" s="235"/>
      <c r="J45" s="518">
        <f>YEAR(H45)-YEAR(E45)</f>
        <v>0</v>
      </c>
      <c r="K45" s="513">
        <v>0.3</v>
      </c>
      <c r="L45" s="514" t="s">
        <v>44</v>
      </c>
      <c r="M45" s="513">
        <v>1.6</v>
      </c>
      <c r="N45" s="513">
        <v>0</v>
      </c>
      <c r="O45" s="513">
        <f t="shared" si="2"/>
        <v>1.6</v>
      </c>
      <c r="P45" s="269">
        <f t="shared" si="3"/>
        <v>5.3333333333333339</v>
      </c>
      <c r="Q45" s="513">
        <v>0</v>
      </c>
      <c r="R45" s="513">
        <v>0</v>
      </c>
      <c r="S45" s="515" t="s">
        <v>44</v>
      </c>
      <c r="T45" s="519">
        <v>0.3</v>
      </c>
      <c r="U45" s="514" t="s">
        <v>44</v>
      </c>
      <c r="V45" s="513">
        <v>1.6</v>
      </c>
      <c r="W45" s="513">
        <v>0</v>
      </c>
      <c r="X45" s="513">
        <f t="shared" si="4"/>
        <v>1.6</v>
      </c>
      <c r="Y45" s="268">
        <f t="shared" si="5"/>
        <v>5.3333333333333339</v>
      </c>
      <c r="Z45" s="515" t="s">
        <v>44</v>
      </c>
      <c r="AA45" s="513">
        <f t="shared" si="0"/>
        <v>0</v>
      </c>
      <c r="AB45" s="515">
        <f t="shared" si="1"/>
        <v>0</v>
      </c>
    </row>
    <row r="46" spans="1:39">
      <c r="A46" s="2" t="s">
        <v>661</v>
      </c>
      <c r="B46" s="2" t="s">
        <v>662</v>
      </c>
      <c r="C46" s="235" t="s">
        <v>99</v>
      </c>
      <c r="D46" s="374" t="s">
        <v>663</v>
      </c>
      <c r="E46" s="374">
        <v>43525</v>
      </c>
      <c r="F46" s="374" t="s">
        <v>44</v>
      </c>
      <c r="G46" s="374" t="s">
        <v>44</v>
      </c>
      <c r="H46" s="374" t="s">
        <v>44</v>
      </c>
      <c r="I46" s="235" t="s">
        <v>44</v>
      </c>
      <c r="J46" s="518" t="s">
        <v>44</v>
      </c>
      <c r="K46" s="513">
        <v>2</v>
      </c>
      <c r="L46" s="514" t="s">
        <v>44</v>
      </c>
      <c r="M46" s="513">
        <v>0</v>
      </c>
      <c r="N46" s="513">
        <v>0</v>
      </c>
      <c r="O46" s="513">
        <f t="shared" si="2"/>
        <v>0</v>
      </c>
      <c r="P46" s="269">
        <f t="shared" si="3"/>
        <v>0</v>
      </c>
      <c r="Q46" s="513">
        <v>0</v>
      </c>
      <c r="R46" s="513">
        <v>0</v>
      </c>
      <c r="S46" s="515" t="s">
        <v>44</v>
      </c>
      <c r="T46" s="519">
        <v>2</v>
      </c>
      <c r="U46" s="514" t="s">
        <v>44</v>
      </c>
      <c r="V46" s="513">
        <v>0</v>
      </c>
      <c r="W46" s="513">
        <v>0</v>
      </c>
      <c r="X46" s="513">
        <f t="shared" si="4"/>
        <v>0</v>
      </c>
      <c r="Y46" s="268">
        <f t="shared" si="5"/>
        <v>0</v>
      </c>
      <c r="Z46" s="515" t="s">
        <v>44</v>
      </c>
      <c r="AA46" s="513">
        <f t="shared" si="0"/>
        <v>0</v>
      </c>
      <c r="AB46" s="515">
        <f t="shared" si="1"/>
        <v>0</v>
      </c>
    </row>
    <row r="47" spans="1:39">
      <c r="A47" s="2" t="s">
        <v>664</v>
      </c>
      <c r="B47" s="2" t="s">
        <v>665</v>
      </c>
      <c r="C47" s="235" t="s">
        <v>260</v>
      </c>
      <c r="D47" s="374" t="s">
        <v>663</v>
      </c>
      <c r="E47" s="374">
        <v>44013</v>
      </c>
      <c r="F47" s="374" t="s">
        <v>44</v>
      </c>
      <c r="G47" s="374" t="s">
        <v>44</v>
      </c>
      <c r="H47" s="374" t="s">
        <v>44</v>
      </c>
      <c r="I47" s="235" t="s">
        <v>44</v>
      </c>
      <c r="J47" s="518" t="s">
        <v>44</v>
      </c>
      <c r="K47" s="513">
        <v>2</v>
      </c>
      <c r="L47" s="514" t="s">
        <v>44</v>
      </c>
      <c r="M47" s="513">
        <v>0</v>
      </c>
      <c r="N47" s="513">
        <v>4.3</v>
      </c>
      <c r="O47" s="513">
        <f t="shared" si="2"/>
        <v>4.3</v>
      </c>
      <c r="P47" s="269">
        <f t="shared" si="3"/>
        <v>2.15</v>
      </c>
      <c r="Q47" s="513">
        <v>0</v>
      </c>
      <c r="R47" s="513">
        <v>0</v>
      </c>
      <c r="S47" s="515" t="s">
        <v>44</v>
      </c>
      <c r="T47" s="519">
        <v>2</v>
      </c>
      <c r="U47" s="514" t="s">
        <v>44</v>
      </c>
      <c r="V47" s="513">
        <v>0</v>
      </c>
      <c r="W47" s="513">
        <v>0</v>
      </c>
      <c r="X47" s="513">
        <f t="shared" si="4"/>
        <v>0</v>
      </c>
      <c r="Y47" s="268">
        <f t="shared" si="5"/>
        <v>0</v>
      </c>
      <c r="Z47" s="515" t="s">
        <v>44</v>
      </c>
      <c r="AA47" s="513">
        <f t="shared" si="0"/>
        <v>-4.3</v>
      </c>
      <c r="AB47" s="515">
        <f t="shared" si="1"/>
        <v>-1</v>
      </c>
    </row>
    <row r="48" spans="1:39">
      <c r="A48" s="2" t="s">
        <v>666</v>
      </c>
      <c r="B48" s="2" t="s">
        <v>667</v>
      </c>
      <c r="C48" s="235" t="s">
        <v>260</v>
      </c>
      <c r="D48" s="374" t="s">
        <v>663</v>
      </c>
      <c r="E48" s="374">
        <v>44287</v>
      </c>
      <c r="F48" s="374" t="s">
        <v>44</v>
      </c>
      <c r="G48" s="374" t="s">
        <v>44</v>
      </c>
      <c r="H48" s="374" t="s">
        <v>44</v>
      </c>
      <c r="I48" s="235" t="s">
        <v>44</v>
      </c>
      <c r="J48" s="518" t="s">
        <v>44</v>
      </c>
      <c r="K48" s="513">
        <v>1</v>
      </c>
      <c r="L48" s="514" t="s">
        <v>44</v>
      </c>
      <c r="M48" s="513">
        <v>0</v>
      </c>
      <c r="N48" s="513">
        <v>1.4</v>
      </c>
      <c r="O48" s="513">
        <f t="shared" si="2"/>
        <v>1.4</v>
      </c>
      <c r="P48" s="269">
        <f t="shared" si="3"/>
        <v>1.4</v>
      </c>
      <c r="Q48" s="513">
        <v>0</v>
      </c>
      <c r="R48" s="513">
        <v>0</v>
      </c>
      <c r="S48" s="515" t="s">
        <v>44</v>
      </c>
      <c r="T48" s="519">
        <v>1</v>
      </c>
      <c r="U48" s="514" t="s">
        <v>44</v>
      </c>
      <c r="V48" s="513">
        <v>0</v>
      </c>
      <c r="W48" s="513">
        <v>0</v>
      </c>
      <c r="X48" s="513">
        <f t="shared" si="4"/>
        <v>0</v>
      </c>
      <c r="Y48" s="268">
        <f t="shared" si="5"/>
        <v>0</v>
      </c>
      <c r="Z48" s="515" t="s">
        <v>44</v>
      </c>
      <c r="AA48" s="513">
        <f t="shared" si="0"/>
        <v>-1.4</v>
      </c>
      <c r="AB48" s="515">
        <f t="shared" si="1"/>
        <v>-1</v>
      </c>
    </row>
    <row r="50" spans="1:40" s="520" customFormat="1" ht="12" thickBot="1">
      <c r="A50" s="520" t="s">
        <v>45</v>
      </c>
      <c r="K50" s="567">
        <f>SUM(K32:K48)</f>
        <v>56.699999999999996</v>
      </c>
      <c r="M50" s="568">
        <f>SUM(M32:M48)</f>
        <v>27.2</v>
      </c>
      <c r="N50" s="522">
        <f>SUM(N32:N48)</f>
        <v>72.2</v>
      </c>
      <c r="O50" s="522">
        <f>SUM(O32:O48)</f>
        <v>99.399999999999991</v>
      </c>
      <c r="P50" s="523">
        <f t="shared" si="3"/>
        <v>1.7530864197530864</v>
      </c>
      <c r="Q50" s="524" t="s">
        <v>44</v>
      </c>
      <c r="R50" s="524" t="s">
        <v>44</v>
      </c>
      <c r="S50" s="524" t="s">
        <v>44</v>
      </c>
      <c r="T50" s="574">
        <f>SUM(T32:T48)</f>
        <v>56.699999999999996</v>
      </c>
      <c r="V50" s="568">
        <f>SUM(V32:V48)</f>
        <v>27.2</v>
      </c>
      <c r="W50" s="522">
        <f>SUM(W32:W48)</f>
        <v>45.7</v>
      </c>
      <c r="X50" s="522">
        <f>SUM(X32:X48)</f>
        <v>72.899999999999991</v>
      </c>
      <c r="Y50" s="523">
        <f t="shared" ref="Y50" si="6">X50/T50</f>
        <v>1.2857142857142856</v>
      </c>
      <c r="Z50" s="525" t="s">
        <v>44</v>
      </c>
      <c r="AA50" s="525">
        <f t="shared" ref="AA50" si="7">X50-O50</f>
        <v>-26.5</v>
      </c>
      <c r="AB50" s="526">
        <f t="shared" ref="AB50" si="8">IFERROR(X50/O50-1,0)</f>
        <v>-0.2665995975855131</v>
      </c>
      <c r="AC50" s="527"/>
      <c r="AN50" s="527"/>
    </row>
    <row r="51" spans="1:40">
      <c r="T51" s="569"/>
    </row>
    <row r="52" spans="1:40" s="389" customFormat="1">
      <c r="A52" s="388" t="s">
        <v>277</v>
      </c>
      <c r="K52" s="528">
        <f>SUMIF($D$32:$D$48,"Unrealized",K$32:K$48)+SUMIF($D$32:$D$48,"Partial Realized",K$32:K$48)</f>
        <v>38.400000000000006</v>
      </c>
      <c r="M52" s="529">
        <f>SUMIF($D$32:$D$48,"Unrealized",M$32:M$48)+SUMIF($D$32:$D$48,"Partial Realized",M$32:M$48)</f>
        <v>1.6</v>
      </c>
      <c r="N52" s="529">
        <f>SUMIF($D$32:$D$48,"Unrealized",N$32:N$48)+SUMIF($D$32:$D$48,"Partial Realized",N$32:N$48)</f>
        <v>66.5</v>
      </c>
      <c r="O52" s="529">
        <f>SUMIF($D$32:$D$48,"Unrealized",O$32:O$48)+SUMIF($D$32:$D$48,"Partial Realized",O$32:O$48)</f>
        <v>68.100000000000009</v>
      </c>
      <c r="P52" s="530">
        <f t="shared" si="3"/>
        <v>1.7734375</v>
      </c>
      <c r="R52" s="531" t="s">
        <v>44</v>
      </c>
      <c r="S52" s="532" t="s">
        <v>44</v>
      </c>
      <c r="T52" s="528">
        <f>SUMIF($D$32:$D$48,"Unrealized",T$32:T$48)+SUMIF($D$32:$D$48,"Partial Realized",T$32:T$48)</f>
        <v>38.400000000000006</v>
      </c>
      <c r="V52" s="529">
        <f>SUMIF($D$32:$D$48,"Unrealized",V$32:V$48)+SUMIF($D$32:$D$48,"Partial Realized",V$32:V$48)</f>
        <v>1.6</v>
      </c>
      <c r="W52" s="529">
        <f>SUMIF($D$32:$D$48,"Unrealized",W$32:W$48)+SUMIF($D$32:$D$48,"Partial Realized",W$32:W$48)</f>
        <v>45.7</v>
      </c>
      <c r="X52" s="529">
        <f>SUMIF($D$32:$D$48,"Unrealized",X$32:X$48)+SUMIF($D$32:$D$48,"Partial Realized",X$32:X$48)</f>
        <v>47.300000000000004</v>
      </c>
      <c r="Y52" s="530">
        <f t="shared" ref="Y52:Y53" si="9">X52/T52</f>
        <v>1.2317708333333333</v>
      </c>
      <c r="AA52" s="533">
        <f t="shared" ref="AA52:AA53" si="10">X52-O52</f>
        <v>-20.800000000000004</v>
      </c>
      <c r="AB52" s="534">
        <f t="shared" ref="AB52:AB53" si="11">IFERROR(X52/O52-1,0)</f>
        <v>-0.30543318649045526</v>
      </c>
      <c r="AN52" s="535"/>
    </row>
    <row r="53" spans="1:40" s="389" customFormat="1">
      <c r="A53" s="388" t="s">
        <v>278</v>
      </c>
      <c r="K53" s="528">
        <f>SUMIF($D$32:$D$48,"Realized",K$32:K$48)+SUMIF($D$32:$D$48,"Write-off",K$32:K$48)</f>
        <v>18.3</v>
      </c>
      <c r="M53" s="529">
        <f>SUMIF($D$32:$D$48,"Realized",M$32:M$48)+SUMIF($D$32:$D$48,"Write-off",M$32:M$48)</f>
        <v>25.6</v>
      </c>
      <c r="N53" s="529">
        <f>SUMIF($D$32:$D$48,"Realized",N$32:N$48)+SUMIF($D$32:$D$48,"Write-off",N$32:N$48)</f>
        <v>5.6999999999999993</v>
      </c>
      <c r="O53" s="529">
        <f>SUMIF($D$32:$D$48,"Realized",O$32:O$48)+SUMIF($D$32:$D$48,"Write-off",O$32:O$48)</f>
        <v>31.3</v>
      </c>
      <c r="P53" s="530">
        <f t="shared" si="3"/>
        <v>1.7103825136612021</v>
      </c>
      <c r="R53" s="531" t="s">
        <v>44</v>
      </c>
      <c r="S53" s="532" t="s">
        <v>44</v>
      </c>
      <c r="T53" s="528">
        <f>SUMIF($D$32:$D$48,"Realized",T$32:T$48)+SUMIF($D$32:$D$48,"Write-off",T$32:T$48)</f>
        <v>18.3</v>
      </c>
      <c r="V53" s="529">
        <f>SUMIF($D$32:$D$48,"Realized",V$32:V$48)+SUMIF($D$32:$D$48,"Write-off",V$32:V$48)</f>
        <v>25.6</v>
      </c>
      <c r="W53" s="529">
        <f>SUMIF($D$32:$D$48,"Realized",W$32:W$48)+SUMIF($D$32:$D$48,"Write-off",W$32:W$48)</f>
        <v>0</v>
      </c>
      <c r="X53" s="529">
        <f>SUMIF($D$32:$D$48,"Realized",X$32:X$48)+SUMIF($D$32:$D$48,"Write-off",X$32:X$48)</f>
        <v>25.6</v>
      </c>
      <c r="Y53" s="530">
        <f t="shared" si="9"/>
        <v>1.3989071038251366</v>
      </c>
      <c r="AA53" s="533">
        <f t="shared" si="10"/>
        <v>-5.6999999999999993</v>
      </c>
      <c r="AB53" s="534">
        <f t="shared" si="11"/>
        <v>-0.18210862619808299</v>
      </c>
      <c r="AN53" s="535"/>
    </row>
    <row r="56" spans="1:40" s="536" customFormat="1">
      <c r="A56" s="536" t="s">
        <v>279</v>
      </c>
      <c r="K56" s="537"/>
      <c r="T56" s="537"/>
      <c r="AC56" s="537"/>
      <c r="AN56" s="537"/>
    </row>
    <row r="57" spans="1:40" ht="13.5" customHeight="1">
      <c r="K57" s="538" t="s">
        <v>236</v>
      </c>
      <c r="L57" s="539"/>
      <c r="M57" s="539"/>
      <c r="N57" s="539"/>
      <c r="O57" s="539"/>
      <c r="P57" s="539"/>
      <c r="Q57" s="540"/>
      <c r="R57" s="540"/>
      <c r="S57" s="539"/>
      <c r="T57" s="503" t="s">
        <v>237</v>
      </c>
      <c r="U57" s="504"/>
      <c r="V57" s="504"/>
      <c r="W57" s="504"/>
      <c r="X57" s="504"/>
      <c r="Y57" s="504"/>
      <c r="Z57" s="505"/>
      <c r="AA57" s="505"/>
      <c r="AB57" s="504"/>
      <c r="AC57" s="503" t="s">
        <v>238</v>
      </c>
      <c r="AD57" s="504"/>
      <c r="AE57" s="504"/>
      <c r="AF57" s="504"/>
      <c r="AG57" s="539"/>
      <c r="AH57" s="539"/>
      <c r="AI57" s="540"/>
      <c r="AJ57" s="540"/>
      <c r="AK57" s="540"/>
      <c r="AL57" s="540"/>
      <c r="AM57" s="539"/>
    </row>
    <row r="58" spans="1:40" s="141" customFormat="1" ht="39.75" customHeight="1">
      <c r="A58" s="138" t="s">
        <v>239</v>
      </c>
      <c r="B58" s="139" t="s">
        <v>240</v>
      </c>
      <c r="C58" s="139" t="s">
        <v>69</v>
      </c>
      <c r="D58" s="139" t="s">
        <v>241</v>
      </c>
      <c r="E58" s="139" t="s">
        <v>242</v>
      </c>
      <c r="F58" s="139" t="s">
        <v>243</v>
      </c>
      <c r="G58" s="139" t="s">
        <v>244</v>
      </c>
      <c r="H58" s="139" t="s">
        <v>245</v>
      </c>
      <c r="I58" s="139" t="s">
        <v>246</v>
      </c>
      <c r="J58" s="501" t="s">
        <v>247</v>
      </c>
      <c r="K58" s="541" t="s">
        <v>280</v>
      </c>
      <c r="L58" s="542"/>
      <c r="M58" s="543"/>
      <c r="N58" s="542"/>
      <c r="O58" s="541" t="s">
        <v>281</v>
      </c>
      <c r="P58" s="542"/>
      <c r="Q58" s="543"/>
      <c r="R58" s="542"/>
      <c r="S58" s="544"/>
      <c r="T58" s="541" t="s">
        <v>280</v>
      </c>
      <c r="U58" s="542"/>
      <c r="V58" s="543"/>
      <c r="W58" s="570"/>
      <c r="X58" s="542" t="s">
        <v>281</v>
      </c>
      <c r="Y58" s="542"/>
      <c r="Z58" s="543"/>
      <c r="AA58" s="542"/>
      <c r="AB58" s="544"/>
      <c r="AC58" s="541" t="s">
        <v>280</v>
      </c>
      <c r="AD58" s="542"/>
      <c r="AE58" s="543"/>
      <c r="AF58" s="542"/>
      <c r="AG58" s="541" t="s">
        <v>281</v>
      </c>
      <c r="AH58" s="542"/>
      <c r="AI58" s="543"/>
      <c r="AJ58" s="542"/>
      <c r="AK58" s="545"/>
      <c r="AL58" s="545"/>
      <c r="AM58" s="544"/>
      <c r="AN58" s="510"/>
    </row>
    <row r="59" spans="1:40">
      <c r="A59" s="2" t="s">
        <v>628</v>
      </c>
      <c r="B59" s="2" t="s">
        <v>629</v>
      </c>
      <c r="C59" s="235" t="s">
        <v>260</v>
      </c>
      <c r="D59" s="374" t="s">
        <v>584</v>
      </c>
      <c r="E59" s="374">
        <v>43800</v>
      </c>
      <c r="F59" s="374" t="s">
        <v>44</v>
      </c>
      <c r="G59" s="374" t="s">
        <v>44</v>
      </c>
      <c r="H59" s="374" t="s">
        <v>44</v>
      </c>
      <c r="I59" s="235" t="s">
        <v>44</v>
      </c>
      <c r="J59" s="512" t="s">
        <v>44</v>
      </c>
      <c r="W59" s="368"/>
    </row>
    <row r="60" spans="1:40">
      <c r="A60" s="2" t="s">
        <v>630</v>
      </c>
      <c r="B60" s="2" t="s">
        <v>631</v>
      </c>
      <c r="C60" s="235" t="s">
        <v>99</v>
      </c>
      <c r="D60" s="374" t="s">
        <v>584</v>
      </c>
      <c r="E60" s="374">
        <v>44287</v>
      </c>
      <c r="F60" s="374" t="s">
        <v>44</v>
      </c>
      <c r="G60" s="374" t="s">
        <v>44</v>
      </c>
      <c r="H60" s="374" t="s">
        <v>44</v>
      </c>
      <c r="I60" s="235" t="s">
        <v>44</v>
      </c>
      <c r="J60" s="518" t="s">
        <v>44</v>
      </c>
      <c r="W60" s="368"/>
    </row>
    <row r="61" spans="1:40">
      <c r="A61" s="2" t="s">
        <v>632</v>
      </c>
      <c r="B61" s="2" t="s">
        <v>633</v>
      </c>
      <c r="C61" s="235" t="s">
        <v>260</v>
      </c>
      <c r="D61" s="374" t="s">
        <v>584</v>
      </c>
      <c r="E61" s="374">
        <v>44075</v>
      </c>
      <c r="F61" s="374" t="s">
        <v>44</v>
      </c>
      <c r="G61" s="374" t="s">
        <v>44</v>
      </c>
      <c r="H61" s="374" t="s">
        <v>44</v>
      </c>
      <c r="I61" s="235" t="s">
        <v>44</v>
      </c>
      <c r="J61" s="518" t="s">
        <v>44</v>
      </c>
      <c r="W61" s="368"/>
    </row>
    <row r="62" spans="1:40">
      <c r="A62" s="2" t="s">
        <v>634</v>
      </c>
      <c r="B62" s="2" t="s">
        <v>635</v>
      </c>
      <c r="C62" s="235" t="s">
        <v>636</v>
      </c>
      <c r="D62" s="374" t="s">
        <v>584</v>
      </c>
      <c r="E62" s="374">
        <v>44228</v>
      </c>
      <c r="F62" s="374" t="s">
        <v>44</v>
      </c>
      <c r="G62" s="374" t="s">
        <v>44</v>
      </c>
      <c r="H62" s="374" t="s">
        <v>44</v>
      </c>
      <c r="I62" s="235" t="s">
        <v>44</v>
      </c>
      <c r="J62" s="518" t="s">
        <v>44</v>
      </c>
      <c r="W62" s="368"/>
    </row>
    <row r="63" spans="1:40">
      <c r="A63" s="2" t="s">
        <v>637</v>
      </c>
      <c r="B63" s="2" t="s">
        <v>638</v>
      </c>
      <c r="C63" s="235" t="s">
        <v>99</v>
      </c>
      <c r="D63" s="374" t="s">
        <v>276</v>
      </c>
      <c r="E63" s="374">
        <v>43739</v>
      </c>
      <c r="F63" s="374" t="s">
        <v>44</v>
      </c>
      <c r="G63" s="374" t="s">
        <v>44</v>
      </c>
      <c r="H63" s="374" t="s">
        <v>44</v>
      </c>
      <c r="I63" s="235" t="s">
        <v>44</v>
      </c>
      <c r="J63" s="518" t="s">
        <v>44</v>
      </c>
      <c r="W63" s="368"/>
    </row>
    <row r="64" spans="1:40">
      <c r="A64" s="2" t="s">
        <v>639</v>
      </c>
      <c r="B64" s="2" t="s">
        <v>640</v>
      </c>
      <c r="C64" s="235" t="s">
        <v>99</v>
      </c>
      <c r="D64" s="374" t="s">
        <v>584</v>
      </c>
      <c r="E64" s="374">
        <v>44256</v>
      </c>
      <c r="F64" s="374" t="s">
        <v>44</v>
      </c>
      <c r="G64" s="374" t="s">
        <v>44</v>
      </c>
      <c r="H64" s="374" t="s">
        <v>44</v>
      </c>
      <c r="I64" s="235" t="s">
        <v>44</v>
      </c>
      <c r="J64" s="518" t="s">
        <v>44</v>
      </c>
      <c r="W64" s="368"/>
    </row>
    <row r="65" spans="1:40">
      <c r="A65" s="2" t="s">
        <v>641</v>
      </c>
      <c r="B65" s="2" t="s">
        <v>642</v>
      </c>
      <c r="C65" s="235" t="s">
        <v>99</v>
      </c>
      <c r="D65" s="374" t="s">
        <v>584</v>
      </c>
      <c r="E65" s="374">
        <v>44287</v>
      </c>
      <c r="F65" s="374" t="s">
        <v>44</v>
      </c>
      <c r="G65" s="374" t="s">
        <v>44</v>
      </c>
      <c r="H65" s="374" t="s">
        <v>44</v>
      </c>
      <c r="I65" s="235" t="s">
        <v>44</v>
      </c>
      <c r="J65" s="518" t="s">
        <v>44</v>
      </c>
      <c r="W65" s="368"/>
    </row>
    <row r="66" spans="1:40">
      <c r="A66" s="2" t="s">
        <v>643</v>
      </c>
      <c r="B66" s="2" t="s">
        <v>644</v>
      </c>
      <c r="C66" s="235" t="s">
        <v>99</v>
      </c>
      <c r="D66" s="374" t="s">
        <v>584</v>
      </c>
      <c r="E66" s="374">
        <v>44105</v>
      </c>
      <c r="F66" s="374" t="s">
        <v>44</v>
      </c>
      <c r="G66" s="374" t="s">
        <v>44</v>
      </c>
      <c r="H66" s="374" t="s">
        <v>44</v>
      </c>
      <c r="I66" s="235" t="s">
        <v>44</v>
      </c>
      <c r="J66" s="518" t="s">
        <v>44</v>
      </c>
      <c r="W66" s="368"/>
    </row>
    <row r="67" spans="1:40">
      <c r="A67" s="2" t="s">
        <v>645</v>
      </c>
      <c r="B67" s="2" t="s">
        <v>646</v>
      </c>
      <c r="C67" s="235" t="s">
        <v>53</v>
      </c>
      <c r="D67" s="374" t="s">
        <v>584</v>
      </c>
      <c r="E67" s="374">
        <v>43983</v>
      </c>
      <c r="F67" s="374" t="s">
        <v>647</v>
      </c>
      <c r="G67" s="374" t="s">
        <v>648</v>
      </c>
      <c r="H67" s="374" t="s">
        <v>44</v>
      </c>
      <c r="I67" s="235" t="s">
        <v>44</v>
      </c>
      <c r="J67" s="518" t="s">
        <v>44</v>
      </c>
      <c r="W67" s="368"/>
    </row>
    <row r="68" spans="1:40">
      <c r="A68" s="2" t="s">
        <v>649</v>
      </c>
      <c r="B68" s="2" t="s">
        <v>650</v>
      </c>
      <c r="C68" s="235" t="s">
        <v>99</v>
      </c>
      <c r="D68" s="374" t="s">
        <v>261</v>
      </c>
      <c r="E68" s="374">
        <v>43862</v>
      </c>
      <c r="F68" s="374">
        <v>44531</v>
      </c>
      <c r="G68" s="374" t="s">
        <v>651</v>
      </c>
      <c r="H68" s="374">
        <v>44440</v>
      </c>
      <c r="I68" s="235"/>
      <c r="J68" s="518">
        <f>YEAR(H68)-YEAR(E68)</f>
        <v>1</v>
      </c>
      <c r="W68" s="368"/>
    </row>
    <row r="69" spans="1:40">
      <c r="A69" s="2" t="s">
        <v>652</v>
      </c>
      <c r="B69" s="2" t="s">
        <v>653</v>
      </c>
      <c r="C69" s="235" t="s">
        <v>654</v>
      </c>
      <c r="D69" s="374" t="s">
        <v>261</v>
      </c>
      <c r="E69" s="374">
        <v>43831</v>
      </c>
      <c r="F69" s="374" t="s">
        <v>44</v>
      </c>
      <c r="G69" s="374" t="s">
        <v>44</v>
      </c>
      <c r="H69" s="374" t="s">
        <v>44</v>
      </c>
      <c r="I69" s="235" t="s">
        <v>44</v>
      </c>
      <c r="J69" s="518" t="s">
        <v>44</v>
      </c>
      <c r="W69" s="368"/>
    </row>
    <row r="70" spans="1:40">
      <c r="A70" s="2" t="s">
        <v>655</v>
      </c>
      <c r="B70" s="2" t="s">
        <v>656</v>
      </c>
      <c r="C70" s="235" t="s">
        <v>260</v>
      </c>
      <c r="D70" s="374" t="s">
        <v>261</v>
      </c>
      <c r="E70" s="374">
        <v>44228</v>
      </c>
      <c r="F70" s="374" t="s">
        <v>44</v>
      </c>
      <c r="G70" s="374" t="s">
        <v>44</v>
      </c>
      <c r="H70" s="374">
        <v>44866</v>
      </c>
      <c r="I70" s="235"/>
      <c r="J70" s="518">
        <f>YEAR(H70)-YEAR(E70)</f>
        <v>1</v>
      </c>
      <c r="W70" s="368"/>
    </row>
    <row r="71" spans="1:40">
      <c r="A71" s="2" t="s">
        <v>657</v>
      </c>
      <c r="B71" s="2" t="s">
        <v>658</v>
      </c>
      <c r="C71" s="235" t="s">
        <v>99</v>
      </c>
      <c r="D71" s="374" t="s">
        <v>261</v>
      </c>
      <c r="E71" s="374">
        <v>44197</v>
      </c>
      <c r="F71" s="374" t="s">
        <v>44</v>
      </c>
      <c r="G71" s="374" t="s">
        <v>44</v>
      </c>
      <c r="H71" s="374">
        <v>44713</v>
      </c>
      <c r="I71" s="235"/>
      <c r="J71" s="518">
        <f>YEAR(H71)-YEAR(E71)</f>
        <v>1</v>
      </c>
      <c r="W71" s="368"/>
    </row>
    <row r="72" spans="1:40">
      <c r="A72" s="2" t="s">
        <v>659</v>
      </c>
      <c r="B72" s="2" t="s">
        <v>660</v>
      </c>
      <c r="C72" s="235" t="s">
        <v>99</v>
      </c>
      <c r="D72" s="374" t="s">
        <v>261</v>
      </c>
      <c r="E72" s="374">
        <v>44287</v>
      </c>
      <c r="F72" s="374" t="s">
        <v>44</v>
      </c>
      <c r="G72" s="374" t="s">
        <v>44</v>
      </c>
      <c r="H72" s="374">
        <v>44531</v>
      </c>
      <c r="I72" s="235"/>
      <c r="J72" s="518">
        <f>YEAR(H72)-YEAR(E72)</f>
        <v>0</v>
      </c>
      <c r="W72" s="368"/>
    </row>
    <row r="73" spans="1:40">
      <c r="A73" s="2" t="s">
        <v>661</v>
      </c>
      <c r="B73" s="2" t="s">
        <v>662</v>
      </c>
      <c r="C73" s="235" t="s">
        <v>99</v>
      </c>
      <c r="D73" s="374" t="s">
        <v>663</v>
      </c>
      <c r="E73" s="374">
        <v>43525</v>
      </c>
      <c r="F73" s="374" t="s">
        <v>44</v>
      </c>
      <c r="G73" s="374" t="s">
        <v>44</v>
      </c>
      <c r="H73" s="374" t="s">
        <v>44</v>
      </c>
      <c r="I73" s="235" t="s">
        <v>44</v>
      </c>
      <c r="J73" s="518" t="s">
        <v>44</v>
      </c>
      <c r="W73" s="368"/>
    </row>
    <row r="74" spans="1:40">
      <c r="A74" s="2" t="s">
        <v>664</v>
      </c>
      <c r="B74" s="2" t="s">
        <v>665</v>
      </c>
      <c r="C74" s="235" t="s">
        <v>260</v>
      </c>
      <c r="D74" s="374" t="s">
        <v>663</v>
      </c>
      <c r="E74" s="374">
        <v>44013</v>
      </c>
      <c r="F74" s="374" t="s">
        <v>44</v>
      </c>
      <c r="G74" s="374" t="s">
        <v>44</v>
      </c>
      <c r="H74" s="374" t="s">
        <v>44</v>
      </c>
      <c r="I74" s="235" t="s">
        <v>44</v>
      </c>
      <c r="J74" s="518" t="s">
        <v>44</v>
      </c>
      <c r="W74" s="368"/>
    </row>
    <row r="75" spans="1:40" s="357" customFormat="1">
      <c r="A75" s="357" t="s">
        <v>666</v>
      </c>
      <c r="B75" s="357" t="s">
        <v>667</v>
      </c>
      <c r="C75" s="332" t="s">
        <v>260</v>
      </c>
      <c r="D75" s="562" t="s">
        <v>663</v>
      </c>
      <c r="E75" s="562">
        <v>44287</v>
      </c>
      <c r="F75" s="562" t="s">
        <v>44</v>
      </c>
      <c r="G75" s="562" t="s">
        <v>44</v>
      </c>
      <c r="H75" s="562" t="s">
        <v>44</v>
      </c>
      <c r="I75" s="332" t="s">
        <v>44</v>
      </c>
      <c r="J75" s="563" t="s">
        <v>44</v>
      </c>
      <c r="K75" s="369"/>
      <c r="T75" s="369"/>
      <c r="W75" s="370"/>
      <c r="AC75" s="369"/>
      <c r="AN75" s="369"/>
    </row>
  </sheetData>
  <conditionalFormatting sqref="R32:S48">
    <cfRule type="cellIs" dxfId="141" priority="5" operator="lessThan">
      <formula>0</formula>
    </cfRule>
    <cfRule type="cellIs" dxfId="140" priority="6" operator="greaterThan">
      <formula>0</formula>
    </cfRule>
  </conditionalFormatting>
  <conditionalFormatting sqref="AA32:AB48">
    <cfRule type="cellIs" dxfId="139" priority="9" operator="lessThan">
      <formula>0</formula>
    </cfRule>
    <cfRule type="cellIs" dxfId="138" priority="10" operator="greaterThan">
      <formula>0</formula>
    </cfRule>
  </conditionalFormatting>
  <conditionalFormatting sqref="AA50:AB50">
    <cfRule type="cellIs" dxfId="137" priority="3" operator="lessThan">
      <formula>0</formula>
    </cfRule>
    <cfRule type="cellIs" dxfId="136" priority="4" operator="greaterThan">
      <formula>0</formula>
    </cfRule>
  </conditionalFormatting>
  <conditionalFormatting sqref="AA52:AB53">
    <cfRule type="cellIs" dxfId="135" priority="1" operator="lessThan">
      <formula>0</formula>
    </cfRule>
    <cfRule type="cellIs" dxfId="134" priority="2" operator="greaterThan">
      <formula>0</formula>
    </cfRule>
  </conditionalFormatting>
  <conditionalFormatting sqref="AJ32:AM33">
    <cfRule type="cellIs" dxfId="133" priority="7" operator="lessThan">
      <formula>0</formula>
    </cfRule>
    <cfRule type="cellIs" dxfId="132" priority="8" operator="greaterThan">
      <formula>0</formula>
    </cfRule>
  </conditionalFormatting>
  <printOptions horizontalCentered="1"/>
  <pageMargins left="0.23622047244094491" right="0" top="0.35433070866141736" bottom="0.19685039370078741" header="0.15748031496062992" footer="0.15748031496062992"/>
  <pageSetup paperSize="8" scale="37" orientation="landscap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59C0-0A21-4533-B281-0843B1D7FEA8}">
  <sheetPr>
    <tabColor theme="8"/>
  </sheetPr>
  <dimension ref="B1:P45"/>
  <sheetViews>
    <sheetView workbookViewId="0"/>
  </sheetViews>
  <sheetFormatPr defaultColWidth="9" defaultRowHeight="11.25"/>
  <cols>
    <col min="1" max="1" width="2" style="2" customWidth="1"/>
    <col min="2" max="2" width="27.42578125" style="2" bestFit="1" customWidth="1"/>
    <col min="3" max="3" width="19.140625" style="2" bestFit="1" customWidth="1"/>
    <col min="4" max="4" width="14" style="2" customWidth="1"/>
    <col min="5" max="5" width="6.42578125" style="2" customWidth="1"/>
    <col min="6" max="6" width="22.42578125" style="2" bestFit="1" customWidth="1"/>
    <col min="7" max="7" width="18.7109375" style="255" customWidth="1"/>
    <col min="8" max="8" width="15.140625" style="2" customWidth="1"/>
    <col min="9" max="9" width="14" style="2" customWidth="1"/>
    <col min="10" max="10" width="22.42578125" style="2" bestFit="1" customWidth="1"/>
    <col min="11" max="11" width="15" style="2" customWidth="1"/>
    <col min="12" max="12" width="15.42578125" style="2" bestFit="1" customWidth="1"/>
    <col min="13" max="15" width="14.7109375" style="2" bestFit="1" customWidth="1"/>
    <col min="16" max="16" width="12.28515625" style="2" customWidth="1"/>
    <col min="17" max="17" width="9" style="2"/>
    <col min="18" max="18" width="13.85546875" style="2" bestFit="1" customWidth="1"/>
    <col min="19" max="16384" width="9" style="2"/>
  </cols>
  <sheetData>
    <row r="1" spans="2:16">
      <c r="B1" s="75" t="s">
        <v>282</v>
      </c>
      <c r="J1" s="626">
        <f>C3</f>
        <v>45657</v>
      </c>
      <c r="K1" s="626"/>
      <c r="L1" s="333" t="s">
        <v>668</v>
      </c>
      <c r="M1" s="426" t="s">
        <v>284</v>
      </c>
    </row>
    <row r="2" spans="2:16" ht="12" thickBot="1">
      <c r="J2" s="172" t="s">
        <v>285</v>
      </c>
      <c r="K2" s="173">
        <f>L40</f>
        <v>-19929372.359999999</v>
      </c>
      <c r="L2" s="201">
        <v>-19929372.359999999</v>
      </c>
      <c r="M2" s="205">
        <f>K2-L2</f>
        <v>0</v>
      </c>
    </row>
    <row r="3" spans="2:16" ht="12" thickBot="1">
      <c r="B3" s="202" t="s">
        <v>286</v>
      </c>
      <c r="C3" s="256">
        <f>'C Ventures II'!E1</f>
        <v>45657</v>
      </c>
      <c r="J3" s="172" t="s">
        <v>287</v>
      </c>
      <c r="K3" s="173">
        <f>O40</f>
        <v>5324898.99</v>
      </c>
      <c r="L3" s="201">
        <v>5324898.99</v>
      </c>
      <c r="M3" s="205">
        <f>K3-L3</f>
        <v>0</v>
      </c>
    </row>
    <row r="4" spans="2:16">
      <c r="J4" s="175" t="s">
        <v>288</v>
      </c>
      <c r="K4" s="176">
        <f>K42</f>
        <v>16039004.68</v>
      </c>
    </row>
    <row r="5" spans="2:16" s="75" customFormat="1">
      <c r="B5" s="75" t="s">
        <v>289</v>
      </c>
      <c r="C5" s="75" t="s">
        <v>5</v>
      </c>
      <c r="G5" s="257"/>
      <c r="J5" s="172" t="s">
        <v>75</v>
      </c>
      <c r="K5" s="180">
        <f>XIRR(K11:K42,D11:D42)</f>
        <v>1.7202332615852356E-2</v>
      </c>
    </row>
    <row r="6" spans="2:16">
      <c r="B6" s="75" t="s">
        <v>291</v>
      </c>
      <c r="C6" s="75" t="s">
        <v>24</v>
      </c>
    </row>
    <row r="7" spans="2:16">
      <c r="B7" s="75" t="s">
        <v>52</v>
      </c>
      <c r="C7" s="181">
        <v>20000000</v>
      </c>
    </row>
    <row r="8" spans="2:16">
      <c r="B8" s="75"/>
      <c r="C8" s="182"/>
    </row>
    <row r="10" spans="2:16" s="186" customFormat="1" ht="22.5">
      <c r="B10" s="183" t="s">
        <v>292</v>
      </c>
      <c r="C10" s="183" t="s">
        <v>0</v>
      </c>
      <c r="D10" s="183" t="s">
        <v>294</v>
      </c>
      <c r="E10" s="183" t="s">
        <v>295</v>
      </c>
      <c r="F10" s="183" t="s">
        <v>176</v>
      </c>
      <c r="G10" s="258" t="s">
        <v>296</v>
      </c>
      <c r="H10" s="185" t="s">
        <v>435</v>
      </c>
      <c r="I10" s="185" t="s">
        <v>436</v>
      </c>
      <c r="J10" s="185" t="s">
        <v>299</v>
      </c>
      <c r="K10" s="185" t="s">
        <v>300</v>
      </c>
      <c r="L10" s="185" t="s">
        <v>301</v>
      </c>
      <c r="M10" s="185" t="s">
        <v>302</v>
      </c>
      <c r="N10" s="185" t="s">
        <v>437</v>
      </c>
      <c r="O10" s="185" t="s">
        <v>438</v>
      </c>
      <c r="P10" s="184" t="s">
        <v>195</v>
      </c>
    </row>
    <row r="11" spans="2:16">
      <c r="B11" s="2" t="s">
        <v>307</v>
      </c>
      <c r="C11" s="235" t="s">
        <v>308</v>
      </c>
      <c r="D11" s="187">
        <v>43417</v>
      </c>
      <c r="E11" s="2">
        <f>YEAR(D11)</f>
        <v>2018</v>
      </c>
      <c r="G11" s="91">
        <v>-2000000</v>
      </c>
      <c r="H11" s="211"/>
      <c r="I11" s="211"/>
      <c r="K11" s="211">
        <f>SUM(G11:J11)</f>
        <v>-2000000</v>
      </c>
      <c r="L11" s="108">
        <f>IF(K11&lt;0,K11,0)</f>
        <v>-2000000</v>
      </c>
      <c r="M11" s="108">
        <f>L11+$C$7</f>
        <v>18000000</v>
      </c>
      <c r="N11" s="131">
        <f>IF(K11&gt;0,K11,0)</f>
        <v>0</v>
      </c>
      <c r="O11" s="131">
        <f>N11</f>
        <v>0</v>
      </c>
    </row>
    <row r="12" spans="2:16">
      <c r="B12" s="2" t="s">
        <v>307</v>
      </c>
      <c r="C12" s="235" t="s">
        <v>310</v>
      </c>
      <c r="D12" s="187">
        <v>43475</v>
      </c>
      <c r="E12" s="2">
        <f t="shared" ref="E12:E40" si="0">YEAR(D12)</f>
        <v>2019</v>
      </c>
      <c r="G12" s="91">
        <v>-2000000</v>
      </c>
      <c r="H12" s="211"/>
      <c r="I12" s="211"/>
      <c r="K12" s="211">
        <f>SUM(G12:J12)</f>
        <v>-2000000</v>
      </c>
      <c r="L12" s="108">
        <f>L11+IF(K12&lt;0,K12,0)</f>
        <v>-4000000</v>
      </c>
      <c r="M12" s="108">
        <f t="shared" ref="M12:M18" si="1">L12+$C$7</f>
        <v>16000000</v>
      </c>
      <c r="N12" s="131">
        <f t="shared" ref="N12:N25" si="2">IF(K12&gt;0,K12,0)</f>
        <v>0</v>
      </c>
      <c r="O12" s="131">
        <f>O11+N12</f>
        <v>0</v>
      </c>
    </row>
    <row r="13" spans="2:16">
      <c r="B13" s="2" t="s">
        <v>307</v>
      </c>
      <c r="C13" s="235" t="s">
        <v>311</v>
      </c>
      <c r="D13" s="187">
        <v>43748</v>
      </c>
      <c r="E13" s="2">
        <f t="shared" si="0"/>
        <v>2019</v>
      </c>
      <c r="G13" s="91">
        <v>-1005988.25</v>
      </c>
      <c r="H13" s="211">
        <v>-466849.33</v>
      </c>
      <c r="I13" s="211"/>
      <c r="K13" s="211">
        <f>SUM(G13:I13)</f>
        <v>-1472837.58</v>
      </c>
      <c r="L13" s="211">
        <f t="shared" ref="L13:L25" si="3">L12+IF(K13&lt;0,K13,0)</f>
        <v>-5472837.5800000001</v>
      </c>
      <c r="M13" s="108">
        <f t="shared" si="1"/>
        <v>14527162.42</v>
      </c>
      <c r="N13" s="131">
        <f t="shared" si="2"/>
        <v>0</v>
      </c>
      <c r="O13" s="131">
        <f t="shared" ref="O13:O18" si="4">O12+N13</f>
        <v>0</v>
      </c>
    </row>
    <row r="14" spans="2:16">
      <c r="B14" s="2" t="s">
        <v>307</v>
      </c>
      <c r="C14" s="235" t="s">
        <v>316</v>
      </c>
      <c r="D14" s="187">
        <v>43830</v>
      </c>
      <c r="E14" s="2">
        <f t="shared" si="0"/>
        <v>2019</v>
      </c>
      <c r="G14" s="91">
        <v>-2142857.14</v>
      </c>
      <c r="H14" s="211">
        <v>-199452.06</v>
      </c>
      <c r="I14" s="211">
        <f>-35714.28</f>
        <v>-35714.28</v>
      </c>
      <c r="K14" s="211">
        <f>SUM(G14:I14)</f>
        <v>-2378023.48</v>
      </c>
      <c r="L14" s="108">
        <f t="shared" si="3"/>
        <v>-7850861.0600000005</v>
      </c>
      <c r="M14" s="108">
        <f t="shared" si="1"/>
        <v>12149138.939999999</v>
      </c>
      <c r="N14" s="131">
        <f t="shared" si="2"/>
        <v>0</v>
      </c>
      <c r="O14" s="131">
        <f t="shared" si="4"/>
        <v>0</v>
      </c>
    </row>
    <row r="15" spans="2:16">
      <c r="B15" s="2" t="s">
        <v>307</v>
      </c>
      <c r="C15" s="235" t="s">
        <v>320</v>
      </c>
      <c r="D15" s="187">
        <v>43875</v>
      </c>
      <c r="E15" s="2">
        <f t="shared" si="0"/>
        <v>2020</v>
      </c>
      <c r="G15" s="91">
        <f>-714285.72-714285.72</f>
        <v>-1428571.44</v>
      </c>
      <c r="H15" s="211"/>
      <c r="I15" s="211"/>
      <c r="K15" s="211">
        <f>SUM(G15:I15)</f>
        <v>-1428571.44</v>
      </c>
      <c r="L15" s="108">
        <f t="shared" si="3"/>
        <v>-9279432.5</v>
      </c>
      <c r="M15" s="108">
        <f t="shared" si="1"/>
        <v>10720567.5</v>
      </c>
      <c r="N15" s="131">
        <f t="shared" si="2"/>
        <v>0</v>
      </c>
      <c r="O15" s="131">
        <f t="shared" si="4"/>
        <v>0</v>
      </c>
    </row>
    <row r="16" spans="2:16">
      <c r="B16" s="2" t="s">
        <v>307</v>
      </c>
      <c r="C16" s="235" t="s">
        <v>325</v>
      </c>
      <c r="D16" s="187">
        <v>43990</v>
      </c>
      <c r="E16" s="2">
        <f t="shared" si="0"/>
        <v>2020</v>
      </c>
      <c r="G16" s="91">
        <f>-1785714.28+321428.58</f>
        <v>-1464285.7</v>
      </c>
      <c r="H16" s="211">
        <v>-200547.94</v>
      </c>
      <c r="I16" s="211"/>
      <c r="K16" s="211">
        <f>SUM(G16:I16)</f>
        <v>-1664833.64</v>
      </c>
      <c r="L16" s="108">
        <f t="shared" si="3"/>
        <v>-10944266.140000001</v>
      </c>
      <c r="M16" s="108">
        <f t="shared" si="1"/>
        <v>9055733.8599999994</v>
      </c>
      <c r="N16" s="131">
        <f t="shared" si="2"/>
        <v>0</v>
      </c>
      <c r="O16" s="131">
        <f t="shared" si="4"/>
        <v>0</v>
      </c>
    </row>
    <row r="17" spans="2:15">
      <c r="B17" s="2" t="s">
        <v>307</v>
      </c>
      <c r="C17" s="235" t="s">
        <v>322</v>
      </c>
      <c r="D17" s="187">
        <v>44095</v>
      </c>
      <c r="E17" s="2">
        <f t="shared" si="0"/>
        <v>2020</v>
      </c>
      <c r="G17" s="91">
        <v>-535714.28</v>
      </c>
      <c r="H17" s="211"/>
      <c r="I17" s="211"/>
      <c r="K17" s="211">
        <f>SUM(G17:I17)</f>
        <v>-535714.28</v>
      </c>
      <c r="L17" s="108">
        <f t="shared" si="3"/>
        <v>-11479980.42</v>
      </c>
      <c r="M17" s="108">
        <f t="shared" si="1"/>
        <v>8520019.5800000001</v>
      </c>
      <c r="N17" s="131">
        <f t="shared" si="2"/>
        <v>0</v>
      </c>
      <c r="O17" s="131">
        <f t="shared" si="4"/>
        <v>0</v>
      </c>
    </row>
    <row r="18" spans="2:15">
      <c r="B18" s="2" t="s">
        <v>49</v>
      </c>
      <c r="C18" s="235" t="s">
        <v>314</v>
      </c>
      <c r="D18" s="187">
        <v>44104</v>
      </c>
      <c r="E18" s="2">
        <f t="shared" si="0"/>
        <v>2020</v>
      </c>
      <c r="G18" s="91">
        <v>214285.72</v>
      </c>
      <c r="H18" s="211"/>
      <c r="I18" s="211"/>
      <c r="J18" s="108"/>
      <c r="K18" s="211">
        <f>SUM(G18:J18)</f>
        <v>214285.72</v>
      </c>
      <c r="L18" s="108">
        <f t="shared" si="3"/>
        <v>-11479980.42</v>
      </c>
      <c r="M18" s="108">
        <f t="shared" si="1"/>
        <v>8520019.5800000001</v>
      </c>
      <c r="N18" s="108">
        <f t="shared" si="2"/>
        <v>214285.72</v>
      </c>
      <c r="O18" s="131">
        <f t="shared" si="4"/>
        <v>214285.72</v>
      </c>
    </row>
    <row r="19" spans="2:15">
      <c r="B19" s="2" t="s">
        <v>307</v>
      </c>
      <c r="C19" s="235" t="s">
        <v>324</v>
      </c>
      <c r="D19" s="187">
        <v>44200</v>
      </c>
      <c r="E19" s="2">
        <f>YEAR(D19)</f>
        <v>2021</v>
      </c>
      <c r="G19" s="91"/>
      <c r="H19" s="211">
        <v>-198356.17</v>
      </c>
      <c r="I19" s="211"/>
      <c r="J19" s="211"/>
      <c r="K19" s="211">
        <f>SUM(G19:J19)</f>
        <v>-198356.17</v>
      </c>
      <c r="L19" s="108">
        <f t="shared" si="3"/>
        <v>-11678336.59</v>
      </c>
      <c r="M19" s="108">
        <f>L19+$C$7</f>
        <v>8321663.4100000001</v>
      </c>
      <c r="N19" s="108">
        <f t="shared" si="2"/>
        <v>0</v>
      </c>
      <c r="O19" s="131">
        <f>O18+N19</f>
        <v>214285.72</v>
      </c>
    </row>
    <row r="20" spans="2:15">
      <c r="B20" s="2" t="s">
        <v>307</v>
      </c>
      <c r="C20" s="235" t="s">
        <v>327</v>
      </c>
      <c r="D20" s="187">
        <v>44210</v>
      </c>
      <c r="E20" s="2">
        <f>YEAR(D20)</f>
        <v>2021</v>
      </c>
      <c r="F20" s="2" t="s">
        <v>669</v>
      </c>
      <c r="G20" s="91">
        <v>-1785714.28</v>
      </c>
      <c r="H20" s="211"/>
      <c r="I20" s="211"/>
      <c r="J20" s="211"/>
      <c r="K20" s="211">
        <f>SUM(G20:J20)</f>
        <v>-1785714.28</v>
      </c>
      <c r="L20" s="108">
        <f t="shared" si="3"/>
        <v>-13464050.869999999</v>
      </c>
      <c r="M20" s="108">
        <f>L20+$C$7</f>
        <v>6535949.1300000008</v>
      </c>
      <c r="N20" s="108">
        <f t="shared" si="2"/>
        <v>0</v>
      </c>
      <c r="O20" s="131">
        <f>O19+N20</f>
        <v>214285.72</v>
      </c>
    </row>
    <row r="21" spans="2:15">
      <c r="B21" s="2" t="s">
        <v>307</v>
      </c>
      <c r="C21" s="160" t="s">
        <v>329</v>
      </c>
      <c r="D21" s="187">
        <v>44259</v>
      </c>
      <c r="E21" s="2">
        <f t="shared" si="0"/>
        <v>2021</v>
      </c>
      <c r="F21" s="2" t="s">
        <v>630</v>
      </c>
      <c r="G21" s="91">
        <v>-2857142.86</v>
      </c>
      <c r="H21" s="211"/>
      <c r="I21" s="211"/>
      <c r="J21" s="211"/>
      <c r="K21" s="211">
        <f>SUM(G21:J21)</f>
        <v>-2857142.86</v>
      </c>
      <c r="L21" s="108">
        <f t="shared" si="3"/>
        <v>-16321193.729999999</v>
      </c>
      <c r="M21" s="108">
        <f>L21+$C$7</f>
        <v>3678806.2700000014</v>
      </c>
      <c r="N21" s="108">
        <f t="shared" si="2"/>
        <v>0</v>
      </c>
      <c r="O21" s="131">
        <f>O20+N21</f>
        <v>214285.72</v>
      </c>
    </row>
    <row r="22" spans="2:15">
      <c r="B22" s="2" t="s">
        <v>307</v>
      </c>
      <c r="C22" s="160" t="s">
        <v>331</v>
      </c>
      <c r="D22" s="187">
        <v>44295</v>
      </c>
      <c r="E22" s="2">
        <f t="shared" si="0"/>
        <v>2021</v>
      </c>
      <c r="F22" s="2" t="s">
        <v>670</v>
      </c>
      <c r="G22" s="91">
        <v>-2500000</v>
      </c>
      <c r="H22" s="211"/>
      <c r="I22" s="211"/>
      <c r="J22" s="211"/>
      <c r="K22" s="211">
        <f t="shared" ref="K22:K30" si="5">SUM(G22:I22)</f>
        <v>-2500000</v>
      </c>
      <c r="L22" s="108">
        <f t="shared" si="3"/>
        <v>-18821193.729999997</v>
      </c>
      <c r="M22" s="108">
        <f t="shared" ref="M22:M40" si="6">L22+$C$7</f>
        <v>1178806.2700000033</v>
      </c>
      <c r="N22" s="108">
        <f t="shared" si="2"/>
        <v>0</v>
      </c>
      <c r="O22" s="131">
        <f>O20+N22</f>
        <v>214285.72</v>
      </c>
    </row>
    <row r="23" spans="2:15">
      <c r="B23" s="2" t="s">
        <v>307</v>
      </c>
      <c r="C23" s="160" t="s">
        <v>333</v>
      </c>
      <c r="D23" s="187">
        <v>44295</v>
      </c>
      <c r="E23" s="2">
        <f t="shared" si="0"/>
        <v>2021</v>
      </c>
      <c r="F23" s="2" t="s">
        <v>671</v>
      </c>
      <c r="G23" s="91">
        <v>-357142.86</v>
      </c>
      <c r="H23" s="211"/>
      <c r="I23" s="211"/>
      <c r="J23" s="211"/>
      <c r="K23" s="211">
        <f t="shared" si="5"/>
        <v>-357142.86</v>
      </c>
      <c r="L23" s="108">
        <f t="shared" si="3"/>
        <v>-19178336.589999996</v>
      </c>
      <c r="M23" s="108">
        <f t="shared" si="6"/>
        <v>821663.41000000387</v>
      </c>
      <c r="N23" s="108">
        <f t="shared" si="2"/>
        <v>0</v>
      </c>
      <c r="O23" s="131">
        <f>O22+N23</f>
        <v>214285.72</v>
      </c>
    </row>
    <row r="24" spans="2:15">
      <c r="B24" s="2" t="s">
        <v>307</v>
      </c>
      <c r="C24" s="160" t="s">
        <v>335</v>
      </c>
      <c r="D24" s="187">
        <v>44383</v>
      </c>
      <c r="E24" s="2">
        <f t="shared" si="0"/>
        <v>2021</v>
      </c>
      <c r="G24" s="91"/>
      <c r="H24" s="211">
        <v>-100821.92</v>
      </c>
      <c r="I24" s="211"/>
      <c r="J24" s="211"/>
      <c r="K24" s="211">
        <f t="shared" si="5"/>
        <v>-100821.92</v>
      </c>
      <c r="L24" s="108">
        <f t="shared" si="3"/>
        <v>-19279158.509999998</v>
      </c>
      <c r="M24" s="108">
        <f t="shared" si="6"/>
        <v>720841.49000000209</v>
      </c>
      <c r="N24" s="108">
        <f t="shared" si="2"/>
        <v>0</v>
      </c>
      <c r="O24" s="131">
        <f>O23+N24</f>
        <v>214285.72</v>
      </c>
    </row>
    <row r="25" spans="2:15">
      <c r="B25" s="2" t="s">
        <v>672</v>
      </c>
      <c r="C25" s="235" t="s">
        <v>330</v>
      </c>
      <c r="D25" s="187">
        <v>44383</v>
      </c>
      <c r="E25" s="2">
        <f t="shared" si="0"/>
        <v>2021</v>
      </c>
      <c r="F25" s="2" t="s">
        <v>628</v>
      </c>
      <c r="G25" s="91">
        <v>108097.85</v>
      </c>
      <c r="H25" s="211"/>
      <c r="I25" s="211"/>
      <c r="J25" s="211"/>
      <c r="K25" s="211">
        <f t="shared" si="5"/>
        <v>108097.85</v>
      </c>
      <c r="L25" s="108">
        <f t="shared" si="3"/>
        <v>-19279158.509999998</v>
      </c>
      <c r="M25" s="108">
        <f t="shared" si="6"/>
        <v>720841.49000000209</v>
      </c>
      <c r="N25" s="108">
        <f t="shared" si="2"/>
        <v>108097.85</v>
      </c>
      <c r="O25" s="131">
        <f>O24+N25</f>
        <v>322383.57</v>
      </c>
    </row>
    <row r="26" spans="2:15">
      <c r="B26" s="2" t="s">
        <v>307</v>
      </c>
      <c r="C26" s="235" t="s">
        <v>337</v>
      </c>
      <c r="D26" s="187">
        <v>44462</v>
      </c>
      <c r="E26" s="2">
        <f t="shared" si="0"/>
        <v>2021</v>
      </c>
      <c r="F26" s="2" t="s">
        <v>673</v>
      </c>
      <c r="G26" s="91">
        <v>175679.43</v>
      </c>
      <c r="H26" s="211"/>
      <c r="I26" s="211"/>
      <c r="J26" s="211"/>
      <c r="K26" s="211">
        <f t="shared" si="5"/>
        <v>175679.43</v>
      </c>
      <c r="L26" s="108">
        <f>L25+K26</f>
        <v>-19103479.079999998</v>
      </c>
      <c r="M26" s="108">
        <f t="shared" si="6"/>
        <v>896520.92000000179</v>
      </c>
      <c r="N26" s="108"/>
      <c r="O26" s="131">
        <f>O25+N26</f>
        <v>322383.57</v>
      </c>
    </row>
    <row r="27" spans="2:15">
      <c r="B27" s="2" t="s">
        <v>49</v>
      </c>
      <c r="C27" s="235" t="s">
        <v>337</v>
      </c>
      <c r="D27" s="187">
        <v>44462</v>
      </c>
      <c r="E27" s="2">
        <f t="shared" si="0"/>
        <v>2021</v>
      </c>
      <c r="F27" s="2" t="s">
        <v>673</v>
      </c>
      <c r="G27" s="91">
        <v>382736.92</v>
      </c>
      <c r="H27" s="211"/>
      <c r="I27" s="211"/>
      <c r="J27" s="211"/>
      <c r="K27" s="211">
        <f t="shared" si="5"/>
        <v>382736.92</v>
      </c>
      <c r="L27" s="108">
        <f>L26+IF(K27&lt;0,K27,0)</f>
        <v>-19103479.079999998</v>
      </c>
      <c r="M27" s="108">
        <f t="shared" si="6"/>
        <v>896520.92000000179</v>
      </c>
      <c r="N27" s="108">
        <f>IF(K27&gt;0,K27,0)</f>
        <v>382736.92</v>
      </c>
      <c r="O27" s="131">
        <f>O26+N27</f>
        <v>705120.49</v>
      </c>
    </row>
    <row r="28" spans="2:15">
      <c r="B28" s="2" t="s">
        <v>49</v>
      </c>
      <c r="C28" s="160" t="s">
        <v>342</v>
      </c>
      <c r="D28" s="187">
        <v>44462</v>
      </c>
      <c r="E28" s="2">
        <f t="shared" si="0"/>
        <v>2021</v>
      </c>
      <c r="F28" s="2" t="s">
        <v>652</v>
      </c>
      <c r="G28" s="91">
        <v>-42857.120000000003</v>
      </c>
      <c r="H28" s="211"/>
      <c r="I28" s="211"/>
      <c r="J28" s="211"/>
      <c r="K28" s="211">
        <f t="shared" si="5"/>
        <v>-42857.120000000003</v>
      </c>
      <c r="L28" s="108">
        <f>L27</f>
        <v>-19103479.079999998</v>
      </c>
      <c r="M28" s="108">
        <f t="shared" si="6"/>
        <v>896520.92000000179</v>
      </c>
      <c r="N28" s="108">
        <f>IF(K28&gt;0,K28,0)</f>
        <v>0</v>
      </c>
      <c r="O28" s="131">
        <f>O27+G28</f>
        <v>662263.37</v>
      </c>
    </row>
    <row r="29" spans="2:15">
      <c r="B29" s="2" t="s">
        <v>307</v>
      </c>
      <c r="C29" s="160" t="s">
        <v>342</v>
      </c>
      <c r="D29" s="187">
        <v>44462</v>
      </c>
      <c r="E29" s="2">
        <f t="shared" si="0"/>
        <v>2021</v>
      </c>
      <c r="G29" s="91"/>
      <c r="H29" s="211">
        <v>-100821.92</v>
      </c>
      <c r="I29" s="211"/>
      <c r="J29" s="211"/>
      <c r="K29" s="211">
        <f t="shared" si="5"/>
        <v>-100821.92</v>
      </c>
      <c r="L29" s="108">
        <f>L28+IF(K29&lt;0,K29,0)</f>
        <v>-19204301</v>
      </c>
      <c r="M29" s="108">
        <f t="shared" si="6"/>
        <v>795699</v>
      </c>
      <c r="N29" s="108">
        <f>IF(K29&gt;0,K29,0)</f>
        <v>0</v>
      </c>
      <c r="O29" s="131">
        <f>O28+N29</f>
        <v>662263.37</v>
      </c>
    </row>
    <row r="30" spans="2:15">
      <c r="B30" s="2" t="s">
        <v>307</v>
      </c>
      <c r="C30" s="160" t="s">
        <v>346</v>
      </c>
      <c r="D30" s="187">
        <v>44615</v>
      </c>
      <c r="E30" s="2">
        <f t="shared" si="0"/>
        <v>2022</v>
      </c>
      <c r="G30" s="91"/>
      <c r="H30" s="211">
        <v>-198356.17</v>
      </c>
      <c r="I30" s="211"/>
      <c r="J30" s="211"/>
      <c r="K30" s="211">
        <f t="shared" si="5"/>
        <v>-198356.17</v>
      </c>
      <c r="L30" s="108">
        <f>L29+IF(K30&lt;0,K30,0)</f>
        <v>-19402657.170000002</v>
      </c>
      <c r="M30" s="108">
        <f t="shared" si="6"/>
        <v>597342.82999999821</v>
      </c>
      <c r="N30" s="108">
        <f>IF(K30&gt;0,K30,0)</f>
        <v>0</v>
      </c>
      <c r="O30" s="131">
        <f t="shared" ref="O30:O40" si="7">O29+N30</f>
        <v>662263.37</v>
      </c>
    </row>
    <row r="31" spans="2:15">
      <c r="B31" s="2" t="s">
        <v>307</v>
      </c>
      <c r="C31" s="160" t="s">
        <v>456</v>
      </c>
      <c r="D31" s="187">
        <v>44763</v>
      </c>
      <c r="E31" s="2">
        <f t="shared" si="0"/>
        <v>2022</v>
      </c>
      <c r="G31" s="91"/>
      <c r="H31" s="211">
        <v>-362852.45</v>
      </c>
      <c r="I31" s="211"/>
      <c r="J31" s="211"/>
      <c r="K31" s="211">
        <f t="shared" ref="K31:K39" si="8">SUM(G31:I31)</f>
        <v>-362852.45</v>
      </c>
      <c r="L31" s="108">
        <f>L30+IF(K31&lt;0,K31,0)</f>
        <v>-19765509.620000001</v>
      </c>
      <c r="M31" s="108">
        <f t="shared" si="6"/>
        <v>234490.37999999896</v>
      </c>
      <c r="N31" s="108">
        <f>IF(K31&gt;0,K31,0)</f>
        <v>0</v>
      </c>
      <c r="O31" s="131">
        <f t="shared" si="7"/>
        <v>662263.37</v>
      </c>
    </row>
    <row r="32" spans="2:15">
      <c r="B32" s="2" t="s">
        <v>49</v>
      </c>
      <c r="C32" s="235" t="s">
        <v>340</v>
      </c>
      <c r="D32" s="187">
        <v>44763</v>
      </c>
      <c r="E32" s="2">
        <f t="shared" si="0"/>
        <v>2022</v>
      </c>
      <c r="F32" s="2" t="s">
        <v>657</v>
      </c>
      <c r="G32" s="91">
        <v>714777.14</v>
      </c>
      <c r="H32" s="211"/>
      <c r="I32" s="211"/>
      <c r="J32" s="211"/>
      <c r="K32" s="211">
        <f t="shared" si="8"/>
        <v>714777.14</v>
      </c>
      <c r="L32" s="108">
        <f>L31+K32</f>
        <v>-19050732.48</v>
      </c>
      <c r="M32" s="108">
        <f t="shared" si="6"/>
        <v>949267.51999999955</v>
      </c>
      <c r="N32" s="108"/>
      <c r="O32" s="131">
        <f t="shared" si="7"/>
        <v>662263.37</v>
      </c>
    </row>
    <row r="33" spans="2:16">
      <c r="B33" s="2" t="s">
        <v>49</v>
      </c>
      <c r="C33" s="235" t="s">
        <v>340</v>
      </c>
      <c r="D33" s="187">
        <v>44763</v>
      </c>
      <c r="E33" s="2">
        <f>YEAR(D33)</f>
        <v>2022</v>
      </c>
      <c r="F33" s="2" t="s">
        <v>657</v>
      </c>
      <c r="G33" s="108">
        <v>148170.94</v>
      </c>
      <c r="H33" s="211"/>
      <c r="I33" s="211"/>
      <c r="J33" s="211"/>
      <c r="K33" s="211">
        <f t="shared" si="8"/>
        <v>148170.94</v>
      </c>
      <c r="L33" s="108">
        <f t="shared" ref="L33:L40" si="9">L32+IF(K33&lt;0,K33,0)</f>
        <v>-19050732.48</v>
      </c>
      <c r="M33" s="108">
        <f t="shared" si="6"/>
        <v>949267.51999999955</v>
      </c>
      <c r="N33" s="108">
        <v>148170.94</v>
      </c>
      <c r="O33" s="131">
        <f t="shared" si="7"/>
        <v>810434.31</v>
      </c>
    </row>
    <row r="34" spans="2:16">
      <c r="B34" s="2" t="s">
        <v>49</v>
      </c>
      <c r="C34" s="235" t="s">
        <v>343</v>
      </c>
      <c r="D34" s="187">
        <v>44925</v>
      </c>
      <c r="E34" s="2">
        <f t="shared" si="0"/>
        <v>2022</v>
      </c>
      <c r="F34" s="2" t="s">
        <v>674</v>
      </c>
      <c r="G34" s="91">
        <v>1273502.47</v>
      </c>
      <c r="H34" s="211"/>
      <c r="I34" s="211"/>
      <c r="J34" s="211"/>
      <c r="K34" s="211">
        <f t="shared" si="8"/>
        <v>1273502.47</v>
      </c>
      <c r="L34" s="108">
        <f t="shared" si="9"/>
        <v>-19050732.48</v>
      </c>
      <c r="M34" s="108">
        <f t="shared" si="6"/>
        <v>949267.51999999955</v>
      </c>
      <c r="N34" s="108">
        <f t="shared" ref="N34:N40" si="10">IF(K34&gt;0,K34,0)</f>
        <v>1273502.47</v>
      </c>
      <c r="O34" s="131">
        <f t="shared" si="7"/>
        <v>2083936.78</v>
      </c>
    </row>
    <row r="35" spans="2:16">
      <c r="B35" s="2" t="s">
        <v>307</v>
      </c>
      <c r="C35" s="160" t="s">
        <v>353</v>
      </c>
      <c r="D35" s="187">
        <v>45014</v>
      </c>
      <c r="E35" s="2">
        <f t="shared" si="0"/>
        <v>2023</v>
      </c>
      <c r="G35" s="91"/>
      <c r="H35" s="211">
        <v>-151794.95000000001</v>
      </c>
      <c r="I35" s="211"/>
      <c r="J35" s="211"/>
      <c r="K35" s="211">
        <f t="shared" si="8"/>
        <v>-151794.95000000001</v>
      </c>
      <c r="L35" s="108">
        <f t="shared" si="9"/>
        <v>-19202527.43</v>
      </c>
      <c r="M35" s="108">
        <f t="shared" si="6"/>
        <v>797472.5700000003</v>
      </c>
      <c r="N35" s="108">
        <f t="shared" si="10"/>
        <v>0</v>
      </c>
      <c r="O35" s="131">
        <f t="shared" si="7"/>
        <v>2083936.78</v>
      </c>
      <c r="P35" s="2" t="s">
        <v>675</v>
      </c>
    </row>
    <row r="36" spans="2:16">
      <c r="B36" s="2" t="s">
        <v>49</v>
      </c>
      <c r="C36" s="235" t="s">
        <v>351</v>
      </c>
      <c r="D36" s="187">
        <v>45098</v>
      </c>
      <c r="E36" s="2">
        <f t="shared" si="0"/>
        <v>2023</v>
      </c>
      <c r="F36" s="2" t="s">
        <v>673</v>
      </c>
      <c r="G36" s="91">
        <v>2751981.94</v>
      </c>
      <c r="H36" s="211"/>
      <c r="I36" s="211"/>
      <c r="J36" s="211"/>
      <c r="K36" s="211">
        <f t="shared" si="8"/>
        <v>2751981.94</v>
      </c>
      <c r="L36" s="108">
        <f t="shared" si="9"/>
        <v>-19202527.43</v>
      </c>
      <c r="M36" s="108">
        <f t="shared" si="6"/>
        <v>797472.5700000003</v>
      </c>
      <c r="N36" s="108">
        <f t="shared" si="10"/>
        <v>2751981.94</v>
      </c>
      <c r="O36" s="131">
        <f t="shared" si="7"/>
        <v>4835918.72</v>
      </c>
      <c r="P36" s="2" t="s">
        <v>676</v>
      </c>
    </row>
    <row r="37" spans="2:16">
      <c r="B37" s="2" t="s">
        <v>307</v>
      </c>
      <c r="C37" s="160" t="s">
        <v>356</v>
      </c>
      <c r="D37" s="187">
        <v>45231</v>
      </c>
      <c r="E37" s="2">
        <f t="shared" si="0"/>
        <v>2023</v>
      </c>
      <c r="G37" s="91"/>
      <c r="H37" s="211">
        <v>-146060.04</v>
      </c>
      <c r="I37" s="211"/>
      <c r="J37" s="211"/>
      <c r="K37" s="211">
        <f t="shared" si="8"/>
        <v>-146060.04</v>
      </c>
      <c r="L37" s="108">
        <f t="shared" si="9"/>
        <v>-19348587.469999999</v>
      </c>
      <c r="M37" s="108">
        <f t="shared" si="6"/>
        <v>651412.53000000119</v>
      </c>
      <c r="N37" s="108">
        <f t="shared" si="10"/>
        <v>0</v>
      </c>
      <c r="O37" s="131">
        <f t="shared" si="7"/>
        <v>4835918.72</v>
      </c>
    </row>
    <row r="38" spans="2:16">
      <c r="B38" s="2" t="s">
        <v>49</v>
      </c>
      <c r="C38" s="235" t="s">
        <v>357</v>
      </c>
      <c r="D38" s="187">
        <v>45231</v>
      </c>
      <c r="E38" s="2">
        <f t="shared" si="0"/>
        <v>2023</v>
      </c>
      <c r="F38" s="2" t="s">
        <v>637</v>
      </c>
      <c r="G38" s="91">
        <v>488980.27</v>
      </c>
      <c r="H38" s="211"/>
      <c r="I38" s="211"/>
      <c r="J38" s="211"/>
      <c r="K38" s="211">
        <f t="shared" si="8"/>
        <v>488980.27</v>
      </c>
      <c r="L38" s="108">
        <f t="shared" si="9"/>
        <v>-19348587.469999999</v>
      </c>
      <c r="M38" s="108">
        <f t="shared" si="6"/>
        <v>651412.53000000119</v>
      </c>
      <c r="N38" s="108">
        <f t="shared" si="10"/>
        <v>488980.27</v>
      </c>
      <c r="O38" s="131">
        <f t="shared" si="7"/>
        <v>5324898.99</v>
      </c>
      <c r="P38" s="2" t="s">
        <v>677</v>
      </c>
    </row>
    <row r="39" spans="2:16">
      <c r="B39" s="2" t="s">
        <v>307</v>
      </c>
      <c r="C39" s="160" t="s">
        <v>359</v>
      </c>
      <c r="D39" s="187">
        <v>45439</v>
      </c>
      <c r="E39" s="2">
        <f t="shared" si="0"/>
        <v>2024</v>
      </c>
      <c r="G39" s="91"/>
      <c r="H39" s="211">
        <v>-154186.32</v>
      </c>
      <c r="I39" s="211"/>
      <c r="J39" s="211"/>
      <c r="K39" s="211">
        <f t="shared" si="8"/>
        <v>-154186.32</v>
      </c>
      <c r="L39" s="108">
        <f t="shared" si="9"/>
        <v>-19502773.789999999</v>
      </c>
      <c r="M39" s="108">
        <f t="shared" si="6"/>
        <v>497226.21000000089</v>
      </c>
      <c r="N39" s="108">
        <f t="shared" si="10"/>
        <v>0</v>
      </c>
      <c r="O39" s="131">
        <f t="shared" si="7"/>
        <v>5324898.99</v>
      </c>
      <c r="P39" s="2" t="s">
        <v>678</v>
      </c>
    </row>
    <row r="40" spans="2:16" ht="15">
      <c r="B40" s="2" t="s">
        <v>307</v>
      </c>
      <c r="C40" s="160" t="s">
        <v>363</v>
      </c>
      <c r="D40" s="187">
        <v>45635</v>
      </c>
      <c r="E40" s="2">
        <f t="shared" si="0"/>
        <v>2024</v>
      </c>
      <c r="G40" s="91"/>
      <c r="H40" s="211">
        <v>-306696.69</v>
      </c>
      <c r="I40" s="211">
        <v>-119901.88</v>
      </c>
      <c r="J40" s="211"/>
      <c r="K40" s="403">
        <f t="shared" ref="K40" si="11">SUM(G40:I40)</f>
        <v>-426598.57</v>
      </c>
      <c r="L40" s="108">
        <f t="shared" si="9"/>
        <v>-19929372.359999999</v>
      </c>
      <c r="M40" s="108">
        <f t="shared" si="6"/>
        <v>70627.640000000596</v>
      </c>
      <c r="N40" s="108">
        <f t="shared" si="10"/>
        <v>0</v>
      </c>
      <c r="O40" s="131">
        <f t="shared" si="7"/>
        <v>5324898.99</v>
      </c>
      <c r="P40" s="2" t="s">
        <v>679</v>
      </c>
    </row>
    <row r="41" spans="2:16">
      <c r="C41" s="235"/>
      <c r="D41" s="187"/>
      <c r="G41" s="91"/>
      <c r="H41" s="211"/>
      <c r="I41" s="211"/>
      <c r="J41" s="211"/>
      <c r="K41" s="108"/>
      <c r="L41" s="108"/>
      <c r="M41" s="108"/>
      <c r="N41" s="131"/>
      <c r="O41" s="131"/>
    </row>
    <row r="42" spans="2:16">
      <c r="B42" s="259" t="s">
        <v>680</v>
      </c>
      <c r="C42" s="259"/>
      <c r="D42" s="192">
        <f>C3</f>
        <v>45657</v>
      </c>
      <c r="E42" s="191"/>
      <c r="F42" s="191" t="s">
        <v>681</v>
      </c>
      <c r="G42" s="260"/>
      <c r="H42" s="261"/>
      <c r="I42" s="261"/>
      <c r="J42" s="262"/>
      <c r="K42" s="263">
        <v>16039004.68</v>
      </c>
      <c r="L42" s="261"/>
      <c r="M42" s="261"/>
      <c r="N42" s="259"/>
      <c r="O42" s="259"/>
      <c r="P42" s="259"/>
    </row>
    <row r="44" spans="2:16">
      <c r="L44" s="171"/>
    </row>
    <row r="45" spans="2:16">
      <c r="L45" s="171"/>
    </row>
  </sheetData>
  <autoFilter ref="B10:R39" xr:uid="{292F59C0-0A21-4533-B281-0843B1D7FEA8}"/>
  <mergeCells count="1">
    <mergeCell ref="J1:K1"/>
  </mergeCells>
  <phoneticPr fontId="10" type="noConversion"/>
  <hyperlinks>
    <hyperlink ref="K40" r:id="rId1" display="../../../../../../../:b:/s/ACH33-ACH33-SGInvestment-CCGBVI/EQGbiE5iM3tJoqjJzuBoZykBR2O5aXYqiomR_Fu6Cj-26Q?e=aR6Qot" xr:uid="{4B14B480-429F-4FEF-838D-3CD83DA2D3BD}"/>
  </hyperlinks>
  <pageMargins left="0.7" right="0.7" top="0.75" bottom="0.75" header="0.3" footer="0.3"/>
  <pageSetup paperSize="9" scale="42" orientation="portrait"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6BF0B-9B31-4C57-B5F8-27661ED7A9DB}">
  <sheetPr>
    <tabColor theme="8"/>
    <outlinePr showOutlineSymbols="0"/>
    <pageSetUpPr fitToPage="1"/>
  </sheetPr>
  <dimension ref="A1:AN52"/>
  <sheetViews>
    <sheetView workbookViewId="0"/>
  </sheetViews>
  <sheetFormatPr defaultColWidth="9" defaultRowHeight="11.25" outlineLevelRow="1"/>
  <cols>
    <col min="1" max="1" width="32.140625" style="2" customWidth="1"/>
    <col min="2" max="2" width="79.42578125" style="2" bestFit="1" customWidth="1"/>
    <col min="3" max="3" width="15.7109375" style="2" customWidth="1"/>
    <col min="4" max="4" width="31.140625" style="2" customWidth="1"/>
    <col min="5" max="5" width="14.42578125" style="2" bestFit="1" customWidth="1"/>
    <col min="6" max="7" width="10.7109375" style="2" customWidth="1"/>
    <col min="8" max="8" width="38" style="2" bestFit="1" customWidth="1"/>
    <col min="9" max="9" width="19.28515625" style="2" bestFit="1" customWidth="1"/>
    <col min="10" max="10" width="19.28515625" style="2" customWidth="1"/>
    <col min="11" max="11" width="12.7109375" style="367" customWidth="1"/>
    <col min="12" max="12" width="12.7109375" style="2" customWidth="1"/>
    <col min="13" max="15" width="14.7109375" style="2" customWidth="1"/>
    <col min="16" max="17" width="7.7109375" style="2" customWidth="1"/>
    <col min="18" max="19" width="15.7109375" style="2" customWidth="1"/>
    <col min="20" max="20" width="12.7109375" style="367" customWidth="1"/>
    <col min="21" max="21" width="12.7109375" style="2" customWidth="1"/>
    <col min="22" max="24" width="14.7109375" style="2" customWidth="1"/>
    <col min="25" max="26" width="7.7109375" style="2" customWidth="1"/>
    <col min="27" max="28" width="15.7109375" style="2" customWidth="1"/>
    <col min="29" max="29" width="12.7109375" style="367" customWidth="1"/>
    <col min="30" max="30" width="12.7109375" style="2" customWidth="1"/>
    <col min="31" max="33" width="14.7109375" style="2" customWidth="1"/>
    <col min="34" max="35" width="7.7109375" style="2" customWidth="1"/>
    <col min="36" max="39" width="15.7109375" style="2" customWidth="1"/>
    <col min="40" max="40" width="9" style="367"/>
    <col min="41" max="16384" width="9" style="2"/>
  </cols>
  <sheetData>
    <row r="1" spans="1:20">
      <c r="A1" s="117" t="s">
        <v>179</v>
      </c>
      <c r="B1" s="118"/>
      <c r="C1" s="74"/>
      <c r="D1" s="117" t="s">
        <v>180</v>
      </c>
      <c r="E1" s="219">
        <v>45657</v>
      </c>
      <c r="H1" s="117" t="s">
        <v>404</v>
      </c>
      <c r="I1" s="118"/>
      <c r="J1" s="74"/>
    </row>
    <row r="2" spans="1:20" outlineLevel="1">
      <c r="A2" s="2" t="s">
        <v>182</v>
      </c>
      <c r="B2" s="2" t="s">
        <v>108</v>
      </c>
      <c r="D2" s="2" t="s">
        <v>183</v>
      </c>
      <c r="E2" s="220">
        <f>W44</f>
        <v>183.93008800000004</v>
      </c>
      <c r="H2" s="2" t="s">
        <v>184</v>
      </c>
      <c r="I2" s="120" t="s">
        <v>682</v>
      </c>
      <c r="J2" s="120"/>
    </row>
    <row r="3" spans="1:20" outlineLevel="1">
      <c r="A3" s="2" t="s">
        <v>186</v>
      </c>
      <c r="B3" s="297" t="s">
        <v>683</v>
      </c>
      <c r="D3" s="2" t="s">
        <v>187</v>
      </c>
      <c r="E3" s="220">
        <v>41.201999999999998</v>
      </c>
      <c r="H3" s="2" t="s">
        <v>188</v>
      </c>
      <c r="I3" s="120" t="s">
        <v>684</v>
      </c>
      <c r="J3" s="120"/>
    </row>
    <row r="4" spans="1:20" outlineLevel="1">
      <c r="A4" s="2" t="s">
        <v>190</v>
      </c>
      <c r="B4" s="122"/>
      <c r="D4" s="2" t="s">
        <v>191</v>
      </c>
      <c r="E4" s="125">
        <f>Y44</f>
        <v>1.0493689067149601</v>
      </c>
      <c r="H4" s="2" t="s">
        <v>192</v>
      </c>
      <c r="I4" s="124">
        <v>0.08</v>
      </c>
      <c r="J4" s="320"/>
    </row>
    <row r="5" spans="1:20" outlineLevel="1">
      <c r="A5" s="2" t="s">
        <v>193</v>
      </c>
      <c r="B5" s="120">
        <v>2023</v>
      </c>
      <c r="D5" s="2" t="s">
        <v>194</v>
      </c>
      <c r="E5" s="125" t="s">
        <v>685</v>
      </c>
      <c r="H5" s="2" t="s">
        <v>195</v>
      </c>
      <c r="I5" s="126">
        <v>0.2</v>
      </c>
      <c r="J5" s="126"/>
    </row>
    <row r="6" spans="1:20" outlineLevel="1">
      <c r="A6" s="2" t="s">
        <v>196</v>
      </c>
      <c r="B6" s="120" t="s">
        <v>686</v>
      </c>
      <c r="D6" s="2" t="s">
        <v>198</v>
      </c>
      <c r="E6" s="284" t="s">
        <v>685</v>
      </c>
      <c r="H6" s="117" t="s">
        <v>199</v>
      </c>
      <c r="I6" s="118"/>
      <c r="J6" s="74"/>
    </row>
    <row r="7" spans="1:20" outlineLevel="1">
      <c r="A7" s="2" t="s">
        <v>200</v>
      </c>
      <c r="B7" s="120" t="s">
        <v>687</v>
      </c>
      <c r="D7" s="2" t="s">
        <v>202</v>
      </c>
      <c r="E7" s="284">
        <v>0.20710000000000001</v>
      </c>
      <c r="H7" s="2" t="s">
        <v>203</v>
      </c>
      <c r="I7" s="2" t="s">
        <v>204</v>
      </c>
    </row>
    <row r="8" spans="1:20" outlineLevel="1">
      <c r="A8" s="2" t="s">
        <v>205</v>
      </c>
      <c r="B8" s="120" t="s">
        <v>206</v>
      </c>
      <c r="D8" s="2" t="s">
        <v>620</v>
      </c>
      <c r="E8" s="284" t="s">
        <v>685</v>
      </c>
      <c r="H8" s="120" t="s">
        <v>208</v>
      </c>
      <c r="I8" s="2" t="s">
        <v>209</v>
      </c>
    </row>
    <row r="9" spans="1:20" outlineLevel="1">
      <c r="A9" s="2" t="s">
        <v>65</v>
      </c>
      <c r="B9" s="120" t="s">
        <v>688</v>
      </c>
      <c r="D9" s="128" t="s">
        <v>211</v>
      </c>
      <c r="E9" s="291"/>
    </row>
    <row r="10" spans="1:20" outlineLevel="1">
      <c r="A10" s="2" t="s">
        <v>212</v>
      </c>
      <c r="B10" s="120" t="s">
        <v>689</v>
      </c>
      <c r="D10" s="2" t="s">
        <v>214</v>
      </c>
      <c r="E10" s="292">
        <v>12.5</v>
      </c>
    </row>
    <row r="11" spans="1:20" outlineLevel="1">
      <c r="A11" s="2" t="s">
        <v>215</v>
      </c>
      <c r="B11" s="120" t="s">
        <v>690</v>
      </c>
      <c r="D11" s="2" t="s">
        <v>216</v>
      </c>
      <c r="E11" s="378">
        <f>E10/259.235</f>
        <v>4.8218797616062646E-2</v>
      </c>
    </row>
    <row r="12" spans="1:20" outlineLevel="1">
      <c r="A12" s="2" t="s">
        <v>217</v>
      </c>
      <c r="B12" s="120" t="s">
        <v>24</v>
      </c>
      <c r="D12" s="2" t="s">
        <v>218</v>
      </c>
      <c r="E12" s="264">
        <f>-'Cottonwood (CF)'!N2/10^6</f>
        <v>3.1506474999999998</v>
      </c>
      <c r="T12" s="502"/>
    </row>
    <row r="13" spans="1:20" outlineLevel="1">
      <c r="A13" s="2" t="s">
        <v>219</v>
      </c>
      <c r="B13" s="120" t="s">
        <v>691</v>
      </c>
      <c r="D13" s="2" t="s">
        <v>221</v>
      </c>
      <c r="E13" s="264">
        <f>E10-E12</f>
        <v>9.3493525000000002</v>
      </c>
      <c r="N13" s="314"/>
      <c r="T13" s="502"/>
    </row>
    <row r="14" spans="1:20" outlineLevel="1">
      <c r="A14" s="2" t="s">
        <v>222</v>
      </c>
      <c r="B14" s="120" t="s">
        <v>223</v>
      </c>
      <c r="D14" s="2" t="s">
        <v>224</v>
      </c>
      <c r="E14" s="264">
        <f>'Cottonwood (CF)'!N3/10^6</f>
        <v>0</v>
      </c>
      <c r="N14" s="314"/>
      <c r="T14" s="502"/>
    </row>
    <row r="15" spans="1:20" outlineLevel="1">
      <c r="A15" s="2" t="s">
        <v>225</v>
      </c>
      <c r="B15" s="2" t="s">
        <v>692</v>
      </c>
      <c r="D15" s="2" t="s">
        <v>227</v>
      </c>
      <c r="E15" s="265">
        <f>'Cottonwood (CF)'!M19/10^6</f>
        <v>3.7794669999999999</v>
      </c>
      <c r="N15" s="314"/>
    </row>
    <row r="16" spans="1:20" outlineLevel="1">
      <c r="A16" s="2" t="s">
        <v>228</v>
      </c>
      <c r="B16" s="134">
        <v>44196</v>
      </c>
      <c r="D16" s="2" t="s">
        <v>229</v>
      </c>
      <c r="E16" s="225">
        <f>E12/E10</f>
        <v>0.25205179999999999</v>
      </c>
      <c r="N16" s="314"/>
    </row>
    <row r="17" spans="1:40" outlineLevel="1">
      <c r="A17" s="2" t="s">
        <v>230</v>
      </c>
      <c r="B17" s="120" t="s">
        <v>231</v>
      </c>
      <c r="D17" s="2" t="s">
        <v>232</v>
      </c>
      <c r="E17" s="266">
        <f>E14/E12</f>
        <v>0</v>
      </c>
    </row>
    <row r="18" spans="1:40" outlineLevel="1">
      <c r="A18" s="117" t="s">
        <v>233</v>
      </c>
      <c r="B18" s="118"/>
      <c r="D18" s="2" t="s">
        <v>234</v>
      </c>
      <c r="E18" s="416">
        <f>(E15+E14)/E12</f>
        <v>1.1995842124515674</v>
      </c>
    </row>
    <row r="19" spans="1:40" outlineLevel="1">
      <c r="A19" s="2" t="s">
        <v>235</v>
      </c>
      <c r="B19" s="120">
        <v>11</v>
      </c>
      <c r="D19" s="2" t="s">
        <v>627</v>
      </c>
      <c r="E19" s="266">
        <f>'Cottonwood (CF)'!N5</f>
        <v>0.44407231933593749</v>
      </c>
    </row>
    <row r="20" spans="1:40" ht="13.5" customHeight="1"/>
    <row r="30" spans="1:40" ht="13.5" customHeight="1">
      <c r="K30" s="503" t="s">
        <v>236</v>
      </c>
      <c r="L30" s="504"/>
      <c r="M30" s="504"/>
      <c r="N30" s="504"/>
      <c r="O30" s="504"/>
      <c r="P30" s="504"/>
      <c r="Q30" s="505"/>
      <c r="R30" s="505"/>
      <c r="S30" s="504"/>
      <c r="T30" s="503" t="s">
        <v>237</v>
      </c>
      <c r="U30" s="504"/>
      <c r="V30" s="504"/>
      <c r="W30" s="504"/>
      <c r="X30" s="504"/>
      <c r="Y30" s="504"/>
      <c r="Z30" s="505"/>
      <c r="AA30" s="505"/>
      <c r="AB30" s="504"/>
      <c r="AC30" s="503" t="s">
        <v>238</v>
      </c>
      <c r="AD30" s="504"/>
      <c r="AE30" s="504"/>
      <c r="AF30" s="504"/>
      <c r="AG30" s="504"/>
      <c r="AH30" s="504"/>
      <c r="AI30" s="505"/>
      <c r="AJ30" s="505"/>
      <c r="AK30" s="505"/>
      <c r="AL30" s="505"/>
      <c r="AM30" s="504"/>
    </row>
    <row r="31" spans="1:40" s="141" customFormat="1" ht="39.75" customHeight="1">
      <c r="A31" s="138" t="s">
        <v>239</v>
      </c>
      <c r="B31" s="139" t="s">
        <v>240</v>
      </c>
      <c r="C31" s="139" t="s">
        <v>69</v>
      </c>
      <c r="D31" s="139" t="s">
        <v>241</v>
      </c>
      <c r="E31" s="139" t="s">
        <v>242</v>
      </c>
      <c r="F31" s="139" t="s">
        <v>243</v>
      </c>
      <c r="G31" s="139" t="s">
        <v>244</v>
      </c>
      <c r="H31" s="139" t="s">
        <v>245</v>
      </c>
      <c r="I31" s="139" t="s">
        <v>246</v>
      </c>
      <c r="J31" s="501" t="s">
        <v>247</v>
      </c>
      <c r="K31" s="506" t="s">
        <v>248</v>
      </c>
      <c r="L31" s="506" t="s">
        <v>249</v>
      </c>
      <c r="M31" s="507" t="s">
        <v>250</v>
      </c>
      <c r="N31" s="506" t="s">
        <v>251</v>
      </c>
      <c r="O31" s="507" t="s">
        <v>252</v>
      </c>
      <c r="P31" s="506" t="s">
        <v>115</v>
      </c>
      <c r="Q31" s="507" t="s">
        <v>253</v>
      </c>
      <c r="R31" s="508" t="s">
        <v>254</v>
      </c>
      <c r="S31" s="509" t="s">
        <v>255</v>
      </c>
      <c r="T31" s="506" t="s">
        <v>248</v>
      </c>
      <c r="U31" s="506" t="s">
        <v>249</v>
      </c>
      <c r="V31" s="507" t="s">
        <v>250</v>
      </c>
      <c r="W31" s="506" t="s">
        <v>251</v>
      </c>
      <c r="X31" s="507" t="s">
        <v>252</v>
      </c>
      <c r="Y31" s="506" t="s">
        <v>115</v>
      </c>
      <c r="Z31" s="507" t="s">
        <v>253</v>
      </c>
      <c r="AA31" s="508" t="s">
        <v>254</v>
      </c>
      <c r="AB31" s="509" t="s">
        <v>255</v>
      </c>
      <c r="AC31" s="506" t="s">
        <v>248</v>
      </c>
      <c r="AD31" s="506" t="s">
        <v>249</v>
      </c>
      <c r="AE31" s="507" t="s">
        <v>250</v>
      </c>
      <c r="AF31" s="506" t="s">
        <v>251</v>
      </c>
      <c r="AG31" s="507" t="s">
        <v>252</v>
      </c>
      <c r="AH31" s="506" t="s">
        <v>115</v>
      </c>
      <c r="AI31" s="507" t="s">
        <v>253</v>
      </c>
      <c r="AJ31" s="508" t="s">
        <v>254</v>
      </c>
      <c r="AK31" s="509" t="s">
        <v>255</v>
      </c>
      <c r="AL31" s="508" t="s">
        <v>256</v>
      </c>
      <c r="AM31" s="509" t="s">
        <v>257</v>
      </c>
      <c r="AN31" s="510"/>
    </row>
    <row r="32" spans="1:40">
      <c r="A32" s="2" t="s">
        <v>693</v>
      </c>
      <c r="B32" s="2" t="s">
        <v>694</v>
      </c>
      <c r="C32" s="235" t="s">
        <v>695</v>
      </c>
      <c r="D32" s="374" t="s">
        <v>584</v>
      </c>
      <c r="E32" s="374"/>
      <c r="F32" s="374" t="s">
        <v>44</v>
      </c>
      <c r="G32" s="374" t="s">
        <v>44</v>
      </c>
      <c r="H32" s="374" t="s">
        <v>44</v>
      </c>
      <c r="I32" s="235" t="s">
        <v>44</v>
      </c>
      <c r="J32" s="512" t="s">
        <v>44</v>
      </c>
      <c r="K32" s="513" t="s">
        <v>44</v>
      </c>
      <c r="L32" s="514" t="s">
        <v>44</v>
      </c>
      <c r="M32" s="513" t="s">
        <v>44</v>
      </c>
      <c r="N32" s="513" t="s">
        <v>44</v>
      </c>
      <c r="O32" s="513" t="s">
        <v>44</v>
      </c>
      <c r="P32" s="268" t="s">
        <v>44</v>
      </c>
      <c r="Q32" s="513">
        <v>0</v>
      </c>
      <c r="R32" s="513">
        <v>0</v>
      </c>
      <c r="S32" s="515" t="s">
        <v>44</v>
      </c>
      <c r="T32" s="516">
        <f>10^-6*30938973</f>
        <v>30.938972999999997</v>
      </c>
      <c r="U32" s="514" t="s">
        <v>44</v>
      </c>
      <c r="V32" s="513">
        <v>0</v>
      </c>
      <c r="W32" s="513">
        <v>36.104182999999999</v>
      </c>
      <c r="X32" s="513">
        <f>V32+W32</f>
        <v>36.104182999999999</v>
      </c>
      <c r="Y32" s="268">
        <f>X32/T32</f>
        <v>1.1669483340639653</v>
      </c>
      <c r="Z32" s="513">
        <v>0</v>
      </c>
      <c r="AA32" s="513" t="s">
        <v>44</v>
      </c>
      <c r="AB32" s="515" t="s">
        <v>44</v>
      </c>
      <c r="AC32" s="517"/>
      <c r="AD32" s="514"/>
      <c r="AE32" s="513"/>
      <c r="AF32" s="513"/>
      <c r="AG32" s="513"/>
      <c r="AH32" s="268"/>
      <c r="AI32" s="513"/>
      <c r="AJ32" s="513"/>
      <c r="AK32" s="515"/>
      <c r="AL32" s="513"/>
      <c r="AM32" s="515"/>
    </row>
    <row r="33" spans="1:40">
      <c r="A33" s="2" t="s">
        <v>696</v>
      </c>
      <c r="B33" s="2" t="s">
        <v>694</v>
      </c>
      <c r="C33" s="235" t="s">
        <v>695</v>
      </c>
      <c r="D33" s="374" t="s">
        <v>584</v>
      </c>
      <c r="E33" s="374"/>
      <c r="F33" s="374" t="s">
        <v>44</v>
      </c>
      <c r="G33" s="374" t="s">
        <v>44</v>
      </c>
      <c r="H33" s="374" t="s">
        <v>44</v>
      </c>
      <c r="I33" s="235" t="s">
        <v>44</v>
      </c>
      <c r="J33" s="518" t="s">
        <v>44</v>
      </c>
      <c r="K33" s="513" t="s">
        <v>44</v>
      </c>
      <c r="L33" s="514" t="s">
        <v>44</v>
      </c>
      <c r="M33" s="513" t="s">
        <v>44</v>
      </c>
      <c r="N33" s="513" t="s">
        <v>44</v>
      </c>
      <c r="O33" s="513" t="s">
        <v>44</v>
      </c>
      <c r="P33" s="269" t="s">
        <v>44</v>
      </c>
      <c r="Q33" s="513">
        <v>0</v>
      </c>
      <c r="R33" s="513">
        <v>0</v>
      </c>
      <c r="S33" s="515" t="s">
        <v>44</v>
      </c>
      <c r="T33" s="519">
        <f>10^-6*10222427</f>
        <v>10.222427</v>
      </c>
      <c r="U33" s="514" t="s">
        <v>44</v>
      </c>
      <c r="V33" s="513">
        <v>0</v>
      </c>
      <c r="W33" s="513">
        <v>10.222427</v>
      </c>
      <c r="X33" s="513">
        <f>W33+V33</f>
        <v>10.222427</v>
      </c>
      <c r="Y33" s="268">
        <f>X33/T33</f>
        <v>1</v>
      </c>
      <c r="Z33" s="513">
        <v>0</v>
      </c>
      <c r="AA33" s="513" t="s">
        <v>44</v>
      </c>
      <c r="AB33" s="515" t="s">
        <v>44</v>
      </c>
      <c r="AC33" s="517"/>
      <c r="AD33" s="514"/>
      <c r="AE33" s="513"/>
      <c r="AF33" s="513"/>
      <c r="AG33" s="513"/>
      <c r="AH33" s="268"/>
      <c r="AI33" s="513"/>
      <c r="AJ33" s="513"/>
      <c r="AK33" s="515"/>
      <c r="AL33" s="513"/>
      <c r="AM33" s="515"/>
    </row>
    <row r="34" spans="1:40">
      <c r="A34" s="2" t="s">
        <v>697</v>
      </c>
      <c r="B34" s="2" t="s">
        <v>694</v>
      </c>
      <c r="C34" s="235" t="s">
        <v>695</v>
      </c>
      <c r="D34" s="374" t="s">
        <v>584</v>
      </c>
      <c r="E34" s="374"/>
      <c r="F34" s="374" t="s">
        <v>44</v>
      </c>
      <c r="G34" s="374" t="s">
        <v>44</v>
      </c>
      <c r="H34" s="374" t="s">
        <v>44</v>
      </c>
      <c r="I34" s="235" t="s">
        <v>44</v>
      </c>
      <c r="J34" s="518" t="s">
        <v>44</v>
      </c>
      <c r="K34" s="513" t="s">
        <v>44</v>
      </c>
      <c r="L34" s="514" t="s">
        <v>44</v>
      </c>
      <c r="M34" s="513" t="s">
        <v>44</v>
      </c>
      <c r="N34" s="513" t="s">
        <v>44</v>
      </c>
      <c r="O34" s="513" t="s">
        <v>44</v>
      </c>
      <c r="P34" s="269" t="s">
        <v>44</v>
      </c>
      <c r="Q34" s="513">
        <v>0</v>
      </c>
      <c r="R34" s="513">
        <v>0</v>
      </c>
      <c r="S34" s="515" t="s">
        <v>44</v>
      </c>
      <c r="T34" s="519">
        <f>10^-6*24352207</f>
        <v>24.352207</v>
      </c>
      <c r="U34" s="514" t="s">
        <v>44</v>
      </c>
      <c r="V34" s="513">
        <v>0</v>
      </c>
      <c r="W34" s="513">
        <v>24.352207</v>
      </c>
      <c r="X34" s="513">
        <f t="shared" ref="X34:X42" si="0">W34+V34</f>
        <v>24.352207</v>
      </c>
      <c r="Y34" s="268">
        <f t="shared" ref="Y34:Y42" si="1">X34/T34</f>
        <v>1</v>
      </c>
      <c r="Z34" s="513">
        <v>0</v>
      </c>
      <c r="AA34" s="513" t="s">
        <v>44</v>
      </c>
      <c r="AB34" s="515" t="s">
        <v>44</v>
      </c>
      <c r="AC34" s="517"/>
      <c r="AD34" s="514"/>
      <c r="AE34" s="513"/>
      <c r="AF34" s="513"/>
      <c r="AG34" s="513"/>
      <c r="AH34" s="268"/>
      <c r="AI34" s="513"/>
      <c r="AJ34" s="513"/>
      <c r="AK34" s="515"/>
      <c r="AL34" s="513"/>
      <c r="AM34" s="515"/>
    </row>
    <row r="35" spans="1:40">
      <c r="A35" s="2" t="s">
        <v>698</v>
      </c>
      <c r="B35" s="2" t="s">
        <v>694</v>
      </c>
      <c r="C35" s="235" t="s">
        <v>699</v>
      </c>
      <c r="D35" s="374" t="s">
        <v>584</v>
      </c>
      <c r="E35" s="374"/>
      <c r="F35" s="374" t="s">
        <v>44</v>
      </c>
      <c r="G35" s="374" t="s">
        <v>44</v>
      </c>
      <c r="H35" s="374" t="s">
        <v>44</v>
      </c>
      <c r="I35" s="235" t="s">
        <v>44</v>
      </c>
      <c r="J35" s="518" t="s">
        <v>44</v>
      </c>
      <c r="K35" s="513" t="s">
        <v>44</v>
      </c>
      <c r="L35" s="514" t="s">
        <v>44</v>
      </c>
      <c r="M35" s="513" t="s">
        <v>44</v>
      </c>
      <c r="N35" s="513" t="s">
        <v>44</v>
      </c>
      <c r="O35" s="513" t="s">
        <v>44</v>
      </c>
      <c r="P35" s="269" t="s">
        <v>44</v>
      </c>
      <c r="Q35" s="513">
        <v>0</v>
      </c>
      <c r="R35" s="513">
        <v>0</v>
      </c>
      <c r="S35" s="515" t="s">
        <v>44</v>
      </c>
      <c r="T35" s="519">
        <f>10^-6*15000000</f>
        <v>15</v>
      </c>
      <c r="U35" s="514" t="s">
        <v>44</v>
      </c>
      <c r="V35" s="513">
        <v>0</v>
      </c>
      <c r="W35" s="513">
        <v>18.488016999999999</v>
      </c>
      <c r="X35" s="513">
        <f t="shared" si="0"/>
        <v>18.488016999999999</v>
      </c>
      <c r="Y35" s="268">
        <f t="shared" si="1"/>
        <v>1.2325344666666667</v>
      </c>
      <c r="Z35" s="513">
        <v>0</v>
      </c>
      <c r="AA35" s="513" t="s">
        <v>44</v>
      </c>
      <c r="AB35" s="515" t="s">
        <v>44</v>
      </c>
      <c r="AC35" s="517"/>
      <c r="AD35" s="514"/>
      <c r="AE35" s="513"/>
      <c r="AF35" s="513"/>
      <c r="AG35" s="513"/>
      <c r="AH35" s="268"/>
      <c r="AI35" s="513"/>
      <c r="AJ35" s="513"/>
      <c r="AK35" s="515"/>
      <c r="AL35" s="513"/>
      <c r="AM35" s="515"/>
    </row>
    <row r="36" spans="1:40">
      <c r="A36" s="2" t="s">
        <v>700</v>
      </c>
      <c r="B36" s="2" t="s">
        <v>694</v>
      </c>
      <c r="C36" s="235" t="s">
        <v>701</v>
      </c>
      <c r="D36" s="374" t="s">
        <v>584</v>
      </c>
      <c r="E36" s="374"/>
      <c r="F36" s="374" t="s">
        <v>44</v>
      </c>
      <c r="G36" s="374" t="s">
        <v>44</v>
      </c>
      <c r="H36" s="374" t="s">
        <v>44</v>
      </c>
      <c r="I36" s="235" t="s">
        <v>44</v>
      </c>
      <c r="J36" s="518" t="s">
        <v>44</v>
      </c>
      <c r="K36" s="513" t="s">
        <v>44</v>
      </c>
      <c r="L36" s="514" t="s">
        <v>44</v>
      </c>
      <c r="M36" s="513" t="s">
        <v>44</v>
      </c>
      <c r="N36" s="513" t="s">
        <v>44</v>
      </c>
      <c r="O36" s="513" t="s">
        <v>44</v>
      </c>
      <c r="P36" s="269" t="s">
        <v>44</v>
      </c>
      <c r="Q36" s="513">
        <v>0</v>
      </c>
      <c r="R36" s="513">
        <v>0</v>
      </c>
      <c r="S36" s="515" t="s">
        <v>44</v>
      </c>
      <c r="T36" s="519">
        <f>10^-6*4470802</f>
        <v>4.4708019999999999</v>
      </c>
      <c r="U36" s="514" t="s">
        <v>44</v>
      </c>
      <c r="V36" s="513">
        <v>0</v>
      </c>
      <c r="W36" s="513">
        <v>4.4708019999999999</v>
      </c>
      <c r="X36" s="513">
        <f t="shared" si="0"/>
        <v>4.4708019999999999</v>
      </c>
      <c r="Y36" s="268">
        <f t="shared" si="1"/>
        <v>1</v>
      </c>
      <c r="Z36" s="513">
        <v>0</v>
      </c>
      <c r="AA36" s="513" t="s">
        <v>44</v>
      </c>
      <c r="AB36" s="515" t="s">
        <v>44</v>
      </c>
      <c r="AC36" s="517"/>
      <c r="AD36" s="514"/>
      <c r="AE36" s="513"/>
      <c r="AF36" s="513"/>
      <c r="AG36" s="513"/>
      <c r="AH36" s="268"/>
      <c r="AI36" s="513"/>
      <c r="AJ36" s="513"/>
      <c r="AK36" s="515"/>
      <c r="AL36" s="513"/>
      <c r="AM36" s="515"/>
    </row>
    <row r="37" spans="1:40">
      <c r="A37" s="2" t="s">
        <v>702</v>
      </c>
      <c r="B37" s="2" t="s">
        <v>694</v>
      </c>
      <c r="C37" s="235" t="s">
        <v>699</v>
      </c>
      <c r="D37" s="374" t="s">
        <v>584</v>
      </c>
      <c r="E37" s="374"/>
      <c r="F37" s="374" t="s">
        <v>44</v>
      </c>
      <c r="G37" s="374" t="s">
        <v>44</v>
      </c>
      <c r="H37" s="374" t="s">
        <v>44</v>
      </c>
      <c r="I37" s="235" t="s">
        <v>44</v>
      </c>
      <c r="J37" s="518" t="s">
        <v>44</v>
      </c>
      <c r="K37" s="513" t="s">
        <v>44</v>
      </c>
      <c r="L37" s="514" t="s">
        <v>44</v>
      </c>
      <c r="M37" s="513" t="s">
        <v>44</v>
      </c>
      <c r="N37" s="513" t="s">
        <v>44</v>
      </c>
      <c r="O37" s="513" t="s">
        <v>44</v>
      </c>
      <c r="P37" s="269" t="s">
        <v>44</v>
      </c>
      <c r="Q37" s="513">
        <v>0</v>
      </c>
      <c r="R37" s="513">
        <v>0</v>
      </c>
      <c r="S37" s="515" t="s">
        <v>44</v>
      </c>
      <c r="T37" s="519">
        <f>10^-6*22624644</f>
        <v>22.624644</v>
      </c>
      <c r="U37" s="514" t="s">
        <v>44</v>
      </c>
      <c r="V37" s="513">
        <v>0</v>
      </c>
      <c r="W37" s="513">
        <v>22.624644</v>
      </c>
      <c r="X37" s="513">
        <f t="shared" si="0"/>
        <v>22.624644</v>
      </c>
      <c r="Y37" s="268">
        <f t="shared" si="1"/>
        <v>1</v>
      </c>
      <c r="Z37" s="513">
        <v>0</v>
      </c>
      <c r="AA37" s="513" t="s">
        <v>44</v>
      </c>
      <c r="AB37" s="515" t="s">
        <v>44</v>
      </c>
      <c r="AC37" s="517"/>
      <c r="AD37" s="514"/>
      <c r="AE37" s="513"/>
      <c r="AF37" s="513"/>
      <c r="AG37" s="513"/>
      <c r="AH37" s="268"/>
      <c r="AI37" s="513"/>
      <c r="AJ37" s="513"/>
      <c r="AK37" s="515"/>
      <c r="AL37" s="513"/>
      <c r="AM37" s="515"/>
    </row>
    <row r="38" spans="1:40">
      <c r="A38" s="2" t="s">
        <v>703</v>
      </c>
      <c r="B38" s="2" t="s">
        <v>694</v>
      </c>
      <c r="C38" s="235" t="s">
        <v>699</v>
      </c>
      <c r="D38" s="374" t="s">
        <v>584</v>
      </c>
      <c r="E38" s="374"/>
      <c r="F38" s="374" t="s">
        <v>44</v>
      </c>
      <c r="G38" s="374" t="s">
        <v>44</v>
      </c>
      <c r="H38" s="374" t="s">
        <v>44</v>
      </c>
      <c r="I38" s="235" t="s">
        <v>44</v>
      </c>
      <c r="J38" s="518" t="s">
        <v>44</v>
      </c>
      <c r="K38" s="513" t="s">
        <v>44</v>
      </c>
      <c r="L38" s="514" t="s">
        <v>44</v>
      </c>
      <c r="M38" s="513" t="s">
        <v>44</v>
      </c>
      <c r="N38" s="513" t="s">
        <v>44</v>
      </c>
      <c r="O38" s="513" t="s">
        <v>44</v>
      </c>
      <c r="P38" s="269" t="s">
        <v>44</v>
      </c>
      <c r="Q38" s="513">
        <v>0</v>
      </c>
      <c r="R38" s="513">
        <v>0</v>
      </c>
      <c r="S38" s="515" t="s">
        <v>44</v>
      </c>
      <c r="T38" s="519">
        <f>10^-6*17700711</f>
        <v>17.700710999999998</v>
      </c>
      <c r="U38" s="514" t="s">
        <v>44</v>
      </c>
      <c r="V38" s="513">
        <v>0</v>
      </c>
      <c r="W38" s="513">
        <v>17.700710999999998</v>
      </c>
      <c r="X38" s="513">
        <f t="shared" si="0"/>
        <v>17.700710999999998</v>
      </c>
      <c r="Y38" s="268">
        <f t="shared" si="1"/>
        <v>1</v>
      </c>
      <c r="Z38" s="513">
        <v>0</v>
      </c>
      <c r="AA38" s="513" t="s">
        <v>44</v>
      </c>
      <c r="AB38" s="515" t="s">
        <v>44</v>
      </c>
    </row>
    <row r="39" spans="1:40">
      <c r="A39" s="2" t="s">
        <v>704</v>
      </c>
      <c r="B39" s="2" t="s">
        <v>694</v>
      </c>
      <c r="C39" s="235" t="s">
        <v>699</v>
      </c>
      <c r="D39" s="374" t="s">
        <v>584</v>
      </c>
      <c r="E39" s="374"/>
      <c r="F39" s="374" t="s">
        <v>44</v>
      </c>
      <c r="G39" s="374" t="s">
        <v>44</v>
      </c>
      <c r="H39" s="374" t="s">
        <v>44</v>
      </c>
      <c r="I39" s="235" t="s">
        <v>44</v>
      </c>
      <c r="J39" s="518" t="s">
        <v>44</v>
      </c>
      <c r="K39" s="513" t="s">
        <v>44</v>
      </c>
      <c r="L39" s="514" t="s">
        <v>44</v>
      </c>
      <c r="M39" s="513" t="s">
        <v>44</v>
      </c>
      <c r="N39" s="513" t="s">
        <v>44</v>
      </c>
      <c r="O39" s="513" t="s">
        <v>44</v>
      </c>
      <c r="P39" s="269" t="s">
        <v>44</v>
      </c>
      <c r="Q39" s="513">
        <v>0</v>
      </c>
      <c r="R39" s="513">
        <v>0</v>
      </c>
      <c r="S39" s="515" t="s">
        <v>44</v>
      </c>
      <c r="T39" s="519">
        <f>10^-6*6585146</f>
        <v>6.5851459999999999</v>
      </c>
      <c r="U39" s="514" t="s">
        <v>44</v>
      </c>
      <c r="V39" s="513">
        <v>0</v>
      </c>
      <c r="W39" s="513">
        <v>6.5851459999999999</v>
      </c>
      <c r="X39" s="513">
        <f t="shared" si="0"/>
        <v>6.5851459999999999</v>
      </c>
      <c r="Y39" s="268">
        <f t="shared" si="1"/>
        <v>1</v>
      </c>
      <c r="Z39" s="513">
        <v>0</v>
      </c>
      <c r="AA39" s="513" t="s">
        <v>44</v>
      </c>
      <c r="AB39" s="515" t="s">
        <v>44</v>
      </c>
    </row>
    <row r="40" spans="1:40">
      <c r="A40" s="2" t="s">
        <v>705</v>
      </c>
      <c r="B40" s="2" t="s">
        <v>694</v>
      </c>
      <c r="C40" s="235" t="s">
        <v>695</v>
      </c>
      <c r="D40" s="374" t="s">
        <v>584</v>
      </c>
      <c r="E40" s="374"/>
      <c r="F40" s="374" t="s">
        <v>44</v>
      </c>
      <c r="G40" s="374" t="s">
        <v>44</v>
      </c>
      <c r="H40" s="374" t="s">
        <v>44</v>
      </c>
      <c r="I40" s="235" t="s">
        <v>44</v>
      </c>
      <c r="J40" s="518" t="s">
        <v>44</v>
      </c>
      <c r="K40" s="513" t="s">
        <v>44</v>
      </c>
      <c r="L40" s="514" t="s">
        <v>44</v>
      </c>
      <c r="M40" s="513" t="s">
        <v>44</v>
      </c>
      <c r="N40" s="513" t="s">
        <v>44</v>
      </c>
      <c r="O40" s="513" t="s">
        <v>44</v>
      </c>
      <c r="P40" s="269" t="s">
        <v>44</v>
      </c>
      <c r="Q40" s="513">
        <v>0</v>
      </c>
      <c r="R40" s="513">
        <v>0</v>
      </c>
      <c r="S40" s="515" t="s">
        <v>44</v>
      </c>
      <c r="T40" s="519">
        <f>10^-6*24447074</f>
        <v>24.447074000000001</v>
      </c>
      <c r="U40" s="514" t="s">
        <v>44</v>
      </c>
      <c r="V40" s="513">
        <v>0</v>
      </c>
      <c r="W40" s="513">
        <v>24.447074000000001</v>
      </c>
      <c r="X40" s="513">
        <f t="shared" si="0"/>
        <v>24.447074000000001</v>
      </c>
      <c r="Y40" s="268">
        <f t="shared" si="1"/>
        <v>1</v>
      </c>
      <c r="Z40" s="513">
        <v>0</v>
      </c>
      <c r="AA40" s="513" t="s">
        <v>44</v>
      </c>
      <c r="AB40" s="515" t="s">
        <v>44</v>
      </c>
    </row>
    <row r="41" spans="1:40">
      <c r="A41" s="2" t="s">
        <v>706</v>
      </c>
      <c r="B41" s="2" t="s">
        <v>694</v>
      </c>
      <c r="C41" s="235" t="s">
        <v>695</v>
      </c>
      <c r="D41" s="374" t="s">
        <v>584</v>
      </c>
      <c r="E41" s="374"/>
      <c r="F41" s="374" t="s">
        <v>44</v>
      </c>
      <c r="G41" s="374" t="s">
        <v>44</v>
      </c>
      <c r="H41" s="374" t="s">
        <v>44</v>
      </c>
      <c r="I41" s="235" t="s">
        <v>44</v>
      </c>
      <c r="J41" s="518" t="s">
        <v>44</v>
      </c>
      <c r="K41" s="513" t="s">
        <v>44</v>
      </c>
      <c r="L41" s="514" t="s">
        <v>44</v>
      </c>
      <c r="M41" s="513" t="s">
        <v>44</v>
      </c>
      <c r="N41" s="513" t="s">
        <v>44</v>
      </c>
      <c r="O41" s="513" t="s">
        <v>44</v>
      </c>
      <c r="P41" s="269" t="s">
        <v>44</v>
      </c>
      <c r="Q41" s="513">
        <v>0</v>
      </c>
      <c r="R41" s="513">
        <v>0</v>
      </c>
      <c r="S41" s="515" t="s">
        <v>44</v>
      </c>
      <c r="T41" s="519">
        <f>10^-6*10719553</f>
        <v>10.719552999999999</v>
      </c>
      <c r="U41" s="514" t="s">
        <v>44</v>
      </c>
      <c r="V41" s="513">
        <v>0</v>
      </c>
      <c r="W41" s="513">
        <v>10.719552999999999</v>
      </c>
      <c r="X41" s="513">
        <f t="shared" si="0"/>
        <v>10.719552999999999</v>
      </c>
      <c r="Y41" s="268">
        <f t="shared" si="1"/>
        <v>1</v>
      </c>
      <c r="Z41" s="513">
        <v>0</v>
      </c>
      <c r="AA41" s="513" t="s">
        <v>44</v>
      </c>
      <c r="AB41" s="515" t="s">
        <v>44</v>
      </c>
    </row>
    <row r="42" spans="1:40">
      <c r="A42" s="2" t="s">
        <v>707</v>
      </c>
      <c r="B42" s="2" t="s">
        <v>694</v>
      </c>
      <c r="C42" s="235" t="s">
        <v>695</v>
      </c>
      <c r="D42" s="374" t="s">
        <v>584</v>
      </c>
      <c r="E42" s="374"/>
      <c r="F42" s="374" t="s">
        <v>44</v>
      </c>
      <c r="G42" s="374" t="s">
        <v>44</v>
      </c>
      <c r="H42" s="374" t="s">
        <v>44</v>
      </c>
      <c r="I42" s="235" t="s">
        <v>44</v>
      </c>
      <c r="J42" s="518" t="s">
        <v>44</v>
      </c>
      <c r="K42" s="513" t="s">
        <v>44</v>
      </c>
      <c r="L42" s="514" t="s">
        <v>44</v>
      </c>
      <c r="M42" s="513" t="s">
        <v>44</v>
      </c>
      <c r="N42" s="513" t="s">
        <v>44</v>
      </c>
      <c r="O42" s="513" t="s">
        <v>44</v>
      </c>
      <c r="P42" s="269" t="s">
        <v>44</v>
      </c>
      <c r="Q42" s="513">
        <v>0</v>
      </c>
      <c r="R42" s="513">
        <v>0</v>
      </c>
      <c r="S42" s="515" t="s">
        <v>44</v>
      </c>
      <c r="T42" s="519">
        <f>10^-6*8215324</f>
        <v>8.215323999999999</v>
      </c>
      <c r="U42" s="514" t="s">
        <v>44</v>
      </c>
      <c r="V42" s="513">
        <v>0</v>
      </c>
      <c r="W42" s="513">
        <v>8.2153240000000007</v>
      </c>
      <c r="X42" s="513">
        <f t="shared" si="0"/>
        <v>8.2153240000000007</v>
      </c>
      <c r="Y42" s="268">
        <f t="shared" si="1"/>
        <v>1.0000000000000002</v>
      </c>
      <c r="Z42" s="513">
        <v>0</v>
      </c>
      <c r="AA42" s="513" t="s">
        <v>44</v>
      </c>
      <c r="AB42" s="515" t="s">
        <v>44</v>
      </c>
    </row>
    <row r="44" spans="1:40" s="520" customFormat="1" ht="12" thickBot="1">
      <c r="A44" s="520" t="s">
        <v>45</v>
      </c>
      <c r="K44" s="521">
        <f>SUM(K32:K42)</f>
        <v>0</v>
      </c>
      <c r="M44" s="522">
        <f>SUM(M32:M42)</f>
        <v>0</v>
      </c>
      <c r="N44" s="522">
        <f>SUM(N32:N42)</f>
        <v>0</v>
      </c>
      <c r="O44" s="522">
        <f>SUM(O32:O42)</f>
        <v>0</v>
      </c>
      <c r="P44" s="523" t="s">
        <v>44</v>
      </c>
      <c r="Q44" s="524" t="s">
        <v>44</v>
      </c>
      <c r="R44" s="524" t="s">
        <v>44</v>
      </c>
      <c r="S44" s="524" t="s">
        <v>44</v>
      </c>
      <c r="T44" s="521">
        <f>SUM(T32:T42)</f>
        <v>175.27686100000003</v>
      </c>
      <c r="V44" s="522">
        <f>SUM(V32:V42)</f>
        <v>0</v>
      </c>
      <c r="W44" s="522">
        <f>SUM(W32:W42)</f>
        <v>183.93008800000004</v>
      </c>
      <c r="X44" s="522">
        <f>SUM(X32:X42)</f>
        <v>183.93008800000004</v>
      </c>
      <c r="Y44" s="523">
        <f t="shared" ref="Y44" si="2">X44/T44</f>
        <v>1.0493689067149601</v>
      </c>
      <c r="Z44" s="525" t="s">
        <v>44</v>
      </c>
      <c r="AA44" s="525" t="s">
        <v>44</v>
      </c>
      <c r="AB44" s="526" t="s">
        <v>44</v>
      </c>
      <c r="AC44" s="527"/>
      <c r="AN44" s="527"/>
    </row>
    <row r="46" spans="1:40" s="389" customFormat="1">
      <c r="A46" s="388" t="s">
        <v>277</v>
      </c>
      <c r="K46" s="528">
        <f>SUMIF($D$32:$D$42,"Unrealized",K$32:K$42)+SUMIF($D$32:$D$42,"Partial Realized",K$32:K$42)</f>
        <v>0</v>
      </c>
      <c r="M46" s="529">
        <f>SUMIF($D$32:$D$42,"Unrealized",M$32:M$42)+SUMIF($D$32:$D$42,"Partial Realized",M$32:M$42)</f>
        <v>0</v>
      </c>
      <c r="N46" s="529">
        <f>SUMIF($D$32:$D$42,"Unrealized",N$32:N$42)+SUMIF($D$32:$D$42,"Partial Realized",N$32:N$42)</f>
        <v>0</v>
      </c>
      <c r="O46" s="529">
        <f>SUMIF($D$32:$D$42,"Unrealized",O$32:O$42)+SUMIF($D$32:$D$42,"Partial Realized",O$32:O$42)</f>
        <v>0</v>
      </c>
      <c r="P46" s="530" t="s">
        <v>44</v>
      </c>
      <c r="R46" s="531" t="s">
        <v>44</v>
      </c>
      <c r="S46" s="532" t="s">
        <v>44</v>
      </c>
      <c r="T46" s="528">
        <f>SUMIF($D$32:$D$42,"Unrealized",T$32:T$42)+SUMIF($D$32:$D$42,"Partial Realized",T$32:T$42)</f>
        <v>175.27686100000003</v>
      </c>
      <c r="V46" s="529">
        <f>SUMIF($D$32:$D$42,"Unrealized",V$32:V$42)+SUMIF($D$32:$D$42,"Partial Realized",V$32:V$42)</f>
        <v>0</v>
      </c>
      <c r="W46" s="529">
        <f>SUMIF($D$32:$D$42,"Unrealized",W$32:W$42)+SUMIF($D$32:$D$42,"Partial Realized",W$32:W$42)</f>
        <v>183.93008800000004</v>
      </c>
      <c r="X46" s="529">
        <f>SUMIF($D$32:$D$42,"Unrealized",X$32:X$42)+SUMIF($D$32:$D$42,"Partial Realized",X$32:X$42)</f>
        <v>183.93008800000004</v>
      </c>
      <c r="Y46" s="530">
        <f t="shared" ref="Y46" si="3">X46/T46</f>
        <v>1.0493689067149601</v>
      </c>
      <c r="AA46" s="533" t="s">
        <v>44</v>
      </c>
      <c r="AB46" s="534" t="s">
        <v>44</v>
      </c>
      <c r="AN46" s="535"/>
    </row>
    <row r="47" spans="1:40" s="389" customFormat="1">
      <c r="A47" s="388" t="s">
        <v>278</v>
      </c>
      <c r="K47" s="528">
        <f>SUMIF($D$32:$D$42,"Realized",K$32:K$42)+SUMIF($D$32:$D$42,"Write-off",K$32:K$42)</f>
        <v>0</v>
      </c>
      <c r="M47" s="529">
        <f>SUMIF($D$32:$D$42,"Realized",M$32:M$42)+SUMIF($D$32:$D$42,"Write-off",M$32:M$42)</f>
        <v>0</v>
      </c>
      <c r="N47" s="529">
        <f>SUMIF($D$32:$D$42,"Realized",N$32:N$42)+SUMIF($D$32:$D$42,"Write-off",N$32:N$42)</f>
        <v>0</v>
      </c>
      <c r="O47" s="529">
        <f>SUMIF($D$32:$D$42,"Realized",O$32:O$42)+SUMIF($D$32:$D$42,"Write-off",O$32:O$42)</f>
        <v>0</v>
      </c>
      <c r="P47" s="530" t="s">
        <v>44</v>
      </c>
      <c r="R47" s="531" t="s">
        <v>44</v>
      </c>
      <c r="S47" s="532" t="s">
        <v>44</v>
      </c>
      <c r="T47" s="528">
        <f>SUMIF($D$32:$D$42,"Realized",T$32:T$42)+SUMIF($D$32:$D$42,"Write-off",T$32:T$42)</f>
        <v>0</v>
      </c>
      <c r="V47" s="529">
        <f>SUMIF($D$32:$D$42,"Realized",V$32:V$42)+SUMIF($D$32:$D$42,"Write-off",V$32:V$42)</f>
        <v>0</v>
      </c>
      <c r="W47" s="529">
        <f>SUMIF($D$32:$D$42,"Realized",W$32:W$42)+SUMIF($D$32:$D$42,"Write-off",W$32:W$42)</f>
        <v>0</v>
      </c>
      <c r="X47" s="529">
        <f>SUMIF($D$32:$D$42,"Realized",X$32:X$42)+SUMIF($D$32:$D$42,"Write-off",X$32:X$42)</f>
        <v>0</v>
      </c>
      <c r="Y47" s="530" t="s">
        <v>44</v>
      </c>
      <c r="AA47" s="533">
        <f t="shared" ref="AA47" si="4">X47-O47</f>
        <v>0</v>
      </c>
      <c r="AB47" s="534" t="s">
        <v>44</v>
      </c>
      <c r="AN47" s="535"/>
    </row>
    <row r="50" spans="1:40" s="536" customFormat="1">
      <c r="A50" s="536" t="s">
        <v>279</v>
      </c>
      <c r="K50" s="537"/>
      <c r="T50" s="537"/>
      <c r="AC50" s="537"/>
      <c r="AN50" s="537"/>
    </row>
    <row r="51" spans="1:40" ht="13.5" customHeight="1">
      <c r="K51" s="538" t="s">
        <v>236</v>
      </c>
      <c r="L51" s="539"/>
      <c r="M51" s="539"/>
      <c r="N51" s="539"/>
      <c r="O51" s="539"/>
      <c r="P51" s="539"/>
      <c r="Q51" s="540"/>
      <c r="R51" s="540"/>
      <c r="S51" s="539"/>
      <c r="T51" s="503" t="s">
        <v>237</v>
      </c>
      <c r="U51" s="504"/>
      <c r="V51" s="504"/>
      <c r="W51" s="504"/>
      <c r="X51" s="504"/>
      <c r="Y51" s="504"/>
      <c r="Z51" s="505"/>
      <c r="AA51" s="505"/>
      <c r="AB51" s="504"/>
      <c r="AC51" s="503" t="s">
        <v>238</v>
      </c>
      <c r="AD51" s="504"/>
      <c r="AE51" s="504"/>
      <c r="AF51" s="504"/>
      <c r="AG51" s="539"/>
      <c r="AH51" s="539"/>
      <c r="AI51" s="540"/>
      <c r="AJ51" s="540"/>
      <c r="AK51" s="540"/>
      <c r="AL51" s="540"/>
      <c r="AM51" s="539"/>
    </row>
    <row r="52" spans="1:40" s="141" customFormat="1" ht="39.75" customHeight="1">
      <c r="A52" s="138" t="s">
        <v>239</v>
      </c>
      <c r="B52" s="139" t="s">
        <v>240</v>
      </c>
      <c r="C52" s="139" t="s">
        <v>69</v>
      </c>
      <c r="D52" s="139" t="s">
        <v>241</v>
      </c>
      <c r="E52" s="139" t="s">
        <v>242</v>
      </c>
      <c r="F52" s="139" t="s">
        <v>243</v>
      </c>
      <c r="G52" s="139" t="s">
        <v>244</v>
      </c>
      <c r="H52" s="139" t="s">
        <v>245</v>
      </c>
      <c r="I52" s="139" t="s">
        <v>246</v>
      </c>
      <c r="J52" s="501" t="s">
        <v>247</v>
      </c>
      <c r="K52" s="541" t="s">
        <v>280</v>
      </c>
      <c r="L52" s="542"/>
      <c r="M52" s="543"/>
      <c r="N52" s="542"/>
      <c r="O52" s="541" t="s">
        <v>281</v>
      </c>
      <c r="P52" s="542"/>
      <c r="Q52" s="543"/>
      <c r="R52" s="542"/>
      <c r="S52" s="544"/>
      <c r="T52" s="541" t="s">
        <v>280</v>
      </c>
      <c r="U52" s="542"/>
      <c r="V52" s="543"/>
      <c r="W52" s="542"/>
      <c r="X52" s="541" t="s">
        <v>281</v>
      </c>
      <c r="Y52" s="542"/>
      <c r="Z52" s="543"/>
      <c r="AA52" s="542"/>
      <c r="AB52" s="544"/>
      <c r="AC52" s="541" t="s">
        <v>280</v>
      </c>
      <c r="AD52" s="542"/>
      <c r="AE52" s="543"/>
      <c r="AF52" s="542"/>
      <c r="AG52" s="541" t="s">
        <v>281</v>
      </c>
      <c r="AH52" s="542"/>
      <c r="AI52" s="543"/>
      <c r="AJ52" s="542"/>
      <c r="AK52" s="545"/>
      <c r="AL52" s="545"/>
      <c r="AM52" s="544"/>
      <c r="AN52" s="510"/>
    </row>
  </sheetData>
  <conditionalFormatting sqref="R32:S42">
    <cfRule type="cellIs" dxfId="131" priority="5" operator="lessThan">
      <formula>0</formula>
    </cfRule>
    <cfRule type="cellIs" dxfId="130" priority="6" operator="greaterThan">
      <formula>0</formula>
    </cfRule>
  </conditionalFormatting>
  <conditionalFormatting sqref="AA32:AB42">
    <cfRule type="cellIs" dxfId="129" priority="9" operator="lessThan">
      <formula>0</formula>
    </cfRule>
    <cfRule type="cellIs" dxfId="128" priority="10" operator="greaterThan">
      <formula>0</formula>
    </cfRule>
  </conditionalFormatting>
  <conditionalFormatting sqref="AA44:AB44">
    <cfRule type="cellIs" dxfId="127" priority="3" operator="lessThan">
      <formula>0</formula>
    </cfRule>
    <cfRule type="cellIs" dxfId="126" priority="4" operator="greaterThan">
      <formula>0</formula>
    </cfRule>
  </conditionalFormatting>
  <conditionalFormatting sqref="AA46:AB47">
    <cfRule type="cellIs" dxfId="125" priority="1" operator="lessThan">
      <formula>0</formula>
    </cfRule>
    <cfRule type="cellIs" dxfId="124" priority="2" operator="greaterThan">
      <formula>0</formula>
    </cfRule>
  </conditionalFormatting>
  <conditionalFormatting sqref="AJ32:AM33">
    <cfRule type="cellIs" dxfId="123" priority="7" operator="lessThan">
      <formula>0</formula>
    </cfRule>
    <cfRule type="cellIs" dxfId="122" priority="8" operator="greaterThan">
      <formula>0</formula>
    </cfRule>
  </conditionalFormatting>
  <printOptions horizontalCentered="1"/>
  <pageMargins left="0.23622047244094491" right="0" top="0.35433070866141736" bottom="0.19685039370078741" header="0.15748031496062992" footer="0.15748031496062992"/>
  <pageSetup paperSize="8" scale="37"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11140-8801-4566-9E84-846446BF01F7}">
  <sheetPr>
    <tabColor theme="8"/>
  </sheetPr>
  <dimension ref="B1:S25"/>
  <sheetViews>
    <sheetView workbookViewId="0"/>
  </sheetViews>
  <sheetFormatPr defaultColWidth="9" defaultRowHeight="11.25"/>
  <cols>
    <col min="1" max="1" width="2.7109375" style="2" customWidth="1"/>
    <col min="2" max="2" width="18.7109375" style="2" customWidth="1"/>
    <col min="3" max="3" width="15.140625" style="2" customWidth="1"/>
    <col min="4" max="4" width="15.28515625" style="2" hidden="1" customWidth="1"/>
    <col min="5" max="5" width="14.7109375" style="2" customWidth="1"/>
    <col min="6" max="6" width="5" style="2" bestFit="1" customWidth="1"/>
    <col min="7" max="7" width="47.140625" style="2" customWidth="1"/>
    <col min="8" max="10" width="14.28515625" style="2" customWidth="1"/>
    <col min="11" max="11" width="8.42578125" style="2" bestFit="1" customWidth="1"/>
    <col min="12" max="12" width="9" style="2" customWidth="1"/>
    <col min="13" max="13" width="21.7109375" style="2" bestFit="1" customWidth="1"/>
    <col min="14" max="17" width="14.28515625" style="2" customWidth="1"/>
    <col min="18" max="18" width="12.28515625" style="2" customWidth="1"/>
    <col min="19" max="19" width="13.28515625" style="2" customWidth="1"/>
    <col min="20" max="16384" width="9" style="2"/>
  </cols>
  <sheetData>
    <row r="1" spans="2:19">
      <c r="B1" s="75" t="s">
        <v>282</v>
      </c>
      <c r="M1" s="626">
        <f>'[5]AUM Summary'!B2</f>
        <v>45657</v>
      </c>
      <c r="N1" s="626"/>
      <c r="O1" s="333" t="s">
        <v>668</v>
      </c>
      <c r="P1" s="199"/>
    </row>
    <row r="2" spans="2:19" ht="12" thickBot="1">
      <c r="M2" s="172" t="s">
        <v>285</v>
      </c>
      <c r="N2" s="173">
        <f>N16</f>
        <v>-3150647.5</v>
      </c>
      <c r="O2" s="201">
        <v>-3150648</v>
      </c>
      <c r="P2" s="205">
        <f>N2-O2</f>
        <v>0.5</v>
      </c>
    </row>
    <row r="3" spans="2:19" ht="12" thickBot="1">
      <c r="B3" s="202" t="s">
        <v>286</v>
      </c>
      <c r="C3" s="272">
        <f>Cottonwood!E1</f>
        <v>45657</v>
      </c>
      <c r="M3" s="172" t="s">
        <v>287</v>
      </c>
      <c r="N3" s="173">
        <f>Q16</f>
        <v>0</v>
      </c>
      <c r="O3" s="201">
        <v>0</v>
      </c>
      <c r="P3" s="205">
        <f>N3-O3</f>
        <v>0</v>
      </c>
    </row>
    <row r="4" spans="2:19">
      <c r="H4" s="273"/>
      <c r="M4" s="175" t="s">
        <v>288</v>
      </c>
      <c r="N4" s="176">
        <f>M19</f>
        <v>3779467</v>
      </c>
    </row>
    <row r="5" spans="2:19" s="75" customFormat="1">
      <c r="B5" s="75" t="s">
        <v>289</v>
      </c>
      <c r="C5" s="75" t="s">
        <v>13</v>
      </c>
      <c r="M5" s="172" t="s">
        <v>75</v>
      </c>
      <c r="N5" s="180">
        <f>XIRR(M10:M19,E10:E19,0)</f>
        <v>0.44407231933593749</v>
      </c>
    </row>
    <row r="6" spans="2:19">
      <c r="B6" s="75" t="s">
        <v>291</v>
      </c>
      <c r="C6" s="75" t="s">
        <v>24</v>
      </c>
    </row>
    <row r="7" spans="2:19">
      <c r="B7" s="75" t="s">
        <v>52</v>
      </c>
      <c r="C7" s="257">
        <v>12500000</v>
      </c>
    </row>
    <row r="9" spans="2:19" s="186" customFormat="1" ht="22.5">
      <c r="B9" s="280" t="s">
        <v>292</v>
      </c>
      <c r="C9" s="183" t="s">
        <v>0</v>
      </c>
      <c r="D9" s="183" t="s">
        <v>293</v>
      </c>
      <c r="E9" s="183" t="s">
        <v>294</v>
      </c>
      <c r="F9" s="183" t="s">
        <v>295</v>
      </c>
      <c r="G9" s="183" t="s">
        <v>176</v>
      </c>
      <c r="H9" s="184" t="s">
        <v>296</v>
      </c>
      <c r="I9" s="185" t="s">
        <v>435</v>
      </c>
      <c r="J9" s="185" t="s">
        <v>436</v>
      </c>
      <c r="K9" s="185" t="s">
        <v>299</v>
      </c>
      <c r="L9" s="185" t="s">
        <v>654</v>
      </c>
      <c r="M9" s="185" t="s">
        <v>300</v>
      </c>
      <c r="N9" s="185" t="s">
        <v>301</v>
      </c>
      <c r="O9" s="185" t="s">
        <v>302</v>
      </c>
      <c r="P9" s="185" t="s">
        <v>708</v>
      </c>
      <c r="Q9" s="185" t="s">
        <v>438</v>
      </c>
      <c r="R9" s="184" t="s">
        <v>195</v>
      </c>
      <c r="S9" s="184" t="s">
        <v>709</v>
      </c>
    </row>
    <row r="10" spans="2:19" s="186" customFormat="1" ht="15">
      <c r="B10" s="2" t="s">
        <v>307</v>
      </c>
      <c r="C10" s="2" t="s">
        <v>308</v>
      </c>
      <c r="D10" s="183"/>
      <c r="E10" s="187">
        <v>45394</v>
      </c>
      <c r="F10" s="2">
        <f>YEAR(E10)</f>
        <v>2024</v>
      </c>
      <c r="G10" s="183"/>
      <c r="H10" s="108">
        <v>-1698121.09</v>
      </c>
      <c r="I10" s="108">
        <v>0</v>
      </c>
      <c r="J10" s="108">
        <v>0</v>
      </c>
      <c r="K10" s="108">
        <v>0</v>
      </c>
      <c r="L10" s="108"/>
      <c r="M10" s="425">
        <f>SUM(H10:L10)</f>
        <v>-1698121.09</v>
      </c>
      <c r="N10" s="170">
        <f>IF(M10&lt;0,M10,0)</f>
        <v>-1698121.09</v>
      </c>
      <c r="O10" s="170">
        <f t="shared" ref="O10:O16" si="0">N10+$C$7</f>
        <v>10801878.91</v>
      </c>
      <c r="P10" s="170">
        <f>SUMIF(H10:L10,"&gt;0", H10:L10)</f>
        <v>0</v>
      </c>
      <c r="Q10" s="170">
        <f>P10</f>
        <v>0</v>
      </c>
      <c r="R10" s="184"/>
      <c r="S10" s="184"/>
    </row>
    <row r="11" spans="2:19" s="186" customFormat="1" ht="15">
      <c r="B11" s="2" t="s">
        <v>710</v>
      </c>
      <c r="C11" s="2" t="s">
        <v>711</v>
      </c>
      <c r="D11" s="183"/>
      <c r="E11" s="187">
        <v>45558</v>
      </c>
      <c r="F11" s="2">
        <f>YEAR(E11)</f>
        <v>2024</v>
      </c>
      <c r="G11" s="397" t="s">
        <v>712</v>
      </c>
      <c r="H11" s="108">
        <v>267629.2</v>
      </c>
      <c r="I11" s="108"/>
      <c r="J11" s="108"/>
      <c r="K11" s="108"/>
      <c r="L11" s="108"/>
      <c r="M11" s="425">
        <f>SUM(H11:K11)</f>
        <v>267629.2</v>
      </c>
      <c r="N11" s="170">
        <f>N10+M11</f>
        <v>-1430491.8900000001</v>
      </c>
      <c r="O11" s="170">
        <f t="shared" si="0"/>
        <v>11069508.109999999</v>
      </c>
      <c r="P11" s="170">
        <v>0</v>
      </c>
      <c r="Q11" s="170">
        <f>Q10+P11</f>
        <v>0</v>
      </c>
      <c r="R11" s="184"/>
      <c r="S11" s="184"/>
    </row>
    <row r="12" spans="2:19" s="186" customFormat="1" ht="15">
      <c r="B12" s="2" t="s">
        <v>710</v>
      </c>
      <c r="C12" s="2" t="s">
        <v>711</v>
      </c>
      <c r="D12" s="183"/>
      <c r="E12" s="187">
        <v>45558</v>
      </c>
      <c r="F12" s="2">
        <f>YEAR(E12)</f>
        <v>2024</v>
      </c>
      <c r="G12" s="397" t="s">
        <v>713</v>
      </c>
      <c r="H12" s="108"/>
      <c r="I12" s="108"/>
      <c r="J12" s="108"/>
      <c r="K12" s="108"/>
      <c r="L12" s="108">
        <v>7860</v>
      </c>
      <c r="M12" s="425">
        <f>SUM(H12:L12)</f>
        <v>7860</v>
      </c>
      <c r="N12" s="170">
        <f>IF(M12&lt;0,M12,0)+N11</f>
        <v>-1430491.8900000001</v>
      </c>
      <c r="O12" s="170">
        <f t="shared" si="0"/>
        <v>11069508.109999999</v>
      </c>
      <c r="P12" s="170">
        <v>0</v>
      </c>
      <c r="Q12" s="170">
        <f>Q11+P12</f>
        <v>0</v>
      </c>
      <c r="R12" s="184"/>
      <c r="S12" s="184"/>
    </row>
    <row r="13" spans="2:19" ht="15">
      <c r="B13" s="2" t="s">
        <v>307</v>
      </c>
      <c r="C13" s="2" t="s">
        <v>310</v>
      </c>
      <c r="D13" s="187"/>
      <c r="E13" s="187">
        <v>45558</v>
      </c>
      <c r="F13" s="2">
        <v>2024</v>
      </c>
      <c r="G13" s="211"/>
      <c r="H13" s="108">
        <v>-1462297.11</v>
      </c>
      <c r="I13" s="108"/>
      <c r="J13" s="108"/>
      <c r="K13" s="108"/>
      <c r="L13" s="108"/>
      <c r="M13" s="425">
        <f>SUM(H13:K13)</f>
        <v>-1462297.11</v>
      </c>
      <c r="N13" s="170">
        <f>N12+M13</f>
        <v>-2892789</v>
      </c>
      <c r="O13" s="170">
        <f t="shared" si="0"/>
        <v>9607211</v>
      </c>
      <c r="P13" s="170">
        <f>SUMIF(H13:L13,"&gt;0", H13:L13)</f>
        <v>0</v>
      </c>
      <c r="Q13" s="170">
        <f>Q12+P13</f>
        <v>0</v>
      </c>
      <c r="R13" s="184"/>
      <c r="S13" s="184"/>
    </row>
    <row r="14" spans="2:19" s="186" customFormat="1" ht="15">
      <c r="B14" s="2" t="s">
        <v>710</v>
      </c>
      <c r="C14" s="2" t="s">
        <v>714</v>
      </c>
      <c r="D14" s="183"/>
      <c r="E14" s="187">
        <v>45604</v>
      </c>
      <c r="F14" s="2">
        <f>YEAR(E14)</f>
        <v>2024</v>
      </c>
      <c r="G14" s="397" t="s">
        <v>715</v>
      </c>
      <c r="H14" s="108">
        <v>560772.23</v>
      </c>
      <c r="I14" s="108"/>
      <c r="J14" s="108"/>
      <c r="K14" s="108"/>
      <c r="L14" s="108"/>
      <c r="M14" s="425">
        <f>SUM(H14:K14)</f>
        <v>560772.23</v>
      </c>
      <c r="N14" s="170">
        <f t="shared" ref="N14:N16" si="1">N13+M14</f>
        <v>-2332016.77</v>
      </c>
      <c r="O14" s="170">
        <f t="shared" si="0"/>
        <v>10167983.23</v>
      </c>
      <c r="P14" s="170">
        <v>0</v>
      </c>
      <c r="Q14" s="170">
        <f t="shared" ref="Q14:Q16" si="2">Q13+P14</f>
        <v>0</v>
      </c>
      <c r="R14" s="184"/>
      <c r="S14" s="184"/>
    </row>
    <row r="15" spans="2:19" s="186" customFormat="1" ht="15">
      <c r="B15" s="2" t="s">
        <v>710</v>
      </c>
      <c r="C15" s="2" t="s">
        <v>714</v>
      </c>
      <c r="D15" s="183"/>
      <c r="E15" s="187">
        <v>45604</v>
      </c>
      <c r="F15" s="2">
        <f>YEAR(E15)</f>
        <v>2024</v>
      </c>
      <c r="G15" s="397" t="s">
        <v>713</v>
      </c>
      <c r="H15" s="108"/>
      <c r="I15" s="108"/>
      <c r="J15" s="108"/>
      <c r="K15" s="108"/>
      <c r="L15" s="108">
        <v>15744.48</v>
      </c>
      <c r="M15" s="425">
        <f>SUM(H15:L15)</f>
        <v>15744.48</v>
      </c>
      <c r="N15" s="170">
        <f>IF(M15&lt;0,M15,0)+N14</f>
        <v>-2332016.77</v>
      </c>
      <c r="O15" s="170">
        <f t="shared" si="0"/>
        <v>10167983.23</v>
      </c>
      <c r="P15" s="170">
        <v>0</v>
      </c>
      <c r="Q15" s="170">
        <f t="shared" si="2"/>
        <v>0</v>
      </c>
      <c r="R15" s="184"/>
      <c r="S15" s="184"/>
    </row>
    <row r="16" spans="2:19" ht="15">
      <c r="B16" s="2" t="s">
        <v>307</v>
      </c>
      <c r="C16" s="2" t="s">
        <v>311</v>
      </c>
      <c r="D16" s="187"/>
      <c r="E16" s="187">
        <v>45604</v>
      </c>
      <c r="F16" s="2">
        <v>2024</v>
      </c>
      <c r="G16" s="211"/>
      <c r="H16" s="108">
        <v>-818630.73</v>
      </c>
      <c r="I16" s="108"/>
      <c r="J16" s="108"/>
      <c r="K16" s="108"/>
      <c r="L16" s="108"/>
      <c r="M16" s="425">
        <f>SUM(H16:K16)</f>
        <v>-818630.73</v>
      </c>
      <c r="N16" s="170">
        <f t="shared" si="1"/>
        <v>-3150647.5</v>
      </c>
      <c r="O16" s="170">
        <f t="shared" si="0"/>
        <v>9349352.5</v>
      </c>
      <c r="P16" s="170">
        <f>SUMIF(H16:L16,"&gt;0", H16:L16)</f>
        <v>0</v>
      </c>
      <c r="Q16" s="170">
        <f t="shared" si="2"/>
        <v>0</v>
      </c>
      <c r="R16" s="184"/>
      <c r="S16" s="184"/>
    </row>
    <row r="17" spans="2:19" s="186" customFormat="1" ht="15">
      <c r="B17" s="2"/>
      <c r="C17" s="2"/>
      <c r="D17" s="183"/>
      <c r="E17" s="187"/>
      <c r="F17" s="2"/>
      <c r="G17" s="397"/>
      <c r="H17" s="108"/>
      <c r="I17" s="108"/>
      <c r="J17" s="108"/>
      <c r="K17" s="108"/>
      <c r="L17" s="108"/>
      <c r="M17" s="425"/>
      <c r="N17" s="170"/>
      <c r="O17" s="170"/>
      <c r="P17" s="170"/>
      <c r="Q17" s="170"/>
      <c r="R17" s="184"/>
      <c r="S17" s="184"/>
    </row>
    <row r="18" spans="2:19">
      <c r="E18" s="187"/>
      <c r="G18" s="132"/>
      <c r="H18" s="132"/>
      <c r="I18" s="132"/>
      <c r="J18" s="281"/>
      <c r="K18" s="281"/>
      <c r="L18" s="281"/>
      <c r="M18" s="170"/>
      <c r="N18" s="170"/>
      <c r="O18" s="170"/>
      <c r="P18" s="170"/>
      <c r="Q18" s="170"/>
    </row>
    <row r="19" spans="2:19" s="191" customFormat="1">
      <c r="C19" s="191" t="s">
        <v>716</v>
      </c>
      <c r="D19" s="192"/>
      <c r="E19" s="192">
        <f>C3</f>
        <v>45657</v>
      </c>
      <c r="F19" s="191">
        <f>YEAR(E19)</f>
        <v>2024</v>
      </c>
      <c r="G19" s="191" t="s">
        <v>681</v>
      </c>
      <c r="H19" s="193"/>
      <c r="I19" s="193"/>
      <c r="J19" s="193"/>
      <c r="K19" s="193"/>
      <c r="L19" s="193"/>
      <c r="M19" s="282">
        <v>3779467</v>
      </c>
      <c r="N19" s="193"/>
      <c r="O19" s="193"/>
      <c r="P19" s="193"/>
      <c r="Q19" s="193"/>
    </row>
    <row r="23" spans="2:19">
      <c r="M23" s="131"/>
    </row>
    <row r="24" spans="2:19">
      <c r="O24" s="131"/>
    </row>
    <row r="25" spans="2:19">
      <c r="M25" s="131"/>
    </row>
  </sheetData>
  <mergeCells count="1">
    <mergeCell ref="M1:N1"/>
  </mergeCells>
  <hyperlinks>
    <hyperlink ref="M10" r:id="rId1" display="../../../../Forms/AllItems.aspx?CT=1722236910052&amp;OR=OWA%2DNT%2DMail&amp;CID=4ee197c8%2D4f6b%2D8418%2D90d3%2Dff79d36307e2&amp;id=%2Fsites%2FACH33%2DACH33%2DSGInvestment%2DCCGBVI%2FShared%20Documents%2FACH33%20%2D%20SG%20Investment%20%2D%20CCGBVI%2F1%2E%20Private%20Equity%2F1%20%2D%20Funds%2F1%20%2D%20USD%20Funds%2FCottonwood%2F3%20%2D%20Capital%20call%2F2024%2D03%2D29%5FCapital%20Call%20Notice%2Epdf&amp;viewid=048c04e9%2D146b%2D425b%2D9d09%2D84676d2821bc&amp;parent=%2Fsites%2FACH33%2DACH33%2DSGInvestment%2DCCGBVI%2FShared%20Documents%2FACH33%20%2D%20SG%20Investment%20%2D%20CCGBVI%2F1%2E%20Private%20Equity%2F1%20%2D%20Funds%2F1%20%2D%20USD%20Funds%2FCottonwood%2F3%20%2D%20Capital%20call" xr:uid="{9AF660D7-7DA5-40B3-A1F5-DE4279FA5B62}"/>
    <hyperlink ref="M11" r:id="rId2" display="../../../../Forms/AllItems.aspx?CT=1722236910052&amp;OR=OWA%2DNT%2DMail&amp;CID=4ee197c8%2D4f6b%2D8418%2D90d3%2Dff79d36307e2&amp;id=%2Fsites%2FACH33%2DACH33%2DSGInvestment%2DCCGBVI%2FShared%20Documents%2FACH33%20%2D%20SG%20Investment%20%2D%20CCGBVI%2F1%2E%20Private%20Equity%2F1%20%2D%20Funds%2F1%20%2D%20USD%20Funds%2FCottonwood%2F3%20%2D%20Capital%20call%2F2024%2D03%2D29%5FCapital%20Call%20Notice%2Epdf&amp;viewid=048c04e9%2D146b%2D425b%2D9d09%2D84676d2821bc&amp;parent=%2Fsites%2FACH33%2DACH33%2DSGInvestment%2DCCGBVI%2FShared%20Documents%2FACH33%20%2D%20SG%20Investment%20%2D%20CCGBVI%2F1%2E%20Private%20Equity%2F1%20%2D%20Funds%2F1%20%2D%20USD%20Funds%2FCottonwood%2F3%20%2D%20Capital%20call" xr:uid="{BD73B0DF-52C6-458C-92FC-FA8456AA026E}"/>
    <hyperlink ref="M13" r:id="rId3" display="../../../../Forms/AllItems.aspx?CT=1722236910052&amp;OR=OWA%2DNT%2DMail&amp;CID=4ee197c8%2D4f6b%2D8418%2D90d3%2Dff79d36307e2&amp;id=%2Fsites%2FACH33%2DACH33%2DSGInvestment%2DCCGBVI%2FShared%20Documents%2FACH33%20%2D%20SG%20Investment%20%2D%20CCGBVI%2F1%2E%20Private%20Equity%2F1%20%2D%20Funds%2F1%20%2D%20USD%20Funds%2FCottonwood%2F3%20%2D%20Capital%20call%2F2024%2D03%2D29%5FCapital%20Call%20Notice%2Epdf&amp;viewid=048c04e9%2D146b%2D425b%2D9d09%2D84676d2821bc&amp;parent=%2Fsites%2FACH33%2DACH33%2DSGInvestment%2DCCGBVI%2FShared%20Documents%2FACH33%20%2D%20SG%20Investment%20%2D%20CCGBVI%2F1%2E%20Private%20Equity%2F1%20%2D%20Funds%2F1%20%2D%20USD%20Funds%2FCottonwood%2F3%20%2D%20Capital%20call" xr:uid="{B214BDF8-362C-4BA8-BB05-4E07405C0971}"/>
    <hyperlink ref="M12" r:id="rId4" display="../../../../Forms/AllItems.aspx?CT=1722236910052&amp;OR=OWA%2DNT%2DMail&amp;CID=4ee197c8%2D4f6b%2D8418%2D90d3%2Dff79d36307e2&amp;id=%2Fsites%2FACH33%2DACH33%2DSGInvestment%2DCCGBVI%2FShared%20Documents%2FACH33%20%2D%20SG%20Investment%20%2D%20CCGBVI%2F1%2E%20Private%20Equity%2F1%20%2D%20Funds%2F1%20%2D%20USD%20Funds%2FCottonwood%2F3%20%2D%20Capital%20call%2F2024%2D03%2D29%5FCapital%20Call%20Notice%2Epdf&amp;viewid=048c04e9%2D146b%2D425b%2D9d09%2D84676d2821bc&amp;parent=%2Fsites%2FACH33%2DACH33%2DSGInvestment%2DCCGBVI%2FShared%20Documents%2FACH33%20%2D%20SG%20Investment%20%2D%20CCGBVI%2F1%2E%20Private%20Equity%2F1%20%2D%20Funds%2F1%20%2D%20USD%20Funds%2FCottonwood%2F3%20%2D%20Capital%20call" xr:uid="{52D7103D-C7E7-48E2-AAC4-B4CDF6C392A9}"/>
    <hyperlink ref="M11:M13" r:id="rId5" display="../../../../Forms/AllItems.aspx?CT=1722236910052&amp;OR=OWA%2DNT%2DMail&amp;CID=4ee197c8%2D4f6b%2D8418%2D90d3%2Dff79d36307e2&amp;id=%2Fsites%2FACH33%2DACH33%2DSGInvestment%2DCCGBVI%2FShared%20Documents%2FACH33%20%2D%20SG%20Investment%20%2D%20CCGBVI%2F1%2E%20Private%20Equity%2F1%20%2D%20Funds%2F1%20%2D%20USD%20Funds%2FCottonwood%2F3%20%2D%20Capital%20call%2F2024%2D09%2D09%5FCapital%20Call%20Notice%2Epdf&amp;viewid=048c04e9%2D146b%2D425b%2D9d09%2D84676d2821bc&amp;parent=%2Fsites%2FACH33%2DACH33%2DSGInvestment%2DCCGBVI%2FShared%20Documents%2FACH33%20%2D%20SG%20Investment%20%2D%20CCGBVI%2F1%2E%20Private%20Equity%2F1%20%2D%20Funds%2F1%20%2D%20USD%20Funds%2FCottonwood%2F3%20%2D%20Capital%20call" xr:uid="{570AE458-20D6-41A3-A29E-7999A1F7BDFF}"/>
    <hyperlink ref="M14" r:id="rId6" display="../../../../Forms/AllItems.aspx?CT=1722236910052&amp;OR=OWA%2DNT%2DMail&amp;CID=4ee197c8%2D4f6b%2D8418%2D90d3%2Dff79d36307e2&amp;id=%2Fsites%2FACH33%2DACH33%2DSGInvestment%2DCCGBVI%2FShared%20Documents%2FACH33%20%2D%20SG%20Investment%20%2D%20CCGBVI%2F1%2E%20Private%20Equity%2F1%20%2D%20Funds%2F1%20%2D%20USD%20Funds%2FCottonwood%2F3%20%2D%20Capital%20call%2F2024%2D03%2D29%5FCapital%20Call%20Notice%2Epdf&amp;viewid=048c04e9%2D146b%2D425b%2D9d09%2D84676d2821bc&amp;parent=%2Fsites%2FACH33%2DACH33%2DSGInvestment%2DCCGBVI%2FShared%20Documents%2FACH33%20%2D%20SG%20Investment%20%2D%20CCGBVI%2F1%2E%20Private%20Equity%2F1%20%2D%20Funds%2F1%20%2D%20USD%20Funds%2FCottonwood%2F3%20%2D%20Capital%20call" xr:uid="{4C01E937-E5FB-4FA1-9A91-E8B72EFA60F1}"/>
    <hyperlink ref="M15" r:id="rId7" display="../../../../Forms/AllItems.aspx?CT=1722236910052&amp;OR=OWA%2DNT%2DMail&amp;CID=4ee197c8%2D4f6b%2D8418%2D90d3%2Dff79d36307e2&amp;id=%2Fsites%2FACH33%2DACH33%2DSGInvestment%2DCCGBVI%2FShared%20Documents%2FACH33%20%2D%20SG%20Investment%20%2D%20CCGBVI%2F1%2E%20Private%20Equity%2F1%20%2D%20Funds%2F1%20%2D%20USD%20Funds%2FCottonwood%2F3%20%2D%20Capital%20call%2F2024%2D03%2D29%5FCapital%20Call%20Notice%2Epdf&amp;viewid=048c04e9%2D146b%2D425b%2D9d09%2D84676d2821bc&amp;parent=%2Fsites%2FACH33%2DACH33%2DSGInvestment%2DCCGBVI%2FShared%20Documents%2FACH33%20%2D%20SG%20Investment%20%2D%20CCGBVI%2F1%2E%20Private%20Equity%2F1%20%2D%20Funds%2F1%20%2D%20USD%20Funds%2FCottonwood%2F3%20%2D%20Capital%20call" xr:uid="{2444EC90-05F6-474B-93B7-D32C015290A8}"/>
    <hyperlink ref="M14:M15" r:id="rId8" display="../../../../Forms/AllItems.aspx?CT=1722236910052&amp;OR=OWA%2DNT%2DMail&amp;CID=4ee197c8%2D4f6b%2D8418%2D90d3%2Dff79d36307e2&amp;id=%2Fsites%2FACH33%2DACH33%2DSGInvestment%2DCCGBVI%2FShared%20Documents%2FACH33%20%2D%20SG%20Investment%20%2D%20CCGBVI%2F1%2E%20Private%20Equity%2F1%20%2D%20Funds%2F1%20%2D%20USD%20Funds%2FCottonwood%2F3%20%2D%20Capital%20call%2F2024%2D09%2D09%5FCapital%20Call%20Notice%2Epdf&amp;viewid=048c04e9%2D146b%2D425b%2D9d09%2D84676d2821bc&amp;parent=%2Fsites%2FACH33%2DACH33%2DSGInvestment%2DCCGBVI%2FShared%20Documents%2FACH33%20%2D%20SG%20Investment%20%2D%20CCGBVI%2F1%2E%20Private%20Equity%2F1%20%2D%20Funds%2F1%20%2D%20USD%20Funds%2FCottonwood%2F3%20%2D%20Capital%20call" xr:uid="{C0D027EC-75F2-44C1-9A3F-A208ED86DFD6}"/>
    <hyperlink ref="M16" r:id="rId9" display="../../../../Forms/AllItems.aspx?CT=1722236910052&amp;OR=OWA%2DNT%2DMail&amp;CID=4ee197c8%2D4f6b%2D8418%2D90d3%2Dff79d36307e2&amp;id=%2Fsites%2FACH33%2DACH33%2DSGInvestment%2DCCGBVI%2FShared%20Documents%2FACH33%20%2D%20SG%20Investment%20%2D%20CCGBVI%2F1%2E%20Private%20Equity%2F1%20%2D%20Funds%2F1%20%2D%20USD%20Funds%2FCottonwood%2F3%20%2D%20Capital%20call%2F2024%2D09%2D09%5FCapital%20Call%20Notice%2Epdf&amp;viewid=048c04e9%2D146b%2D425b%2D9d09%2D84676d2821bc&amp;parent=%2Fsites%2FACH33%2DACH33%2DSGInvestment%2DCCGBVI%2FShared%20Documents%2FACH33%20%2D%20SG%20Investment%20%2D%20CCGBVI%2F1%2E%20Private%20Equity%2F1%20%2D%20Funds%2F1%20%2D%20USD%20Funds%2FCottonwood%2F3%20%2D%20Capital%20call" xr:uid="{30278662-D0F1-4B8E-9317-439009543FAC}"/>
    <hyperlink ref="M14:M16" r:id="rId10" display="file://C:\Users\XingQiNeo\ACH\ACH33 - ACH33 - SG Investment - CCGBVI - Documents\ACH33 - SG Investment - CCGBVI\1. Private Equity\1 - Funds\1 - USD Funds\Cottonwood\3 - Capital call\2024-10-25_ Capital Call Notice.pdf" xr:uid="{7AF594A5-8439-4215-8A32-F0BDBD4607E7}"/>
  </hyperlinks>
  <pageMargins left="0.7" right="0.7" top="0.75" bottom="0.75" header="0.3" footer="0.3"/>
  <pageSetup paperSize="9" orientation="portrait" r:id="rId11"/>
  <legacyDrawing r:id="rId1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37D30-2CE5-499A-9D4E-BCEC4681A10D}">
  <sheetPr>
    <tabColor theme="8"/>
    <outlinePr showOutlineSymbols="0"/>
    <pageSetUpPr fitToPage="1"/>
  </sheetPr>
  <dimension ref="A1:AN81"/>
  <sheetViews>
    <sheetView topLeftCell="A38" zoomScale="85" zoomScaleNormal="85" workbookViewId="0">
      <selection activeCell="A62" sqref="A62"/>
    </sheetView>
  </sheetViews>
  <sheetFormatPr defaultColWidth="9" defaultRowHeight="11.25" outlineLevelRow="1" outlineLevelCol="2"/>
  <cols>
    <col min="1" max="1" width="32.140625" style="2" customWidth="1"/>
    <col min="2" max="2" width="79.42578125" style="2" bestFit="1" customWidth="1"/>
    <col min="3" max="3" width="15.7109375" style="2" customWidth="1"/>
    <col min="4" max="4" width="31.140625" style="2" customWidth="1"/>
    <col min="5" max="5" width="14.42578125" style="2" bestFit="1" customWidth="1"/>
    <col min="6" max="6" width="11.28515625" style="2" customWidth="1"/>
    <col min="7" max="7" width="10.7109375" style="2" customWidth="1"/>
    <col min="8" max="8" width="38" style="2" customWidth="1"/>
    <col min="9" max="10" width="19.28515625" style="2" customWidth="1"/>
    <col min="11" max="11" width="12.7109375" style="367" customWidth="1" outlineLevel="2"/>
    <col min="12" max="12" width="12.7109375" style="2" customWidth="1" outlineLevel="2"/>
    <col min="13" max="14" width="14.7109375" style="2" customWidth="1" outlineLevel="2"/>
    <col min="15" max="15" width="14.7109375" style="367" customWidth="1" outlineLevel="2"/>
    <col min="16" max="17" width="7.7109375" style="2" customWidth="1" outlineLevel="2"/>
    <col min="18" max="19" width="15.7109375" style="2" customWidth="1" outlineLevel="2"/>
    <col min="20" max="20" width="12.7109375" style="367" customWidth="1"/>
    <col min="21" max="21" width="12.7109375" style="2" customWidth="1"/>
    <col min="22" max="23" width="14.7109375" style="2" customWidth="1"/>
    <col min="24" max="24" width="14.7109375" style="367" customWidth="1"/>
    <col min="25" max="26" width="7.7109375" style="2" customWidth="1"/>
    <col min="27" max="28" width="15.7109375" style="2" customWidth="1"/>
    <col min="29" max="29" width="12.7109375" style="367" customWidth="1"/>
    <col min="30" max="30" width="12.7109375" style="2" customWidth="1"/>
    <col min="31" max="33" width="14.7109375" style="2" customWidth="1"/>
    <col min="34" max="35" width="7.7109375" style="2" customWidth="1"/>
    <col min="36" max="39" width="15.7109375" style="2" customWidth="1"/>
    <col min="40" max="40" width="9" style="367"/>
    <col min="41" max="16384" width="9" style="2"/>
  </cols>
  <sheetData>
    <row r="1" spans="1:24">
      <c r="A1" s="117" t="s">
        <v>179</v>
      </c>
      <c r="B1" s="118"/>
      <c r="C1" s="74"/>
      <c r="D1" s="117" t="s">
        <v>180</v>
      </c>
      <c r="E1" s="219">
        <v>45657</v>
      </c>
      <c r="H1" s="117" t="s">
        <v>404</v>
      </c>
      <c r="I1" s="118"/>
      <c r="J1" s="74"/>
      <c r="O1" s="2"/>
      <c r="X1" s="2"/>
    </row>
    <row r="2" spans="1:24" outlineLevel="1">
      <c r="A2" s="2" t="s">
        <v>182</v>
      </c>
      <c r="B2" s="120" t="s">
        <v>33</v>
      </c>
      <c r="D2" s="2" t="s">
        <v>183</v>
      </c>
      <c r="E2" s="283">
        <f>W53</f>
        <v>1657</v>
      </c>
      <c r="H2" s="2" t="s">
        <v>184</v>
      </c>
      <c r="I2" s="120" t="s">
        <v>185</v>
      </c>
      <c r="J2" s="120"/>
      <c r="O2" s="2"/>
      <c r="X2" s="2"/>
    </row>
    <row r="3" spans="1:24" outlineLevel="1">
      <c r="A3" s="2" t="s">
        <v>186</v>
      </c>
      <c r="B3" s="122">
        <v>43080</v>
      </c>
      <c r="D3" s="2" t="s">
        <v>187</v>
      </c>
      <c r="E3" s="576">
        <v>1696.8847499999999</v>
      </c>
      <c r="H3" s="2" t="s">
        <v>188</v>
      </c>
      <c r="I3" s="120" t="s">
        <v>717</v>
      </c>
      <c r="J3" s="120"/>
      <c r="O3" s="2"/>
      <c r="X3" s="2"/>
    </row>
    <row r="4" spans="1:24" outlineLevel="1">
      <c r="A4" s="2" t="s">
        <v>190</v>
      </c>
      <c r="B4" s="306">
        <v>43553</v>
      </c>
      <c r="D4" s="2" t="s">
        <v>191</v>
      </c>
      <c r="E4" s="125">
        <v>1.4</v>
      </c>
      <c r="H4" s="2" t="s">
        <v>192</v>
      </c>
      <c r="I4" s="124">
        <v>7.0000000000000007E-2</v>
      </c>
      <c r="J4" s="320"/>
      <c r="O4" s="2"/>
      <c r="X4" s="2"/>
    </row>
    <row r="5" spans="1:24" outlineLevel="1">
      <c r="A5" s="2" t="s">
        <v>193</v>
      </c>
      <c r="B5" s="120">
        <v>2017</v>
      </c>
      <c r="D5" s="2" t="s">
        <v>194</v>
      </c>
      <c r="E5" s="125" t="s">
        <v>718</v>
      </c>
      <c r="H5" s="2" t="s">
        <v>195</v>
      </c>
      <c r="I5" s="126">
        <v>0.2</v>
      </c>
      <c r="J5" s="126"/>
      <c r="O5" s="2"/>
      <c r="X5" s="2"/>
    </row>
    <row r="6" spans="1:24" outlineLevel="1">
      <c r="A6" s="2" t="s">
        <v>196</v>
      </c>
      <c r="B6" s="120" t="s">
        <v>719</v>
      </c>
      <c r="D6" s="2" t="s">
        <v>198</v>
      </c>
      <c r="E6" s="221">
        <v>0.113</v>
      </c>
      <c r="H6" s="117" t="s">
        <v>199</v>
      </c>
      <c r="I6" s="118"/>
      <c r="J6" s="74"/>
      <c r="O6" s="2"/>
      <c r="X6" s="2"/>
    </row>
    <row r="7" spans="1:24" outlineLevel="1">
      <c r="A7" s="2" t="s">
        <v>200</v>
      </c>
      <c r="B7" s="120" t="s">
        <v>720</v>
      </c>
      <c r="D7" s="2" t="s">
        <v>202</v>
      </c>
      <c r="E7" s="221" t="s">
        <v>718</v>
      </c>
      <c r="H7" s="2" t="s">
        <v>203</v>
      </c>
      <c r="I7" s="2" t="s">
        <v>204</v>
      </c>
      <c r="O7" s="2"/>
      <c r="X7" s="2"/>
    </row>
    <row r="8" spans="1:24" outlineLevel="1">
      <c r="A8" s="2" t="s">
        <v>205</v>
      </c>
      <c r="B8" s="120" t="s">
        <v>206</v>
      </c>
      <c r="D8" s="2" t="s">
        <v>721</v>
      </c>
      <c r="E8" s="125">
        <v>0.6</v>
      </c>
      <c r="H8" s="2" t="s">
        <v>208</v>
      </c>
      <c r="I8" s="2" t="s">
        <v>209</v>
      </c>
      <c r="O8" s="2"/>
      <c r="X8" s="2"/>
    </row>
    <row r="9" spans="1:24" outlineLevel="1">
      <c r="A9" s="2" t="s">
        <v>65</v>
      </c>
      <c r="B9" s="120" t="s">
        <v>722</v>
      </c>
      <c r="D9" s="128" t="s">
        <v>211</v>
      </c>
      <c r="E9" s="291"/>
      <c r="O9" s="2"/>
      <c r="X9" s="2"/>
    </row>
    <row r="10" spans="1:24" outlineLevel="1">
      <c r="A10" s="2" t="s">
        <v>212</v>
      </c>
      <c r="B10" s="120" t="s">
        <v>723</v>
      </c>
      <c r="D10" s="2" t="s">
        <v>214</v>
      </c>
      <c r="E10" s="224">
        <v>50</v>
      </c>
      <c r="O10" s="2"/>
      <c r="X10" s="2"/>
    </row>
    <row r="11" spans="1:24" outlineLevel="1">
      <c r="A11" s="2" t="s">
        <v>215</v>
      </c>
      <c r="B11" s="120" t="s">
        <v>724</v>
      </c>
      <c r="D11" s="2" t="s">
        <v>216</v>
      </c>
      <c r="E11" s="364">
        <f>50/2054.7</f>
        <v>2.4334452718158369E-2</v>
      </c>
      <c r="O11" s="2"/>
      <c r="X11" s="2"/>
    </row>
    <row r="12" spans="1:24" outlineLevel="1">
      <c r="A12" s="2" t="s">
        <v>217</v>
      </c>
      <c r="B12" s="120" t="s">
        <v>24</v>
      </c>
      <c r="D12" s="2" t="s">
        <v>218</v>
      </c>
      <c r="E12" s="224">
        <f>-'DCP I (CF)'!M2/10^6</f>
        <v>59.725670330000014</v>
      </c>
      <c r="O12" s="2"/>
      <c r="T12" s="502"/>
      <c r="X12" s="2"/>
    </row>
    <row r="13" spans="1:24" outlineLevel="1">
      <c r="A13" s="2" t="s">
        <v>219</v>
      </c>
      <c r="B13" s="120" t="s">
        <v>725</v>
      </c>
      <c r="D13" s="2" t="s">
        <v>221</v>
      </c>
      <c r="E13" s="224">
        <f>E10-E12</f>
        <v>-9.725670330000014</v>
      </c>
      <c r="N13" s="314"/>
      <c r="O13" s="2"/>
      <c r="T13" s="502"/>
      <c r="X13" s="2"/>
    </row>
    <row r="14" spans="1:24" outlineLevel="1">
      <c r="A14" s="2" t="s">
        <v>222</v>
      </c>
      <c r="B14" s="285" t="s">
        <v>405</v>
      </c>
      <c r="D14" s="2" t="s">
        <v>224</v>
      </c>
      <c r="E14" s="224">
        <f>'DCP I (CF)'!M3/10^6</f>
        <v>28.599370870000001</v>
      </c>
      <c r="N14" s="314"/>
      <c r="O14" s="2"/>
      <c r="T14" s="502"/>
      <c r="X14" s="2"/>
    </row>
    <row r="15" spans="1:24" outlineLevel="1">
      <c r="A15" s="2" t="s">
        <v>225</v>
      </c>
      <c r="B15" s="286">
        <v>1.4999999999999999E-2</v>
      </c>
      <c r="D15" s="2" t="s">
        <v>227</v>
      </c>
      <c r="E15" s="287">
        <f>'DCP I (CF)'!M4/10^6</f>
        <v>41.287984999999999</v>
      </c>
      <c r="N15" s="314"/>
      <c r="O15" s="2"/>
      <c r="X15" s="2"/>
    </row>
    <row r="16" spans="1:24" outlineLevel="1">
      <c r="A16" s="2" t="s">
        <v>228</v>
      </c>
      <c r="B16" s="134">
        <v>44196</v>
      </c>
      <c r="D16" s="2" t="s">
        <v>229</v>
      </c>
      <c r="E16" s="127">
        <f>E12/E10</f>
        <v>1.1945134066000003</v>
      </c>
      <c r="N16" s="314"/>
      <c r="O16" s="2"/>
      <c r="X16" s="2"/>
    </row>
    <row r="17" spans="1:40" outlineLevel="1">
      <c r="A17" s="2" t="s">
        <v>230</v>
      </c>
      <c r="B17" s="120" t="s">
        <v>231</v>
      </c>
      <c r="D17" s="2" t="s">
        <v>232</v>
      </c>
      <c r="E17" s="288">
        <f>E14/E12</f>
        <v>0.47884554015017272</v>
      </c>
      <c r="O17" s="2"/>
      <c r="X17" s="2"/>
    </row>
    <row r="18" spans="1:40" outlineLevel="1">
      <c r="A18" s="117" t="s">
        <v>233</v>
      </c>
      <c r="B18" s="118"/>
      <c r="D18" s="2" t="s">
        <v>234</v>
      </c>
      <c r="E18" s="137">
        <f>(E14+E15)/E12</f>
        <v>1.1701393301046936</v>
      </c>
      <c r="O18" s="2"/>
      <c r="X18" s="2"/>
    </row>
    <row r="19" spans="1:40" outlineLevel="1">
      <c r="A19" s="2" t="s">
        <v>235</v>
      </c>
      <c r="B19" s="120">
        <v>20</v>
      </c>
      <c r="D19" s="2" t="s">
        <v>627</v>
      </c>
      <c r="E19" s="294">
        <f>'DCP I (CF)'!M5</f>
        <v>6.1443415284156797E-2</v>
      </c>
      <c r="O19" s="2"/>
      <c r="X19" s="2"/>
    </row>
    <row r="20" spans="1:40" ht="13.5" customHeight="1">
      <c r="O20" s="2"/>
      <c r="X20" s="2"/>
    </row>
    <row r="21" spans="1:40">
      <c r="O21" s="2"/>
      <c r="X21" s="2"/>
    </row>
    <row r="22" spans="1:40">
      <c r="O22" s="2"/>
      <c r="X22" s="2"/>
    </row>
    <row r="23" spans="1:40">
      <c r="O23" s="2"/>
      <c r="X23" s="2"/>
    </row>
    <row r="24" spans="1:40">
      <c r="O24" s="2"/>
      <c r="X24" s="2"/>
    </row>
    <row r="25" spans="1:40">
      <c r="O25" s="2"/>
      <c r="X25" s="2"/>
    </row>
    <row r="26" spans="1:40">
      <c r="O26" s="2"/>
      <c r="X26" s="2"/>
    </row>
    <row r="27" spans="1:40">
      <c r="O27" s="2"/>
      <c r="X27" s="2"/>
    </row>
    <row r="28" spans="1:40">
      <c r="O28" s="2"/>
      <c r="X28" s="2"/>
    </row>
    <row r="29" spans="1:40">
      <c r="O29" s="2"/>
      <c r="X29" s="2"/>
    </row>
    <row r="30" spans="1:40" ht="13.5" customHeight="1">
      <c r="K30" s="503" t="s">
        <v>236</v>
      </c>
      <c r="L30" s="504"/>
      <c r="M30" s="504"/>
      <c r="N30" s="504"/>
      <c r="O30" s="504"/>
      <c r="P30" s="504"/>
      <c r="Q30" s="505"/>
      <c r="R30" s="505"/>
      <c r="S30" s="504"/>
      <c r="T30" s="503" t="s">
        <v>237</v>
      </c>
      <c r="U30" s="504"/>
      <c r="V30" s="504"/>
      <c r="W30" s="504"/>
      <c r="X30" s="504"/>
      <c r="Y30" s="504"/>
      <c r="Z30" s="505"/>
      <c r="AA30" s="505"/>
      <c r="AB30" s="504"/>
      <c r="AC30" s="503" t="s">
        <v>238</v>
      </c>
      <c r="AD30" s="504"/>
      <c r="AE30" s="504"/>
      <c r="AF30" s="504"/>
      <c r="AG30" s="504"/>
      <c r="AH30" s="504"/>
      <c r="AI30" s="505"/>
      <c r="AJ30" s="505"/>
      <c r="AK30" s="505"/>
      <c r="AL30" s="505"/>
      <c r="AM30" s="504"/>
    </row>
    <row r="31" spans="1:40" s="141" customFormat="1" ht="39.75" customHeight="1">
      <c r="A31" s="138" t="s">
        <v>239</v>
      </c>
      <c r="B31" s="139" t="s">
        <v>240</v>
      </c>
      <c r="C31" s="139" t="s">
        <v>69</v>
      </c>
      <c r="D31" s="139" t="s">
        <v>241</v>
      </c>
      <c r="E31" s="139" t="s">
        <v>242</v>
      </c>
      <c r="F31" s="139" t="s">
        <v>243</v>
      </c>
      <c r="G31" s="139" t="s">
        <v>244</v>
      </c>
      <c r="H31" s="139" t="s">
        <v>245</v>
      </c>
      <c r="I31" s="139" t="s">
        <v>246</v>
      </c>
      <c r="J31" s="501" t="s">
        <v>247</v>
      </c>
      <c r="K31" s="506" t="s">
        <v>248</v>
      </c>
      <c r="L31" s="506" t="s">
        <v>249</v>
      </c>
      <c r="M31" s="507" t="s">
        <v>250</v>
      </c>
      <c r="N31" s="506" t="s">
        <v>251</v>
      </c>
      <c r="O31" s="507" t="s">
        <v>252</v>
      </c>
      <c r="P31" s="506" t="s">
        <v>115</v>
      </c>
      <c r="Q31" s="507" t="s">
        <v>253</v>
      </c>
      <c r="R31" s="508" t="s">
        <v>254</v>
      </c>
      <c r="S31" s="509" t="s">
        <v>255</v>
      </c>
      <c r="T31" s="506" t="s">
        <v>248</v>
      </c>
      <c r="U31" s="506" t="s">
        <v>726</v>
      </c>
      <c r="V31" s="507" t="s">
        <v>250</v>
      </c>
      <c r="W31" s="506" t="s">
        <v>251</v>
      </c>
      <c r="X31" s="507" t="s">
        <v>252</v>
      </c>
      <c r="Y31" s="506" t="s">
        <v>115</v>
      </c>
      <c r="Z31" s="507" t="s">
        <v>253</v>
      </c>
      <c r="AA31" s="508" t="s">
        <v>254</v>
      </c>
      <c r="AB31" s="509" t="s">
        <v>255</v>
      </c>
      <c r="AC31" s="506" t="s">
        <v>248</v>
      </c>
      <c r="AD31" s="506" t="s">
        <v>249</v>
      </c>
      <c r="AE31" s="507" t="s">
        <v>250</v>
      </c>
      <c r="AF31" s="506" t="s">
        <v>251</v>
      </c>
      <c r="AG31" s="507" t="s">
        <v>252</v>
      </c>
      <c r="AH31" s="506" t="s">
        <v>115</v>
      </c>
      <c r="AI31" s="507" t="s">
        <v>253</v>
      </c>
      <c r="AJ31" s="508" t="s">
        <v>254</v>
      </c>
      <c r="AK31" s="509" t="s">
        <v>255</v>
      </c>
      <c r="AL31" s="508" t="s">
        <v>256</v>
      </c>
      <c r="AM31" s="509" t="s">
        <v>257</v>
      </c>
      <c r="AN31" s="510"/>
    </row>
    <row r="32" spans="1:40">
      <c r="A32" s="2" t="s">
        <v>48</v>
      </c>
      <c r="B32" s="2" t="s">
        <v>727</v>
      </c>
      <c r="C32" s="235" t="s">
        <v>728</v>
      </c>
      <c r="D32" s="374" t="s">
        <v>276</v>
      </c>
      <c r="E32" s="374">
        <v>43070</v>
      </c>
      <c r="F32" s="374" t="s">
        <v>44</v>
      </c>
      <c r="G32" s="374" t="s">
        <v>44</v>
      </c>
      <c r="H32" s="374" t="s">
        <v>44</v>
      </c>
      <c r="I32" s="235" t="s">
        <v>44</v>
      </c>
      <c r="J32" s="512" t="s">
        <v>44</v>
      </c>
      <c r="K32" s="513">
        <v>63</v>
      </c>
      <c r="L32" s="514" t="s">
        <v>44</v>
      </c>
      <c r="M32" s="513">
        <v>37</v>
      </c>
      <c r="N32" s="513">
        <v>88</v>
      </c>
      <c r="O32" s="513">
        <f>M32+N32</f>
        <v>125</v>
      </c>
      <c r="P32" s="268">
        <f>O32/K32</f>
        <v>1.9841269841269842</v>
      </c>
      <c r="Q32" s="515">
        <v>0.13900000000000001</v>
      </c>
      <c r="R32" s="513">
        <v>0</v>
      </c>
      <c r="S32" s="515" t="s">
        <v>44</v>
      </c>
      <c r="T32" s="516">
        <v>63</v>
      </c>
      <c r="U32" s="514">
        <f>T32/T$53</f>
        <v>3.1706089582284852E-2</v>
      </c>
      <c r="V32" s="513">
        <v>39</v>
      </c>
      <c r="W32" s="513">
        <v>74</v>
      </c>
      <c r="X32" s="513">
        <f>V32+W32</f>
        <v>113</v>
      </c>
      <c r="Y32" s="268">
        <f>X32/T32</f>
        <v>1.7936507936507937</v>
      </c>
      <c r="Z32" s="515">
        <v>0.10299999999999999</v>
      </c>
      <c r="AA32" s="513">
        <f>X32-O32</f>
        <v>-12</v>
      </c>
      <c r="AB32" s="515">
        <f>IFERROR(X32/O32-1,0)</f>
        <v>-9.5999999999999974E-2</v>
      </c>
      <c r="AC32" s="516">
        <v>63</v>
      </c>
      <c r="AD32" s="514" t="s">
        <v>44</v>
      </c>
      <c r="AE32" s="513">
        <v>79</v>
      </c>
      <c r="AF32" s="513">
        <v>34</v>
      </c>
      <c r="AG32" s="513">
        <f>AE32+AF32</f>
        <v>113</v>
      </c>
      <c r="AH32" s="268">
        <f>AG32/AC32</f>
        <v>1.7936507936507937</v>
      </c>
      <c r="AI32" s="515">
        <v>0.10299999999999999</v>
      </c>
      <c r="AJ32" s="513" t="s">
        <v>44</v>
      </c>
      <c r="AK32" s="515" t="s">
        <v>44</v>
      </c>
      <c r="AL32" s="513">
        <f>AG32-X32</f>
        <v>0</v>
      </c>
      <c r="AM32" s="515">
        <f>IFERROR(AG32/X32-1,0)</f>
        <v>0</v>
      </c>
    </row>
    <row r="33" spans="1:39">
      <c r="A33" s="2" t="s">
        <v>729</v>
      </c>
      <c r="B33" s="2" t="s">
        <v>730</v>
      </c>
      <c r="C33" s="235" t="s">
        <v>731</v>
      </c>
      <c r="D33" s="374" t="s">
        <v>663</v>
      </c>
      <c r="E33" s="374">
        <v>43070</v>
      </c>
      <c r="F33" s="374" t="s">
        <v>44</v>
      </c>
      <c r="G33" s="374" t="s">
        <v>44</v>
      </c>
      <c r="H33" s="374" t="s">
        <v>44</v>
      </c>
      <c r="I33" s="235" t="s">
        <v>44</v>
      </c>
      <c r="J33" s="518" t="s">
        <v>44</v>
      </c>
      <c r="K33" s="513">
        <v>68</v>
      </c>
      <c r="L33" s="514" t="s">
        <v>44</v>
      </c>
      <c r="M33" s="513">
        <v>0</v>
      </c>
      <c r="N33" s="513">
        <v>18</v>
      </c>
      <c r="O33" s="513">
        <f>N33+M33</f>
        <v>18</v>
      </c>
      <c r="P33" s="269">
        <f>O33/K33</f>
        <v>0.26470588235294118</v>
      </c>
      <c r="Q33" s="515" t="s">
        <v>44</v>
      </c>
      <c r="R33" s="513">
        <v>0</v>
      </c>
      <c r="S33" s="515" t="s">
        <v>44</v>
      </c>
      <c r="T33" s="519">
        <v>68</v>
      </c>
      <c r="U33" s="514">
        <f t="shared" ref="U33:U51" si="0">T33/T$53</f>
        <v>3.4222445898339206E-2</v>
      </c>
      <c r="V33" s="513">
        <v>0</v>
      </c>
      <c r="W33" s="513">
        <v>0</v>
      </c>
      <c r="X33" s="513">
        <f>W33+V33</f>
        <v>0</v>
      </c>
      <c r="Y33" s="268">
        <f>X33/T33</f>
        <v>0</v>
      </c>
      <c r="Z33" s="515" t="s">
        <v>44</v>
      </c>
      <c r="AA33" s="513">
        <f t="shared" ref="AA33:AA51" si="1">X33-O33</f>
        <v>-18</v>
      </c>
      <c r="AB33" s="515">
        <f t="shared" ref="AB33:AB51" si="2">IFERROR(X33/O33-1,0)</f>
        <v>-1</v>
      </c>
      <c r="AC33" s="519">
        <v>68</v>
      </c>
      <c r="AD33" s="514" t="s">
        <v>44</v>
      </c>
      <c r="AE33" s="513">
        <v>0</v>
      </c>
      <c r="AF33" s="513">
        <v>0</v>
      </c>
      <c r="AG33" s="513">
        <f>AF33+AE33</f>
        <v>0</v>
      </c>
      <c r="AH33" s="268">
        <f>AG33/AC33</f>
        <v>0</v>
      </c>
      <c r="AI33" s="515" t="s">
        <v>44</v>
      </c>
      <c r="AJ33" s="513" t="s">
        <v>44</v>
      </c>
      <c r="AK33" s="515" t="s">
        <v>44</v>
      </c>
      <c r="AL33" s="513">
        <f t="shared" ref="AL33:AL51" si="3">AG33-X33</f>
        <v>0</v>
      </c>
      <c r="AM33" s="515">
        <f t="shared" ref="AM33:AM51" si="4">IFERROR(AG33/X33-1,0)</f>
        <v>0</v>
      </c>
    </row>
    <row r="34" spans="1:39">
      <c r="A34" s="2" t="s">
        <v>732</v>
      </c>
      <c r="B34" s="2" t="s">
        <v>733</v>
      </c>
      <c r="C34" s="235" t="s">
        <v>260</v>
      </c>
      <c r="D34" s="374" t="s">
        <v>261</v>
      </c>
      <c r="E34" s="374">
        <v>43101</v>
      </c>
      <c r="F34" s="374" t="s">
        <v>647</v>
      </c>
      <c r="G34" s="374" t="s">
        <v>734</v>
      </c>
      <c r="H34" s="374">
        <v>44228</v>
      </c>
      <c r="I34" s="235" t="s">
        <v>735</v>
      </c>
      <c r="J34" s="518">
        <f>YEAR(H34)-YEAR(E34)</f>
        <v>3</v>
      </c>
      <c r="K34" s="513">
        <v>56</v>
      </c>
      <c r="L34" s="514" t="s">
        <v>44</v>
      </c>
      <c r="M34" s="513">
        <v>106</v>
      </c>
      <c r="N34" s="513">
        <v>0</v>
      </c>
      <c r="O34" s="513">
        <f t="shared" ref="O34:O51" si="5">N34+M34</f>
        <v>106</v>
      </c>
      <c r="P34" s="269">
        <f t="shared" ref="P34:P56" si="6">O34/K34</f>
        <v>1.8928571428571428</v>
      </c>
      <c r="Q34" s="515">
        <v>0.36599999999999999</v>
      </c>
      <c r="R34" s="513">
        <v>0</v>
      </c>
      <c r="S34" s="515" t="s">
        <v>44</v>
      </c>
      <c r="T34" s="519">
        <v>56</v>
      </c>
      <c r="U34" s="514">
        <f t="shared" si="0"/>
        <v>2.8183190739808756E-2</v>
      </c>
      <c r="V34" s="513">
        <v>106</v>
      </c>
      <c r="W34" s="513">
        <v>0</v>
      </c>
      <c r="X34" s="513">
        <f t="shared" ref="X34:X51" si="7">W34+V34</f>
        <v>106</v>
      </c>
      <c r="Y34" s="268">
        <f t="shared" ref="Y34:Y51" si="8">X34/T34</f>
        <v>1.8928571428571428</v>
      </c>
      <c r="Z34" s="515">
        <v>0.36599999999999999</v>
      </c>
      <c r="AA34" s="513">
        <f t="shared" si="1"/>
        <v>0</v>
      </c>
      <c r="AB34" s="515">
        <f t="shared" si="2"/>
        <v>0</v>
      </c>
      <c r="AC34" s="519">
        <v>56</v>
      </c>
      <c r="AD34" s="514" t="s">
        <v>44</v>
      </c>
      <c r="AE34" s="513">
        <v>106</v>
      </c>
      <c r="AF34" s="513">
        <v>0</v>
      </c>
      <c r="AG34" s="513">
        <f t="shared" ref="AG34:AG51" si="9">AF34+AE34</f>
        <v>106</v>
      </c>
      <c r="AH34" s="268">
        <f t="shared" ref="AH34:AH51" si="10">AG34/AC34</f>
        <v>1.8928571428571428</v>
      </c>
      <c r="AI34" s="515">
        <v>0.36599999999999999</v>
      </c>
      <c r="AJ34" s="513" t="s">
        <v>44</v>
      </c>
      <c r="AK34" s="515" t="s">
        <v>44</v>
      </c>
      <c r="AL34" s="513">
        <f t="shared" si="3"/>
        <v>0</v>
      </c>
      <c r="AM34" s="515">
        <f t="shared" si="4"/>
        <v>0</v>
      </c>
    </row>
    <row r="35" spans="1:39">
      <c r="A35" s="2" t="s">
        <v>736</v>
      </c>
      <c r="B35" s="2" t="s">
        <v>737</v>
      </c>
      <c r="C35" s="235" t="s">
        <v>264</v>
      </c>
      <c r="D35" s="374" t="s">
        <v>261</v>
      </c>
      <c r="E35" s="374">
        <v>43132</v>
      </c>
      <c r="F35" s="374" t="s">
        <v>44</v>
      </c>
      <c r="G35" s="374" t="s">
        <v>44</v>
      </c>
      <c r="H35" s="374">
        <v>45231</v>
      </c>
      <c r="I35" s="235" t="s">
        <v>738</v>
      </c>
      <c r="J35" s="518">
        <f>YEAR(H35)-YEAR(E35)</f>
        <v>5</v>
      </c>
      <c r="K35" s="513">
        <v>113</v>
      </c>
      <c r="L35" s="514" t="s">
        <v>44</v>
      </c>
      <c r="M35" s="513">
        <v>283</v>
      </c>
      <c r="N35" s="513">
        <v>16</v>
      </c>
      <c r="O35" s="513">
        <f t="shared" si="5"/>
        <v>299</v>
      </c>
      <c r="P35" s="269">
        <f t="shared" si="6"/>
        <v>2.6460176991150441</v>
      </c>
      <c r="Q35" s="515">
        <v>0.17899999999999999</v>
      </c>
      <c r="R35" s="513">
        <v>0</v>
      </c>
      <c r="S35" s="515" t="s">
        <v>44</v>
      </c>
      <c r="T35" s="519">
        <v>113</v>
      </c>
      <c r="U35" s="514">
        <f t="shared" si="0"/>
        <v>5.6869652742828382E-2</v>
      </c>
      <c r="V35" s="513">
        <v>302</v>
      </c>
      <c r="W35" s="513">
        <v>0</v>
      </c>
      <c r="X35" s="513">
        <f t="shared" si="7"/>
        <v>302</v>
      </c>
      <c r="Y35" s="268">
        <f t="shared" si="8"/>
        <v>2.6725663716814161</v>
      </c>
      <c r="Z35" s="515">
        <v>0.18</v>
      </c>
      <c r="AA35" s="513">
        <f t="shared" si="1"/>
        <v>3</v>
      </c>
      <c r="AB35" s="515">
        <f t="shared" si="2"/>
        <v>1.0033444816053505E-2</v>
      </c>
      <c r="AC35" s="519">
        <v>113</v>
      </c>
      <c r="AD35" s="514" t="s">
        <v>44</v>
      </c>
      <c r="AE35" s="513">
        <v>302</v>
      </c>
      <c r="AF35" s="513">
        <v>0</v>
      </c>
      <c r="AG35" s="513">
        <f t="shared" si="9"/>
        <v>302</v>
      </c>
      <c r="AH35" s="268">
        <f t="shared" si="10"/>
        <v>2.6725663716814161</v>
      </c>
      <c r="AI35" s="515">
        <v>0.18</v>
      </c>
      <c r="AJ35" s="513" t="s">
        <v>44</v>
      </c>
      <c r="AK35" s="515" t="s">
        <v>44</v>
      </c>
      <c r="AL35" s="513">
        <f t="shared" si="3"/>
        <v>0</v>
      </c>
      <c r="AM35" s="515">
        <f t="shared" si="4"/>
        <v>0</v>
      </c>
    </row>
    <row r="36" spans="1:39">
      <c r="A36" s="2" t="s">
        <v>739</v>
      </c>
      <c r="B36" s="2" t="s">
        <v>740</v>
      </c>
      <c r="C36" s="235" t="s">
        <v>273</v>
      </c>
      <c r="D36" s="374" t="s">
        <v>276</v>
      </c>
      <c r="E36" s="374">
        <v>43252</v>
      </c>
      <c r="F36" s="374">
        <v>43800</v>
      </c>
      <c r="G36" s="374" t="s">
        <v>741</v>
      </c>
      <c r="H36" s="374" t="s">
        <v>44</v>
      </c>
      <c r="I36" s="235" t="s">
        <v>44</v>
      </c>
      <c r="J36" s="518" t="s">
        <v>44</v>
      </c>
      <c r="K36" s="513">
        <v>56</v>
      </c>
      <c r="L36" s="514" t="s">
        <v>44</v>
      </c>
      <c r="M36" s="513">
        <v>38</v>
      </c>
      <c r="N36" s="513">
        <v>18</v>
      </c>
      <c r="O36" s="513">
        <f t="shared" si="5"/>
        <v>56</v>
      </c>
      <c r="P36" s="269">
        <f t="shared" si="6"/>
        <v>1</v>
      </c>
      <c r="Q36" s="515">
        <v>2E-3</v>
      </c>
      <c r="R36" s="513">
        <v>0</v>
      </c>
      <c r="S36" s="515" t="s">
        <v>44</v>
      </c>
      <c r="T36" s="519">
        <v>56</v>
      </c>
      <c r="U36" s="514">
        <f t="shared" si="0"/>
        <v>2.8183190739808756E-2</v>
      </c>
      <c r="V36" s="513">
        <v>38</v>
      </c>
      <c r="W36" s="513">
        <v>18</v>
      </c>
      <c r="X36" s="513">
        <f t="shared" si="7"/>
        <v>56</v>
      </c>
      <c r="Y36" s="268">
        <f t="shared" si="8"/>
        <v>1</v>
      </c>
      <c r="Z36" s="515">
        <v>2E-3</v>
      </c>
      <c r="AA36" s="513">
        <f t="shared" si="1"/>
        <v>0</v>
      </c>
      <c r="AB36" s="515">
        <f t="shared" si="2"/>
        <v>0</v>
      </c>
      <c r="AC36" s="519">
        <v>56</v>
      </c>
      <c r="AD36" s="514" t="s">
        <v>44</v>
      </c>
      <c r="AE36" s="513">
        <v>38</v>
      </c>
      <c r="AF36" s="513">
        <v>7</v>
      </c>
      <c r="AG36" s="513">
        <f t="shared" si="9"/>
        <v>45</v>
      </c>
      <c r="AH36" s="268">
        <f t="shared" si="10"/>
        <v>0.8035714285714286</v>
      </c>
      <c r="AI36" s="515">
        <v>2E-3</v>
      </c>
      <c r="AJ36" s="513" t="s">
        <v>44</v>
      </c>
      <c r="AK36" s="515" t="s">
        <v>44</v>
      </c>
      <c r="AL36" s="513">
        <f t="shared" si="3"/>
        <v>-11</v>
      </c>
      <c r="AM36" s="515">
        <f t="shared" si="4"/>
        <v>-0.1964285714285714</v>
      </c>
    </row>
    <row r="37" spans="1:39">
      <c r="A37" s="2" t="s">
        <v>742</v>
      </c>
      <c r="B37" s="2" t="s">
        <v>743</v>
      </c>
      <c r="C37" s="235" t="s">
        <v>113</v>
      </c>
      <c r="D37" s="374" t="s">
        <v>276</v>
      </c>
      <c r="E37" s="374">
        <v>43252</v>
      </c>
      <c r="F37" s="374" t="s">
        <v>647</v>
      </c>
      <c r="G37" s="374" t="s">
        <v>744</v>
      </c>
      <c r="H37" s="374" t="s">
        <v>44</v>
      </c>
      <c r="I37" s="235" t="s">
        <v>44</v>
      </c>
      <c r="J37" s="518" t="s">
        <v>44</v>
      </c>
      <c r="K37" s="513">
        <v>317</v>
      </c>
      <c r="L37" s="514" t="s">
        <v>44</v>
      </c>
      <c r="M37" s="513">
        <v>113</v>
      </c>
      <c r="N37" s="513">
        <v>232</v>
      </c>
      <c r="O37" s="513">
        <f t="shared" si="5"/>
        <v>345</v>
      </c>
      <c r="P37" s="269">
        <f t="shared" si="6"/>
        <v>1.0883280757097791</v>
      </c>
      <c r="Q37" s="515">
        <v>0.03</v>
      </c>
      <c r="R37" s="513">
        <v>0</v>
      </c>
      <c r="S37" s="515" t="s">
        <v>44</v>
      </c>
      <c r="T37" s="519">
        <v>317</v>
      </c>
      <c r="U37" s="514">
        <f t="shared" si="0"/>
        <v>0.159536990437846</v>
      </c>
      <c r="V37" s="513">
        <v>144</v>
      </c>
      <c r="W37" s="513">
        <v>220</v>
      </c>
      <c r="X37" s="513">
        <f t="shared" si="7"/>
        <v>364</v>
      </c>
      <c r="Y37" s="268">
        <f t="shared" si="8"/>
        <v>1.1482649842271293</v>
      </c>
      <c r="Z37" s="515">
        <v>3.9E-2</v>
      </c>
      <c r="AA37" s="513">
        <f t="shared" si="1"/>
        <v>19</v>
      </c>
      <c r="AB37" s="515">
        <f t="shared" si="2"/>
        <v>5.507246376811592E-2</v>
      </c>
      <c r="AC37" s="519">
        <v>317</v>
      </c>
      <c r="AD37" s="514" t="s">
        <v>44</v>
      </c>
      <c r="AE37" s="513">
        <v>144</v>
      </c>
      <c r="AF37" s="513">
        <v>246</v>
      </c>
      <c r="AG37" s="513">
        <f t="shared" si="9"/>
        <v>390</v>
      </c>
      <c r="AH37" s="268">
        <f t="shared" si="10"/>
        <v>1.2302839116719242</v>
      </c>
      <c r="AI37" s="515">
        <v>3.9E-2</v>
      </c>
      <c r="AJ37" s="513" t="s">
        <v>44</v>
      </c>
      <c r="AK37" s="515" t="s">
        <v>44</v>
      </c>
      <c r="AL37" s="513">
        <f t="shared" si="3"/>
        <v>26</v>
      </c>
      <c r="AM37" s="515">
        <f t="shared" si="4"/>
        <v>7.1428571428571397E-2</v>
      </c>
    </row>
    <row r="38" spans="1:39">
      <c r="A38" s="2" t="s">
        <v>745</v>
      </c>
      <c r="B38" s="2" t="s">
        <v>746</v>
      </c>
      <c r="C38" s="235" t="s">
        <v>264</v>
      </c>
      <c r="D38" s="374" t="s">
        <v>276</v>
      </c>
      <c r="E38" s="374">
        <v>43617</v>
      </c>
      <c r="F38" s="374" t="s">
        <v>44</v>
      </c>
      <c r="G38" s="374" t="s">
        <v>44</v>
      </c>
      <c r="H38" s="374" t="s">
        <v>44</v>
      </c>
      <c r="I38" s="235" t="s">
        <v>44</v>
      </c>
      <c r="J38" s="518" t="s">
        <v>44</v>
      </c>
      <c r="K38" s="513">
        <v>228</v>
      </c>
      <c r="L38" s="514" t="s">
        <v>44</v>
      </c>
      <c r="M38" s="513">
        <v>0</v>
      </c>
      <c r="N38" s="513">
        <v>364</v>
      </c>
      <c r="O38" s="513">
        <f t="shared" si="5"/>
        <v>364</v>
      </c>
      <c r="P38" s="269">
        <f t="shared" si="6"/>
        <v>1.5964912280701755</v>
      </c>
      <c r="Q38" s="515">
        <v>0.13400000000000001</v>
      </c>
      <c r="R38" s="513">
        <v>0</v>
      </c>
      <c r="S38" s="515" t="s">
        <v>44</v>
      </c>
      <c r="T38" s="519">
        <v>284</v>
      </c>
      <c r="U38" s="514">
        <f t="shared" si="0"/>
        <v>0.14292903875188726</v>
      </c>
      <c r="V38" s="513">
        <v>3</v>
      </c>
      <c r="W38" s="513">
        <v>448</v>
      </c>
      <c r="X38" s="513">
        <f t="shared" si="7"/>
        <v>451</v>
      </c>
      <c r="Y38" s="268">
        <f t="shared" si="8"/>
        <v>1.5880281690140845</v>
      </c>
      <c r="Z38" s="515">
        <v>0.122</v>
      </c>
      <c r="AA38" s="513">
        <f t="shared" si="1"/>
        <v>87</v>
      </c>
      <c r="AB38" s="515">
        <f t="shared" si="2"/>
        <v>0.23901098901098905</v>
      </c>
      <c r="AC38" s="519">
        <v>284</v>
      </c>
      <c r="AD38" s="514" t="s">
        <v>44</v>
      </c>
      <c r="AE38" s="513">
        <v>5</v>
      </c>
      <c r="AF38" s="513">
        <v>442</v>
      </c>
      <c r="AG38" s="513">
        <f t="shared" si="9"/>
        <v>447</v>
      </c>
      <c r="AH38" s="268">
        <f t="shared" si="10"/>
        <v>1.573943661971831</v>
      </c>
      <c r="AI38" s="515">
        <v>0.122</v>
      </c>
      <c r="AJ38" s="513" t="s">
        <v>44</v>
      </c>
      <c r="AK38" s="515" t="s">
        <v>44</v>
      </c>
      <c r="AL38" s="513">
        <f t="shared" si="3"/>
        <v>-4</v>
      </c>
      <c r="AM38" s="515">
        <f t="shared" si="4"/>
        <v>-8.8691796008869561E-3</v>
      </c>
    </row>
    <row r="39" spans="1:39">
      <c r="A39" s="2" t="s">
        <v>747</v>
      </c>
      <c r="B39" s="2" t="s">
        <v>748</v>
      </c>
      <c r="C39" s="235" t="s">
        <v>260</v>
      </c>
      <c r="D39" s="374" t="s">
        <v>261</v>
      </c>
      <c r="E39" s="374">
        <v>43770</v>
      </c>
      <c r="F39" s="374" t="s">
        <v>44</v>
      </c>
      <c r="G39" s="374" t="s">
        <v>44</v>
      </c>
      <c r="H39" s="374">
        <v>45717</v>
      </c>
      <c r="I39" s="235" t="s">
        <v>738</v>
      </c>
      <c r="J39" s="518">
        <f>YEAR(H39)-YEAR(E39)</f>
        <v>6</v>
      </c>
      <c r="K39" s="513">
        <v>85</v>
      </c>
      <c r="L39" s="514" t="s">
        <v>44</v>
      </c>
      <c r="M39" s="513">
        <v>105</v>
      </c>
      <c r="N39" s="513">
        <v>123</v>
      </c>
      <c r="O39" s="513">
        <f t="shared" si="5"/>
        <v>228</v>
      </c>
      <c r="P39" s="269">
        <f t="shared" si="6"/>
        <v>2.6823529411764704</v>
      </c>
      <c r="Q39" s="515">
        <v>0.39</v>
      </c>
      <c r="R39" s="513">
        <v>0</v>
      </c>
      <c r="S39" s="515" t="s">
        <v>44</v>
      </c>
      <c r="T39" s="519">
        <v>85</v>
      </c>
      <c r="U39" s="514">
        <f t="shared" si="0"/>
        <v>4.2778057372924005E-2</v>
      </c>
      <c r="V39" s="513">
        <v>105</v>
      </c>
      <c r="W39" s="513">
        <v>110</v>
      </c>
      <c r="X39" s="513">
        <f t="shared" si="7"/>
        <v>215</v>
      </c>
      <c r="Y39" s="268">
        <f t="shared" si="8"/>
        <v>2.5294117647058822</v>
      </c>
      <c r="Z39" s="515">
        <v>0.32200000000000001</v>
      </c>
      <c r="AA39" s="513">
        <f t="shared" si="1"/>
        <v>-13</v>
      </c>
      <c r="AB39" s="515">
        <f t="shared" si="2"/>
        <v>-5.7017543859649078E-2</v>
      </c>
      <c r="AC39" s="519">
        <v>85</v>
      </c>
      <c r="AD39" s="514" t="s">
        <v>44</v>
      </c>
      <c r="AE39" s="513">
        <v>216</v>
      </c>
      <c r="AF39" s="513">
        <v>0</v>
      </c>
      <c r="AG39" s="513">
        <f t="shared" si="9"/>
        <v>216</v>
      </c>
      <c r="AH39" s="268">
        <f t="shared" si="10"/>
        <v>2.5411764705882351</v>
      </c>
      <c r="AI39" s="515">
        <v>0.32200000000000001</v>
      </c>
      <c r="AJ39" s="513" t="s">
        <v>44</v>
      </c>
      <c r="AK39" s="515" t="s">
        <v>44</v>
      </c>
      <c r="AL39" s="513">
        <f t="shared" si="3"/>
        <v>1</v>
      </c>
      <c r="AM39" s="515">
        <f t="shared" si="4"/>
        <v>4.6511627906977715E-3</v>
      </c>
    </row>
    <row r="40" spans="1:39">
      <c r="A40" s="2" t="s">
        <v>749</v>
      </c>
      <c r="B40" s="2" t="s">
        <v>750</v>
      </c>
      <c r="C40" s="235" t="s">
        <v>113</v>
      </c>
      <c r="D40" s="374" t="s">
        <v>276</v>
      </c>
      <c r="E40" s="374">
        <v>43862</v>
      </c>
      <c r="F40" s="374" t="s">
        <v>44</v>
      </c>
      <c r="G40" s="374" t="s">
        <v>44</v>
      </c>
      <c r="H40" s="374" t="s">
        <v>44</v>
      </c>
      <c r="I40" s="235" t="s">
        <v>44</v>
      </c>
      <c r="J40" s="518" t="s">
        <v>44</v>
      </c>
      <c r="K40" s="513">
        <v>29</v>
      </c>
      <c r="L40" s="514" t="s">
        <v>44</v>
      </c>
      <c r="M40" s="513">
        <v>2</v>
      </c>
      <c r="N40" s="513">
        <v>64</v>
      </c>
      <c r="O40" s="513">
        <f t="shared" si="5"/>
        <v>66</v>
      </c>
      <c r="P40" s="269">
        <f t="shared" si="6"/>
        <v>2.2758620689655173</v>
      </c>
      <c r="Q40" s="515">
        <v>0.23599999999999999</v>
      </c>
      <c r="R40" s="513">
        <v>0</v>
      </c>
      <c r="S40" s="515" t="s">
        <v>44</v>
      </c>
      <c r="T40" s="519">
        <v>29</v>
      </c>
      <c r="U40" s="514">
        <f t="shared" si="0"/>
        <v>1.4594866633115249E-2</v>
      </c>
      <c r="V40" s="513">
        <v>5</v>
      </c>
      <c r="W40" s="513">
        <v>51</v>
      </c>
      <c r="X40" s="513">
        <f t="shared" si="7"/>
        <v>56</v>
      </c>
      <c r="Y40" s="268">
        <f t="shared" si="8"/>
        <v>1.9310344827586208</v>
      </c>
      <c r="Z40" s="515">
        <v>0.151</v>
      </c>
      <c r="AA40" s="513">
        <f t="shared" si="1"/>
        <v>-10</v>
      </c>
      <c r="AB40" s="515">
        <f t="shared" si="2"/>
        <v>-0.15151515151515149</v>
      </c>
      <c r="AC40" s="519">
        <v>29</v>
      </c>
      <c r="AD40" s="514" t="s">
        <v>44</v>
      </c>
      <c r="AE40" s="513">
        <v>5</v>
      </c>
      <c r="AF40" s="513">
        <v>52</v>
      </c>
      <c r="AG40" s="513">
        <f t="shared" si="9"/>
        <v>57</v>
      </c>
      <c r="AH40" s="268">
        <f t="shared" si="10"/>
        <v>1.9655172413793103</v>
      </c>
      <c r="AI40" s="515">
        <v>0.151</v>
      </c>
      <c r="AJ40" s="513" t="s">
        <v>44</v>
      </c>
      <c r="AK40" s="515" t="s">
        <v>44</v>
      </c>
      <c r="AL40" s="513">
        <f t="shared" si="3"/>
        <v>1</v>
      </c>
      <c r="AM40" s="515">
        <f t="shared" si="4"/>
        <v>1.7857142857142794E-2</v>
      </c>
    </row>
    <row r="41" spans="1:39">
      <c r="A41" s="2" t="s">
        <v>751</v>
      </c>
      <c r="B41" s="2" t="s">
        <v>752</v>
      </c>
      <c r="C41" s="235" t="s">
        <v>260</v>
      </c>
      <c r="D41" s="374" t="s">
        <v>261</v>
      </c>
      <c r="E41" s="374">
        <v>43952</v>
      </c>
      <c r="F41" s="374" t="s">
        <v>647</v>
      </c>
      <c r="G41" s="374" t="s">
        <v>753</v>
      </c>
      <c r="H41" s="374">
        <v>45383</v>
      </c>
      <c r="I41" s="235" t="s">
        <v>735</v>
      </c>
      <c r="J41" s="518">
        <f>YEAR(H41)-YEAR(E41)</f>
        <v>4</v>
      </c>
      <c r="K41" s="513">
        <v>100</v>
      </c>
      <c r="L41" s="514" t="s">
        <v>44</v>
      </c>
      <c r="M41" s="513">
        <v>169</v>
      </c>
      <c r="N41" s="513">
        <v>105</v>
      </c>
      <c r="O41" s="513">
        <f t="shared" si="5"/>
        <v>274</v>
      </c>
      <c r="P41" s="269">
        <f t="shared" si="6"/>
        <v>2.74</v>
      </c>
      <c r="Q41" s="515">
        <v>0.41799999999999998</v>
      </c>
      <c r="R41" s="513">
        <v>0</v>
      </c>
      <c r="S41" s="515" t="s">
        <v>44</v>
      </c>
      <c r="T41" s="519">
        <v>100</v>
      </c>
      <c r="U41" s="514">
        <f t="shared" si="0"/>
        <v>5.0327126321087066E-2</v>
      </c>
      <c r="V41" s="513">
        <v>288</v>
      </c>
      <c r="W41" s="513">
        <v>0</v>
      </c>
      <c r="X41" s="513">
        <f t="shared" si="7"/>
        <v>288</v>
      </c>
      <c r="Y41" s="268">
        <f t="shared" si="8"/>
        <v>2.88</v>
      </c>
      <c r="Z41" s="515">
        <v>0.42899999999999999</v>
      </c>
      <c r="AA41" s="513">
        <f t="shared" si="1"/>
        <v>14</v>
      </c>
      <c r="AB41" s="515">
        <f t="shared" si="2"/>
        <v>5.1094890510948954E-2</v>
      </c>
      <c r="AC41" s="519">
        <v>100</v>
      </c>
      <c r="AD41" s="514" t="s">
        <v>44</v>
      </c>
      <c r="AE41" s="513">
        <v>288</v>
      </c>
      <c r="AF41" s="513">
        <v>0</v>
      </c>
      <c r="AG41" s="513">
        <f t="shared" si="9"/>
        <v>288</v>
      </c>
      <c r="AH41" s="268">
        <f t="shared" si="10"/>
        <v>2.88</v>
      </c>
      <c r="AI41" s="515">
        <v>0.42899999999999999</v>
      </c>
      <c r="AJ41" s="513" t="s">
        <v>44</v>
      </c>
      <c r="AK41" s="515" t="s">
        <v>44</v>
      </c>
      <c r="AL41" s="513">
        <f t="shared" si="3"/>
        <v>0</v>
      </c>
      <c r="AM41" s="515">
        <f t="shared" si="4"/>
        <v>0</v>
      </c>
    </row>
    <row r="42" spans="1:39">
      <c r="A42" s="2" t="s">
        <v>754</v>
      </c>
      <c r="B42" s="2" t="s">
        <v>755</v>
      </c>
      <c r="C42" s="235" t="s">
        <v>273</v>
      </c>
      <c r="D42" s="374" t="s">
        <v>276</v>
      </c>
      <c r="E42" s="374">
        <v>44044</v>
      </c>
      <c r="F42" s="374" t="s">
        <v>44</v>
      </c>
      <c r="G42" s="374" t="s">
        <v>44</v>
      </c>
      <c r="H42" s="374" t="s">
        <v>44</v>
      </c>
      <c r="I42" s="235" t="s">
        <v>44</v>
      </c>
      <c r="J42" s="518" t="s">
        <v>44</v>
      </c>
      <c r="K42" s="513">
        <v>56</v>
      </c>
      <c r="L42" s="514" t="s">
        <v>44</v>
      </c>
      <c r="M42" s="513">
        <v>20</v>
      </c>
      <c r="N42" s="513">
        <v>33</v>
      </c>
      <c r="O42" s="513">
        <f t="shared" si="5"/>
        <v>53</v>
      </c>
      <c r="P42" s="269">
        <f t="shared" si="6"/>
        <v>0.9464285714285714</v>
      </c>
      <c r="Q42" s="515" t="s">
        <v>44</v>
      </c>
      <c r="R42" s="513">
        <v>0</v>
      </c>
      <c r="S42" s="515" t="s">
        <v>44</v>
      </c>
      <c r="T42" s="519">
        <v>56</v>
      </c>
      <c r="U42" s="514">
        <f t="shared" si="0"/>
        <v>2.8183190739808756E-2</v>
      </c>
      <c r="V42" s="513">
        <v>20</v>
      </c>
      <c r="W42" s="513">
        <v>32</v>
      </c>
      <c r="X42" s="513">
        <f t="shared" si="7"/>
        <v>52</v>
      </c>
      <c r="Y42" s="268">
        <f t="shared" si="8"/>
        <v>0.9285714285714286</v>
      </c>
      <c r="Z42" s="515" t="s">
        <v>44</v>
      </c>
      <c r="AA42" s="513">
        <f t="shared" si="1"/>
        <v>-1</v>
      </c>
      <c r="AB42" s="515">
        <f t="shared" si="2"/>
        <v>-1.8867924528301883E-2</v>
      </c>
      <c r="AC42" s="519">
        <v>56</v>
      </c>
      <c r="AD42" s="514" t="s">
        <v>44</v>
      </c>
      <c r="AE42" s="513">
        <v>20</v>
      </c>
      <c r="AF42" s="513">
        <v>32</v>
      </c>
      <c r="AG42" s="513">
        <f t="shared" si="9"/>
        <v>52</v>
      </c>
      <c r="AH42" s="268">
        <f t="shared" si="10"/>
        <v>0.9285714285714286</v>
      </c>
      <c r="AI42" s="515" t="s">
        <v>44</v>
      </c>
      <c r="AJ42" s="513" t="s">
        <v>44</v>
      </c>
      <c r="AK42" s="515" t="s">
        <v>44</v>
      </c>
      <c r="AL42" s="513">
        <f t="shared" si="3"/>
        <v>0</v>
      </c>
      <c r="AM42" s="515">
        <f t="shared" si="4"/>
        <v>0</v>
      </c>
    </row>
    <row r="43" spans="1:39">
      <c r="A43" s="2" t="s">
        <v>756</v>
      </c>
      <c r="B43" s="2" t="s">
        <v>757</v>
      </c>
      <c r="C43" s="235" t="s">
        <v>273</v>
      </c>
      <c r="D43" s="374" t="s">
        <v>276</v>
      </c>
      <c r="E43" s="374">
        <v>44075</v>
      </c>
      <c r="F43" s="374" t="s">
        <v>647</v>
      </c>
      <c r="G43" s="374" t="s">
        <v>758</v>
      </c>
      <c r="H43" s="374" t="s">
        <v>44</v>
      </c>
      <c r="I43" s="235" t="s">
        <v>44</v>
      </c>
      <c r="J43" s="518" t="s">
        <v>44</v>
      </c>
      <c r="K43" s="513">
        <v>167</v>
      </c>
      <c r="L43" s="514" t="s">
        <v>44</v>
      </c>
      <c r="M43" s="513">
        <v>15</v>
      </c>
      <c r="N43" s="513">
        <v>195</v>
      </c>
      <c r="O43" s="513">
        <f t="shared" si="5"/>
        <v>210</v>
      </c>
      <c r="P43" s="269">
        <f t="shared" si="6"/>
        <v>1.2574850299401197</v>
      </c>
      <c r="Q43" s="515">
        <v>6.7000000000000004E-2</v>
      </c>
      <c r="R43" s="513">
        <v>0</v>
      </c>
      <c r="S43" s="515" t="s">
        <v>44</v>
      </c>
      <c r="T43" s="519">
        <v>167</v>
      </c>
      <c r="U43" s="514">
        <f t="shared" si="0"/>
        <v>8.4046300956215403E-2</v>
      </c>
      <c r="V43" s="513">
        <v>47</v>
      </c>
      <c r="W43" s="513">
        <v>120</v>
      </c>
      <c r="X43" s="513">
        <f t="shared" si="7"/>
        <v>167</v>
      </c>
      <c r="Y43" s="268">
        <f t="shared" si="8"/>
        <v>1</v>
      </c>
      <c r="Z43" s="515">
        <v>2E-3</v>
      </c>
      <c r="AA43" s="513">
        <f t="shared" si="1"/>
        <v>-43</v>
      </c>
      <c r="AB43" s="515">
        <f t="shared" si="2"/>
        <v>-0.20476190476190481</v>
      </c>
      <c r="AC43" s="519">
        <v>167</v>
      </c>
      <c r="AD43" s="514" t="s">
        <v>44</v>
      </c>
      <c r="AE43" s="513">
        <v>47</v>
      </c>
      <c r="AF43" s="513">
        <v>113</v>
      </c>
      <c r="AG43" s="513">
        <f t="shared" si="9"/>
        <v>160</v>
      </c>
      <c r="AH43" s="268">
        <f t="shared" si="10"/>
        <v>0.95808383233532934</v>
      </c>
      <c r="AI43" s="515">
        <v>2E-3</v>
      </c>
      <c r="AJ43" s="513" t="s">
        <v>44</v>
      </c>
      <c r="AK43" s="515" t="s">
        <v>44</v>
      </c>
      <c r="AL43" s="513">
        <f t="shared" si="3"/>
        <v>-7</v>
      </c>
      <c r="AM43" s="515">
        <f t="shared" si="4"/>
        <v>-4.1916167664670656E-2</v>
      </c>
    </row>
    <row r="44" spans="1:39">
      <c r="A44" s="2" t="s">
        <v>759</v>
      </c>
      <c r="B44" s="2" t="s">
        <v>760</v>
      </c>
      <c r="C44" s="235" t="s">
        <v>112</v>
      </c>
      <c r="D44" s="374" t="s">
        <v>584</v>
      </c>
      <c r="E44" s="374">
        <v>44105</v>
      </c>
      <c r="F44" s="374" t="s">
        <v>44</v>
      </c>
      <c r="G44" s="374" t="s">
        <v>44</v>
      </c>
      <c r="H44" s="374" t="s">
        <v>44</v>
      </c>
      <c r="I44" s="235" t="s">
        <v>44</v>
      </c>
      <c r="J44" s="518" t="s">
        <v>44</v>
      </c>
      <c r="K44" s="513">
        <v>66</v>
      </c>
      <c r="L44" s="514" t="s">
        <v>44</v>
      </c>
      <c r="M44" s="513">
        <v>0</v>
      </c>
      <c r="N44" s="513">
        <v>35</v>
      </c>
      <c r="O44" s="513">
        <f t="shared" si="5"/>
        <v>35</v>
      </c>
      <c r="P44" s="269">
        <f t="shared" si="6"/>
        <v>0.53030303030303028</v>
      </c>
      <c r="Q44" s="515" t="s">
        <v>44</v>
      </c>
      <c r="R44" s="513">
        <v>0</v>
      </c>
      <c r="S44" s="515" t="s">
        <v>44</v>
      </c>
      <c r="T44" s="519">
        <v>66</v>
      </c>
      <c r="U44" s="514">
        <f t="shared" si="0"/>
        <v>3.321590337191746E-2</v>
      </c>
      <c r="V44" s="513">
        <v>0</v>
      </c>
      <c r="W44" s="513">
        <v>43</v>
      </c>
      <c r="X44" s="513">
        <f t="shared" si="7"/>
        <v>43</v>
      </c>
      <c r="Y44" s="268">
        <f t="shared" si="8"/>
        <v>0.65151515151515149</v>
      </c>
      <c r="Z44" s="515" t="s">
        <v>44</v>
      </c>
      <c r="AA44" s="513">
        <f t="shared" si="1"/>
        <v>8</v>
      </c>
      <c r="AB44" s="515">
        <f t="shared" si="2"/>
        <v>0.22857142857142865</v>
      </c>
      <c r="AC44" s="519">
        <v>66</v>
      </c>
      <c r="AD44" s="514" t="s">
        <v>44</v>
      </c>
      <c r="AE44" s="513">
        <v>0</v>
      </c>
      <c r="AF44" s="513">
        <v>45</v>
      </c>
      <c r="AG44" s="513">
        <f t="shared" si="9"/>
        <v>45</v>
      </c>
      <c r="AH44" s="268">
        <f t="shared" si="10"/>
        <v>0.68181818181818177</v>
      </c>
      <c r="AI44" s="515" t="s">
        <v>44</v>
      </c>
      <c r="AJ44" s="513" t="s">
        <v>44</v>
      </c>
      <c r="AK44" s="515" t="s">
        <v>44</v>
      </c>
      <c r="AL44" s="513">
        <f t="shared" si="3"/>
        <v>2</v>
      </c>
      <c r="AM44" s="515">
        <f t="shared" si="4"/>
        <v>4.6511627906976827E-2</v>
      </c>
    </row>
    <row r="45" spans="1:39">
      <c r="A45" s="2" t="s">
        <v>761</v>
      </c>
      <c r="B45" s="2" t="s">
        <v>762</v>
      </c>
      <c r="C45" s="235" t="s">
        <v>728</v>
      </c>
      <c r="D45" s="374" t="s">
        <v>584</v>
      </c>
      <c r="E45" s="374">
        <v>44136</v>
      </c>
      <c r="F45" s="374" t="s">
        <v>44</v>
      </c>
      <c r="G45" s="374" t="s">
        <v>44</v>
      </c>
      <c r="H45" s="374" t="s">
        <v>44</v>
      </c>
      <c r="I45" s="235" t="s">
        <v>44</v>
      </c>
      <c r="J45" s="518" t="s">
        <v>44</v>
      </c>
      <c r="K45" s="513">
        <v>111</v>
      </c>
      <c r="L45" s="514" t="s">
        <v>44</v>
      </c>
      <c r="M45" s="513">
        <v>0</v>
      </c>
      <c r="N45" s="513">
        <v>121</v>
      </c>
      <c r="O45" s="513">
        <f t="shared" si="5"/>
        <v>121</v>
      </c>
      <c r="P45" s="269">
        <f t="shared" si="6"/>
        <v>1.0900900900900901</v>
      </c>
      <c r="Q45" s="515">
        <v>2.8000000000000001E-2</v>
      </c>
      <c r="R45" s="513">
        <v>0</v>
      </c>
      <c r="S45" s="515" t="s">
        <v>44</v>
      </c>
      <c r="T45" s="519">
        <v>111</v>
      </c>
      <c r="U45" s="514">
        <f t="shared" si="0"/>
        <v>5.5863110216406643E-2</v>
      </c>
      <c r="V45" s="513">
        <v>0</v>
      </c>
      <c r="W45" s="513">
        <v>107</v>
      </c>
      <c r="X45" s="513">
        <f t="shared" si="7"/>
        <v>107</v>
      </c>
      <c r="Y45" s="268">
        <f t="shared" si="8"/>
        <v>0.963963963963964</v>
      </c>
      <c r="Z45" s="515" t="s">
        <v>44</v>
      </c>
      <c r="AA45" s="513">
        <f t="shared" si="1"/>
        <v>-14</v>
      </c>
      <c r="AB45" s="515">
        <f t="shared" si="2"/>
        <v>-0.11570247933884292</v>
      </c>
      <c r="AC45" s="519">
        <v>111</v>
      </c>
      <c r="AD45" s="514" t="s">
        <v>44</v>
      </c>
      <c r="AE45" s="513">
        <v>0</v>
      </c>
      <c r="AF45" s="513">
        <v>105</v>
      </c>
      <c r="AG45" s="513">
        <f t="shared" si="9"/>
        <v>105</v>
      </c>
      <c r="AH45" s="268">
        <f t="shared" si="10"/>
        <v>0.94594594594594594</v>
      </c>
      <c r="AI45" s="515" t="s">
        <v>44</v>
      </c>
      <c r="AJ45" s="513" t="s">
        <v>44</v>
      </c>
      <c r="AK45" s="515" t="s">
        <v>44</v>
      </c>
      <c r="AL45" s="513">
        <f t="shared" si="3"/>
        <v>-2</v>
      </c>
      <c r="AM45" s="515">
        <f t="shared" si="4"/>
        <v>-1.8691588785046731E-2</v>
      </c>
    </row>
    <row r="46" spans="1:39">
      <c r="A46" s="2" t="s">
        <v>763</v>
      </c>
      <c r="B46" s="2" t="s">
        <v>764</v>
      </c>
      <c r="C46" s="235" t="s">
        <v>112</v>
      </c>
      <c r="D46" s="374" t="s">
        <v>584</v>
      </c>
      <c r="E46" s="374">
        <v>44228</v>
      </c>
      <c r="F46" s="374" t="s">
        <v>44</v>
      </c>
      <c r="G46" s="374" t="s">
        <v>44</v>
      </c>
      <c r="H46" s="374" t="s">
        <v>44</v>
      </c>
      <c r="I46" s="235" t="s">
        <v>44</v>
      </c>
      <c r="J46" s="518" t="s">
        <v>44</v>
      </c>
      <c r="K46" s="513">
        <v>50</v>
      </c>
      <c r="L46" s="514" t="s">
        <v>44</v>
      </c>
      <c r="M46" s="513">
        <v>0</v>
      </c>
      <c r="N46" s="513">
        <v>39</v>
      </c>
      <c r="O46" s="513">
        <f t="shared" si="5"/>
        <v>39</v>
      </c>
      <c r="P46" s="269">
        <f t="shared" si="6"/>
        <v>0.78</v>
      </c>
      <c r="Q46" s="515" t="s">
        <v>44</v>
      </c>
      <c r="R46" s="513">
        <v>0</v>
      </c>
      <c r="S46" s="515" t="s">
        <v>44</v>
      </c>
      <c r="T46" s="519">
        <v>50</v>
      </c>
      <c r="U46" s="514">
        <f t="shared" si="0"/>
        <v>2.5163563160543533E-2</v>
      </c>
      <c r="V46" s="513">
        <v>0</v>
      </c>
      <c r="W46" s="513">
        <v>30</v>
      </c>
      <c r="X46" s="513">
        <f t="shared" si="7"/>
        <v>30</v>
      </c>
      <c r="Y46" s="268">
        <f t="shared" si="8"/>
        <v>0.6</v>
      </c>
      <c r="Z46" s="515" t="s">
        <v>44</v>
      </c>
      <c r="AA46" s="513">
        <f t="shared" si="1"/>
        <v>-9</v>
      </c>
      <c r="AB46" s="515">
        <f t="shared" si="2"/>
        <v>-0.23076923076923073</v>
      </c>
      <c r="AC46" s="519">
        <v>50</v>
      </c>
      <c r="AD46" s="514" t="s">
        <v>44</v>
      </c>
      <c r="AE46" s="513">
        <v>0</v>
      </c>
      <c r="AF46" s="513">
        <v>30</v>
      </c>
      <c r="AG46" s="513">
        <f t="shared" si="9"/>
        <v>30</v>
      </c>
      <c r="AH46" s="268">
        <f t="shared" si="10"/>
        <v>0.6</v>
      </c>
      <c r="AI46" s="515" t="s">
        <v>44</v>
      </c>
      <c r="AJ46" s="513" t="s">
        <v>44</v>
      </c>
      <c r="AK46" s="515" t="s">
        <v>44</v>
      </c>
      <c r="AL46" s="513">
        <f t="shared" si="3"/>
        <v>0</v>
      </c>
      <c r="AM46" s="515">
        <f t="shared" si="4"/>
        <v>0</v>
      </c>
    </row>
    <row r="47" spans="1:39">
      <c r="A47" s="2" t="s">
        <v>765</v>
      </c>
      <c r="B47" s="2" t="s">
        <v>766</v>
      </c>
      <c r="C47" s="235" t="s">
        <v>273</v>
      </c>
      <c r="D47" s="374" t="s">
        <v>584</v>
      </c>
      <c r="E47" s="374">
        <v>44228</v>
      </c>
      <c r="F47" s="374" t="s">
        <v>44</v>
      </c>
      <c r="G47" s="374" t="s">
        <v>44</v>
      </c>
      <c r="H47" s="374" t="s">
        <v>44</v>
      </c>
      <c r="I47" s="235" t="s">
        <v>44</v>
      </c>
      <c r="J47" s="518" t="s">
        <v>44</v>
      </c>
      <c r="K47" s="513">
        <v>50</v>
      </c>
      <c r="L47" s="514" t="s">
        <v>44</v>
      </c>
      <c r="M47" s="513">
        <v>0</v>
      </c>
      <c r="N47" s="513">
        <v>69</v>
      </c>
      <c r="O47" s="513">
        <f t="shared" si="5"/>
        <v>69</v>
      </c>
      <c r="P47" s="269">
        <f t="shared" si="6"/>
        <v>1.38</v>
      </c>
      <c r="Q47" s="515">
        <v>0.11700000000000001</v>
      </c>
      <c r="R47" s="513">
        <v>0</v>
      </c>
      <c r="S47" s="515" t="s">
        <v>44</v>
      </c>
      <c r="T47" s="519">
        <v>50</v>
      </c>
      <c r="U47" s="514">
        <f t="shared" si="0"/>
        <v>2.5163563160543533E-2</v>
      </c>
      <c r="V47" s="513">
        <v>0</v>
      </c>
      <c r="W47" s="513">
        <v>68</v>
      </c>
      <c r="X47" s="513">
        <f t="shared" si="7"/>
        <v>68</v>
      </c>
      <c r="Y47" s="268">
        <f t="shared" si="8"/>
        <v>1.36</v>
      </c>
      <c r="Z47" s="515">
        <v>8.4000000000000005E-2</v>
      </c>
      <c r="AA47" s="513">
        <f t="shared" si="1"/>
        <v>-1</v>
      </c>
      <c r="AB47" s="515">
        <f t="shared" si="2"/>
        <v>-1.4492753623188359E-2</v>
      </c>
      <c r="AC47" s="519">
        <v>50</v>
      </c>
      <c r="AD47" s="514" t="s">
        <v>44</v>
      </c>
      <c r="AE47" s="513">
        <v>0</v>
      </c>
      <c r="AF47" s="513">
        <v>70</v>
      </c>
      <c r="AG47" s="513">
        <f t="shared" si="9"/>
        <v>70</v>
      </c>
      <c r="AH47" s="268">
        <f t="shared" si="10"/>
        <v>1.4</v>
      </c>
      <c r="AI47" s="515">
        <v>8.4000000000000005E-2</v>
      </c>
      <c r="AJ47" s="513" t="s">
        <v>44</v>
      </c>
      <c r="AK47" s="515" t="s">
        <v>44</v>
      </c>
      <c r="AL47" s="513">
        <f t="shared" si="3"/>
        <v>2</v>
      </c>
      <c r="AM47" s="515">
        <f t="shared" si="4"/>
        <v>2.9411764705882248E-2</v>
      </c>
    </row>
    <row r="48" spans="1:39">
      <c r="A48" s="2" t="s">
        <v>767</v>
      </c>
      <c r="B48" s="2" t="s">
        <v>768</v>
      </c>
      <c r="C48" s="235" t="s">
        <v>112</v>
      </c>
      <c r="D48" s="374" t="s">
        <v>584</v>
      </c>
      <c r="E48" s="374">
        <v>44256</v>
      </c>
      <c r="F48" s="374" t="s">
        <v>44</v>
      </c>
      <c r="G48" s="374" t="s">
        <v>44</v>
      </c>
      <c r="H48" s="374" t="s">
        <v>44</v>
      </c>
      <c r="I48" s="235" t="s">
        <v>44</v>
      </c>
      <c r="J48" s="518" t="s">
        <v>44</v>
      </c>
      <c r="K48" s="513">
        <v>29</v>
      </c>
      <c r="L48" s="514" t="s">
        <v>44</v>
      </c>
      <c r="M48" s="513">
        <v>0</v>
      </c>
      <c r="N48" s="513">
        <v>14</v>
      </c>
      <c r="O48" s="513">
        <f t="shared" si="5"/>
        <v>14</v>
      </c>
      <c r="P48" s="269">
        <f t="shared" si="6"/>
        <v>0.48275862068965519</v>
      </c>
      <c r="Q48" s="515" t="s">
        <v>44</v>
      </c>
      <c r="R48" s="513">
        <v>0</v>
      </c>
      <c r="S48" s="515" t="s">
        <v>44</v>
      </c>
      <c r="T48" s="519">
        <v>29</v>
      </c>
      <c r="U48" s="514">
        <f t="shared" si="0"/>
        <v>1.4594866633115249E-2</v>
      </c>
      <c r="V48" s="513">
        <v>0</v>
      </c>
      <c r="W48" s="513">
        <v>8</v>
      </c>
      <c r="X48" s="513">
        <f t="shared" si="7"/>
        <v>8</v>
      </c>
      <c r="Y48" s="268">
        <f t="shared" si="8"/>
        <v>0.27586206896551724</v>
      </c>
      <c r="Z48" s="515" t="s">
        <v>44</v>
      </c>
      <c r="AA48" s="513">
        <f t="shared" si="1"/>
        <v>-6</v>
      </c>
      <c r="AB48" s="515">
        <f t="shared" si="2"/>
        <v>-0.4285714285714286</v>
      </c>
      <c r="AC48" s="519">
        <v>29</v>
      </c>
      <c r="AD48" s="514" t="s">
        <v>44</v>
      </c>
      <c r="AE48" s="513">
        <v>0</v>
      </c>
      <c r="AF48" s="513">
        <v>7</v>
      </c>
      <c r="AG48" s="513">
        <f t="shared" si="9"/>
        <v>7</v>
      </c>
      <c r="AH48" s="268">
        <f t="shared" si="10"/>
        <v>0.2413793103448276</v>
      </c>
      <c r="AI48" s="515" t="s">
        <v>44</v>
      </c>
      <c r="AJ48" s="513" t="s">
        <v>44</v>
      </c>
      <c r="AK48" s="515" t="s">
        <v>44</v>
      </c>
      <c r="AL48" s="513">
        <f t="shared" si="3"/>
        <v>-1</v>
      </c>
      <c r="AM48" s="515">
        <f t="shared" si="4"/>
        <v>-0.125</v>
      </c>
    </row>
    <row r="49" spans="1:40">
      <c r="A49" s="2" t="s">
        <v>769</v>
      </c>
      <c r="B49" s="2" t="s">
        <v>770</v>
      </c>
      <c r="C49" s="235" t="s">
        <v>728</v>
      </c>
      <c r="D49" s="374" t="s">
        <v>276</v>
      </c>
      <c r="E49" s="374">
        <v>44256</v>
      </c>
      <c r="F49" s="374" t="s">
        <v>647</v>
      </c>
      <c r="G49" s="374" t="s">
        <v>771</v>
      </c>
      <c r="H49" s="374" t="s">
        <v>44</v>
      </c>
      <c r="I49" s="235" t="s">
        <v>44</v>
      </c>
      <c r="J49" s="518" t="s">
        <v>44</v>
      </c>
      <c r="K49" s="513">
        <v>50</v>
      </c>
      <c r="L49" s="514" t="s">
        <v>44</v>
      </c>
      <c r="M49" s="513">
        <v>1</v>
      </c>
      <c r="N49" s="513">
        <v>19</v>
      </c>
      <c r="O49" s="513">
        <f t="shared" si="5"/>
        <v>20</v>
      </c>
      <c r="P49" s="269">
        <f t="shared" si="6"/>
        <v>0.4</v>
      </c>
      <c r="Q49" s="515" t="s">
        <v>44</v>
      </c>
      <c r="R49" s="513">
        <v>0</v>
      </c>
      <c r="S49" s="515" t="s">
        <v>44</v>
      </c>
      <c r="T49" s="519">
        <v>50</v>
      </c>
      <c r="U49" s="514">
        <f t="shared" si="0"/>
        <v>2.5163563160543533E-2</v>
      </c>
      <c r="V49" s="513">
        <v>2</v>
      </c>
      <c r="W49" s="513">
        <v>12</v>
      </c>
      <c r="X49" s="513">
        <f t="shared" si="7"/>
        <v>14</v>
      </c>
      <c r="Y49" s="268">
        <f t="shared" si="8"/>
        <v>0.28000000000000003</v>
      </c>
      <c r="Z49" s="515" t="s">
        <v>44</v>
      </c>
      <c r="AA49" s="513">
        <f t="shared" si="1"/>
        <v>-6</v>
      </c>
      <c r="AB49" s="515">
        <f t="shared" si="2"/>
        <v>-0.30000000000000004</v>
      </c>
      <c r="AC49" s="519">
        <v>50</v>
      </c>
      <c r="AD49" s="514" t="s">
        <v>44</v>
      </c>
      <c r="AE49" s="513">
        <v>2</v>
      </c>
      <c r="AF49" s="513">
        <v>13</v>
      </c>
      <c r="AG49" s="513">
        <f t="shared" si="9"/>
        <v>15</v>
      </c>
      <c r="AH49" s="268">
        <f t="shared" si="10"/>
        <v>0.3</v>
      </c>
      <c r="AI49" s="515" t="s">
        <v>44</v>
      </c>
      <c r="AJ49" s="513" t="s">
        <v>44</v>
      </c>
      <c r="AK49" s="515" t="s">
        <v>44</v>
      </c>
      <c r="AL49" s="513">
        <f t="shared" si="3"/>
        <v>1</v>
      </c>
      <c r="AM49" s="515">
        <f t="shared" si="4"/>
        <v>7.1428571428571397E-2</v>
      </c>
    </row>
    <row r="50" spans="1:40">
      <c r="A50" s="2" t="s">
        <v>772</v>
      </c>
      <c r="B50" s="2" t="s">
        <v>773</v>
      </c>
      <c r="C50" s="235" t="s">
        <v>113</v>
      </c>
      <c r="D50" s="374" t="s">
        <v>276</v>
      </c>
      <c r="E50" s="374">
        <v>44501</v>
      </c>
      <c r="F50" s="374" t="s">
        <v>44</v>
      </c>
      <c r="G50" s="374" t="s">
        <v>44</v>
      </c>
      <c r="H50" s="374" t="s">
        <v>44</v>
      </c>
      <c r="I50" s="235" t="s">
        <v>44</v>
      </c>
      <c r="J50" s="518" t="s">
        <v>44</v>
      </c>
      <c r="K50" s="513">
        <v>111</v>
      </c>
      <c r="L50" s="514" t="s">
        <v>44</v>
      </c>
      <c r="M50" s="513">
        <v>9</v>
      </c>
      <c r="N50" s="513">
        <v>282</v>
      </c>
      <c r="O50" s="513">
        <f t="shared" si="5"/>
        <v>291</v>
      </c>
      <c r="P50" s="269">
        <f t="shared" si="6"/>
        <v>2.6216216216216215</v>
      </c>
      <c r="Q50" s="515">
        <v>0.59399999999999997</v>
      </c>
      <c r="R50" s="513">
        <v>0</v>
      </c>
      <c r="S50" s="515" t="s">
        <v>44</v>
      </c>
      <c r="T50" s="519">
        <v>116</v>
      </c>
      <c r="U50" s="514">
        <f t="shared" si="0"/>
        <v>5.8379466532460997E-2</v>
      </c>
      <c r="V50" s="513">
        <v>9</v>
      </c>
      <c r="W50" s="513">
        <v>185</v>
      </c>
      <c r="X50" s="513">
        <f t="shared" si="7"/>
        <v>194</v>
      </c>
      <c r="Y50" s="268">
        <f t="shared" si="8"/>
        <v>1.6724137931034482</v>
      </c>
      <c r="Z50" s="515">
        <v>0.191</v>
      </c>
      <c r="AA50" s="513">
        <f t="shared" si="1"/>
        <v>-97</v>
      </c>
      <c r="AB50" s="515">
        <f t="shared" si="2"/>
        <v>-0.33333333333333337</v>
      </c>
      <c r="AC50" s="519">
        <v>116</v>
      </c>
      <c r="AD50" s="514" t="s">
        <v>44</v>
      </c>
      <c r="AE50" s="513">
        <v>16</v>
      </c>
      <c r="AF50" s="513">
        <v>169</v>
      </c>
      <c r="AG50" s="513">
        <f t="shared" si="9"/>
        <v>185</v>
      </c>
      <c r="AH50" s="268">
        <f t="shared" si="10"/>
        <v>1.5948275862068966</v>
      </c>
      <c r="AI50" s="515">
        <v>0.191</v>
      </c>
      <c r="AJ50" s="513" t="s">
        <v>44</v>
      </c>
      <c r="AK50" s="515" t="s">
        <v>44</v>
      </c>
      <c r="AL50" s="513">
        <f t="shared" si="3"/>
        <v>-9</v>
      </c>
      <c r="AM50" s="515">
        <f t="shared" si="4"/>
        <v>-4.6391752577319534E-2</v>
      </c>
    </row>
    <row r="51" spans="1:40">
      <c r="A51" s="2" t="s">
        <v>774</v>
      </c>
      <c r="B51" s="2" t="s">
        <v>775</v>
      </c>
      <c r="C51" s="235" t="s">
        <v>260</v>
      </c>
      <c r="D51" s="374" t="s">
        <v>276</v>
      </c>
      <c r="E51" s="374">
        <v>44652</v>
      </c>
      <c r="F51" s="374" t="s">
        <v>647</v>
      </c>
      <c r="G51" s="374" t="s">
        <v>776</v>
      </c>
      <c r="H51" s="374" t="s">
        <v>44</v>
      </c>
      <c r="I51" s="235" t="s">
        <v>44</v>
      </c>
      <c r="J51" s="518" t="s">
        <v>44</v>
      </c>
      <c r="K51" s="513">
        <v>91</v>
      </c>
      <c r="L51" s="514" t="s">
        <v>44</v>
      </c>
      <c r="M51" s="513">
        <v>7</v>
      </c>
      <c r="N51" s="513">
        <v>70</v>
      </c>
      <c r="O51" s="513">
        <f t="shared" si="5"/>
        <v>77</v>
      </c>
      <c r="P51" s="269">
        <f t="shared" si="6"/>
        <v>0.84615384615384615</v>
      </c>
      <c r="Q51" s="515" t="s">
        <v>44</v>
      </c>
      <c r="R51" s="513">
        <v>0</v>
      </c>
      <c r="S51" s="515" t="s">
        <v>44</v>
      </c>
      <c r="T51" s="519">
        <v>121</v>
      </c>
      <c r="U51" s="514">
        <f t="shared" si="0"/>
        <v>6.089582284851535E-2</v>
      </c>
      <c r="V51" s="513">
        <v>15</v>
      </c>
      <c r="W51" s="513">
        <v>131</v>
      </c>
      <c r="X51" s="513">
        <f t="shared" si="7"/>
        <v>146</v>
      </c>
      <c r="Y51" s="268">
        <f t="shared" si="8"/>
        <v>1.2066115702479339</v>
      </c>
      <c r="Z51" s="515">
        <v>0.11600000000000001</v>
      </c>
      <c r="AA51" s="513">
        <f t="shared" si="1"/>
        <v>69</v>
      </c>
      <c r="AB51" s="515">
        <f t="shared" si="2"/>
        <v>0.89610389610389607</v>
      </c>
      <c r="AC51" s="519">
        <v>121</v>
      </c>
      <c r="AD51" s="514" t="s">
        <v>44</v>
      </c>
      <c r="AE51" s="513">
        <v>61</v>
      </c>
      <c r="AF51" s="513">
        <v>100</v>
      </c>
      <c r="AG51" s="513">
        <f t="shared" si="9"/>
        <v>161</v>
      </c>
      <c r="AH51" s="268">
        <f t="shared" si="10"/>
        <v>1.3305785123966942</v>
      </c>
      <c r="AI51" s="515">
        <v>0.11600000000000001</v>
      </c>
      <c r="AJ51" s="513" t="s">
        <v>44</v>
      </c>
      <c r="AK51" s="515" t="s">
        <v>44</v>
      </c>
      <c r="AL51" s="513">
        <f t="shared" si="3"/>
        <v>15</v>
      </c>
      <c r="AM51" s="515">
        <f t="shared" si="4"/>
        <v>0.10273972602739723</v>
      </c>
    </row>
    <row r="52" spans="1:40">
      <c r="O52" s="2"/>
      <c r="X52" s="2"/>
    </row>
    <row r="53" spans="1:40" s="520" customFormat="1" ht="12" thickBot="1">
      <c r="A53" s="520" t="s">
        <v>45</v>
      </c>
      <c r="K53" s="521">
        <f>SUM(K32:K51)</f>
        <v>1896</v>
      </c>
      <c r="M53" s="522">
        <f>SUM(M32:M51)</f>
        <v>905</v>
      </c>
      <c r="N53" s="522">
        <f>SUM(N32:N51)</f>
        <v>1905</v>
      </c>
      <c r="O53" s="522">
        <f>SUM(O32:O51)</f>
        <v>2810</v>
      </c>
      <c r="P53" s="523">
        <f t="shared" si="6"/>
        <v>1.4820675105485233</v>
      </c>
      <c r="Q53" s="524" t="s">
        <v>44</v>
      </c>
      <c r="R53" s="524" t="s">
        <v>44</v>
      </c>
      <c r="S53" s="524" t="s">
        <v>44</v>
      </c>
      <c r="T53" s="521">
        <f>SUM(T32:T51)</f>
        <v>1987</v>
      </c>
      <c r="V53" s="522">
        <f>SUM(V32:V51)</f>
        <v>1123</v>
      </c>
      <c r="W53" s="522">
        <f>SUM(W32:W51)</f>
        <v>1657</v>
      </c>
      <c r="X53" s="522">
        <f>SUM(X32:X51)</f>
        <v>2780</v>
      </c>
      <c r="Y53" s="523">
        <f t="shared" ref="Y53" si="11">X53/T53</f>
        <v>1.3990941117262203</v>
      </c>
      <c r="Z53" s="525" t="s">
        <v>44</v>
      </c>
      <c r="AA53" s="525">
        <f t="shared" ref="AA53" si="12">X53-O53</f>
        <v>-30</v>
      </c>
      <c r="AB53" s="526">
        <f t="shared" ref="AB53" si="13">IFERROR(X53/O53-1,0)</f>
        <v>-1.0676156583629859E-2</v>
      </c>
      <c r="AC53" s="521">
        <f>SUM(AC32:AC51)</f>
        <v>1987</v>
      </c>
      <c r="AE53" s="522">
        <f>SUM(AE32:AE51)</f>
        <v>1329</v>
      </c>
      <c r="AF53" s="522">
        <f>SUM(AF32:AF51)</f>
        <v>1465</v>
      </c>
      <c r="AG53" s="522">
        <f>SUM(AG32:AG51)</f>
        <v>2794</v>
      </c>
      <c r="AH53" s="523">
        <f t="shared" ref="AH53" si="14">AG53/AC53</f>
        <v>1.4061399094111726</v>
      </c>
      <c r="AI53" s="525" t="s">
        <v>44</v>
      </c>
      <c r="AJ53" s="525" t="s">
        <v>44</v>
      </c>
      <c r="AK53" s="547" t="s">
        <v>44</v>
      </c>
      <c r="AL53" s="525">
        <f>AG53-X53</f>
        <v>14</v>
      </c>
      <c r="AM53" s="526">
        <f>IFERROR(AG53/X53-1,0)</f>
        <v>5.0359712230216847E-3</v>
      </c>
      <c r="AN53" s="527"/>
    </row>
    <row r="54" spans="1:40">
      <c r="O54" s="2"/>
      <c r="X54" s="2"/>
    </row>
    <row r="55" spans="1:40" s="389" customFormat="1">
      <c r="A55" s="388" t="s">
        <v>277</v>
      </c>
      <c r="K55" s="528">
        <f>SUMIF($D$32:$D$51,"Unrealized",K$32:K$51)+SUMIF($D$32:$D$51,"Partial Realized",K$32:K$51)</f>
        <v>1474</v>
      </c>
      <c r="M55" s="529">
        <f>SUMIF($D$32:$D$51,"Unrealized",M$32:M$51)+SUMIF($D$32:$D$51,"Partial Realized",M$32:M$51)</f>
        <v>242</v>
      </c>
      <c r="N55" s="529">
        <f>SUMIF($D$32:$D$51,"Unrealized",N$32:N$51)+SUMIF($D$32:$D$51,"Partial Realized",N$32:N$51)</f>
        <v>1643</v>
      </c>
      <c r="O55" s="529">
        <f>SUMIF($D$32:$D$51,"Unrealized",O$32:O$51)+SUMIF($D$32:$D$51,"Partial Realized",O$32:O$51)</f>
        <v>1885</v>
      </c>
      <c r="P55" s="530">
        <f t="shared" si="6"/>
        <v>1.2788331071913162</v>
      </c>
      <c r="R55" s="531" t="s">
        <v>44</v>
      </c>
      <c r="S55" s="532" t="s">
        <v>44</v>
      </c>
      <c r="T55" s="528">
        <f>SUMIF($D$32:$D$51,"Unrealized",T$32:T$51)+SUMIF($D$32:$D$51,"Partial Realized",T$32:T$51)</f>
        <v>1565</v>
      </c>
      <c r="V55" s="529">
        <f>SUMIF($D$32:$D$51,"Unrealized",V$32:V$51)+SUMIF($D$32:$D$51,"Partial Realized",V$32:V$51)</f>
        <v>322</v>
      </c>
      <c r="W55" s="529">
        <f>SUMIF($D$32:$D$51,"Unrealized",W$32:W$51)+SUMIF($D$32:$D$51,"Partial Realized",W$32:W$51)</f>
        <v>1547</v>
      </c>
      <c r="X55" s="529">
        <f>SUMIF($D$32:$D$51,"Unrealized",X$32:X$51)+SUMIF($D$32:$D$51,"Partial Realized",X$32:X$51)</f>
        <v>1869</v>
      </c>
      <c r="Y55" s="530">
        <f t="shared" ref="Y55:Y56" si="15">X55/T55</f>
        <v>1.1942492012779553</v>
      </c>
      <c r="AA55" s="533">
        <f t="shared" ref="AA55:AA56" si="16">X55-O55</f>
        <v>-16</v>
      </c>
      <c r="AB55" s="534">
        <f t="shared" ref="AB55:AB56" si="17">IFERROR(X55/O55-1,0)</f>
        <v>-8.4880636604774962E-3</v>
      </c>
      <c r="AC55" s="528">
        <f>SUMIF($D$32:$D$51,"Unrealized",AC$32:AC$51)+SUMIF($D$32:$D$51,"Partial Realized",AC$32:AC$51)</f>
        <v>1565</v>
      </c>
      <c r="AE55" s="529">
        <f>SUMIF($D$32:$D$51,"Unrealized",AE$32:AE$51)+SUMIF($D$32:$D$51,"Partial Realized",AE$32:AE$51)</f>
        <v>417</v>
      </c>
      <c r="AF55" s="529">
        <f>SUMIF($D$32:$D$51,"Unrealized",AF$32:AF$51)+SUMIF($D$32:$D$51,"Partial Realized",AF$32:AF$51)</f>
        <v>1465</v>
      </c>
      <c r="AG55" s="529">
        <f>SUMIF($D$32:$D$51,"Unrealized",AG$32:AG$51)+SUMIF($D$32:$D$51,"Partial Realized",AG$32:AG$51)</f>
        <v>1882</v>
      </c>
      <c r="AH55" s="530">
        <f t="shared" ref="AH55:AH56" si="18">AG55/AC55</f>
        <v>1.2025559105431309</v>
      </c>
      <c r="AJ55" s="533" t="s">
        <v>44</v>
      </c>
      <c r="AK55" s="548" t="s">
        <v>44</v>
      </c>
      <c r="AL55" s="533">
        <f>AG55-X55</f>
        <v>13</v>
      </c>
      <c r="AM55" s="548">
        <f>IFERROR(AG55/X55-1,0)</f>
        <v>6.9555912252541319E-3</v>
      </c>
      <c r="AN55" s="535"/>
    </row>
    <row r="56" spans="1:40" s="389" customFormat="1">
      <c r="A56" s="388" t="s">
        <v>278</v>
      </c>
      <c r="K56" s="528">
        <f>SUMIF($D$32:$D$51,"Realized",K$32:K$51)+SUMIF($D$32:$D$51,"Write-off",K$32:K$51)</f>
        <v>422</v>
      </c>
      <c r="M56" s="529">
        <f>SUMIF($D$32:$D$51,"Realized",M$32:M$51)+SUMIF($D$32:$D$51,"Write-off",M$32:M$51)</f>
        <v>663</v>
      </c>
      <c r="N56" s="529">
        <f>SUMIF($D$32:$D$51,"Realized",N$32:N$51)+SUMIF($D$32:$D$51,"Write-off",N$32:N$51)</f>
        <v>262</v>
      </c>
      <c r="O56" s="529">
        <f>SUMIF($D$32:$D$51,"Realized",O$32:O$51)+SUMIF($D$32:$D$51,"Write-off",O$32:O$51)</f>
        <v>925</v>
      </c>
      <c r="P56" s="530">
        <f t="shared" si="6"/>
        <v>2.1919431279620851</v>
      </c>
      <c r="R56" s="531" t="s">
        <v>44</v>
      </c>
      <c r="S56" s="532" t="s">
        <v>44</v>
      </c>
      <c r="T56" s="528">
        <f>SUMIF($D$32:$D$51,"Realized",T$32:T$51)+SUMIF($D$32:$D$51,"Write-off",T$32:T$51)</f>
        <v>422</v>
      </c>
      <c r="V56" s="529">
        <f>SUMIF($D$32:$D$51,"Realized",V$32:V$51)+SUMIF($D$32:$D$51,"Write-off",V$32:V$51)</f>
        <v>801</v>
      </c>
      <c r="W56" s="529">
        <f>SUMIF($D$32:$D$51,"Realized",W$32:W$51)+SUMIF($D$32:$D$51,"Write-off",W$32:W$51)</f>
        <v>110</v>
      </c>
      <c r="X56" s="529">
        <f>SUMIF($D$32:$D$51,"Realized",X$32:X$51)+SUMIF($D$32:$D$51,"Write-off",X$32:X$51)</f>
        <v>911</v>
      </c>
      <c r="Y56" s="530">
        <f t="shared" si="15"/>
        <v>2.1587677725118484</v>
      </c>
      <c r="AA56" s="533">
        <f t="shared" si="16"/>
        <v>-14</v>
      </c>
      <c r="AB56" s="534">
        <f t="shared" si="17"/>
        <v>-1.5135135135135092E-2</v>
      </c>
      <c r="AC56" s="528">
        <f>SUMIF($D$32:$D$51,"Realized",AC$32:AC$51)+SUMIF($D$32:$D$51,"Write-off",AC$32:AC$51)</f>
        <v>422</v>
      </c>
      <c r="AE56" s="529">
        <f>SUMIF($D$32:$D$51,"Realized",AE$32:AE$51)+SUMIF($D$32:$D$51,"Write-off",AE$32:AE$51)</f>
        <v>912</v>
      </c>
      <c r="AF56" s="529">
        <f>SUMIF($D$32:$D$51,"Realized",AF$32:AF$51)+SUMIF($D$32:$D$51,"Write-off",AF$32:AF$51)</f>
        <v>0</v>
      </c>
      <c r="AG56" s="529">
        <f>SUMIF($D$32:$D$51,"Realized",AG$32:AG$51)+SUMIF($D$32:$D$51,"Write-off",AG$32:AG$51)</f>
        <v>912</v>
      </c>
      <c r="AH56" s="530">
        <f t="shared" si="18"/>
        <v>2.1611374407582939</v>
      </c>
      <c r="AJ56" s="533" t="s">
        <v>44</v>
      </c>
      <c r="AK56" s="548" t="s">
        <v>44</v>
      </c>
      <c r="AL56" s="533">
        <f>AG56-X56</f>
        <v>1</v>
      </c>
      <c r="AM56" s="548">
        <f>IFERROR(AG56/X56-1,0)</f>
        <v>1.097694840834329E-3</v>
      </c>
      <c r="AN56" s="535"/>
    </row>
    <row r="57" spans="1:40">
      <c r="O57" s="2"/>
      <c r="W57" s="275"/>
      <c r="X57" s="2"/>
    </row>
    <row r="58" spans="1:40">
      <c r="O58" s="2"/>
      <c r="X58" s="2"/>
    </row>
    <row r="59" spans="1:40" s="536" customFormat="1">
      <c r="A59" s="536" t="s">
        <v>279</v>
      </c>
      <c r="K59" s="537"/>
      <c r="T59" s="537"/>
      <c r="AC59" s="537"/>
      <c r="AN59" s="537"/>
    </row>
    <row r="60" spans="1:40" ht="13.5" customHeight="1">
      <c r="K60" s="538" t="s">
        <v>236</v>
      </c>
      <c r="L60" s="539"/>
      <c r="M60" s="539"/>
      <c r="N60" s="539"/>
      <c r="O60" s="539"/>
      <c r="P60" s="539"/>
      <c r="Q60" s="540"/>
      <c r="R60" s="540"/>
      <c r="S60" s="539"/>
      <c r="T60" s="503" t="s">
        <v>237</v>
      </c>
      <c r="U60" s="504"/>
      <c r="V60" s="504"/>
      <c r="W60" s="504"/>
      <c r="X60" s="504"/>
      <c r="Y60" s="504"/>
      <c r="Z60" s="505"/>
      <c r="AA60" s="505"/>
      <c r="AB60" s="504"/>
      <c r="AC60" s="503" t="s">
        <v>238</v>
      </c>
      <c r="AD60" s="504"/>
      <c r="AE60" s="504"/>
      <c r="AF60" s="504"/>
      <c r="AG60" s="539"/>
      <c r="AH60" s="539"/>
      <c r="AI60" s="540"/>
      <c r="AJ60" s="540"/>
      <c r="AK60" s="540"/>
      <c r="AL60" s="540"/>
      <c r="AM60" s="539"/>
    </row>
    <row r="61" spans="1:40" s="141" customFormat="1" ht="39.75" customHeight="1">
      <c r="A61" s="138" t="s">
        <v>239</v>
      </c>
      <c r="B61" s="139" t="s">
        <v>240</v>
      </c>
      <c r="C61" s="139" t="s">
        <v>69</v>
      </c>
      <c r="D61" s="139" t="s">
        <v>241</v>
      </c>
      <c r="E61" s="139" t="s">
        <v>242</v>
      </c>
      <c r="F61" s="139" t="s">
        <v>243</v>
      </c>
      <c r="G61" s="139" t="s">
        <v>244</v>
      </c>
      <c r="H61" s="139" t="s">
        <v>245</v>
      </c>
      <c r="I61" s="139" t="s">
        <v>246</v>
      </c>
      <c r="J61" s="501" t="s">
        <v>247</v>
      </c>
      <c r="K61" s="541" t="s">
        <v>280</v>
      </c>
      <c r="L61" s="542"/>
      <c r="M61" s="543"/>
      <c r="N61" s="542"/>
      <c r="O61" s="541" t="s">
        <v>281</v>
      </c>
      <c r="P61" s="542"/>
      <c r="Q61" s="543"/>
      <c r="R61" s="542"/>
      <c r="S61" s="544"/>
      <c r="T61" s="541" t="s">
        <v>280</v>
      </c>
      <c r="U61" s="542"/>
      <c r="V61" s="543"/>
      <c r="W61" s="542"/>
      <c r="X61" s="541" t="s">
        <v>281</v>
      </c>
      <c r="Y61" s="542"/>
      <c r="Z61" s="543"/>
      <c r="AA61" s="542"/>
      <c r="AB61" s="544"/>
      <c r="AC61" s="541" t="s">
        <v>280</v>
      </c>
      <c r="AD61" s="542"/>
      <c r="AE61" s="543"/>
      <c r="AF61" s="542"/>
      <c r="AG61" s="541" t="s">
        <v>281</v>
      </c>
      <c r="AH61" s="542"/>
      <c r="AI61" s="543"/>
      <c r="AJ61" s="542"/>
      <c r="AK61" s="545"/>
      <c r="AL61" s="545"/>
      <c r="AM61" s="544"/>
      <c r="AN61" s="510"/>
    </row>
    <row r="62" spans="1:40">
      <c r="A62" s="2" t="s">
        <v>48</v>
      </c>
      <c r="B62" s="2" t="s">
        <v>727</v>
      </c>
      <c r="C62" s="235" t="s">
        <v>728</v>
      </c>
      <c r="D62" s="374" t="s">
        <v>276</v>
      </c>
      <c r="E62" s="374">
        <v>43070</v>
      </c>
      <c r="F62" s="374" t="s">
        <v>44</v>
      </c>
      <c r="G62" s="374" t="s">
        <v>44</v>
      </c>
      <c r="H62" s="374" t="s">
        <v>44</v>
      </c>
      <c r="I62" s="235" t="s">
        <v>44</v>
      </c>
      <c r="J62" s="512" t="s">
        <v>44</v>
      </c>
      <c r="T62" s="367" t="s">
        <v>777</v>
      </c>
      <c r="X62" s="367" t="s">
        <v>778</v>
      </c>
    </row>
    <row r="63" spans="1:40">
      <c r="A63" s="2" t="s">
        <v>729</v>
      </c>
      <c r="B63" s="2" t="s">
        <v>730</v>
      </c>
      <c r="C63" s="235" t="s">
        <v>731</v>
      </c>
      <c r="D63" s="374" t="s">
        <v>663</v>
      </c>
      <c r="E63" s="374">
        <v>43070</v>
      </c>
      <c r="F63" s="374" t="s">
        <v>44</v>
      </c>
      <c r="G63" s="374" t="s">
        <v>44</v>
      </c>
      <c r="H63" s="374" t="s">
        <v>44</v>
      </c>
      <c r="I63" s="235" t="s">
        <v>44</v>
      </c>
      <c r="J63" s="518" t="s">
        <v>44</v>
      </c>
      <c r="T63" s="367" t="s">
        <v>779</v>
      </c>
      <c r="X63" s="367" t="s">
        <v>780</v>
      </c>
    </row>
    <row r="64" spans="1:40">
      <c r="A64" s="2" t="s">
        <v>732</v>
      </c>
      <c r="B64" s="2" t="s">
        <v>733</v>
      </c>
      <c r="C64" s="235" t="s">
        <v>260</v>
      </c>
      <c r="D64" s="374" t="s">
        <v>261</v>
      </c>
      <c r="E64" s="374">
        <v>43101</v>
      </c>
      <c r="F64" s="374" t="s">
        <v>647</v>
      </c>
      <c r="G64" s="374" t="s">
        <v>734</v>
      </c>
      <c r="H64" s="374">
        <v>44228</v>
      </c>
      <c r="I64" s="235" t="s">
        <v>735</v>
      </c>
      <c r="J64" s="518">
        <f>YEAR(H64)-YEAR(E64)</f>
        <v>3</v>
      </c>
    </row>
    <row r="65" spans="1:24">
      <c r="A65" s="2" t="s">
        <v>736</v>
      </c>
      <c r="B65" s="2" t="s">
        <v>737</v>
      </c>
      <c r="C65" s="235" t="s">
        <v>264</v>
      </c>
      <c r="D65" s="374" t="s">
        <v>261</v>
      </c>
      <c r="E65" s="374">
        <v>43132</v>
      </c>
      <c r="F65" s="374" t="s">
        <v>44</v>
      </c>
      <c r="G65" s="374" t="s">
        <v>44</v>
      </c>
      <c r="H65" s="374">
        <v>45231</v>
      </c>
      <c r="I65" s="235" t="s">
        <v>738</v>
      </c>
      <c r="J65" s="518" t="s">
        <v>44</v>
      </c>
      <c r="T65" s="367" t="s">
        <v>781</v>
      </c>
      <c r="X65" s="367" t="s">
        <v>782</v>
      </c>
    </row>
    <row r="66" spans="1:24">
      <c r="A66" s="2" t="s">
        <v>739</v>
      </c>
      <c r="B66" s="2" t="s">
        <v>740</v>
      </c>
      <c r="C66" s="235" t="s">
        <v>273</v>
      </c>
      <c r="D66" s="374" t="s">
        <v>276</v>
      </c>
      <c r="E66" s="374">
        <v>43252</v>
      </c>
      <c r="F66" s="374">
        <v>43800</v>
      </c>
      <c r="G66" s="374" t="s">
        <v>741</v>
      </c>
      <c r="H66" s="374" t="s">
        <v>44</v>
      </c>
      <c r="I66" s="235" t="s">
        <v>44</v>
      </c>
      <c r="J66" s="518" t="s">
        <v>44</v>
      </c>
    </row>
    <row r="67" spans="1:24">
      <c r="A67" s="2" t="s">
        <v>742</v>
      </c>
      <c r="B67" s="2" t="s">
        <v>743</v>
      </c>
      <c r="C67" s="235" t="s">
        <v>113</v>
      </c>
      <c r="D67" s="374" t="s">
        <v>276</v>
      </c>
      <c r="E67" s="374">
        <v>43252</v>
      </c>
      <c r="F67" s="374" t="s">
        <v>647</v>
      </c>
      <c r="G67" s="374" t="s">
        <v>744</v>
      </c>
      <c r="H67" s="374" t="s">
        <v>44</v>
      </c>
      <c r="I67" s="235" t="s">
        <v>44</v>
      </c>
      <c r="J67" s="518" t="s">
        <v>44</v>
      </c>
      <c r="T67" s="367" t="s">
        <v>777</v>
      </c>
      <c r="X67" s="367" t="s">
        <v>783</v>
      </c>
    </row>
    <row r="68" spans="1:24">
      <c r="A68" s="2" t="s">
        <v>745</v>
      </c>
      <c r="B68" s="2" t="s">
        <v>746</v>
      </c>
      <c r="C68" s="235" t="s">
        <v>264</v>
      </c>
      <c r="D68" s="374" t="s">
        <v>276</v>
      </c>
      <c r="E68" s="374">
        <v>43617</v>
      </c>
      <c r="F68" s="374" t="s">
        <v>44</v>
      </c>
      <c r="G68" s="374" t="s">
        <v>44</v>
      </c>
      <c r="H68" s="374" t="s">
        <v>44</v>
      </c>
      <c r="I68" s="235" t="s">
        <v>44</v>
      </c>
      <c r="J68" s="518" t="s">
        <v>44</v>
      </c>
      <c r="T68" s="367" t="s">
        <v>784</v>
      </c>
      <c r="X68" s="367" t="s">
        <v>785</v>
      </c>
    </row>
    <row r="69" spans="1:24">
      <c r="A69" s="2" t="s">
        <v>747</v>
      </c>
      <c r="B69" s="2" t="s">
        <v>748</v>
      </c>
      <c r="C69" s="235" t="s">
        <v>260</v>
      </c>
      <c r="D69" s="374" t="s">
        <v>276</v>
      </c>
      <c r="E69" s="374">
        <v>43770</v>
      </c>
      <c r="F69" s="374" t="s">
        <v>44</v>
      </c>
      <c r="G69" s="374" t="s">
        <v>44</v>
      </c>
      <c r="H69" s="374" t="s">
        <v>44</v>
      </c>
      <c r="I69" s="235" t="s">
        <v>44</v>
      </c>
      <c r="J69" s="518" t="s">
        <v>44</v>
      </c>
      <c r="T69" s="367" t="s">
        <v>786</v>
      </c>
      <c r="X69" s="367" t="s">
        <v>787</v>
      </c>
    </row>
    <row r="70" spans="1:24">
      <c r="A70" s="2" t="s">
        <v>749</v>
      </c>
      <c r="B70" s="2" t="s">
        <v>750</v>
      </c>
      <c r="C70" s="235" t="s">
        <v>113</v>
      </c>
      <c r="D70" s="374" t="s">
        <v>276</v>
      </c>
      <c r="E70" s="374">
        <v>43862</v>
      </c>
      <c r="F70" s="374" t="s">
        <v>44</v>
      </c>
      <c r="G70" s="374" t="s">
        <v>44</v>
      </c>
      <c r="H70" s="374" t="s">
        <v>44</v>
      </c>
      <c r="I70" s="235" t="s">
        <v>44</v>
      </c>
      <c r="J70" s="518" t="s">
        <v>44</v>
      </c>
    </row>
    <row r="71" spans="1:24">
      <c r="A71" s="2" t="s">
        <v>751</v>
      </c>
      <c r="B71" s="2" t="s">
        <v>752</v>
      </c>
      <c r="C71" s="235" t="s">
        <v>260</v>
      </c>
      <c r="D71" s="374" t="s">
        <v>261</v>
      </c>
      <c r="E71" s="374">
        <v>43952</v>
      </c>
      <c r="F71" s="374" t="s">
        <v>647</v>
      </c>
      <c r="G71" s="374" t="s">
        <v>753</v>
      </c>
      <c r="H71" s="374">
        <v>45383</v>
      </c>
      <c r="I71" s="235" t="s">
        <v>735</v>
      </c>
      <c r="J71" s="518" t="s">
        <v>44</v>
      </c>
    </row>
    <row r="72" spans="1:24">
      <c r="A72" s="2" t="s">
        <v>754</v>
      </c>
      <c r="B72" s="2" t="s">
        <v>755</v>
      </c>
      <c r="C72" s="235" t="s">
        <v>273</v>
      </c>
      <c r="D72" s="374" t="s">
        <v>276</v>
      </c>
      <c r="E72" s="374">
        <v>44044</v>
      </c>
      <c r="F72" s="374" t="s">
        <v>44</v>
      </c>
      <c r="G72" s="374" t="s">
        <v>44</v>
      </c>
      <c r="H72" s="374" t="s">
        <v>44</v>
      </c>
      <c r="I72" s="235" t="s">
        <v>44</v>
      </c>
      <c r="J72" s="518" t="s">
        <v>44</v>
      </c>
      <c r="T72" s="367" t="s">
        <v>788</v>
      </c>
      <c r="X72" s="367" t="s">
        <v>789</v>
      </c>
    </row>
    <row r="73" spans="1:24">
      <c r="A73" s="2" t="s">
        <v>756</v>
      </c>
      <c r="B73" s="2" t="s">
        <v>757</v>
      </c>
      <c r="C73" s="235" t="s">
        <v>273</v>
      </c>
      <c r="D73" s="374" t="s">
        <v>276</v>
      </c>
      <c r="E73" s="374">
        <v>44075</v>
      </c>
      <c r="F73" s="374" t="s">
        <v>647</v>
      </c>
      <c r="G73" s="374" t="s">
        <v>758</v>
      </c>
      <c r="H73" s="374" t="s">
        <v>44</v>
      </c>
      <c r="I73" s="235" t="s">
        <v>44</v>
      </c>
      <c r="J73" s="518" t="s">
        <v>44</v>
      </c>
      <c r="T73" s="367" t="s">
        <v>790</v>
      </c>
      <c r="X73" s="367" t="s">
        <v>791</v>
      </c>
    </row>
    <row r="74" spans="1:24">
      <c r="A74" s="2" t="s">
        <v>759</v>
      </c>
      <c r="B74" s="2" t="s">
        <v>760</v>
      </c>
      <c r="C74" s="235" t="s">
        <v>112</v>
      </c>
      <c r="D74" s="374" t="s">
        <v>584</v>
      </c>
      <c r="E74" s="374">
        <v>44105</v>
      </c>
      <c r="F74" s="374" t="s">
        <v>44</v>
      </c>
      <c r="G74" s="374" t="s">
        <v>44</v>
      </c>
      <c r="H74" s="374" t="s">
        <v>44</v>
      </c>
      <c r="I74" s="235" t="s">
        <v>44</v>
      </c>
      <c r="J74" s="518" t="s">
        <v>44</v>
      </c>
    </row>
    <row r="75" spans="1:24">
      <c r="A75" s="2" t="s">
        <v>761</v>
      </c>
      <c r="B75" s="2" t="s">
        <v>762</v>
      </c>
      <c r="C75" s="235" t="s">
        <v>728</v>
      </c>
      <c r="D75" s="374" t="s">
        <v>584</v>
      </c>
      <c r="E75" s="374">
        <v>44136</v>
      </c>
      <c r="F75" s="374" t="s">
        <v>44</v>
      </c>
      <c r="G75" s="374" t="s">
        <v>44</v>
      </c>
      <c r="H75" s="374" t="s">
        <v>44</v>
      </c>
      <c r="I75" s="235" t="s">
        <v>44</v>
      </c>
      <c r="J75" s="518" t="s">
        <v>44</v>
      </c>
      <c r="T75" s="367" t="s">
        <v>792</v>
      </c>
      <c r="X75" s="367" t="s">
        <v>793</v>
      </c>
    </row>
    <row r="76" spans="1:24">
      <c r="A76" s="2" t="s">
        <v>763</v>
      </c>
      <c r="B76" s="2" t="s">
        <v>764</v>
      </c>
      <c r="C76" s="235" t="s">
        <v>112</v>
      </c>
      <c r="D76" s="374" t="s">
        <v>584</v>
      </c>
      <c r="E76" s="374">
        <v>44228</v>
      </c>
      <c r="F76" s="374" t="s">
        <v>44</v>
      </c>
      <c r="G76" s="374" t="s">
        <v>44</v>
      </c>
      <c r="H76" s="374" t="s">
        <v>44</v>
      </c>
      <c r="I76" s="235" t="s">
        <v>44</v>
      </c>
      <c r="J76" s="518" t="s">
        <v>44</v>
      </c>
      <c r="T76" s="367" t="s">
        <v>790</v>
      </c>
      <c r="X76" s="367" t="s">
        <v>794</v>
      </c>
    </row>
    <row r="77" spans="1:24">
      <c r="A77" s="2" t="s">
        <v>765</v>
      </c>
      <c r="B77" s="2" t="s">
        <v>766</v>
      </c>
      <c r="C77" s="235" t="s">
        <v>273</v>
      </c>
      <c r="D77" s="374" t="s">
        <v>584</v>
      </c>
      <c r="E77" s="374">
        <v>44228</v>
      </c>
      <c r="F77" s="374" t="s">
        <v>44</v>
      </c>
      <c r="G77" s="374" t="s">
        <v>44</v>
      </c>
      <c r="H77" s="374" t="s">
        <v>44</v>
      </c>
      <c r="I77" s="235" t="s">
        <v>44</v>
      </c>
      <c r="J77" s="518" t="s">
        <v>44</v>
      </c>
      <c r="T77" s="367" t="s">
        <v>795</v>
      </c>
      <c r="X77" s="367" t="s">
        <v>796</v>
      </c>
    </row>
    <row r="78" spans="1:24">
      <c r="A78" s="2" t="s">
        <v>767</v>
      </c>
      <c r="B78" s="2" t="s">
        <v>768</v>
      </c>
      <c r="C78" s="235" t="s">
        <v>112</v>
      </c>
      <c r="D78" s="374" t="s">
        <v>584</v>
      </c>
      <c r="E78" s="374">
        <v>44256</v>
      </c>
      <c r="F78" s="374" t="s">
        <v>44</v>
      </c>
      <c r="G78" s="374" t="s">
        <v>44</v>
      </c>
      <c r="H78" s="374" t="s">
        <v>44</v>
      </c>
      <c r="I78" s="235" t="s">
        <v>44</v>
      </c>
      <c r="J78" s="518" t="s">
        <v>44</v>
      </c>
      <c r="T78" s="367" t="s">
        <v>790</v>
      </c>
      <c r="X78" s="367" t="s">
        <v>791</v>
      </c>
    </row>
    <row r="79" spans="1:24">
      <c r="A79" s="2" t="s">
        <v>769</v>
      </c>
      <c r="B79" s="2" t="s">
        <v>770</v>
      </c>
      <c r="C79" s="235" t="s">
        <v>728</v>
      </c>
      <c r="D79" s="374" t="s">
        <v>276</v>
      </c>
      <c r="E79" s="374">
        <v>44256</v>
      </c>
      <c r="F79" s="374" t="s">
        <v>647</v>
      </c>
      <c r="G79" s="374" t="s">
        <v>771</v>
      </c>
      <c r="H79" s="374" t="s">
        <v>44</v>
      </c>
      <c r="I79" s="235" t="s">
        <v>44</v>
      </c>
      <c r="J79" s="518" t="s">
        <v>44</v>
      </c>
    </row>
    <row r="80" spans="1:24">
      <c r="A80" s="2" t="s">
        <v>772</v>
      </c>
      <c r="B80" s="2" t="s">
        <v>773</v>
      </c>
      <c r="C80" s="235" t="s">
        <v>113</v>
      </c>
      <c r="D80" s="374" t="s">
        <v>276</v>
      </c>
      <c r="E80" s="374">
        <v>44501</v>
      </c>
      <c r="F80" s="374" t="s">
        <v>44</v>
      </c>
      <c r="G80" s="374" t="s">
        <v>44</v>
      </c>
      <c r="H80" s="374" t="s">
        <v>44</v>
      </c>
      <c r="I80" s="235" t="s">
        <v>44</v>
      </c>
      <c r="J80" s="518" t="s">
        <v>44</v>
      </c>
      <c r="T80" s="367" t="s">
        <v>797</v>
      </c>
      <c r="X80" s="367" t="s">
        <v>798</v>
      </c>
    </row>
    <row r="81" spans="1:24">
      <c r="A81" s="2" t="s">
        <v>774</v>
      </c>
      <c r="B81" s="2" t="s">
        <v>775</v>
      </c>
      <c r="C81" s="235" t="s">
        <v>260</v>
      </c>
      <c r="D81" s="374" t="s">
        <v>276</v>
      </c>
      <c r="E81" s="374">
        <v>44652</v>
      </c>
      <c r="F81" s="374" t="s">
        <v>647</v>
      </c>
      <c r="G81" s="374" t="s">
        <v>776</v>
      </c>
      <c r="H81" s="374" t="s">
        <v>44</v>
      </c>
      <c r="I81" s="235" t="s">
        <v>44</v>
      </c>
      <c r="J81" s="518" t="s">
        <v>44</v>
      </c>
      <c r="T81" s="367" t="s">
        <v>790</v>
      </c>
      <c r="X81" s="367" t="s">
        <v>791</v>
      </c>
    </row>
  </sheetData>
  <conditionalFormatting sqref="R32:S51">
    <cfRule type="cellIs" dxfId="121" priority="13" operator="lessThan">
      <formula>0</formula>
    </cfRule>
    <cfRule type="cellIs" dxfId="120" priority="14" operator="greaterThan">
      <formula>0</formula>
    </cfRule>
  </conditionalFormatting>
  <conditionalFormatting sqref="AA32:AB51">
    <cfRule type="cellIs" dxfId="119" priority="17" operator="lessThan">
      <formula>0</formula>
    </cfRule>
    <cfRule type="cellIs" dxfId="118" priority="18" operator="greaterThan">
      <formula>0</formula>
    </cfRule>
  </conditionalFormatting>
  <conditionalFormatting sqref="AA53:AB53">
    <cfRule type="cellIs" dxfId="117" priority="11" operator="lessThan">
      <formula>0</formula>
    </cfRule>
    <cfRule type="cellIs" dxfId="116" priority="12" operator="greaterThan">
      <formula>0</formula>
    </cfRule>
  </conditionalFormatting>
  <conditionalFormatting sqref="AA55:AB56">
    <cfRule type="cellIs" dxfId="115" priority="9" operator="lessThan">
      <formula>0</formula>
    </cfRule>
    <cfRule type="cellIs" dxfId="114" priority="10" operator="greaterThan">
      <formula>0</formula>
    </cfRule>
  </conditionalFormatting>
  <conditionalFormatting sqref="AJ32:AM51">
    <cfRule type="cellIs" dxfId="113" priority="7" operator="lessThan">
      <formula>0</formula>
    </cfRule>
    <cfRule type="cellIs" dxfId="112" priority="8" operator="greaterThan">
      <formula>0</formula>
    </cfRule>
  </conditionalFormatting>
  <conditionalFormatting sqref="AJ53:AM53">
    <cfRule type="cellIs" dxfId="111" priority="5" operator="lessThan">
      <formula>0</formula>
    </cfRule>
    <cfRule type="cellIs" dxfId="110" priority="6" operator="greaterThan">
      <formula>0</formula>
    </cfRule>
  </conditionalFormatting>
  <conditionalFormatting sqref="AJ55:AM56">
    <cfRule type="cellIs" dxfId="109" priority="1" operator="lessThan">
      <formula>0</formula>
    </cfRule>
    <cfRule type="cellIs" dxfId="108" priority="2" operator="greaterThan">
      <formula>0</formula>
    </cfRule>
  </conditionalFormatting>
  <printOptions horizontalCentered="1"/>
  <pageMargins left="0.23622047244094491" right="0" top="0.35433070866141736" bottom="0.19685039370078741" header="0.15748031496062992" footer="0.15748031496062992"/>
  <pageSetup paperSize="8" scale="37" orientation="landscape"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24915-EF30-45FA-A0AB-3594088FC036}">
  <sheetPr>
    <tabColor theme="8"/>
  </sheetPr>
  <dimension ref="B1:X99"/>
  <sheetViews>
    <sheetView zoomScale="85" zoomScaleNormal="85" workbookViewId="0">
      <selection activeCell="G33" sqref="G33"/>
    </sheetView>
  </sheetViews>
  <sheetFormatPr defaultColWidth="9" defaultRowHeight="11.25"/>
  <cols>
    <col min="1" max="1" width="2.7109375" style="2" customWidth="1"/>
    <col min="2" max="2" width="18.7109375" style="2" customWidth="1"/>
    <col min="3" max="3" width="13.140625" style="2" customWidth="1"/>
    <col min="4" max="4" width="15.28515625" style="2" hidden="1" customWidth="1"/>
    <col min="5" max="5" width="14.7109375" style="2" customWidth="1"/>
    <col min="6" max="6" width="5" style="2" bestFit="1" customWidth="1"/>
    <col min="7" max="7" width="64.85546875" style="2" customWidth="1"/>
    <col min="8" max="10" width="14.28515625" style="2" customWidth="1"/>
    <col min="11" max="11" width="11.7109375" style="2" customWidth="1"/>
    <col min="12" max="12" width="20.140625" style="2" customWidth="1"/>
    <col min="13" max="16" width="14.28515625" style="2" customWidth="1"/>
    <col min="17" max="17" width="12.28515625" style="2" customWidth="1"/>
    <col min="18" max="18" width="13.28515625" style="2" customWidth="1"/>
    <col min="19" max="19" width="9.85546875" style="2" bestFit="1" customWidth="1"/>
    <col min="20" max="20" width="7.28515625" style="2" customWidth="1"/>
    <col min="21" max="21" width="9.42578125" style="2" customWidth="1"/>
    <col min="22" max="22" width="12.42578125" style="2" customWidth="1"/>
    <col min="23" max="23" width="10.42578125" style="2" customWidth="1"/>
    <col min="24" max="16384" width="9" style="2"/>
  </cols>
  <sheetData>
    <row r="1" spans="2:15">
      <c r="B1" s="75" t="s">
        <v>282</v>
      </c>
      <c r="L1" s="626">
        <f>E91</f>
        <v>45657</v>
      </c>
      <c r="M1" s="626"/>
      <c r="N1" s="198" t="s">
        <v>283</v>
      </c>
      <c r="O1" s="199" t="s">
        <v>284</v>
      </c>
    </row>
    <row r="2" spans="2:15" ht="12" thickBot="1">
      <c r="L2" s="172" t="s">
        <v>285</v>
      </c>
      <c r="M2" s="173">
        <f>M89</f>
        <v>-59725670.330000013</v>
      </c>
      <c r="N2" s="201">
        <v>-59725670</v>
      </c>
      <c r="O2" s="205">
        <f>M2-N2</f>
        <v>-0.33000001311302185</v>
      </c>
    </row>
    <row r="3" spans="2:15" ht="12" thickBot="1">
      <c r="B3" s="202" t="s">
        <v>286</v>
      </c>
      <c r="C3" s="272">
        <f>'DCP I'!E1</f>
        <v>45657</v>
      </c>
      <c r="L3" s="172" t="s">
        <v>287</v>
      </c>
      <c r="M3" s="173">
        <f>P89</f>
        <v>28599370.870000001</v>
      </c>
      <c r="N3" s="201">
        <f>28559225+77335</f>
        <v>28636560</v>
      </c>
      <c r="O3" s="205">
        <f>M3-N3</f>
        <v>-37189.129999998957</v>
      </c>
    </row>
    <row r="4" spans="2:15">
      <c r="H4" s="273"/>
      <c r="L4" s="175" t="s">
        <v>288</v>
      </c>
      <c r="M4" s="176">
        <f>L91</f>
        <v>41287985</v>
      </c>
    </row>
    <row r="5" spans="2:15" s="75" customFormat="1">
      <c r="B5" s="75" t="s">
        <v>289</v>
      </c>
      <c r="C5" s="75" t="s">
        <v>6</v>
      </c>
      <c r="L5" s="172" t="s">
        <v>75</v>
      </c>
      <c r="M5" s="180">
        <f>XIRR(L28:L91,E28:E91)</f>
        <v>6.1443415284156797E-2</v>
      </c>
    </row>
    <row r="6" spans="2:15">
      <c r="B6" s="75" t="s">
        <v>291</v>
      </c>
      <c r="C6" s="75" t="s">
        <v>24</v>
      </c>
      <c r="O6" s="189"/>
    </row>
    <row r="7" spans="2:15">
      <c r="B7" s="75" t="s">
        <v>52</v>
      </c>
      <c r="C7" s="257">
        <v>50000000</v>
      </c>
    </row>
    <row r="8" spans="2:15" hidden="1">
      <c r="B8" s="75"/>
      <c r="C8" s="2" t="s">
        <v>799</v>
      </c>
      <c r="D8" s="171">
        <f>2575757576/7.8</f>
        <v>330225330.25641024</v>
      </c>
      <c r="E8" s="131"/>
      <c r="F8" s="131"/>
    </row>
    <row r="9" spans="2:15" hidden="1">
      <c r="B9" s="75"/>
      <c r="C9" s="170" t="s">
        <v>800</v>
      </c>
      <c r="D9" s="108">
        <v>50000000</v>
      </c>
    </row>
    <row r="10" spans="2:15" hidden="1">
      <c r="B10" s="75"/>
      <c r="C10" s="187" t="s">
        <v>801</v>
      </c>
      <c r="D10" s="274">
        <f>D9/D8</f>
        <v>0.15141176469163184</v>
      </c>
      <c r="E10" s="275"/>
      <c r="F10" s="275"/>
    </row>
    <row r="11" spans="2:15" s="170" customFormat="1" hidden="1">
      <c r="C11" s="170" t="s">
        <v>802</v>
      </c>
      <c r="D11" s="108">
        <f>-M32</f>
        <v>16245052.809999999</v>
      </c>
    </row>
    <row r="12" spans="2:15" s="170" customFormat="1" hidden="1">
      <c r="D12" s="108"/>
    </row>
    <row r="13" spans="2:15" hidden="1">
      <c r="C13" s="75" t="s">
        <v>803</v>
      </c>
      <c r="D13" s="276">
        <f>D11/D9</f>
        <v>0.32490105619999998</v>
      </c>
    </row>
    <row r="14" spans="2:15" hidden="1">
      <c r="C14" s="75" t="s">
        <v>804</v>
      </c>
      <c r="D14" s="276">
        <f>P33/D11</f>
        <v>0.10162981550812207</v>
      </c>
    </row>
    <row r="15" spans="2:15" hidden="1">
      <c r="C15" s="2" t="s">
        <v>805</v>
      </c>
      <c r="D15" s="108">
        <f>146351216/7.8</f>
        <v>18762976.410256412</v>
      </c>
      <c r="E15" s="2" t="s">
        <v>806</v>
      </c>
    </row>
    <row r="16" spans="2:15" hidden="1">
      <c r="C16" s="2" t="s">
        <v>807</v>
      </c>
      <c r="D16" s="108">
        <f>P33</f>
        <v>1650981.72</v>
      </c>
    </row>
    <row r="17" spans="2:24" hidden="1">
      <c r="C17" s="75" t="s">
        <v>808</v>
      </c>
      <c r="D17" s="277">
        <f>D15/D9</f>
        <v>0.37525952820512826</v>
      </c>
    </row>
    <row r="18" spans="2:24" hidden="1">
      <c r="C18" s="75" t="s">
        <v>809</v>
      </c>
      <c r="D18" s="211">
        <f>(D17+D14)/100</f>
        <v>4.7688934371325035E-3</v>
      </c>
    </row>
    <row r="19" spans="2:24" hidden="1">
      <c r="C19" s="75" t="s">
        <v>75</v>
      </c>
      <c r="D19" s="278" t="e">
        <f>XIRR(K28:K33,E28:E33)</f>
        <v>#NUM!</v>
      </c>
      <c r="E19" s="279"/>
      <c r="F19" s="279"/>
    </row>
    <row r="20" spans="2:24" hidden="1">
      <c r="C20" s="75" t="s">
        <v>115</v>
      </c>
      <c r="D20" s="131">
        <f>(D15+D16)/-M32</f>
        <v>1.2566261476041587</v>
      </c>
    </row>
    <row r="21" spans="2:24" hidden="1">
      <c r="C21" s="75" t="s">
        <v>810</v>
      </c>
      <c r="D21" s="273">
        <v>0.02</v>
      </c>
      <c r="E21" s="2" t="s">
        <v>811</v>
      </c>
    </row>
    <row r="22" spans="2:24" hidden="1">
      <c r="C22" s="75" t="s">
        <v>812</v>
      </c>
      <c r="D22" s="273">
        <v>0.2</v>
      </c>
      <c r="E22" s="2" t="s">
        <v>811</v>
      </c>
    </row>
    <row r="23" spans="2:24" hidden="1">
      <c r="C23" s="75" t="s">
        <v>813</v>
      </c>
      <c r="D23" s="273">
        <v>7.0000000000000007E-2</v>
      </c>
      <c r="E23" s="2" t="s">
        <v>811</v>
      </c>
    </row>
    <row r="24" spans="2:24" hidden="1"/>
    <row r="25" spans="2:24" hidden="1"/>
    <row r="26" spans="2:24">
      <c r="U26" s="634" t="s">
        <v>814</v>
      </c>
      <c r="V26" s="634"/>
      <c r="W26" s="634"/>
    </row>
    <row r="27" spans="2:24" s="186" customFormat="1" ht="33.75">
      <c r="B27" s="280" t="s">
        <v>292</v>
      </c>
      <c r="C27" s="183" t="s">
        <v>0</v>
      </c>
      <c r="D27" s="183" t="s">
        <v>293</v>
      </c>
      <c r="E27" s="183" t="s">
        <v>294</v>
      </c>
      <c r="F27" s="183" t="s">
        <v>295</v>
      </c>
      <c r="G27" s="183" t="s">
        <v>176</v>
      </c>
      <c r="H27" s="184" t="s">
        <v>296</v>
      </c>
      <c r="I27" s="185" t="s">
        <v>435</v>
      </c>
      <c r="J27" s="185" t="s">
        <v>436</v>
      </c>
      <c r="K27" s="185" t="s">
        <v>299</v>
      </c>
      <c r="L27" s="185" t="s">
        <v>300</v>
      </c>
      <c r="M27" s="185" t="s">
        <v>301</v>
      </c>
      <c r="N27" s="185" t="s">
        <v>302</v>
      </c>
      <c r="O27" s="185" t="s">
        <v>708</v>
      </c>
      <c r="P27" s="185" t="s">
        <v>438</v>
      </c>
      <c r="Q27" s="184" t="s">
        <v>195</v>
      </c>
      <c r="R27" s="184" t="s">
        <v>709</v>
      </c>
      <c r="U27" s="183" t="s">
        <v>815</v>
      </c>
      <c r="V27" s="185" t="s">
        <v>301</v>
      </c>
      <c r="W27" s="185" t="s">
        <v>302</v>
      </c>
    </row>
    <row r="28" spans="2:24">
      <c r="B28" s="2" t="s">
        <v>307</v>
      </c>
      <c r="C28" s="2" t="s">
        <v>308</v>
      </c>
      <c r="D28" s="187">
        <v>43553</v>
      </c>
      <c r="E28" s="187">
        <v>43567</v>
      </c>
      <c r="F28" s="2">
        <f>YEAR(E28)</f>
        <v>2019</v>
      </c>
      <c r="G28" s="211" t="s">
        <v>816</v>
      </c>
      <c r="H28" s="108">
        <v>-5518630.2999999998</v>
      </c>
      <c r="I28" s="108"/>
      <c r="J28" s="108"/>
      <c r="K28" s="108">
        <v>-67734.67</v>
      </c>
      <c r="L28" s="108">
        <f t="shared" ref="L28:L47" si="0">SUM(H28:K28)</f>
        <v>-5586364.9699999997</v>
      </c>
      <c r="M28" s="170">
        <f>IF(L28&lt;0,L28,0)</f>
        <v>-5586364.9699999997</v>
      </c>
      <c r="N28" s="108">
        <f>M28+$C$7</f>
        <v>44413635.030000001</v>
      </c>
      <c r="O28" s="170">
        <f t="shared" ref="O28:O47" si="1">SUMIF(H28:K28,"&gt;0", H28:K28)</f>
        <v>0</v>
      </c>
      <c r="P28" s="170">
        <f>O28</f>
        <v>0</v>
      </c>
      <c r="V28" s="170">
        <f>IF(L28&lt;0,L28,0)</f>
        <v>-5586364.9699999997</v>
      </c>
      <c r="W28" s="108">
        <f>V28+$C$7</f>
        <v>44413635.030000001</v>
      </c>
      <c r="X28" s="171"/>
    </row>
    <row r="29" spans="2:24">
      <c r="B29" s="2" t="s">
        <v>307</v>
      </c>
      <c r="C29" s="2" t="s">
        <v>310</v>
      </c>
      <c r="D29" s="187">
        <v>43553</v>
      </c>
      <c r="E29" s="187">
        <v>43567</v>
      </c>
      <c r="F29" s="2">
        <f t="shared" ref="F29:F42" si="2">YEAR(E29)</f>
        <v>2019</v>
      </c>
      <c r="G29" s="211" t="s">
        <v>432</v>
      </c>
      <c r="H29" s="108">
        <v>-662589.26</v>
      </c>
      <c r="I29" s="108"/>
      <c r="J29" s="108"/>
      <c r="K29" s="171"/>
      <c r="L29" s="108">
        <f t="shared" si="0"/>
        <v>-662589.26</v>
      </c>
      <c r="M29" s="170">
        <f>IF(L29&lt;0,L29,0)+M28</f>
        <v>-6248954.2299999995</v>
      </c>
      <c r="N29" s="108">
        <f t="shared" ref="N29:N49" si="3">M29+$C$7</f>
        <v>43751045.770000003</v>
      </c>
      <c r="O29" s="170">
        <f t="shared" si="1"/>
        <v>0</v>
      </c>
      <c r="P29" s="170">
        <f>P28+O29</f>
        <v>0</v>
      </c>
      <c r="V29" s="170">
        <f>IF(L29&lt;0,L29,0)+V28+U29</f>
        <v>-6248954.2299999995</v>
      </c>
      <c r="W29" s="108">
        <f>V29+$C$7</f>
        <v>43751045.770000003</v>
      </c>
      <c r="X29" s="171"/>
    </row>
    <row r="30" spans="2:24">
      <c r="B30" s="2" t="s">
        <v>49</v>
      </c>
      <c r="C30" s="2" t="s">
        <v>817</v>
      </c>
      <c r="D30" s="187">
        <v>43601</v>
      </c>
      <c r="E30" s="187">
        <v>43615</v>
      </c>
      <c r="F30" s="2">
        <f t="shared" si="2"/>
        <v>2019</v>
      </c>
      <c r="G30" s="211" t="s">
        <v>432</v>
      </c>
      <c r="H30" s="108">
        <v>662589.26</v>
      </c>
      <c r="I30" s="108"/>
      <c r="J30" s="108"/>
      <c r="K30" s="171"/>
      <c r="L30" s="108">
        <f t="shared" si="0"/>
        <v>662589.26</v>
      </c>
      <c r="M30" s="170">
        <f t="shared" ref="M30:M84" si="4">IF(L30&lt;0,L30,0)+M29</f>
        <v>-6248954.2299999995</v>
      </c>
      <c r="N30" s="108">
        <f>M30+$C$7</f>
        <v>43751045.770000003</v>
      </c>
      <c r="O30" s="170">
        <f>SUMIF(H30:K30,"&gt;0", H30:K30)</f>
        <v>662589.26</v>
      </c>
      <c r="P30" s="170">
        <f>P29+O30</f>
        <v>662589.26</v>
      </c>
      <c r="V30" s="170">
        <f>IF(L30&lt;0,L30,0)+V29+U30</f>
        <v>-6248954.2299999995</v>
      </c>
      <c r="W30" s="108">
        <f t="shared" ref="W30:W89" si="5">V30+$C$7</f>
        <v>43751045.770000003</v>
      </c>
      <c r="X30" s="171"/>
    </row>
    <row r="31" spans="2:24">
      <c r="B31" s="2" t="s">
        <v>307</v>
      </c>
      <c r="C31" s="2" t="s">
        <v>311</v>
      </c>
      <c r="D31" s="187">
        <v>43802</v>
      </c>
      <c r="E31" s="187">
        <v>43815</v>
      </c>
      <c r="F31" s="2">
        <f t="shared" si="2"/>
        <v>2019</v>
      </c>
      <c r="G31" s="211" t="s">
        <v>818</v>
      </c>
      <c r="H31" s="108">
        <f>-5135379.42+109655.72</f>
        <v>-5025723.7</v>
      </c>
      <c r="I31" s="108"/>
      <c r="J31" s="108">
        <v>-109655.72</v>
      </c>
      <c r="K31" s="171"/>
      <c r="L31" s="108">
        <f t="shared" si="0"/>
        <v>-5135379.42</v>
      </c>
      <c r="M31" s="170">
        <f t="shared" si="4"/>
        <v>-11384333.649999999</v>
      </c>
      <c r="N31" s="108">
        <f>M31+$C$7</f>
        <v>38615666.350000001</v>
      </c>
      <c r="O31" s="170">
        <f t="shared" si="1"/>
        <v>0</v>
      </c>
      <c r="P31" s="170">
        <f t="shared" ref="P31:P86" si="6">P30+O31</f>
        <v>662589.26</v>
      </c>
      <c r="S31" s="171"/>
      <c r="T31" s="171"/>
      <c r="V31" s="170">
        <f t="shared" ref="V31:V89" si="7">IF(L31&lt;0,L31,0)+V30+U31</f>
        <v>-11384333.649999999</v>
      </c>
      <c r="W31" s="108">
        <f t="shared" si="5"/>
        <v>38615666.350000001</v>
      </c>
      <c r="X31" s="171"/>
    </row>
    <row r="32" spans="2:24">
      <c r="B32" s="2" t="s">
        <v>307</v>
      </c>
      <c r="C32" s="2" t="s">
        <v>316</v>
      </c>
      <c r="D32" s="187">
        <v>44000</v>
      </c>
      <c r="E32" s="187">
        <v>44015</v>
      </c>
      <c r="F32" s="2">
        <f t="shared" si="2"/>
        <v>2020</v>
      </c>
      <c r="G32" s="211" t="s">
        <v>819</v>
      </c>
      <c r="H32" s="108">
        <v>-4860719.16</v>
      </c>
      <c r="I32" s="108"/>
      <c r="J32" s="108"/>
      <c r="K32" s="171"/>
      <c r="L32" s="108">
        <f t="shared" si="0"/>
        <v>-4860719.16</v>
      </c>
      <c r="M32" s="170">
        <f t="shared" si="4"/>
        <v>-16245052.809999999</v>
      </c>
      <c r="N32" s="108">
        <f t="shared" si="3"/>
        <v>33754947.189999998</v>
      </c>
      <c r="O32" s="170">
        <f t="shared" si="1"/>
        <v>0</v>
      </c>
      <c r="P32" s="170">
        <f t="shared" si="6"/>
        <v>662589.26</v>
      </c>
      <c r="V32" s="170">
        <f t="shared" si="7"/>
        <v>-16245052.809999999</v>
      </c>
      <c r="W32" s="108">
        <f t="shared" si="5"/>
        <v>33754947.189999998</v>
      </c>
      <c r="X32" s="171"/>
    </row>
    <row r="33" spans="2:24">
      <c r="B33" s="2" t="s">
        <v>49</v>
      </c>
      <c r="C33" s="2" t="s">
        <v>330</v>
      </c>
      <c r="D33" s="187">
        <v>44034</v>
      </c>
      <c r="E33" s="187">
        <v>44039</v>
      </c>
      <c r="F33" s="2">
        <f t="shared" si="2"/>
        <v>2020</v>
      </c>
      <c r="G33" s="211" t="s">
        <v>820</v>
      </c>
      <c r="H33" s="108">
        <v>988392.46</v>
      </c>
      <c r="I33" s="108"/>
      <c r="J33" s="108"/>
      <c r="K33" s="171"/>
      <c r="L33" s="108">
        <f t="shared" si="0"/>
        <v>988392.46</v>
      </c>
      <c r="M33" s="170">
        <f t="shared" si="4"/>
        <v>-16245052.809999999</v>
      </c>
      <c r="N33" s="108">
        <f t="shared" si="3"/>
        <v>33754947.189999998</v>
      </c>
      <c r="O33" s="170">
        <f t="shared" si="1"/>
        <v>988392.46</v>
      </c>
      <c r="P33" s="170">
        <f t="shared" si="6"/>
        <v>1650981.72</v>
      </c>
      <c r="V33" s="170">
        <f t="shared" si="7"/>
        <v>-16245052.809999999</v>
      </c>
      <c r="W33" s="108">
        <f t="shared" si="5"/>
        <v>33754947.189999998</v>
      </c>
      <c r="X33" s="171"/>
    </row>
    <row r="34" spans="2:24">
      <c r="B34" s="2" t="s">
        <v>307</v>
      </c>
      <c r="C34" s="2" t="s">
        <v>320</v>
      </c>
      <c r="D34" s="187">
        <v>44173</v>
      </c>
      <c r="E34" s="187">
        <v>44201</v>
      </c>
      <c r="F34" s="2">
        <f t="shared" si="2"/>
        <v>2021</v>
      </c>
      <c r="G34" s="2" t="s">
        <v>821</v>
      </c>
      <c r="H34" s="108">
        <v>-3701813.06</v>
      </c>
      <c r="I34" s="108"/>
      <c r="J34" s="108">
        <v>-516992.78</v>
      </c>
      <c r="K34" s="108"/>
      <c r="L34" s="211">
        <f t="shared" si="0"/>
        <v>-4218805.84</v>
      </c>
      <c r="M34" s="170">
        <f t="shared" si="4"/>
        <v>-20463858.649999999</v>
      </c>
      <c r="N34" s="108">
        <f t="shared" si="3"/>
        <v>29536141.350000001</v>
      </c>
      <c r="O34" s="170">
        <f t="shared" si="1"/>
        <v>0</v>
      </c>
      <c r="P34" s="170">
        <f t="shared" si="6"/>
        <v>1650981.72</v>
      </c>
      <c r="V34" s="170">
        <f t="shared" si="7"/>
        <v>-20463858.649999999</v>
      </c>
      <c r="W34" s="108">
        <f t="shared" si="5"/>
        <v>29536141.350000001</v>
      </c>
      <c r="X34" s="171"/>
    </row>
    <row r="35" spans="2:24">
      <c r="B35" s="2" t="s">
        <v>49</v>
      </c>
      <c r="C35" s="2" t="s">
        <v>337</v>
      </c>
      <c r="D35" s="187">
        <v>44183</v>
      </c>
      <c r="E35" s="187">
        <v>44186</v>
      </c>
      <c r="F35" s="2">
        <f t="shared" si="2"/>
        <v>2020</v>
      </c>
      <c r="G35" s="233" t="s">
        <v>822</v>
      </c>
      <c r="H35" s="108">
        <f>931606.54+172430.34</f>
        <v>1104036.8800000001</v>
      </c>
      <c r="I35" s="108"/>
      <c r="J35" s="108"/>
      <c r="K35" s="108"/>
      <c r="L35" s="108">
        <f t="shared" si="0"/>
        <v>1104036.8800000001</v>
      </c>
      <c r="M35" s="170">
        <f t="shared" si="4"/>
        <v>-20463858.649999999</v>
      </c>
      <c r="N35" s="108">
        <f t="shared" si="3"/>
        <v>29536141.350000001</v>
      </c>
      <c r="O35" s="170">
        <f t="shared" si="1"/>
        <v>1104036.8800000001</v>
      </c>
      <c r="P35" s="170">
        <f t="shared" si="6"/>
        <v>2755018.6</v>
      </c>
      <c r="V35" s="170">
        <f>IF(L35&lt;0,L35,0)+V34+U35</f>
        <v>-20463858.649999999</v>
      </c>
      <c r="W35" s="108">
        <f t="shared" si="5"/>
        <v>29536141.350000001</v>
      </c>
      <c r="X35" s="171"/>
    </row>
    <row r="36" spans="2:24">
      <c r="B36" s="2" t="s">
        <v>49</v>
      </c>
      <c r="C36" s="2" t="s">
        <v>338</v>
      </c>
      <c r="D36" s="187">
        <v>44189</v>
      </c>
      <c r="E36" s="187">
        <v>44189</v>
      </c>
      <c r="F36" s="2">
        <f t="shared" si="2"/>
        <v>2020</v>
      </c>
      <c r="G36" s="2" t="s">
        <v>823</v>
      </c>
      <c r="H36" s="108">
        <f>526774.44+R36</f>
        <v>547370.72</v>
      </c>
      <c r="I36" s="108"/>
      <c r="J36" s="108"/>
      <c r="K36" s="108"/>
      <c r="L36" s="108">
        <f t="shared" si="0"/>
        <v>547370.72</v>
      </c>
      <c r="M36" s="170">
        <f t="shared" si="4"/>
        <v>-20463858.649999999</v>
      </c>
      <c r="N36" s="108">
        <f>M36+$C$7</f>
        <v>29536141.350000001</v>
      </c>
      <c r="O36" s="170">
        <f t="shared" si="1"/>
        <v>547370.72</v>
      </c>
      <c r="P36" s="170">
        <f t="shared" si="6"/>
        <v>3302389.3200000003</v>
      </c>
      <c r="R36" s="170">
        <v>20596.28</v>
      </c>
      <c r="S36" s="171"/>
      <c r="T36" s="171"/>
      <c r="V36" s="170">
        <f>IF(L36&lt;0,L36,0)+V35+U36</f>
        <v>-20463858.649999999</v>
      </c>
      <c r="W36" s="108">
        <f t="shared" si="5"/>
        <v>29536141.350000001</v>
      </c>
      <c r="X36" s="171"/>
    </row>
    <row r="37" spans="2:24">
      <c r="B37" s="2" t="s">
        <v>307</v>
      </c>
      <c r="C37" s="2" t="s">
        <v>325</v>
      </c>
      <c r="D37" s="187">
        <v>44224</v>
      </c>
      <c r="E37" s="187">
        <v>44250</v>
      </c>
      <c r="F37" s="2">
        <f t="shared" si="2"/>
        <v>2021</v>
      </c>
      <c r="H37" s="108"/>
      <c r="I37" s="108">
        <v>-1000000</v>
      </c>
      <c r="J37" s="108"/>
      <c r="K37" s="108"/>
      <c r="L37" s="108">
        <f t="shared" si="0"/>
        <v>-1000000</v>
      </c>
      <c r="M37" s="170">
        <f t="shared" si="4"/>
        <v>-21463858.649999999</v>
      </c>
      <c r="N37" s="108">
        <f t="shared" si="3"/>
        <v>28536141.350000001</v>
      </c>
      <c r="O37" s="170">
        <f t="shared" si="1"/>
        <v>0</v>
      </c>
      <c r="P37" s="170">
        <f t="shared" si="6"/>
        <v>3302389.3200000003</v>
      </c>
      <c r="V37" s="170">
        <f t="shared" si="7"/>
        <v>-21463858.649999999</v>
      </c>
      <c r="W37" s="108">
        <f t="shared" si="5"/>
        <v>28536141.350000001</v>
      </c>
      <c r="X37" s="171"/>
    </row>
    <row r="38" spans="2:24">
      <c r="B38" s="2" t="s">
        <v>49</v>
      </c>
      <c r="C38" s="2" t="s">
        <v>340</v>
      </c>
      <c r="D38" s="187">
        <v>44238</v>
      </c>
      <c r="E38" s="187">
        <v>44253</v>
      </c>
      <c r="F38" s="2">
        <f t="shared" si="2"/>
        <v>2021</v>
      </c>
      <c r="G38" s="211" t="s">
        <v>432</v>
      </c>
      <c r="H38" s="108">
        <f>928975.58</f>
        <v>928975.58</v>
      </c>
      <c r="I38" s="108"/>
      <c r="J38" s="108"/>
      <c r="K38" s="108"/>
      <c r="L38" s="108">
        <f t="shared" si="0"/>
        <v>928975.58</v>
      </c>
      <c r="M38" s="170">
        <f t="shared" si="4"/>
        <v>-21463858.649999999</v>
      </c>
      <c r="N38" s="108">
        <f t="shared" si="3"/>
        <v>28536141.350000001</v>
      </c>
      <c r="O38" s="170">
        <f>SUMIF(H38:K38,"&gt;0", H38:K38)-Q38</f>
        <v>755978.80999999994</v>
      </c>
      <c r="P38" s="170">
        <f t="shared" si="6"/>
        <v>4058368.1300000004</v>
      </c>
      <c r="Q38" s="170">
        <v>172996.77</v>
      </c>
      <c r="R38" s="170"/>
      <c r="V38" s="170">
        <f t="shared" si="7"/>
        <v>-21463858.649999999</v>
      </c>
      <c r="W38" s="108">
        <f t="shared" si="5"/>
        <v>28536141.350000001</v>
      </c>
      <c r="X38" s="171"/>
    </row>
    <row r="39" spans="2:24">
      <c r="B39" s="2" t="s">
        <v>307</v>
      </c>
      <c r="C39" s="2" t="s">
        <v>322</v>
      </c>
      <c r="D39" s="187">
        <v>44238</v>
      </c>
      <c r="E39" s="187">
        <v>44253</v>
      </c>
      <c r="F39" s="2">
        <f t="shared" si="2"/>
        <v>2021</v>
      </c>
      <c r="G39" s="211"/>
      <c r="H39" s="108">
        <v>0</v>
      </c>
      <c r="I39" s="108">
        <v>-553424.66</v>
      </c>
      <c r="J39" s="108">
        <f>-(145282.73+48668.78)</f>
        <v>-193951.51</v>
      </c>
      <c r="K39" s="108">
        <v>0</v>
      </c>
      <c r="L39" s="108">
        <f t="shared" si="0"/>
        <v>-747376.17</v>
      </c>
      <c r="M39" s="170">
        <f t="shared" si="4"/>
        <v>-22211234.82</v>
      </c>
      <c r="N39" s="108">
        <f t="shared" si="3"/>
        <v>27788765.18</v>
      </c>
      <c r="O39" s="170">
        <f t="shared" si="1"/>
        <v>0</v>
      </c>
      <c r="P39" s="170">
        <f t="shared" si="6"/>
        <v>4058368.1300000004</v>
      </c>
      <c r="V39" s="170">
        <f t="shared" si="7"/>
        <v>-22211234.82</v>
      </c>
      <c r="W39" s="108">
        <f t="shared" si="5"/>
        <v>27788765.18</v>
      </c>
      <c r="X39" s="171"/>
    </row>
    <row r="40" spans="2:24">
      <c r="B40" s="2" t="s">
        <v>307</v>
      </c>
      <c r="C40" s="2" t="s">
        <v>324</v>
      </c>
      <c r="D40" s="187"/>
      <c r="E40" s="187">
        <v>44280</v>
      </c>
      <c r="F40" s="2">
        <f t="shared" si="2"/>
        <v>2021</v>
      </c>
      <c r="G40" s="211" t="s">
        <v>824</v>
      </c>
      <c r="H40" s="108">
        <v>-5368608</v>
      </c>
      <c r="I40" s="108"/>
      <c r="J40" s="108"/>
      <c r="K40" s="108"/>
      <c r="L40" s="108">
        <f t="shared" si="0"/>
        <v>-5368608</v>
      </c>
      <c r="M40" s="170">
        <f t="shared" si="4"/>
        <v>-27579842.82</v>
      </c>
      <c r="N40" s="108">
        <f t="shared" si="3"/>
        <v>22420157.18</v>
      </c>
      <c r="O40" s="170">
        <f t="shared" si="1"/>
        <v>0</v>
      </c>
      <c r="P40" s="170">
        <f t="shared" si="6"/>
        <v>4058368.1300000004</v>
      </c>
      <c r="V40" s="170">
        <f t="shared" si="7"/>
        <v>-27579842.82</v>
      </c>
      <c r="W40" s="108">
        <f t="shared" si="5"/>
        <v>22420157.18</v>
      </c>
      <c r="X40" s="171"/>
    </row>
    <row r="41" spans="2:24">
      <c r="B41" s="2" t="s">
        <v>307</v>
      </c>
      <c r="C41" s="2" t="s">
        <v>327</v>
      </c>
      <c r="D41" s="187">
        <v>44315</v>
      </c>
      <c r="E41" s="187">
        <v>44368</v>
      </c>
      <c r="F41" s="2">
        <f t="shared" si="2"/>
        <v>2021</v>
      </c>
      <c r="G41" s="211" t="s">
        <v>825</v>
      </c>
      <c r="H41" s="108">
        <v>-3823411.07</v>
      </c>
      <c r="I41" s="108">
        <v>-745022.31</v>
      </c>
      <c r="J41" s="108">
        <f>-16202.75-299021.01</f>
        <v>-315223.76</v>
      </c>
      <c r="K41" s="108"/>
      <c r="L41" s="108">
        <f t="shared" si="0"/>
        <v>-4883657.1399999997</v>
      </c>
      <c r="M41" s="170">
        <f t="shared" si="4"/>
        <v>-32463499.960000001</v>
      </c>
      <c r="N41" s="108">
        <f t="shared" si="3"/>
        <v>17536500.039999999</v>
      </c>
      <c r="O41" s="170">
        <f t="shared" si="1"/>
        <v>0</v>
      </c>
      <c r="P41" s="170">
        <f t="shared" si="6"/>
        <v>4058368.1300000004</v>
      </c>
      <c r="V41" s="170">
        <f t="shared" si="7"/>
        <v>-32463499.960000001</v>
      </c>
      <c r="W41" s="108">
        <f t="shared" si="5"/>
        <v>17536500.039999999</v>
      </c>
      <c r="X41" s="171"/>
    </row>
    <row r="42" spans="2:24">
      <c r="B42" s="2" t="s">
        <v>49</v>
      </c>
      <c r="C42" s="2" t="s">
        <v>343</v>
      </c>
      <c r="D42" s="187">
        <v>44371</v>
      </c>
      <c r="E42" s="187">
        <v>44375</v>
      </c>
      <c r="F42" s="2">
        <f t="shared" si="2"/>
        <v>2021</v>
      </c>
      <c r="G42" s="211" t="s">
        <v>826</v>
      </c>
      <c r="H42" s="108">
        <v>594276.27</v>
      </c>
      <c r="I42" s="108"/>
      <c r="J42" s="108"/>
      <c r="K42" s="108"/>
      <c r="L42" s="108">
        <f t="shared" si="0"/>
        <v>594276.27</v>
      </c>
      <c r="M42" s="170">
        <f t="shared" si="4"/>
        <v>-32463499.960000001</v>
      </c>
      <c r="N42" s="108">
        <f t="shared" si="3"/>
        <v>17536500.039999999</v>
      </c>
      <c r="O42" s="170">
        <f>SUMIF(H42:K42,"&gt;0", H42:K42)</f>
        <v>594276.27</v>
      </c>
      <c r="P42" s="170">
        <f t="shared" si="6"/>
        <v>4652644.4000000004</v>
      </c>
      <c r="Q42" s="170"/>
      <c r="V42" s="170">
        <f t="shared" si="7"/>
        <v>-32463499.960000001</v>
      </c>
      <c r="W42" s="108">
        <f t="shared" si="5"/>
        <v>17536500.039999999</v>
      </c>
      <c r="X42" s="171"/>
    </row>
    <row r="43" spans="2:24">
      <c r="B43" s="2" t="s">
        <v>307</v>
      </c>
      <c r="C43" s="2" t="s">
        <v>329</v>
      </c>
      <c r="D43" s="187">
        <v>44467</v>
      </c>
      <c r="E43" s="187">
        <v>44467</v>
      </c>
      <c r="F43" s="2">
        <v>2021</v>
      </c>
      <c r="G43" s="211" t="s">
        <v>827</v>
      </c>
      <c r="H43" s="108">
        <v>-5929167.6100000003</v>
      </c>
      <c r="I43" s="108"/>
      <c r="J43" s="108"/>
      <c r="K43" s="108"/>
      <c r="L43" s="108">
        <f t="shared" si="0"/>
        <v>-5929167.6100000003</v>
      </c>
      <c r="M43" s="170">
        <f t="shared" si="4"/>
        <v>-38392667.57</v>
      </c>
      <c r="N43" s="108">
        <f t="shared" si="3"/>
        <v>11607332.43</v>
      </c>
      <c r="O43" s="170">
        <f t="shared" si="1"/>
        <v>0</v>
      </c>
      <c r="P43" s="170">
        <f t="shared" si="6"/>
        <v>4652644.4000000004</v>
      </c>
      <c r="Q43" s="170"/>
      <c r="V43" s="170">
        <f t="shared" si="7"/>
        <v>-38392667.57</v>
      </c>
      <c r="W43" s="108">
        <f t="shared" si="5"/>
        <v>11607332.43</v>
      </c>
      <c r="X43" s="171"/>
    </row>
    <row r="44" spans="2:24">
      <c r="B44" s="2" t="s">
        <v>49</v>
      </c>
      <c r="C44" s="2" t="s">
        <v>349</v>
      </c>
      <c r="D44" s="187">
        <v>44404</v>
      </c>
      <c r="E44" s="187">
        <v>44404</v>
      </c>
      <c r="F44" s="2">
        <v>2021</v>
      </c>
      <c r="G44" s="211" t="s">
        <v>827</v>
      </c>
      <c r="H44" s="108">
        <v>708628.72</v>
      </c>
      <c r="I44" s="108"/>
      <c r="J44" s="108"/>
      <c r="K44" s="108"/>
      <c r="L44" s="108">
        <f t="shared" si="0"/>
        <v>708628.72</v>
      </c>
      <c r="M44" s="170">
        <f t="shared" si="4"/>
        <v>-38392667.57</v>
      </c>
      <c r="N44" s="108">
        <f t="shared" si="3"/>
        <v>11607332.43</v>
      </c>
      <c r="O44" s="170">
        <f t="shared" si="1"/>
        <v>708628.72</v>
      </c>
      <c r="P44" s="170">
        <f t="shared" si="6"/>
        <v>5361273.12</v>
      </c>
      <c r="Q44" s="170"/>
      <c r="V44" s="170">
        <f t="shared" si="7"/>
        <v>-38392667.57</v>
      </c>
      <c r="W44" s="108">
        <f t="shared" si="5"/>
        <v>11607332.43</v>
      </c>
      <c r="X44" s="171"/>
    </row>
    <row r="45" spans="2:24">
      <c r="B45" s="2" t="s">
        <v>49</v>
      </c>
      <c r="C45" s="2" t="s">
        <v>351</v>
      </c>
      <c r="D45" s="187">
        <v>44467</v>
      </c>
      <c r="E45" s="187">
        <v>44467</v>
      </c>
      <c r="F45" s="2">
        <v>2021</v>
      </c>
      <c r="G45" s="211" t="s">
        <v>827</v>
      </c>
      <c r="H45" s="108">
        <f>995293.35</f>
        <v>995293.35</v>
      </c>
      <c r="I45" s="108"/>
      <c r="J45" s="108"/>
      <c r="K45" s="108"/>
      <c r="L45" s="108">
        <f t="shared" si="0"/>
        <v>995293.35</v>
      </c>
      <c r="M45" s="170">
        <f t="shared" si="4"/>
        <v>-38392667.57</v>
      </c>
      <c r="N45" s="108">
        <f t="shared" si="3"/>
        <v>11607332.43</v>
      </c>
      <c r="O45" s="170">
        <f t="shared" si="1"/>
        <v>995293.35</v>
      </c>
      <c r="P45" s="170">
        <f t="shared" si="6"/>
        <v>6356566.4699999997</v>
      </c>
      <c r="Q45" s="170"/>
      <c r="S45" s="171"/>
      <c r="T45" s="171"/>
      <c r="V45" s="170">
        <f t="shared" si="7"/>
        <v>-38392667.57</v>
      </c>
      <c r="W45" s="108">
        <f t="shared" si="5"/>
        <v>11607332.43</v>
      </c>
      <c r="X45" s="171"/>
    </row>
    <row r="46" spans="2:24">
      <c r="B46" s="2" t="s">
        <v>307</v>
      </c>
      <c r="C46" s="2" t="s">
        <v>331</v>
      </c>
      <c r="D46" s="75"/>
      <c r="E46" s="187">
        <v>44596</v>
      </c>
      <c r="F46" s="2">
        <f t="shared" ref="F46:F62" si="8">YEAR(E46)</f>
        <v>2022</v>
      </c>
      <c r="G46" s="211" t="s">
        <v>828</v>
      </c>
      <c r="H46" s="108">
        <v>-1315886.97</v>
      </c>
      <c r="I46" s="211"/>
      <c r="J46" s="211"/>
      <c r="K46" s="211"/>
      <c r="L46" s="108">
        <f t="shared" si="0"/>
        <v>-1315886.97</v>
      </c>
      <c r="M46" s="170">
        <f t="shared" si="4"/>
        <v>-39708554.539999999</v>
      </c>
      <c r="N46" s="108">
        <f t="shared" si="3"/>
        <v>10291445.460000001</v>
      </c>
      <c r="O46" s="170">
        <f t="shared" si="1"/>
        <v>0</v>
      </c>
      <c r="P46" s="170">
        <f t="shared" si="6"/>
        <v>6356566.4699999997</v>
      </c>
      <c r="V46" s="170">
        <f t="shared" si="7"/>
        <v>-39708554.539999999</v>
      </c>
      <c r="W46" s="108">
        <f t="shared" si="5"/>
        <v>10291445.460000001</v>
      </c>
      <c r="X46" s="171"/>
    </row>
    <row r="47" spans="2:24">
      <c r="B47" s="2" t="s">
        <v>49</v>
      </c>
      <c r="C47" s="2" t="s">
        <v>357</v>
      </c>
      <c r="E47" s="187">
        <v>44596</v>
      </c>
      <c r="F47" s="2">
        <f t="shared" si="8"/>
        <v>2022</v>
      </c>
      <c r="G47" s="211" t="s">
        <v>819</v>
      </c>
      <c r="H47" s="108">
        <f>1275091.73+59604.23</f>
        <v>1334695.96</v>
      </c>
      <c r="I47" s="211"/>
      <c r="J47" s="211"/>
      <c r="K47" s="211"/>
      <c r="L47" s="108">
        <f t="shared" si="0"/>
        <v>1334695.96</v>
      </c>
      <c r="M47" s="170">
        <f t="shared" si="4"/>
        <v>-39708554.539999999</v>
      </c>
      <c r="N47" s="108">
        <f>M47+$C$7</f>
        <v>10291445.460000001</v>
      </c>
      <c r="O47" s="170">
        <f t="shared" si="1"/>
        <v>1334695.96</v>
      </c>
      <c r="P47" s="170">
        <f t="shared" si="6"/>
        <v>7691262.4299999997</v>
      </c>
      <c r="V47" s="170">
        <f t="shared" si="7"/>
        <v>-39708554.539999999</v>
      </c>
      <c r="W47" s="108">
        <f t="shared" si="5"/>
        <v>10291445.460000001</v>
      </c>
      <c r="X47" s="171"/>
    </row>
    <row r="48" spans="2:24">
      <c r="B48" s="2" t="s">
        <v>829</v>
      </c>
      <c r="C48" s="2" t="s">
        <v>331</v>
      </c>
      <c r="E48" s="187">
        <v>44596</v>
      </c>
      <c r="F48" s="2">
        <f t="shared" si="8"/>
        <v>2022</v>
      </c>
      <c r="G48" s="211" t="s">
        <v>830</v>
      </c>
      <c r="H48" s="108"/>
      <c r="I48" s="211"/>
      <c r="J48" s="400"/>
      <c r="K48" s="400"/>
      <c r="M48" s="170">
        <f>IF(U48&lt;0,U48,0)+M47</f>
        <v>-39708554.539999999</v>
      </c>
      <c r="N48" s="108">
        <f>M48+$C$7</f>
        <v>10291445.460000001</v>
      </c>
      <c r="O48" s="170">
        <v>0</v>
      </c>
      <c r="P48" s="170">
        <f t="shared" si="6"/>
        <v>7691262.4299999997</v>
      </c>
      <c r="U48" s="108">
        <f>SUM(O28:O47)</f>
        <v>7691262.4299999997</v>
      </c>
      <c r="V48" s="170">
        <f t="shared" si="7"/>
        <v>-32017292.109999999</v>
      </c>
      <c r="W48" s="108">
        <f t="shared" si="5"/>
        <v>17982707.890000001</v>
      </c>
      <c r="X48" s="171"/>
    </row>
    <row r="49" spans="2:24">
      <c r="B49" s="2" t="s">
        <v>307</v>
      </c>
      <c r="C49" s="2" t="s">
        <v>333</v>
      </c>
      <c r="D49" s="75"/>
      <c r="E49" s="187">
        <v>44665</v>
      </c>
      <c r="F49" s="2">
        <f t="shared" si="8"/>
        <v>2022</v>
      </c>
      <c r="G49" s="211" t="s">
        <v>831</v>
      </c>
      <c r="H49" s="108">
        <v>-1670846.98</v>
      </c>
      <c r="I49" s="211"/>
      <c r="J49" s="211"/>
      <c r="K49" s="211"/>
      <c r="L49" s="108">
        <f t="shared" ref="L49:L62" si="9">SUM(H49:K49)</f>
        <v>-1670846.98</v>
      </c>
      <c r="M49" s="170">
        <f t="shared" si="4"/>
        <v>-41379401.519999996</v>
      </c>
      <c r="N49" s="108">
        <f t="shared" si="3"/>
        <v>8620598.4800000042</v>
      </c>
      <c r="O49" s="170">
        <f>SUMIF(H49:K49,"&gt;0", H49:K49)</f>
        <v>0</v>
      </c>
      <c r="P49" s="170">
        <f t="shared" si="6"/>
        <v>7691262.4299999997</v>
      </c>
      <c r="V49" s="170">
        <f t="shared" si="7"/>
        <v>-33688139.089999996</v>
      </c>
      <c r="W49" s="108">
        <f t="shared" si="5"/>
        <v>16311860.910000004</v>
      </c>
      <c r="X49" s="171"/>
    </row>
    <row r="50" spans="2:24">
      <c r="B50" s="2" t="s">
        <v>49</v>
      </c>
      <c r="C50" s="2" t="s">
        <v>360</v>
      </c>
      <c r="E50" s="187">
        <v>44665</v>
      </c>
      <c r="F50" s="2">
        <f t="shared" si="8"/>
        <v>2022</v>
      </c>
      <c r="G50" s="211" t="s">
        <v>823</v>
      </c>
      <c r="H50" s="108">
        <v>1918974.51</v>
      </c>
      <c r="I50" s="211"/>
      <c r="J50" s="108">
        <v>-247256</v>
      </c>
      <c r="L50" s="108">
        <f>SUM(H50:J50)</f>
        <v>1671718.51</v>
      </c>
      <c r="M50" s="170">
        <f t="shared" si="4"/>
        <v>-41379401.519999996</v>
      </c>
      <c r="N50" s="108">
        <f>M50+$C$7</f>
        <v>8620598.4800000042</v>
      </c>
      <c r="O50" s="170">
        <v>1918974.51</v>
      </c>
      <c r="P50" s="170">
        <f t="shared" si="6"/>
        <v>9610236.9399999995</v>
      </c>
      <c r="R50" s="170">
        <v>247256</v>
      </c>
      <c r="S50" s="2" t="s">
        <v>832</v>
      </c>
      <c r="V50" s="170">
        <f t="shared" si="7"/>
        <v>-33688139.089999996</v>
      </c>
      <c r="W50" s="108">
        <f t="shared" si="5"/>
        <v>16311860.910000004</v>
      </c>
      <c r="X50" s="171"/>
    </row>
    <row r="51" spans="2:24">
      <c r="B51" s="2" t="s">
        <v>829</v>
      </c>
      <c r="C51" s="2" t="s">
        <v>360</v>
      </c>
      <c r="E51" s="187">
        <v>44665</v>
      </c>
      <c r="F51" s="2">
        <f t="shared" si="8"/>
        <v>2022</v>
      </c>
      <c r="G51" s="211" t="s">
        <v>830</v>
      </c>
      <c r="H51" s="108"/>
      <c r="I51" s="211"/>
      <c r="J51" s="211"/>
      <c r="K51" s="211"/>
      <c r="M51" s="170">
        <f>IF(U51&lt;0,U51,0)+M50</f>
        <v>-41379401.519999996</v>
      </c>
      <c r="N51" s="108">
        <f t="shared" ref="N51:N53" si="10">M51+$C$7</f>
        <v>8620598.4800000042</v>
      </c>
      <c r="O51" s="170"/>
      <c r="P51" s="170">
        <f t="shared" si="6"/>
        <v>9610236.9399999995</v>
      </c>
      <c r="R51" s="170"/>
      <c r="U51" s="108">
        <v>16078.41</v>
      </c>
      <c r="V51" s="170">
        <f t="shared" si="7"/>
        <v>-33672060.68</v>
      </c>
      <c r="W51" s="108">
        <f t="shared" si="5"/>
        <v>16327939.32</v>
      </c>
      <c r="X51" s="171"/>
    </row>
    <row r="52" spans="2:24">
      <c r="B52" s="2" t="s">
        <v>307</v>
      </c>
      <c r="C52" s="2" t="s">
        <v>335</v>
      </c>
      <c r="E52" s="187">
        <v>44900</v>
      </c>
      <c r="F52" s="2">
        <f t="shared" si="8"/>
        <v>2022</v>
      </c>
      <c r="G52" s="211" t="s">
        <v>833</v>
      </c>
      <c r="H52" s="108">
        <v>-2835494.97</v>
      </c>
      <c r="I52" s="108">
        <v>-1099336.76</v>
      </c>
      <c r="J52" s="108">
        <v>-174606.33</v>
      </c>
      <c r="K52" s="108"/>
      <c r="L52" s="108">
        <f t="shared" si="9"/>
        <v>-4109438.0600000005</v>
      </c>
      <c r="M52" s="170">
        <f t="shared" si="4"/>
        <v>-45488839.579999998</v>
      </c>
      <c r="N52" s="108">
        <f t="shared" si="10"/>
        <v>4511160.4200000018</v>
      </c>
      <c r="O52" s="170"/>
      <c r="P52" s="170">
        <f t="shared" si="6"/>
        <v>9610236.9399999995</v>
      </c>
      <c r="V52" s="170">
        <f t="shared" si="7"/>
        <v>-37781498.740000002</v>
      </c>
      <c r="W52" s="108">
        <f t="shared" si="5"/>
        <v>12218501.259999998</v>
      </c>
      <c r="X52" s="171"/>
    </row>
    <row r="53" spans="2:24">
      <c r="B53" s="2" t="s">
        <v>49</v>
      </c>
      <c r="C53" s="2" t="s">
        <v>364</v>
      </c>
      <c r="E53" s="187">
        <v>44900</v>
      </c>
      <c r="F53" s="2">
        <f t="shared" si="8"/>
        <v>2022</v>
      </c>
      <c r="G53" s="211" t="s">
        <v>834</v>
      </c>
      <c r="H53" s="108">
        <v>179184.71</v>
      </c>
      <c r="I53" s="108"/>
      <c r="J53" s="108">
        <f>-R53</f>
        <v>-3962.23</v>
      </c>
      <c r="L53" s="108">
        <f>SUM(H53:J53)</f>
        <v>175222.47999999998</v>
      </c>
      <c r="M53" s="170">
        <f t="shared" si="4"/>
        <v>-45488839.579999998</v>
      </c>
      <c r="N53" s="108">
        <f t="shared" si="10"/>
        <v>4511160.4200000018</v>
      </c>
      <c r="O53" s="170">
        <v>179184.71</v>
      </c>
      <c r="P53" s="170">
        <f t="shared" si="6"/>
        <v>9789421.6500000004</v>
      </c>
      <c r="R53" s="170">
        <v>3962.23</v>
      </c>
      <c r="S53" s="171"/>
      <c r="T53" s="171"/>
      <c r="V53" s="170">
        <f t="shared" si="7"/>
        <v>-37781498.740000002</v>
      </c>
      <c r="W53" s="108">
        <f t="shared" si="5"/>
        <v>12218501.259999998</v>
      </c>
      <c r="X53" s="171"/>
    </row>
    <row r="54" spans="2:24">
      <c r="B54" s="2" t="s">
        <v>829</v>
      </c>
      <c r="C54" s="2" t="s">
        <v>360</v>
      </c>
      <c r="E54" s="187">
        <v>44900</v>
      </c>
      <c r="F54" s="2">
        <f t="shared" si="8"/>
        <v>2022</v>
      </c>
      <c r="G54" s="211" t="s">
        <v>830</v>
      </c>
      <c r="H54" s="108"/>
      <c r="I54" s="211"/>
      <c r="J54" s="211"/>
      <c r="K54" s="211"/>
      <c r="M54" s="170">
        <f>IF(U54&lt;0,U54,0)+M53</f>
        <v>-45488839.579999998</v>
      </c>
      <c r="N54" s="108">
        <f>M54+$C$7</f>
        <v>4511160.4200000018</v>
      </c>
      <c r="O54" s="170"/>
      <c r="P54" s="170">
        <f t="shared" si="6"/>
        <v>9789421.6500000004</v>
      </c>
      <c r="R54" s="170"/>
      <c r="S54" s="171"/>
      <c r="T54" s="171"/>
      <c r="U54" s="108">
        <v>1572885.51</v>
      </c>
      <c r="V54" s="170">
        <f t="shared" si="7"/>
        <v>-36208613.230000004</v>
      </c>
      <c r="W54" s="108">
        <f t="shared" si="5"/>
        <v>13791386.769999996</v>
      </c>
      <c r="X54" s="171"/>
    </row>
    <row r="55" spans="2:24">
      <c r="B55" s="2" t="s">
        <v>307</v>
      </c>
      <c r="C55" s="2" t="s">
        <v>342</v>
      </c>
      <c r="E55" s="187">
        <v>44956</v>
      </c>
      <c r="F55" s="2">
        <f t="shared" si="8"/>
        <v>2023</v>
      </c>
      <c r="G55" s="211" t="s">
        <v>835</v>
      </c>
      <c r="H55" s="108">
        <v>-7707257.6100000003</v>
      </c>
      <c r="I55" s="108"/>
      <c r="J55" s="108">
        <v>-820370.35</v>
      </c>
      <c r="K55" s="108">
        <v>-121671.96</v>
      </c>
      <c r="L55" s="108">
        <f t="shared" si="9"/>
        <v>-8649299.9200000018</v>
      </c>
      <c r="M55" s="170">
        <f t="shared" si="4"/>
        <v>-54138139.5</v>
      </c>
      <c r="N55" s="108">
        <f t="shared" ref="N55:N84" si="11">M55+$C$7</f>
        <v>-4138139.5</v>
      </c>
      <c r="O55" s="170"/>
      <c r="P55" s="170">
        <f t="shared" si="6"/>
        <v>9789421.6500000004</v>
      </c>
      <c r="V55" s="170">
        <f t="shared" si="7"/>
        <v>-44857913.150000006</v>
      </c>
      <c r="W55" s="108">
        <f t="shared" si="5"/>
        <v>5142086.849999994</v>
      </c>
      <c r="X55" s="171"/>
    </row>
    <row r="56" spans="2:24">
      <c r="B56" s="2" t="s">
        <v>49</v>
      </c>
      <c r="C56" s="2" t="s">
        <v>366</v>
      </c>
      <c r="E56" s="187">
        <v>45050</v>
      </c>
      <c r="F56" s="2">
        <f t="shared" si="8"/>
        <v>2023</v>
      </c>
      <c r="G56" s="211" t="s">
        <v>836</v>
      </c>
      <c r="H56" s="108">
        <f>3061709.29-R56</f>
        <v>3032304.64</v>
      </c>
      <c r="I56" s="108"/>
      <c r="J56" s="108"/>
      <c r="L56" s="108">
        <f>SUM(H56:J56)</f>
        <v>3032304.64</v>
      </c>
      <c r="M56" s="170">
        <f t="shared" si="4"/>
        <v>-54138139.5</v>
      </c>
      <c r="N56" s="170">
        <f t="shared" si="11"/>
        <v>-4138139.5</v>
      </c>
      <c r="O56" s="170">
        <f>L56</f>
        <v>3032304.64</v>
      </c>
      <c r="P56" s="170">
        <f>P55+O56+R56</f>
        <v>12851130.940000001</v>
      </c>
      <c r="R56" s="427">
        <v>29404.65</v>
      </c>
      <c r="V56" s="170">
        <f t="shared" si="7"/>
        <v>-44857913.150000006</v>
      </c>
      <c r="W56" s="108">
        <f t="shared" si="5"/>
        <v>5142086.849999994</v>
      </c>
      <c r="X56" s="171"/>
    </row>
    <row r="57" spans="2:24">
      <c r="B57" s="2" t="s">
        <v>829</v>
      </c>
      <c r="C57" s="2" t="s">
        <v>366</v>
      </c>
      <c r="E57" s="187">
        <v>45050</v>
      </c>
      <c r="F57" s="2">
        <f t="shared" si="8"/>
        <v>2023</v>
      </c>
      <c r="G57" s="211" t="s">
        <v>830</v>
      </c>
      <c r="H57" s="108"/>
      <c r="I57" s="211"/>
      <c r="J57" s="211"/>
      <c r="K57" s="211"/>
      <c r="M57" s="170">
        <f>IF(U57&lt;0,U57,0)+M56</f>
        <v>-54138139.5</v>
      </c>
      <c r="N57" s="170">
        <f t="shared" si="11"/>
        <v>-4138139.5</v>
      </c>
      <c r="O57" s="170"/>
      <c r="P57" s="170">
        <f t="shared" si="6"/>
        <v>12851130.940000001</v>
      </c>
      <c r="R57" s="170"/>
      <c r="S57" s="171"/>
      <c r="T57" s="171"/>
      <c r="U57" s="108">
        <v>942042.31</v>
      </c>
      <c r="V57" s="170">
        <f t="shared" si="7"/>
        <v>-43915870.840000004</v>
      </c>
      <c r="W57" s="108">
        <f t="shared" si="5"/>
        <v>6084129.1599999964</v>
      </c>
      <c r="X57" s="171"/>
    </row>
    <row r="58" spans="2:24">
      <c r="B58" s="2" t="s">
        <v>307</v>
      </c>
      <c r="C58" s="2" t="s">
        <v>346</v>
      </c>
      <c r="E58" s="187">
        <v>45083</v>
      </c>
      <c r="F58" s="2">
        <f t="shared" si="8"/>
        <v>2023</v>
      </c>
      <c r="G58" s="211" t="s">
        <v>837</v>
      </c>
      <c r="H58" s="108">
        <v>-790642.16</v>
      </c>
      <c r="I58" s="108">
        <v>-218433.47</v>
      </c>
      <c r="J58" s="211"/>
      <c r="K58" s="211"/>
      <c r="L58" s="108">
        <f t="shared" si="9"/>
        <v>-1009075.63</v>
      </c>
      <c r="M58" s="170">
        <f t="shared" si="4"/>
        <v>-55147215.130000003</v>
      </c>
      <c r="N58" s="170">
        <f t="shared" si="11"/>
        <v>-5147215.1300000027</v>
      </c>
      <c r="O58" s="108"/>
      <c r="P58" s="170">
        <f t="shared" si="6"/>
        <v>12851130.940000001</v>
      </c>
      <c r="V58" s="170">
        <f t="shared" si="7"/>
        <v>-44924946.470000006</v>
      </c>
      <c r="W58" s="108">
        <f t="shared" si="5"/>
        <v>5075053.5299999937</v>
      </c>
      <c r="X58" s="171"/>
    </row>
    <row r="59" spans="2:24">
      <c r="B59" s="2" t="s">
        <v>49</v>
      </c>
      <c r="C59" s="2" t="s">
        <v>373</v>
      </c>
      <c r="E59" s="187">
        <v>45083</v>
      </c>
      <c r="F59" s="2">
        <f t="shared" si="8"/>
        <v>2023</v>
      </c>
      <c r="G59" s="211" t="s">
        <v>838</v>
      </c>
      <c r="H59" s="108">
        <v>1306940.6599999999</v>
      </c>
      <c r="I59" s="211"/>
      <c r="J59" s="108">
        <f>-R59</f>
        <v>-2606.63</v>
      </c>
      <c r="L59" s="108">
        <f t="shared" si="9"/>
        <v>1304334.03</v>
      </c>
      <c r="M59" s="170">
        <f t="shared" si="4"/>
        <v>-55147215.130000003</v>
      </c>
      <c r="N59" s="170">
        <f t="shared" si="11"/>
        <v>-5147215.1300000027</v>
      </c>
      <c r="O59" s="108">
        <f>H59</f>
        <v>1306940.6599999999</v>
      </c>
      <c r="P59" s="170">
        <f t="shared" si="6"/>
        <v>14158071.600000001</v>
      </c>
      <c r="R59" s="170">
        <v>2606.63</v>
      </c>
      <c r="S59" s="2" t="s">
        <v>401</v>
      </c>
      <c r="V59" s="170">
        <f t="shared" si="7"/>
        <v>-44924946.470000006</v>
      </c>
      <c r="W59" s="108">
        <f t="shared" si="5"/>
        <v>5075053.5299999937</v>
      </c>
      <c r="X59" s="171"/>
    </row>
    <row r="60" spans="2:24">
      <c r="B60" s="2" t="s">
        <v>829</v>
      </c>
      <c r="C60" s="2" t="s">
        <v>373</v>
      </c>
      <c r="E60" s="187">
        <v>45083</v>
      </c>
      <c r="F60" s="2">
        <f t="shared" si="8"/>
        <v>2023</v>
      </c>
      <c r="G60" s="211" t="s">
        <v>830</v>
      </c>
      <c r="H60" s="108"/>
      <c r="I60" s="211"/>
      <c r="J60" s="211"/>
      <c r="K60" s="211"/>
      <c r="M60" s="170">
        <f>IF(U60&lt;0,U60,0)+M59</f>
        <v>-55147215.130000003</v>
      </c>
      <c r="N60" s="170">
        <f t="shared" si="11"/>
        <v>-5147215.1300000027</v>
      </c>
      <c r="O60" s="108"/>
      <c r="P60" s="170">
        <f t="shared" si="6"/>
        <v>14158071.600000001</v>
      </c>
      <c r="R60" s="170"/>
      <c r="S60" s="171"/>
      <c r="T60" s="171"/>
      <c r="U60" s="108">
        <v>218433.47</v>
      </c>
      <c r="V60" s="170">
        <f t="shared" si="7"/>
        <v>-44706513.000000007</v>
      </c>
      <c r="W60" s="108">
        <f t="shared" si="5"/>
        <v>5293486.9999999925</v>
      </c>
      <c r="X60" s="171"/>
    </row>
    <row r="61" spans="2:24">
      <c r="B61" s="2" t="s">
        <v>307</v>
      </c>
      <c r="C61" s="2" t="s">
        <v>456</v>
      </c>
      <c r="E61" s="187">
        <v>45119</v>
      </c>
      <c r="F61" s="2">
        <f t="shared" si="8"/>
        <v>2023</v>
      </c>
      <c r="G61" s="211" t="s">
        <v>839</v>
      </c>
      <c r="H61" s="108">
        <v>-538795.04</v>
      </c>
      <c r="I61" s="211"/>
      <c r="J61" s="211"/>
      <c r="K61" s="211"/>
      <c r="L61" s="108">
        <f t="shared" si="9"/>
        <v>-538795.04</v>
      </c>
      <c r="M61" s="108">
        <f t="shared" si="4"/>
        <v>-55686010.170000002</v>
      </c>
      <c r="N61" s="108">
        <f>M61+$C$7</f>
        <v>-5686010.1700000018</v>
      </c>
      <c r="O61" s="108"/>
      <c r="P61" s="170">
        <f t="shared" si="6"/>
        <v>14158071.600000001</v>
      </c>
      <c r="V61" s="170">
        <f t="shared" si="7"/>
        <v>-45245308.040000007</v>
      </c>
      <c r="W61" s="108">
        <f t="shared" si="5"/>
        <v>4754691.9599999934</v>
      </c>
      <c r="X61" s="171"/>
    </row>
    <row r="62" spans="2:24">
      <c r="B62" s="2" t="s">
        <v>49</v>
      </c>
      <c r="C62" s="2" t="s">
        <v>377</v>
      </c>
      <c r="E62" s="187">
        <v>45119</v>
      </c>
      <c r="F62" s="2">
        <f t="shared" si="8"/>
        <v>2023</v>
      </c>
      <c r="G62" s="211" t="s">
        <v>840</v>
      </c>
      <c r="H62" s="108">
        <f>802283.07-R62</f>
        <v>792943.42999999993</v>
      </c>
      <c r="I62" s="211"/>
      <c r="J62" s="211"/>
      <c r="K62" s="211"/>
      <c r="L62" s="108">
        <f t="shared" si="9"/>
        <v>792943.42999999993</v>
      </c>
      <c r="M62" s="108">
        <f t="shared" si="4"/>
        <v>-55686010.170000002</v>
      </c>
      <c r="N62" s="108">
        <f t="shared" si="11"/>
        <v>-5686010.1700000018</v>
      </c>
      <c r="O62" s="108">
        <f>L62</f>
        <v>792943.42999999993</v>
      </c>
      <c r="P62" s="170">
        <f>P61+O62+R62</f>
        <v>14960354.670000002</v>
      </c>
      <c r="R62" s="427">
        <v>9339.64</v>
      </c>
      <c r="S62" s="2" t="s">
        <v>514</v>
      </c>
      <c r="V62" s="170">
        <f t="shared" si="7"/>
        <v>-45245308.040000007</v>
      </c>
      <c r="W62" s="108">
        <f t="shared" si="5"/>
        <v>4754691.9599999934</v>
      </c>
      <c r="X62" s="171"/>
    </row>
    <row r="63" spans="2:24">
      <c r="B63" s="2" t="s">
        <v>49</v>
      </c>
      <c r="C63" s="2" t="s">
        <v>386</v>
      </c>
      <c r="E63" s="187">
        <v>45236</v>
      </c>
      <c r="F63" s="2">
        <f>YEAR(E63)</f>
        <v>2023</v>
      </c>
      <c r="G63" s="211" t="s">
        <v>841</v>
      </c>
      <c r="H63" s="108">
        <v>1200814.96</v>
      </c>
      <c r="I63" s="211"/>
      <c r="J63" s="211"/>
      <c r="K63" s="211"/>
      <c r="L63" s="108">
        <f>SUM(H63:K63)</f>
        <v>1200814.96</v>
      </c>
      <c r="M63" s="108">
        <f t="shared" si="4"/>
        <v>-55686010.170000002</v>
      </c>
      <c r="N63" s="108">
        <f t="shared" si="11"/>
        <v>-5686010.1700000018</v>
      </c>
      <c r="O63" s="108">
        <f>H63</f>
        <v>1200814.96</v>
      </c>
      <c r="P63" s="170">
        <f t="shared" si="6"/>
        <v>16161169.630000003</v>
      </c>
      <c r="R63" s="108"/>
      <c r="V63" s="170">
        <f t="shared" si="7"/>
        <v>-45245308.040000007</v>
      </c>
      <c r="W63" s="108">
        <f t="shared" si="5"/>
        <v>4754691.9599999934</v>
      </c>
      <c r="X63" s="171"/>
    </row>
    <row r="64" spans="2:24">
      <c r="B64" s="2" t="s">
        <v>307</v>
      </c>
      <c r="C64" s="2" t="s">
        <v>353</v>
      </c>
      <c r="E64" s="187">
        <v>45236</v>
      </c>
      <c r="F64" s="2">
        <f>YEAR(E64)</f>
        <v>2023</v>
      </c>
      <c r="G64" s="211" t="s">
        <v>839</v>
      </c>
      <c r="H64" s="108">
        <v>-15427.16</v>
      </c>
      <c r="I64" s="211">
        <v>-672550.86</v>
      </c>
      <c r="J64" s="211">
        <v>-93496.88</v>
      </c>
      <c r="K64" s="211">
        <v>-81882.740000000005</v>
      </c>
      <c r="L64" s="108">
        <f>SUM(H64:K64)</f>
        <v>-863357.64</v>
      </c>
      <c r="M64" s="108">
        <f t="shared" si="4"/>
        <v>-56549367.810000002</v>
      </c>
      <c r="N64" s="108">
        <f t="shared" si="11"/>
        <v>-6549367.8100000024</v>
      </c>
      <c r="O64" s="108"/>
      <c r="P64" s="170">
        <f t="shared" si="6"/>
        <v>16161169.630000003</v>
      </c>
      <c r="V64" s="170">
        <f t="shared" si="7"/>
        <v>-46108665.680000007</v>
      </c>
      <c r="W64" s="108">
        <f t="shared" si="5"/>
        <v>3891334.3199999928</v>
      </c>
      <c r="X64" s="171"/>
    </row>
    <row r="65" spans="2:24">
      <c r="B65" s="2" t="s">
        <v>829</v>
      </c>
      <c r="C65" s="2" t="s">
        <v>386</v>
      </c>
      <c r="E65" s="187">
        <v>45236</v>
      </c>
      <c r="F65" s="2">
        <f t="shared" ref="F65" si="12">YEAR(E65)</f>
        <v>2023</v>
      </c>
      <c r="G65" s="211" t="s">
        <v>830</v>
      </c>
      <c r="H65" s="108"/>
      <c r="I65" s="211"/>
      <c r="J65" s="211"/>
      <c r="K65" s="211"/>
      <c r="M65" s="108">
        <f>IF(U65&lt;0,U65,0)+M64</f>
        <v>-56549367.810000002</v>
      </c>
      <c r="N65" s="108">
        <f t="shared" si="11"/>
        <v>-6549367.8100000024</v>
      </c>
      <c r="O65" s="108"/>
      <c r="P65" s="170">
        <f t="shared" si="6"/>
        <v>16161169.630000003</v>
      </c>
      <c r="R65" s="108"/>
      <c r="S65" s="171"/>
      <c r="T65" s="171"/>
      <c r="U65" s="108">
        <v>847930.48</v>
      </c>
      <c r="V65" s="170">
        <f t="shared" si="7"/>
        <v>-45260735.20000001</v>
      </c>
      <c r="W65" s="108">
        <f t="shared" si="5"/>
        <v>4739264.7999999896</v>
      </c>
      <c r="X65" s="171"/>
    </row>
    <row r="66" spans="2:24">
      <c r="B66" s="2" t="s">
        <v>49</v>
      </c>
      <c r="C66" s="2" t="s">
        <v>390</v>
      </c>
      <c r="E66" s="187">
        <v>45271</v>
      </c>
      <c r="F66" s="2">
        <f>YEAR(E66)</f>
        <v>2023</v>
      </c>
      <c r="G66" s="211" t="s">
        <v>842</v>
      </c>
      <c r="H66" s="108">
        <f>6943139.65-Q66</f>
        <v>7116136.4199999999</v>
      </c>
      <c r="I66" s="211"/>
      <c r="J66" s="211"/>
      <c r="K66" s="211"/>
      <c r="L66" s="108">
        <f>SUM(H66:K66)</f>
        <v>7116136.4199999999</v>
      </c>
      <c r="M66" s="108">
        <f t="shared" si="4"/>
        <v>-56549367.810000002</v>
      </c>
      <c r="N66" s="108">
        <f t="shared" si="11"/>
        <v>-6549367.8100000024</v>
      </c>
      <c r="O66" s="108">
        <f>H66</f>
        <v>7116136.4199999999</v>
      </c>
      <c r="P66" s="170">
        <f t="shared" si="6"/>
        <v>23277306.050000004</v>
      </c>
      <c r="Q66" s="171">
        <v>-172996.77</v>
      </c>
      <c r="R66" s="108"/>
      <c r="V66" s="170">
        <f t="shared" si="7"/>
        <v>-45260735.20000001</v>
      </c>
      <c r="W66" s="108">
        <f t="shared" si="5"/>
        <v>4739264.7999999896</v>
      </c>
      <c r="X66" s="171"/>
    </row>
    <row r="67" spans="2:24" ht="12" customHeight="1">
      <c r="B67" s="2" t="s">
        <v>307</v>
      </c>
      <c r="C67" s="2" t="s">
        <v>356</v>
      </c>
      <c r="E67" s="187">
        <v>45271</v>
      </c>
      <c r="F67" s="2">
        <f>YEAR(E67)</f>
        <v>2023</v>
      </c>
      <c r="G67" s="211"/>
      <c r="H67" s="108">
        <v>-51299.53</v>
      </c>
      <c r="I67" s="211"/>
      <c r="J67" s="211"/>
      <c r="K67" s="211">
        <v>-73003.179999999993</v>
      </c>
      <c r="L67" s="108">
        <f>SUM(H67:K67)</f>
        <v>-124302.70999999999</v>
      </c>
      <c r="M67" s="108">
        <f t="shared" si="4"/>
        <v>-56673670.520000003</v>
      </c>
      <c r="N67" s="108">
        <f t="shared" si="11"/>
        <v>-6673670.5200000033</v>
      </c>
      <c r="O67" s="108">
        <f>SUMIF(H67:K67,"&gt;0", H67:K67)</f>
        <v>0</v>
      </c>
      <c r="P67" s="170">
        <f t="shared" si="6"/>
        <v>23277306.050000004</v>
      </c>
      <c r="Q67" s="171"/>
      <c r="V67" s="170">
        <f t="shared" si="7"/>
        <v>-45385037.910000011</v>
      </c>
      <c r="W67" s="108">
        <f t="shared" si="5"/>
        <v>4614962.0899999887</v>
      </c>
      <c r="X67" s="171"/>
    </row>
    <row r="68" spans="2:24">
      <c r="B68" s="2" t="s">
        <v>829</v>
      </c>
      <c r="C68" s="2" t="s">
        <v>390</v>
      </c>
      <c r="E68" s="187">
        <v>45271</v>
      </c>
      <c r="F68" s="2">
        <f t="shared" ref="F68:F78" si="13">YEAR(E68)</f>
        <v>2023</v>
      </c>
      <c r="G68" s="211" t="s">
        <v>830</v>
      </c>
      <c r="H68" s="108"/>
      <c r="I68" s="211"/>
      <c r="J68" s="211"/>
      <c r="K68" s="211"/>
      <c r="M68" s="108">
        <f>IF(U68&lt;0,U68,0)+M67</f>
        <v>-56673670.520000003</v>
      </c>
      <c r="N68" s="108">
        <f t="shared" si="11"/>
        <v>-6673670.5200000033</v>
      </c>
      <c r="O68" s="108"/>
      <c r="P68" s="170">
        <f t="shared" si="6"/>
        <v>23277306.050000004</v>
      </c>
      <c r="R68" s="108"/>
      <c r="S68" s="171"/>
      <c r="T68" s="171"/>
      <c r="U68" s="108">
        <v>124303</v>
      </c>
      <c r="V68" s="170">
        <f t="shared" si="7"/>
        <v>-45260734.910000011</v>
      </c>
      <c r="W68" s="108">
        <f t="shared" si="5"/>
        <v>4739265.0899999887</v>
      </c>
      <c r="X68" s="171"/>
    </row>
    <row r="69" spans="2:24">
      <c r="B69" s="2" t="s">
        <v>49</v>
      </c>
      <c r="C69" s="2" t="s">
        <v>394</v>
      </c>
      <c r="E69" s="187">
        <v>45299</v>
      </c>
      <c r="F69" s="2">
        <f t="shared" si="13"/>
        <v>2024</v>
      </c>
      <c r="G69" s="211" t="s">
        <v>842</v>
      </c>
      <c r="H69" s="108">
        <v>223842.52</v>
      </c>
      <c r="I69" s="211"/>
      <c r="J69" s="211"/>
      <c r="K69" s="211"/>
      <c r="L69" s="108">
        <f>SUM(H69:K69)</f>
        <v>223842.52</v>
      </c>
      <c r="M69" s="108">
        <f t="shared" si="4"/>
        <v>-56673670.520000003</v>
      </c>
      <c r="N69" s="108">
        <f t="shared" si="11"/>
        <v>-6673670.5200000033</v>
      </c>
      <c r="O69" s="108">
        <f>H69</f>
        <v>223842.52</v>
      </c>
      <c r="P69" s="170">
        <f t="shared" si="6"/>
        <v>23501148.570000004</v>
      </c>
      <c r="Q69" s="171"/>
      <c r="V69" s="170">
        <f t="shared" si="7"/>
        <v>-45260734.910000011</v>
      </c>
      <c r="W69" s="108">
        <f t="shared" si="5"/>
        <v>4739265.0899999887</v>
      </c>
      <c r="X69" s="171"/>
    </row>
    <row r="70" spans="2:24">
      <c r="B70" s="2" t="s">
        <v>307</v>
      </c>
      <c r="C70" s="2" t="s">
        <v>359</v>
      </c>
      <c r="E70" s="187">
        <v>45378</v>
      </c>
      <c r="F70" s="2">
        <f t="shared" si="13"/>
        <v>2024</v>
      </c>
      <c r="G70" s="211"/>
      <c r="H70" s="108">
        <v>-317147.39</v>
      </c>
      <c r="I70" s="211"/>
      <c r="J70" s="211"/>
      <c r="K70" s="211"/>
      <c r="L70" s="108">
        <f t="shared" ref="L70:L74" si="14">SUM(H70:K70)</f>
        <v>-317147.39</v>
      </c>
      <c r="M70" s="108">
        <f t="shared" si="4"/>
        <v>-56990817.910000004</v>
      </c>
      <c r="N70" s="108">
        <f t="shared" si="11"/>
        <v>-6990817.9100000039</v>
      </c>
      <c r="O70" s="108"/>
      <c r="P70" s="170">
        <f t="shared" si="6"/>
        <v>23501148.570000004</v>
      </c>
      <c r="Q70" s="171">
        <f>-Q40</f>
        <v>0</v>
      </c>
      <c r="V70" s="170">
        <f t="shared" si="7"/>
        <v>-45577882.300000012</v>
      </c>
      <c r="W70" s="108">
        <f t="shared" si="5"/>
        <v>4422117.6999999881</v>
      </c>
      <c r="X70" s="171"/>
    </row>
    <row r="71" spans="2:24">
      <c r="B71" s="2" t="s">
        <v>49</v>
      </c>
      <c r="C71" s="2" t="s">
        <v>395</v>
      </c>
      <c r="E71" s="187">
        <v>45378</v>
      </c>
      <c r="F71" s="2">
        <f t="shared" si="13"/>
        <v>2024</v>
      </c>
      <c r="G71" s="211" t="s">
        <v>843</v>
      </c>
      <c r="H71" s="108">
        <f>94148.52+38201.35</f>
        <v>132349.87</v>
      </c>
      <c r="I71" s="211"/>
      <c r="J71" s="211"/>
      <c r="K71" s="211"/>
      <c r="L71" s="108">
        <f t="shared" si="14"/>
        <v>132349.87</v>
      </c>
      <c r="M71" s="108">
        <f t="shared" si="4"/>
        <v>-56990817.910000004</v>
      </c>
      <c r="N71" s="108">
        <f t="shared" si="11"/>
        <v>-6990817.9100000039</v>
      </c>
      <c r="O71" s="108">
        <f>H71</f>
        <v>132349.87</v>
      </c>
      <c r="P71" s="170">
        <f t="shared" si="6"/>
        <v>23633498.440000005</v>
      </c>
      <c r="Q71" s="171">
        <f>-Q41</f>
        <v>0</v>
      </c>
      <c r="U71" s="108">
        <v>203970.61</v>
      </c>
      <c r="V71" s="170">
        <f t="shared" si="7"/>
        <v>-45373911.690000013</v>
      </c>
      <c r="W71" s="108">
        <f t="shared" si="5"/>
        <v>4626088.3099999875</v>
      </c>
      <c r="X71" s="171"/>
    </row>
    <row r="72" spans="2:24">
      <c r="B72" s="2" t="s">
        <v>829</v>
      </c>
      <c r="C72" s="2" t="s">
        <v>395</v>
      </c>
      <c r="E72" s="187">
        <v>45378</v>
      </c>
      <c r="F72" s="2">
        <f t="shared" si="13"/>
        <v>2024</v>
      </c>
      <c r="G72" s="211" t="s">
        <v>830</v>
      </c>
      <c r="H72" s="108"/>
      <c r="I72" s="211"/>
      <c r="J72" s="211"/>
      <c r="K72" s="211"/>
      <c r="M72" s="108">
        <f>IF(U71&lt;0,U71,0)+M71</f>
        <v>-56990817.910000004</v>
      </c>
      <c r="N72" s="108">
        <f t="shared" si="11"/>
        <v>-6990817.9100000039</v>
      </c>
      <c r="O72" s="108"/>
      <c r="P72" s="170">
        <f t="shared" si="6"/>
        <v>23633498.440000005</v>
      </c>
      <c r="R72" s="108"/>
      <c r="V72" s="170">
        <f t="shared" si="7"/>
        <v>-45373911.690000013</v>
      </c>
      <c r="W72" s="108">
        <f t="shared" si="5"/>
        <v>4626088.3099999875</v>
      </c>
      <c r="X72" s="171"/>
    </row>
    <row r="73" spans="2:24">
      <c r="B73" s="2" t="s">
        <v>49</v>
      </c>
      <c r="C73" s="2" t="s">
        <v>398</v>
      </c>
      <c r="E73" s="187">
        <v>45407</v>
      </c>
      <c r="F73" s="2">
        <f t="shared" si="13"/>
        <v>2024</v>
      </c>
      <c r="G73" s="211" t="s">
        <v>844</v>
      </c>
      <c r="H73" s="108">
        <v>2771318.59</v>
      </c>
      <c r="I73" s="211"/>
      <c r="J73" s="211"/>
      <c r="K73" s="211"/>
      <c r="L73" s="108">
        <f t="shared" si="14"/>
        <v>2771318.59</v>
      </c>
      <c r="M73" s="108">
        <f t="shared" si="4"/>
        <v>-56990817.910000004</v>
      </c>
      <c r="N73" s="108">
        <f t="shared" si="11"/>
        <v>-6990817.9100000039</v>
      </c>
      <c r="O73" s="108">
        <f>H73</f>
        <v>2771318.59</v>
      </c>
      <c r="P73" s="170">
        <f t="shared" si="6"/>
        <v>26404817.030000005</v>
      </c>
      <c r="Q73" s="171"/>
      <c r="R73" s="171"/>
      <c r="S73" s="2" t="s">
        <v>845</v>
      </c>
      <c r="V73" s="170">
        <f t="shared" si="7"/>
        <v>-45373911.690000013</v>
      </c>
      <c r="W73" s="108">
        <f t="shared" si="5"/>
        <v>4626088.3099999875</v>
      </c>
      <c r="X73" s="171"/>
    </row>
    <row r="74" spans="2:24">
      <c r="B74" s="2" t="s">
        <v>307</v>
      </c>
      <c r="C74" s="2" t="s">
        <v>363</v>
      </c>
      <c r="E74" s="187">
        <v>45407</v>
      </c>
      <c r="F74" s="2">
        <f t="shared" si="13"/>
        <v>2024</v>
      </c>
      <c r="G74" s="132" t="s">
        <v>844</v>
      </c>
      <c r="H74" s="170">
        <v>-19169.240000000002</v>
      </c>
      <c r="I74" s="211"/>
      <c r="J74" s="211"/>
      <c r="K74" s="211"/>
      <c r="L74" s="108">
        <f t="shared" si="14"/>
        <v>-19169.240000000002</v>
      </c>
      <c r="M74" s="170">
        <f t="shared" si="4"/>
        <v>-57009987.150000006</v>
      </c>
      <c r="N74" s="108">
        <f t="shared" si="11"/>
        <v>-7009987.150000006</v>
      </c>
      <c r="O74" s="108">
        <f t="shared" ref="O74" si="15">IF(L74&gt;0,L74,0)</f>
        <v>0</v>
      </c>
      <c r="P74" s="170">
        <f t="shared" si="6"/>
        <v>26404817.030000005</v>
      </c>
      <c r="Q74" s="171"/>
      <c r="V74" s="170">
        <f t="shared" si="7"/>
        <v>-45393080.930000015</v>
      </c>
      <c r="W74" s="108">
        <f t="shared" si="5"/>
        <v>4606919.0699999854</v>
      </c>
      <c r="X74" s="171"/>
    </row>
    <row r="75" spans="2:24">
      <c r="B75" s="2" t="s">
        <v>829</v>
      </c>
      <c r="C75" s="2" t="s">
        <v>395</v>
      </c>
      <c r="E75" s="187">
        <v>45407</v>
      </c>
      <c r="F75" s="2">
        <f t="shared" si="13"/>
        <v>2024</v>
      </c>
      <c r="G75" s="211" t="s">
        <v>830</v>
      </c>
      <c r="H75" s="108"/>
      <c r="I75" s="211"/>
      <c r="J75" s="211"/>
      <c r="K75" s="211"/>
      <c r="M75" s="170">
        <f>IF(U75&lt;0,U75,0)+M74</f>
        <v>-57009987.150000006</v>
      </c>
      <c r="N75" s="108">
        <f t="shared" si="11"/>
        <v>-7009987.150000006</v>
      </c>
      <c r="O75" s="108"/>
      <c r="P75" s="170">
        <f t="shared" si="6"/>
        <v>26404817.030000005</v>
      </c>
      <c r="R75" s="170"/>
      <c r="U75" s="108">
        <v>28403.759999999998</v>
      </c>
      <c r="V75" s="170">
        <f t="shared" si="7"/>
        <v>-45364677.170000017</v>
      </c>
      <c r="W75" s="108">
        <f t="shared" si="5"/>
        <v>4635322.8299999833</v>
      </c>
      <c r="X75" s="171"/>
    </row>
    <row r="76" spans="2:24">
      <c r="B76" s="2" t="s">
        <v>49</v>
      </c>
      <c r="C76" s="2" t="s">
        <v>400</v>
      </c>
      <c r="E76" s="187">
        <v>45470</v>
      </c>
      <c r="F76" s="2">
        <f t="shared" si="13"/>
        <v>2024</v>
      </c>
      <c r="G76" s="132" t="s">
        <v>839</v>
      </c>
      <c r="H76" s="170">
        <v>86722.13</v>
      </c>
      <c r="I76" s="211"/>
      <c r="J76" s="211"/>
      <c r="K76" s="211"/>
      <c r="L76" s="108">
        <f t="shared" ref="L76:L80" si="16">SUM(H76:K76)</f>
        <v>86722.13</v>
      </c>
      <c r="M76" s="170">
        <f t="shared" si="4"/>
        <v>-57009987.150000006</v>
      </c>
      <c r="N76" s="108">
        <f t="shared" si="11"/>
        <v>-7009987.150000006</v>
      </c>
      <c r="O76" s="108">
        <f>H76</f>
        <v>86722.13</v>
      </c>
      <c r="P76" s="170">
        <f t="shared" si="6"/>
        <v>26491539.160000004</v>
      </c>
      <c r="Q76" s="171"/>
      <c r="S76" s="2" t="s">
        <v>845</v>
      </c>
      <c r="V76" s="170">
        <f t="shared" si="7"/>
        <v>-45364677.170000017</v>
      </c>
      <c r="W76" s="108">
        <f t="shared" si="5"/>
        <v>4635322.8299999833</v>
      </c>
      <c r="X76" s="171"/>
    </row>
    <row r="77" spans="2:24">
      <c r="B77" s="2" t="s">
        <v>829</v>
      </c>
      <c r="C77" s="2" t="s">
        <v>400</v>
      </c>
      <c r="E77" s="187">
        <v>45470</v>
      </c>
      <c r="F77" s="2">
        <f t="shared" si="13"/>
        <v>2024</v>
      </c>
      <c r="G77" s="211" t="s">
        <v>830</v>
      </c>
      <c r="H77" s="108"/>
      <c r="I77" s="211"/>
      <c r="J77" s="211"/>
      <c r="K77" s="211"/>
      <c r="M77" s="170">
        <f>IF(U77&lt;0,U77,0)+M76</f>
        <v>-57009987.150000006</v>
      </c>
      <c r="N77" s="108">
        <f t="shared" si="11"/>
        <v>-7009987.150000006</v>
      </c>
      <c r="O77" s="108"/>
      <c r="P77" s="170">
        <f t="shared" si="6"/>
        <v>26491539.160000004</v>
      </c>
      <c r="R77" s="170"/>
      <c r="U77" s="108">
        <v>210952.01</v>
      </c>
      <c r="V77" s="170">
        <f t="shared" si="7"/>
        <v>-45153725.160000019</v>
      </c>
      <c r="W77" s="108">
        <f t="shared" si="5"/>
        <v>4846274.8399999812</v>
      </c>
      <c r="X77" s="171"/>
    </row>
    <row r="78" spans="2:24">
      <c r="B78" s="2" t="s">
        <v>307</v>
      </c>
      <c r="C78" s="2" t="s">
        <v>465</v>
      </c>
      <c r="E78" s="187">
        <v>45470</v>
      </c>
      <c r="F78" s="2">
        <f t="shared" si="13"/>
        <v>2024</v>
      </c>
      <c r="G78" s="132" t="s">
        <v>839</v>
      </c>
      <c r="H78" s="170">
        <v>-715950.66</v>
      </c>
      <c r="I78" s="211">
        <v>-200381.42</v>
      </c>
      <c r="J78" s="211">
        <v>-10570.59</v>
      </c>
      <c r="K78" s="211"/>
      <c r="L78" s="108">
        <f t="shared" si="16"/>
        <v>-926902.67</v>
      </c>
      <c r="M78" s="170">
        <f t="shared" si="4"/>
        <v>-57936889.820000008</v>
      </c>
      <c r="N78" s="108">
        <f t="shared" si="11"/>
        <v>-7936889.8200000077</v>
      </c>
      <c r="O78" s="108">
        <f t="shared" ref="O78:O80" si="17">IF(L78&gt;0,L78,0)</f>
        <v>0</v>
      </c>
      <c r="P78" s="170">
        <f t="shared" si="6"/>
        <v>26491539.160000004</v>
      </c>
      <c r="Q78" s="171"/>
      <c r="S78" s="2" t="s">
        <v>846</v>
      </c>
      <c r="V78" s="170">
        <f t="shared" si="7"/>
        <v>-46080627.830000021</v>
      </c>
      <c r="W78" s="108">
        <f t="shared" si="5"/>
        <v>3919372.1699999794</v>
      </c>
      <c r="X78" s="171"/>
    </row>
    <row r="79" spans="2:24" ht="15">
      <c r="B79" s="2" t="s">
        <v>49</v>
      </c>
      <c r="C79" s="2" t="s">
        <v>402</v>
      </c>
      <c r="E79" s="420">
        <v>45489</v>
      </c>
      <c r="F79" s="2">
        <f>YEAR(E79)</f>
        <v>2024</v>
      </c>
      <c r="G79" s="132" t="s">
        <v>847</v>
      </c>
      <c r="H79" s="170">
        <f>876600.47+492554.89+13730.61-R79</f>
        <v>1345696.79</v>
      </c>
      <c r="I79" s="211"/>
      <c r="J79" s="211"/>
      <c r="K79" s="211"/>
      <c r="L79" s="425">
        <f>SUM(H79:K79)</f>
        <v>1345696.79</v>
      </c>
      <c r="M79" s="170">
        <f t="shared" si="4"/>
        <v>-57936889.820000008</v>
      </c>
      <c r="N79" s="108">
        <f t="shared" si="11"/>
        <v>-7936889.8200000077</v>
      </c>
      <c r="O79" s="108">
        <f>IF(H79&gt;0,H79,0)</f>
        <v>1345696.79</v>
      </c>
      <c r="P79" s="170">
        <f>P78+O79</f>
        <v>27837235.950000003</v>
      </c>
      <c r="Q79" s="171"/>
      <c r="R79" s="549">
        <v>37189.18</v>
      </c>
      <c r="V79" s="170">
        <f t="shared" si="7"/>
        <v>-46080627.830000021</v>
      </c>
      <c r="W79" s="108">
        <f t="shared" si="5"/>
        <v>3919372.1699999794</v>
      </c>
      <c r="X79" s="171"/>
    </row>
    <row r="80" spans="2:24" ht="15">
      <c r="B80" s="2" t="s">
        <v>307</v>
      </c>
      <c r="C80" s="2" t="s">
        <v>467</v>
      </c>
      <c r="E80" s="420">
        <v>45489</v>
      </c>
      <c r="F80" s="2">
        <f t="shared" ref="F80:F89" si="18">YEAR(E80)</f>
        <v>2024</v>
      </c>
      <c r="G80" s="132"/>
      <c r="H80" s="170"/>
      <c r="I80" s="211"/>
      <c r="J80" s="211">
        <v>-3944.19</v>
      </c>
      <c r="K80" s="211"/>
      <c r="L80" s="425">
        <f t="shared" si="16"/>
        <v>-3944.19</v>
      </c>
      <c r="M80" s="170">
        <f t="shared" si="4"/>
        <v>-57940834.010000005</v>
      </c>
      <c r="N80" s="108">
        <f t="shared" si="11"/>
        <v>-7940834.0100000054</v>
      </c>
      <c r="O80" s="108">
        <f t="shared" si="17"/>
        <v>0</v>
      </c>
      <c r="P80" s="170">
        <f t="shared" si="6"/>
        <v>27837235.950000003</v>
      </c>
      <c r="Q80" s="171"/>
      <c r="R80" s="171"/>
      <c r="V80" s="170">
        <f t="shared" si="7"/>
        <v>-46084572.020000018</v>
      </c>
      <c r="W80" s="108">
        <f t="shared" si="5"/>
        <v>3915427.9799999818</v>
      </c>
      <c r="X80" s="171"/>
    </row>
    <row r="81" spans="2:24">
      <c r="B81" s="2" t="s">
        <v>829</v>
      </c>
      <c r="C81" s="2" t="s">
        <v>402</v>
      </c>
      <c r="E81" s="420">
        <v>45489</v>
      </c>
      <c r="F81" s="2">
        <f t="shared" si="18"/>
        <v>2024</v>
      </c>
      <c r="G81" s="211" t="s">
        <v>830</v>
      </c>
      <c r="H81" s="108"/>
      <c r="I81" s="211"/>
      <c r="J81" s="211"/>
      <c r="K81" s="211"/>
      <c r="M81" s="170">
        <f>IF(U81&lt;0,U81,0)+M80</f>
        <v>-57940834.010000005</v>
      </c>
      <c r="N81" s="108">
        <f t="shared" si="11"/>
        <v>-7940834.0100000054</v>
      </c>
      <c r="O81" s="108"/>
      <c r="P81" s="170">
        <f t="shared" si="6"/>
        <v>27837235.950000003</v>
      </c>
      <c r="R81" s="170"/>
      <c r="U81" s="108">
        <v>3944.19</v>
      </c>
      <c r="V81" s="170">
        <f t="shared" si="7"/>
        <v>-46080627.830000021</v>
      </c>
      <c r="W81" s="108">
        <f t="shared" si="5"/>
        <v>3919372.1699999794</v>
      </c>
      <c r="X81" s="171"/>
    </row>
    <row r="82" spans="2:24" ht="15">
      <c r="B82" s="2" t="s">
        <v>307</v>
      </c>
      <c r="C82" s="2" t="s">
        <v>369</v>
      </c>
      <c r="E82" s="420">
        <v>45540</v>
      </c>
      <c r="F82" s="2">
        <f t="shared" si="18"/>
        <v>2024</v>
      </c>
      <c r="G82" s="132" t="s">
        <v>745</v>
      </c>
      <c r="H82" s="170">
        <v>-906158.26</v>
      </c>
      <c r="I82" s="211"/>
      <c r="J82" s="211">
        <v>-7501.37</v>
      </c>
      <c r="K82" s="211"/>
      <c r="L82" s="425">
        <f>SUM(H82:K82)</f>
        <v>-913659.63</v>
      </c>
      <c r="M82" s="170">
        <f t="shared" si="4"/>
        <v>-58854493.640000008</v>
      </c>
      <c r="N82" s="108">
        <f t="shared" si="11"/>
        <v>-8854493.640000008</v>
      </c>
      <c r="O82" s="108">
        <f t="shared" ref="O82:O89" si="19">IF(L82&gt;0,L82,0)</f>
        <v>0</v>
      </c>
      <c r="P82" s="170">
        <f t="shared" si="6"/>
        <v>27837235.950000003</v>
      </c>
      <c r="Q82" s="171"/>
      <c r="R82" s="171"/>
      <c r="V82" s="170">
        <f t="shared" si="7"/>
        <v>-46994287.460000023</v>
      </c>
      <c r="W82" s="108">
        <f t="shared" si="5"/>
        <v>3005712.5399999768</v>
      </c>
      <c r="X82" s="171"/>
    </row>
    <row r="83" spans="2:24" ht="15">
      <c r="B83" s="2" t="s">
        <v>307</v>
      </c>
      <c r="C83" s="2" t="s">
        <v>370</v>
      </c>
      <c r="E83" s="187">
        <v>45561</v>
      </c>
      <c r="F83" s="2">
        <f t="shared" si="18"/>
        <v>2024</v>
      </c>
      <c r="G83" s="132" t="s">
        <v>745</v>
      </c>
      <c r="H83" s="170">
        <v>-453079.13</v>
      </c>
      <c r="I83" s="211"/>
      <c r="J83" s="211"/>
      <c r="K83" s="211"/>
      <c r="L83" s="425">
        <f>SUM(H83:K83)</f>
        <v>-453079.13</v>
      </c>
      <c r="M83" s="170">
        <f t="shared" si="4"/>
        <v>-59307572.770000011</v>
      </c>
      <c r="N83" s="108">
        <f t="shared" si="11"/>
        <v>-9307572.7700000107</v>
      </c>
      <c r="O83" s="108">
        <f t="shared" si="19"/>
        <v>0</v>
      </c>
      <c r="P83" s="170">
        <f t="shared" si="6"/>
        <v>27837235.950000003</v>
      </c>
      <c r="Q83" s="171"/>
      <c r="R83" s="171"/>
      <c r="V83" s="170">
        <f t="shared" si="7"/>
        <v>-47447366.590000026</v>
      </c>
      <c r="W83" s="108">
        <f t="shared" si="5"/>
        <v>2552633.4099999741</v>
      </c>
      <c r="X83" s="171"/>
    </row>
    <row r="84" spans="2:24" ht="15">
      <c r="B84" s="2" t="s">
        <v>49</v>
      </c>
      <c r="C84" s="2" t="s">
        <v>470</v>
      </c>
      <c r="E84" s="187">
        <v>45561</v>
      </c>
      <c r="F84" s="2">
        <f t="shared" si="18"/>
        <v>2024</v>
      </c>
      <c r="G84" s="132" t="s">
        <v>745</v>
      </c>
      <c r="H84" s="170">
        <v>33980.93</v>
      </c>
      <c r="I84" s="211"/>
      <c r="J84" s="211"/>
      <c r="K84" s="211"/>
      <c r="L84" s="425">
        <f>SUM(H84:K84)</f>
        <v>33980.93</v>
      </c>
      <c r="M84" s="170">
        <f t="shared" si="4"/>
        <v>-59307572.770000011</v>
      </c>
      <c r="N84" s="108">
        <f t="shared" si="11"/>
        <v>-9307572.7700000107</v>
      </c>
      <c r="O84" s="108">
        <f t="shared" si="19"/>
        <v>33980.93</v>
      </c>
      <c r="P84" s="170">
        <f t="shared" si="6"/>
        <v>27871216.880000003</v>
      </c>
      <c r="Q84" s="171"/>
      <c r="R84" s="171"/>
      <c r="V84" s="170">
        <f t="shared" si="7"/>
        <v>-47447366.590000026</v>
      </c>
      <c r="W84" s="108">
        <f t="shared" si="5"/>
        <v>2552633.4099999741</v>
      </c>
      <c r="X84" s="171"/>
    </row>
    <row r="85" spans="2:24">
      <c r="B85" s="2" t="s">
        <v>829</v>
      </c>
      <c r="C85" s="2" t="s">
        <v>470</v>
      </c>
      <c r="E85" s="187">
        <v>45561</v>
      </c>
      <c r="F85" s="2">
        <f t="shared" si="18"/>
        <v>2024</v>
      </c>
      <c r="G85" s="211" t="s">
        <v>830</v>
      </c>
      <c r="H85" s="108"/>
      <c r="I85" s="211"/>
      <c r="J85" s="211"/>
      <c r="K85" s="211"/>
      <c r="M85" s="170">
        <f>IF(U85&lt;0,U85,0)+M84</f>
        <v>-59307572.770000011</v>
      </c>
      <c r="N85" s="108">
        <f>M85+$C$7</f>
        <v>-9307572.7700000107</v>
      </c>
      <c r="O85" s="108">
        <f t="shared" si="19"/>
        <v>0</v>
      </c>
      <c r="P85" s="170">
        <f t="shared" si="6"/>
        <v>27871216.880000003</v>
      </c>
      <c r="R85" s="170"/>
      <c r="S85" s="2" t="s">
        <v>617</v>
      </c>
      <c r="U85" s="108">
        <v>7501.37</v>
      </c>
      <c r="V85" s="170">
        <f t="shared" si="7"/>
        <v>-47439865.220000029</v>
      </c>
      <c r="W85" s="108">
        <f t="shared" si="5"/>
        <v>2560134.7799999714</v>
      </c>
      <c r="X85" s="171"/>
    </row>
    <row r="86" spans="2:24" ht="15">
      <c r="B86" s="2" t="s">
        <v>49</v>
      </c>
      <c r="C86" s="2" t="s">
        <v>471</v>
      </c>
      <c r="E86" s="187">
        <v>45573</v>
      </c>
      <c r="F86" s="2">
        <f t="shared" si="18"/>
        <v>2024</v>
      </c>
      <c r="G86" s="211" t="s">
        <v>848</v>
      </c>
      <c r="H86" s="108">
        <v>215244.98</v>
      </c>
      <c r="I86" s="211"/>
      <c r="J86" s="211"/>
      <c r="K86" s="211"/>
      <c r="L86" s="425">
        <f t="shared" ref="L86" si="20">SUM(H86:K86)</f>
        <v>215244.98</v>
      </c>
      <c r="M86" s="170">
        <f>IF(U86&lt;0,U86,0)+M85</f>
        <v>-59307572.770000011</v>
      </c>
      <c r="N86" s="108">
        <f t="shared" ref="N86:N88" si="21">M86+$C$7</f>
        <v>-9307572.7700000107</v>
      </c>
      <c r="O86" s="108">
        <f t="shared" si="19"/>
        <v>215244.98</v>
      </c>
      <c r="P86" s="170">
        <f t="shared" si="6"/>
        <v>28086461.860000003</v>
      </c>
      <c r="R86" s="170"/>
      <c r="U86" s="108"/>
      <c r="V86" s="170">
        <f t="shared" si="7"/>
        <v>-47439865.220000029</v>
      </c>
      <c r="W86" s="108">
        <f t="shared" si="5"/>
        <v>2560134.7799999714</v>
      </c>
      <c r="X86" s="171"/>
    </row>
    <row r="87" spans="2:24" ht="15">
      <c r="B87" s="2" t="s">
        <v>49</v>
      </c>
      <c r="C87" s="2" t="s">
        <v>473</v>
      </c>
      <c r="E87" s="187">
        <v>45607</v>
      </c>
      <c r="F87" s="2">
        <f t="shared" si="18"/>
        <v>2024</v>
      </c>
      <c r="G87" s="211" t="s">
        <v>849</v>
      </c>
      <c r="H87" s="108">
        <f>258519.93+117478.63+65722.29+32085.41+25086.42+14016.33-R87</f>
        <v>511507.37999999995</v>
      </c>
      <c r="I87" s="211"/>
      <c r="J87" s="211"/>
      <c r="K87" s="211"/>
      <c r="L87" s="425">
        <f t="shared" ref="L87" si="22">SUM(H87:K87)</f>
        <v>511507.37999999995</v>
      </c>
      <c r="M87" s="170">
        <f>IF(U87&lt;0,U87,0)+M86</f>
        <v>-59307572.770000011</v>
      </c>
      <c r="N87" s="108">
        <f t="shared" si="21"/>
        <v>-9307572.7700000107</v>
      </c>
      <c r="O87" s="108">
        <f t="shared" si="19"/>
        <v>511507.37999999995</v>
      </c>
      <c r="P87" s="170">
        <f>P86+O87+R87</f>
        <v>28599370.870000001</v>
      </c>
      <c r="R87" s="550">
        <v>1401.63</v>
      </c>
      <c r="U87" s="108"/>
      <c r="V87" s="170">
        <f t="shared" si="7"/>
        <v>-47439865.220000029</v>
      </c>
      <c r="W87" s="108">
        <f t="shared" si="5"/>
        <v>2560134.7799999714</v>
      </c>
      <c r="X87" s="171"/>
    </row>
    <row r="88" spans="2:24" ht="15">
      <c r="B88" s="2" t="s">
        <v>307</v>
      </c>
      <c r="C88" s="2" t="s">
        <v>372</v>
      </c>
      <c r="E88" s="187">
        <v>45607</v>
      </c>
      <c r="F88" s="2">
        <f t="shared" si="18"/>
        <v>2024</v>
      </c>
      <c r="G88" s="132" t="s">
        <v>745</v>
      </c>
      <c r="H88" s="170"/>
      <c r="I88" s="211">
        <v>-409842.84</v>
      </c>
      <c r="J88" s="211">
        <v>-8254.7199999999993</v>
      </c>
      <c r="K88" s="211"/>
      <c r="L88" s="425">
        <f>SUM(H88:K88)</f>
        <v>-418097.56</v>
      </c>
      <c r="M88" s="170">
        <f>IF(L88&lt;0,L88,0)+M87</f>
        <v>-59725670.330000013</v>
      </c>
      <c r="N88" s="108">
        <f t="shared" si="21"/>
        <v>-9725670.3300000131</v>
      </c>
      <c r="O88" s="108">
        <f t="shared" si="19"/>
        <v>0</v>
      </c>
      <c r="P88" s="170">
        <f>P87+O88</f>
        <v>28599370.870000001</v>
      </c>
      <c r="Q88" s="171"/>
      <c r="R88" s="171"/>
      <c r="V88" s="170">
        <f t="shared" si="7"/>
        <v>-47857962.780000031</v>
      </c>
      <c r="W88" s="108">
        <f t="shared" si="5"/>
        <v>2142037.219999969</v>
      </c>
      <c r="X88" s="171"/>
    </row>
    <row r="89" spans="2:24">
      <c r="B89" s="2" t="s">
        <v>829</v>
      </c>
      <c r="C89" s="2" t="s">
        <v>473</v>
      </c>
      <c r="E89" s="187">
        <v>45607</v>
      </c>
      <c r="F89" s="2">
        <f t="shared" si="18"/>
        <v>2024</v>
      </c>
      <c r="G89" s="211" t="s">
        <v>830</v>
      </c>
      <c r="H89" s="108"/>
      <c r="I89" s="211"/>
      <c r="J89" s="211"/>
      <c r="K89" s="211"/>
      <c r="M89" s="170">
        <f>IF(U89&lt;0,U89,0)+M88</f>
        <v>-59725670.330000013</v>
      </c>
      <c r="N89" s="108">
        <f>M89+$C$7</f>
        <v>-9725670.3300000131</v>
      </c>
      <c r="O89" s="108">
        <f t="shared" si="19"/>
        <v>0</v>
      </c>
      <c r="P89" s="170">
        <f t="shared" ref="P89" si="23">P88+O89</f>
        <v>28599370.870000001</v>
      </c>
      <c r="R89" s="170"/>
      <c r="S89" s="2" t="s">
        <v>403</v>
      </c>
      <c r="U89" s="108">
        <v>418097.56</v>
      </c>
      <c r="V89" s="170">
        <f t="shared" si="7"/>
        <v>-47439865.220000029</v>
      </c>
      <c r="W89" s="108">
        <f t="shared" si="5"/>
        <v>2560134.7799999714</v>
      </c>
      <c r="X89" s="171"/>
    </row>
    <row r="90" spans="2:24">
      <c r="E90" s="187"/>
      <c r="G90" s="132"/>
      <c r="H90" s="132"/>
      <c r="I90" s="132"/>
      <c r="J90" s="281"/>
      <c r="K90" s="281"/>
      <c r="L90" s="170"/>
      <c r="M90" s="170"/>
      <c r="N90" s="108"/>
      <c r="O90" s="170"/>
      <c r="P90" s="170"/>
    </row>
    <row r="91" spans="2:24" s="191" customFormat="1">
      <c r="C91" s="191" t="s">
        <v>716</v>
      </c>
      <c r="D91" s="192"/>
      <c r="E91" s="192">
        <f>C3</f>
        <v>45657</v>
      </c>
      <c r="F91" s="191">
        <f>YEAR(E91)</f>
        <v>2024</v>
      </c>
      <c r="G91" s="191" t="s">
        <v>681</v>
      </c>
      <c r="H91" s="193"/>
      <c r="I91" s="193"/>
      <c r="J91" s="193"/>
      <c r="K91" s="193"/>
      <c r="L91" s="282">
        <v>41287985</v>
      </c>
      <c r="M91" s="193"/>
      <c r="N91" s="193"/>
      <c r="O91" s="193"/>
      <c r="P91" s="193"/>
    </row>
    <row r="95" spans="2:24">
      <c r="M95" s="314"/>
    </row>
    <row r="97" spans="12:13">
      <c r="M97" s="171"/>
    </row>
    <row r="99" spans="12:13">
      <c r="L99" s="171"/>
    </row>
  </sheetData>
  <autoFilter ref="B27:S74" xr:uid="{69C24915-EF30-45FA-A0AB-3594088FC036}"/>
  <mergeCells count="2">
    <mergeCell ref="L1:M1"/>
    <mergeCell ref="U26:W26"/>
  </mergeCells>
  <phoneticPr fontId="62" type="noConversion"/>
  <hyperlinks>
    <hyperlink ref="L79" r:id="rId1" location="21 &amp; Funding Notice #22.pdf&amp;viewid=048c04e9-146b-425b-9d09-84676d2821bc&amp;parent=\sites\ACH33-ACH33-SGInvestment-CCGBVI\Shared Documents\ACH33 - SG Investment - CCGBVI\1. Private Equity\1 - Funds\1 - USD Funds\DCP (USD)\1 - DCP USD Fund I\3 - Distribution Notice" display="../../../../Forms/AllItems.aspx?CT=1722236910052&amp;OR=OWA%2DNT%2DMail&amp;CID=4ee197c8%2D4f6b%2D8418%2D90d3%2Dff79d36307e2&amp;id=%2Fsites%2FACH33%2DACH33%2DSGInvestment%2DCCGBVI%2FShared%20Documents%2FACH33%20%2D%20SG%20Investment%20%2D%20CCGBVI%2F1%2E%20Private%20Equity%2F1%20%2D%20Funds%2F1%20%2D%20USD%20Funds%2FDCP%20%28USD%29%2F1%20%2D%20DCP%20USD%20Fund%20I%2F3%20%2D%20Distribution%20Notice%2F20240710%20%2D%20Distribution%20Notice%20%2321%20%26%20Funding%20Notice%20%2322%2Epdf&amp;viewid=048c04e9%2D146b%2D425b%2D9d09%2D84676d2821bc&amp;parent=%2Fsites%2FACH33%2DACH33%2DSGInvestment%2DCCGBVI%2FShared%20Documents%2FACH33%20%2D%20SG%20Investment%20%2D%20CCGBVI%2F1%2E%20Private%20Equity%2F1%20%2D%20Funds%2F1%20%2D%20USD%20Funds%2FDCP%20%28USD%29%2F1%20%2D%20DCP%20USD%20Fund%20I%2F3%20%2D%20Distribution%20Notice" xr:uid="{76B13F31-FF26-4101-97FA-2B3D9DFF34EF}"/>
    <hyperlink ref="L80" r:id="rId2" location="21 &amp; Funding Notice #22.pdf&amp;viewid=048c04e9-146b-425b-9d09-84676d2821bc&amp;parent=\sites\ACH33-ACH33-SGInvestment-CCGBVI\Shared Documents\ACH33 - SG Investment - CCGBVI\1. Private Equity\1 - Funds\1 - USD Funds\DCP (USD)\1 - DCP USD Fund I\3 - Distribution Notice" display="../../../../Forms/AllItems.aspx?CT=1722236910052&amp;OR=OWA%2DNT%2DMail&amp;CID=4ee197c8%2D4f6b%2D8418%2D90d3%2Dff79d36307e2&amp;id=%2Fsites%2FACH33%2DACH33%2DSGInvestment%2DCCGBVI%2FShared%20Documents%2FACH33%20%2D%20SG%20Investment%20%2D%20CCGBVI%2F1%2E%20Private%20Equity%2F1%20%2D%20Funds%2F1%20%2D%20USD%20Funds%2FDCP%20%28USD%29%2F1%20%2D%20DCP%20USD%20Fund%20I%2F3%20%2D%20Distribution%20Notice%2F20240710%20%2D%20Distribution%20Notice%20%2321%20%26%20Funding%20Notice%20%2322%2Epdf&amp;viewid=048c04e9%2D146b%2D425b%2D9d09%2D84676d2821bc&amp;parent=%2Fsites%2FACH33%2DACH33%2DSGInvestment%2DCCGBVI%2FShared%20Documents%2FACH33%20%2D%20SG%20Investment%20%2D%20CCGBVI%2F1%2E%20Private%20Equity%2F1%20%2D%20Funds%2F1%20%2D%20USD%20Funds%2FDCP%20%28USD%29%2F1%20%2D%20DCP%20USD%20Fund%20I%2F3%20%2D%20Distribution%20Notice" xr:uid="{EEFCE432-1F95-4385-8627-DAA028B08345}"/>
    <hyperlink ref="L84" r:id="rId3" location="22 &amp; Funding Notice #24.pdf&amp;viewid=048c04e9-146b-425b-9d09-84676d2821bc&amp;parent=\sites\ACH33-ACH33-SGInvestment-CCGBVI\Shared Documents\ACH33 - SG Investment - CCGBVI\1. Private Equity\1 - Funds\1 - USD Funds\DCP (USD)\1 - DCP USD Fund I\3 - Capital Call Notice" display="../../../../Forms/AllItems.aspx?id=%2Fsites%2FACH33%2DACH33%2DSGInvestment%2DCCGBVI%2FShared%20Documents%2FACH33%20%2D%20SG%20Investment%20%2D%20CCGBVI%2F1%2E%20Private%20Equity%2F1%20%2D%20Funds%2F1%20%2D%20USD%20Funds%2FDCP%20%28USD%29%2F1%20%2D%20DCP%20USD%20Fund%20I%2F3%20%2D%20Capital%20Call%20Notice%2F04%2DCapital%20China%20Group%20Ltd%20%2D%20Distribution%20Notice%20%2322%20%26%20Funding%20Notice%20%2324%2Epdf&amp;viewid=048c04e9%2D146b%2D425b%2D9d09%2D84676d2821bc&amp;parent=%2Fsites%2FACH33%2DACH33%2DSGInvestment%2DCCGBVI%2FShared%20Documents%2FACH33%20%2D%20SG%20Investment%20%2D%20CCGBVI%2F1%2E%20Private%20Equity%2F1%20%2D%20Funds%2F1%20%2D%20USD%20Funds%2FDCP%20%28USD%29%2F1%20%2D%20DCP%20USD%20Fund%20I%2F3%20%2D%20Capital%20Call%20Notice" xr:uid="{9C6C471B-0C8C-4BE8-8912-122D89F36457}"/>
    <hyperlink ref="L83" r:id="rId4" location="22 &amp; Funding Notice #24.pdf&amp;viewid=048c04e9-146b-425b-9d09-84676d2821bc&amp;parent=\sites\ACH33-ACH33-SGInvestment-CCGBVI\Shared Documents\ACH33 - SG Investment - CCGBVI\1. Private Equity\1 - Funds\1 - USD Funds\DCP (USD)\1 - DCP USD Fund I\3 - Capital Call Notice" display="../../../../Forms/AllItems.aspx?id=%2Fsites%2FACH33%2DACH33%2DSGInvestment%2DCCGBVI%2FShared%20Documents%2FACH33%20%2D%20SG%20Investment%20%2D%20CCGBVI%2F1%2E%20Private%20Equity%2F1%20%2D%20Funds%2F1%20%2D%20USD%20Funds%2FDCP%20%28USD%29%2F1%20%2D%20DCP%20USD%20Fund%20I%2F3%20%2D%20Capital%20Call%20Notice%2F04%2DCapital%20China%20Group%20Ltd%20%2D%20Distribution%20Notice%20%2322%20%26%20Funding%20Notice%20%2324%2Epdf&amp;viewid=048c04e9%2D146b%2D425b%2D9d09%2D84676d2821bc&amp;parent=%2Fsites%2FACH33%2DACH33%2DSGInvestment%2DCCGBVI%2FShared%20Documents%2FACH33%20%2D%20SG%20Investment%20%2D%20CCGBVI%2F1%2E%20Private%20Equity%2F1%20%2D%20Funds%2F1%20%2D%20USD%20Funds%2FDCP%20%28USD%29%2F1%20%2D%20DCP%20USD%20Fund%20I%2F3%20%2D%20Capital%20Call%20Notice" xr:uid="{412499ED-EF18-4F08-9EA7-EC23C12B928F}"/>
    <hyperlink ref="L82" r:id="rId5" location="23.pdf&amp;viewid=048c04e9-146b-425b-9d09-84676d2821bc&amp;parent=\sites\ACH33-ACH33-SGInvestment-CCGBVI\Shared Documents\ACH33 - SG Investment - CCGBVI\1. Private Equity\1 - Funds\1 - USD Funds\DCP (USD)\1 - DCP USD Fund I\3 - Capital Call Notice" display="../../../../Forms/AllItems.aspx?id=%2Fsites%2FACH33%2DACH33%2DSGInvestment%2DCCGBVI%2FShared%20Documents%2FACH33%20%2D%20SG%20Investment%20%2D%20CCGBVI%2F1%2E%20Private%20Equity%2F1%20%2D%20Funds%2F1%20%2D%20USD%20Funds%2FDCP%20%28USD%29%2F1%20%2D%20DCP%20USD%20Fund%20I%2F3%20%2D%20Capital%20Call%20Notice%2F20240830%20DCP%20%2D%20Funding%20Notice%20%2323%2Epdf&amp;viewid=048c04e9%2D146b%2D425b%2D9d09%2D84676d2821bc&amp;parent=%2Fsites%2FACH33%2DACH33%2DSGInvestment%2DCCGBVI%2FShared%20Documents%2FACH33%20%2D%20SG%20Investment%20%2D%20CCGBVI%2F1%2E%20Private%20Equity%2F1%20%2D%20Funds%2F1%20%2D%20USD%20Funds%2FDCP%20%28USD%29%2F1%20%2D%20DCP%20USD%20Fund%20I%2F3%20%2D%20Capital%20Call%20Notice" xr:uid="{A4F577DA-FA9C-4F16-81D6-581C3E4E0B76}"/>
    <hyperlink ref="L86" r:id="rId6" location="23.pdf&amp;viewid=048c04e9-146b-425b-9d09-84676d2821bc&amp;parent=\sites\ACH33-ACH33-SGInvestment-CCGBVI\Shared Documents\ACH33 - SG Investment - CCGBVI\1. Private Equity\1 - Funds\1 - USD Funds\DCP (USD)\1 - DCP USD Fund I\3 - Distribution Notice" display="../../../../Forms/AllItems.aspx?CT=1722236910052&amp;OR=OWA%2DNT%2DMail&amp;CID=4ee197c8%2D4f6b%2D8418%2D90d3%2Dff79d36307e2&amp;id=%2Fsites%2FACH33%2DACH33%2DSGInvestment%2DCCGBVI%2FShared%20Documents%2FACH33%20%2D%20SG%20Investment%20%2D%20CCGBVI%2F1%2E%20Private%20Equity%2F1%20%2D%20Funds%2F1%20%2D%20USD%20Funds%2FDCP%20%28USD%29%2F1%20%2D%20DCP%20USD%20Fund%20I%2F3%20%2D%20Distribution%20Notice%2F20241003%20%2D%20Distribution%20Notice%20%2323%2Epdf&amp;viewid=048c04e9%2D146b%2D425b%2D9d09%2D84676d2821bc&amp;parent=%2Fsites%2FACH33%2DACH33%2DSGInvestment%2DCCGBVI%2FShared%20Documents%2FACH33%20%2D%20SG%20Investment%20%2D%20CCGBVI%2F1%2E%20Private%20Equity%2F1%20%2D%20Funds%2F1%20%2D%20USD%20Funds%2FDCP%20%28USD%29%2F1%20%2D%20DCP%20USD%20Fund%20I%2F3%20%2D%20Distribution%20Notice" xr:uid="{01EA206C-5F0E-4077-A07B-1FCD1DE1BBDB}"/>
    <hyperlink ref="L87" r:id="rId7" location="23.pdf&amp;viewid=048c04e9-146b-425b-9d09-84676d2821bc&amp;parent=\sites\ACH33-ACH33-SGInvestment-CCGBVI\Shared Documents\ACH33 - SG Investment - CCGBVI\1. Private Equity\1 - Funds\1 - USD Funds\DCP (USD)\1 - DCP USD Fund I\3 - Distribution Notice" display="../../../../Forms/AllItems.aspx?CT=1722236910052&amp;OR=OWA%2DNT%2DMail&amp;CID=4ee197c8%2D4f6b%2D8418%2D90d3%2Dff79d36307e2&amp;id=%2Fsites%2FACH33%2DACH33%2DSGInvestment%2DCCGBVI%2FShared%20Documents%2FACH33%20%2D%20SG%20Investment%20%2D%20CCGBVI%2F1%2E%20Private%20Equity%2F1%20%2D%20Funds%2F1%20%2D%20USD%20Funds%2FDCP%20%28USD%29%2F1%20%2D%20DCP%20USD%20Fund%20I%2F3%20%2D%20Distribution%20Notice%2F20241003%20%2D%20Distribution%20Notice%20%2323%2Epdf&amp;viewid=048c04e9%2D146b%2D425b%2D9d09%2D84676d2821bc&amp;parent=%2Fsites%2FACH33%2DACH33%2DSGInvestment%2DCCGBVI%2FShared%20Documents%2FACH33%20%2D%20SG%20Investment%20%2D%20CCGBVI%2F1%2E%20Private%20Equity%2F1%20%2D%20Funds%2F1%20%2D%20USD%20Funds%2FDCP%20%28USD%29%2F1%20%2D%20DCP%20USD%20Fund%20I%2F3%20%2D%20Distribution%20Notice" xr:uid="{50E37373-BD60-471F-B9A6-C579796DCEED}"/>
    <hyperlink ref="L88" r:id="rId8" location="22 &amp; Funding Notice #24.pdf&amp;viewid=048c04e9-146b-425b-9d09-84676d2821bc&amp;parent=\sites\ACH33-ACH33-SGInvestment-CCGBVI\Shared Documents\ACH33 - SG Investment - CCGBVI\1. Private Equity\1 - Funds\1 - USD Funds\DCP (USD)\1 - DCP USD Fund I\3 - Capital Call Notice" display="../../../../Forms/AllItems.aspx?id=%2Fsites%2FACH33%2DACH33%2DSGInvestment%2DCCGBVI%2FShared%20Documents%2FACH33%20%2D%20SG%20Investment%20%2D%20CCGBVI%2F1%2E%20Private%20Equity%2F1%20%2D%20Funds%2F1%20%2D%20USD%20Funds%2FDCP%20%28USD%29%2F1%20%2D%20DCP%20USD%20Fund%20I%2F3%20%2D%20Capital%20Call%20Notice%2F04%2DCapital%20China%20Group%20Ltd%20%2D%20Distribution%20Notice%20%2322%20%26%20Funding%20Notice%20%2324%2Epdf&amp;viewid=048c04e9%2D146b%2D425b%2D9d09%2D84676d2821bc&amp;parent=%2Fsites%2FACH33%2DACH33%2DSGInvestment%2DCCGBVI%2FShared%20Documents%2FACH33%20%2D%20SG%20Investment%20%2D%20CCGBVI%2F1%2E%20Private%20Equity%2F1%20%2D%20Funds%2F1%20%2D%20USD%20Funds%2FDCP%20%28USD%29%2F1%20%2D%20DCP%20USD%20Fund%20I%2F3%20%2D%20Capital%20Call%20Notice" xr:uid="{0D15777F-D715-4AFE-B2A2-EC5BEDB177A6}"/>
    <hyperlink ref="L87:L88" r:id="rId9" location="24 &amp; Funding Notice #25.pdf" display="file://C:\Users\XingQiNeo\ACH\ACH33 - ACH33 - SG Investment - CCGBVI - Documents\ACH33 - SG Investment - CCGBVI\1. Private Equity\1 - Funds\1 - USD Funds\DCP (USD)\1 - DCP USD Fund I\3 - Distribution Notice\20241111 - Distribution Notice - 24 &amp; Funding Notice #25.pdf" xr:uid="{F1E565CE-D78A-42B8-AA0A-4F730950A3DF}"/>
  </hyperlinks>
  <pageMargins left="0.7" right="0.7" top="0.75" bottom="0.75" header="0.3" footer="0.3"/>
  <pageSetup paperSize="9" scale="36" orientation="portrait" r:id="rId10"/>
  <legacyDrawing r:id="rId1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CDC0F-6A4C-4A84-BE42-AC8C0C7D25FD}">
  <sheetPr>
    <tabColor theme="8"/>
    <outlinePr showOutlineSymbols="0"/>
    <pageSetUpPr fitToPage="1"/>
  </sheetPr>
  <dimension ref="A1:AN58"/>
  <sheetViews>
    <sheetView workbookViewId="0">
      <selection activeCell="B38" sqref="B38"/>
    </sheetView>
  </sheetViews>
  <sheetFormatPr defaultColWidth="9" defaultRowHeight="11.25" outlineLevelRow="1" outlineLevelCol="1"/>
  <cols>
    <col min="1" max="1" width="32.140625" style="2" customWidth="1"/>
    <col min="2" max="2" width="79.42578125" style="2" bestFit="1" customWidth="1"/>
    <col min="3" max="3" width="15.7109375" style="2" customWidth="1"/>
    <col min="4" max="4" width="31.140625" style="2" customWidth="1"/>
    <col min="5" max="5" width="14.42578125" style="2" bestFit="1" customWidth="1"/>
    <col min="6" max="6" width="11.28515625" style="2" customWidth="1"/>
    <col min="7" max="7" width="10.7109375" style="2" customWidth="1"/>
    <col min="8" max="8" width="38" style="2" customWidth="1"/>
    <col min="9" max="10" width="19.28515625" style="2" customWidth="1"/>
    <col min="11" max="11" width="12.7109375" style="367" customWidth="1" outlineLevel="1"/>
    <col min="12" max="12" width="12.7109375" style="2" customWidth="1" outlineLevel="1"/>
    <col min="13" max="14" width="14.7109375" style="2" customWidth="1" outlineLevel="1"/>
    <col min="15" max="15" width="14.7109375" style="367" customWidth="1" outlineLevel="1"/>
    <col min="16" max="17" width="7.7109375" style="2" customWidth="1" outlineLevel="1"/>
    <col min="18" max="19" width="15.7109375" style="2" customWidth="1" outlineLevel="1"/>
    <col min="20" max="20" width="12.7109375" style="367" customWidth="1"/>
    <col min="21" max="21" width="12.7109375" style="2" customWidth="1"/>
    <col min="22" max="23" width="14.7109375" style="2" customWidth="1"/>
    <col min="24" max="24" width="14.7109375" style="367" customWidth="1"/>
    <col min="25" max="26" width="7.7109375" style="2" customWidth="1"/>
    <col min="27" max="28" width="15.7109375" style="2" customWidth="1"/>
    <col min="29" max="29" width="12.7109375" style="367" customWidth="1"/>
    <col min="30" max="30" width="12.7109375" style="2" customWidth="1"/>
    <col min="31" max="33" width="14.7109375" style="2" customWidth="1"/>
    <col min="34" max="35" width="7.7109375" style="2" customWidth="1"/>
    <col min="36" max="39" width="15.7109375" style="2" customWidth="1"/>
    <col min="40" max="40" width="9" style="367"/>
    <col min="41" max="16384" width="9" style="2"/>
  </cols>
  <sheetData>
    <row r="1" spans="1:24">
      <c r="A1" s="117" t="s">
        <v>179</v>
      </c>
      <c r="B1" s="118"/>
      <c r="C1" s="74"/>
      <c r="D1" s="117" t="s">
        <v>180</v>
      </c>
      <c r="E1" s="219">
        <v>45657</v>
      </c>
      <c r="H1" s="117" t="s">
        <v>404</v>
      </c>
      <c r="I1" s="118"/>
      <c r="J1" s="74"/>
      <c r="O1" s="2"/>
      <c r="X1" s="2"/>
    </row>
    <row r="2" spans="1:24" outlineLevel="1">
      <c r="A2" s="2" t="s">
        <v>182</v>
      </c>
      <c r="B2" s="120" t="s">
        <v>32</v>
      </c>
      <c r="D2" s="2" t="s">
        <v>183</v>
      </c>
      <c r="E2" s="325">
        <f>W42</f>
        <v>662</v>
      </c>
      <c r="H2" s="2" t="s">
        <v>184</v>
      </c>
      <c r="I2" s="120" t="s">
        <v>185</v>
      </c>
      <c r="J2" s="120"/>
      <c r="O2" s="2"/>
      <c r="X2" s="2"/>
    </row>
    <row r="3" spans="1:24" outlineLevel="1">
      <c r="A3" s="2" t="s">
        <v>186</v>
      </c>
      <c r="B3" s="122">
        <v>44478</v>
      </c>
      <c r="D3" s="2" t="s">
        <v>187</v>
      </c>
      <c r="E3" s="577">
        <v>657.69440099999997</v>
      </c>
      <c r="H3" s="2" t="s">
        <v>188</v>
      </c>
      <c r="I3" s="120" t="s">
        <v>717</v>
      </c>
      <c r="J3" s="120"/>
      <c r="O3" s="2"/>
      <c r="X3" s="2"/>
    </row>
    <row r="4" spans="1:24" outlineLevel="1">
      <c r="A4" s="2" t="s">
        <v>190</v>
      </c>
      <c r="B4" s="122">
        <v>44843</v>
      </c>
      <c r="D4" s="2" t="s">
        <v>191</v>
      </c>
      <c r="E4" s="302">
        <v>1.1000000000000001</v>
      </c>
      <c r="H4" s="2" t="s">
        <v>192</v>
      </c>
      <c r="I4" s="320">
        <v>7.0000000000000007E-2</v>
      </c>
      <c r="J4" s="320"/>
      <c r="O4" s="2"/>
      <c r="X4" s="2"/>
    </row>
    <row r="5" spans="1:24" outlineLevel="1">
      <c r="A5" s="2" t="s">
        <v>193</v>
      </c>
      <c r="B5" s="120">
        <v>2021</v>
      </c>
      <c r="D5" s="2" t="s">
        <v>194</v>
      </c>
      <c r="E5" s="302" t="s">
        <v>718</v>
      </c>
      <c r="H5" s="2" t="s">
        <v>195</v>
      </c>
      <c r="I5" s="126">
        <v>0.2</v>
      </c>
      <c r="J5" s="126"/>
      <c r="O5" s="2"/>
      <c r="X5" s="2"/>
    </row>
    <row r="6" spans="1:24" outlineLevel="1">
      <c r="A6" s="2" t="s">
        <v>196</v>
      </c>
      <c r="B6" s="120" t="s">
        <v>850</v>
      </c>
      <c r="D6" s="2" t="s">
        <v>198</v>
      </c>
      <c r="E6" s="302" t="s">
        <v>718</v>
      </c>
      <c r="H6" s="117" t="s">
        <v>199</v>
      </c>
      <c r="I6" s="118"/>
      <c r="J6" s="74"/>
      <c r="O6" s="2"/>
      <c r="X6" s="2"/>
    </row>
    <row r="7" spans="1:24" outlineLevel="1">
      <c r="A7" s="2" t="s">
        <v>200</v>
      </c>
      <c r="B7" s="120" t="s">
        <v>720</v>
      </c>
      <c r="D7" s="2" t="s">
        <v>202</v>
      </c>
      <c r="E7" s="302" t="s">
        <v>718</v>
      </c>
      <c r="H7" s="2" t="s">
        <v>203</v>
      </c>
      <c r="I7" s="2" t="s">
        <v>204</v>
      </c>
      <c r="O7" s="2"/>
      <c r="X7" s="2"/>
    </row>
    <row r="8" spans="1:24" outlineLevel="1">
      <c r="A8" s="2" t="s">
        <v>205</v>
      </c>
      <c r="B8" s="120" t="s">
        <v>206</v>
      </c>
      <c r="D8" s="2" t="s">
        <v>207</v>
      </c>
      <c r="E8" s="302" t="s">
        <v>718</v>
      </c>
      <c r="H8" s="2" t="s">
        <v>208</v>
      </c>
      <c r="I8" s="2" t="s">
        <v>209</v>
      </c>
      <c r="O8" s="2"/>
      <c r="X8" s="2"/>
    </row>
    <row r="9" spans="1:24" outlineLevel="1">
      <c r="A9" s="2" t="s">
        <v>65</v>
      </c>
      <c r="B9" s="120" t="s">
        <v>722</v>
      </c>
      <c r="D9" s="128" t="s">
        <v>211</v>
      </c>
      <c r="E9" s="291"/>
      <c r="O9" s="2"/>
      <c r="X9" s="2"/>
    </row>
    <row r="10" spans="1:24" outlineLevel="1">
      <c r="A10" s="2" t="s">
        <v>212</v>
      </c>
      <c r="B10" s="120" t="s">
        <v>723</v>
      </c>
      <c r="D10" s="2" t="s">
        <v>214</v>
      </c>
      <c r="E10" s="298">
        <v>100</v>
      </c>
      <c r="O10" s="2"/>
      <c r="X10" s="2"/>
    </row>
    <row r="11" spans="1:24" outlineLevel="1">
      <c r="A11" s="2" t="s">
        <v>215</v>
      </c>
      <c r="B11" s="120" t="s">
        <v>724</v>
      </c>
      <c r="D11" s="2" t="s">
        <v>216</v>
      </c>
      <c r="E11" s="299">
        <f>100/2631.483249</f>
        <v>3.8001381934694579E-2</v>
      </c>
      <c r="O11" s="2"/>
      <c r="X11" s="2"/>
    </row>
    <row r="12" spans="1:24" outlineLevel="1">
      <c r="A12" s="2" t="s">
        <v>217</v>
      </c>
      <c r="B12" s="120" t="s">
        <v>24</v>
      </c>
      <c r="D12" s="2" t="s">
        <v>218</v>
      </c>
      <c r="E12" s="133">
        <f>-'DCP II (CF) '!M2/10^6</f>
        <v>37.438527319999999</v>
      </c>
      <c r="O12" s="2"/>
      <c r="T12" s="502"/>
      <c r="X12" s="2"/>
    </row>
    <row r="13" spans="1:24" outlineLevel="1">
      <c r="A13" s="2" t="s">
        <v>219</v>
      </c>
      <c r="B13" s="120" t="s">
        <v>851</v>
      </c>
      <c r="D13" s="2" t="s">
        <v>221</v>
      </c>
      <c r="E13" s="298">
        <f>E10-E12</f>
        <v>62.561472680000001</v>
      </c>
      <c r="N13" s="314"/>
      <c r="O13" s="2"/>
      <c r="T13" s="502"/>
      <c r="X13" s="2"/>
    </row>
    <row r="14" spans="1:24" outlineLevel="1">
      <c r="A14" s="2" t="s">
        <v>222</v>
      </c>
      <c r="B14" s="285" t="s">
        <v>718</v>
      </c>
      <c r="D14" s="2" t="s">
        <v>224</v>
      </c>
      <c r="E14" s="133">
        <f>'DCP II (CF) '!M3/10^6</f>
        <v>2.67632344</v>
      </c>
      <c r="N14" s="314"/>
      <c r="O14" s="2"/>
      <c r="T14" s="502"/>
      <c r="X14" s="2"/>
    </row>
    <row r="15" spans="1:24" outlineLevel="1">
      <c r="A15" s="2" t="s">
        <v>225</v>
      </c>
      <c r="B15" s="286">
        <v>1.4999999999999999E-2</v>
      </c>
      <c r="D15" s="2" t="s">
        <v>227</v>
      </c>
      <c r="E15" s="293">
        <f>'DCP II (CF) '!M4/10^6</f>
        <v>25.000582999999999</v>
      </c>
      <c r="N15" s="314"/>
      <c r="O15" s="2"/>
      <c r="X15" s="2"/>
    </row>
    <row r="16" spans="1:24" outlineLevel="1">
      <c r="A16" s="2" t="s">
        <v>228</v>
      </c>
      <c r="B16" s="134">
        <v>44196</v>
      </c>
      <c r="D16" s="2" t="s">
        <v>229</v>
      </c>
      <c r="E16" s="300">
        <f>E12/E10</f>
        <v>0.37438527319999998</v>
      </c>
      <c r="N16" s="314"/>
      <c r="O16" s="2"/>
      <c r="X16" s="2"/>
    </row>
    <row r="17" spans="1:40" outlineLevel="1">
      <c r="A17" s="2" t="s">
        <v>230</v>
      </c>
      <c r="B17" s="120" t="s">
        <v>231</v>
      </c>
      <c r="D17" s="2" t="s">
        <v>232</v>
      </c>
      <c r="E17" s="300">
        <f>E14/E12</f>
        <v>7.1485809714803714E-2</v>
      </c>
      <c r="O17" s="2"/>
      <c r="X17" s="2"/>
    </row>
    <row r="18" spans="1:40" outlineLevel="1">
      <c r="A18" s="117" t="s">
        <v>233</v>
      </c>
      <c r="B18" s="118"/>
      <c r="D18" s="2" t="s">
        <v>234</v>
      </c>
      <c r="E18" s="137">
        <f>(E14+E15)/E12</f>
        <v>0.73926269063512939</v>
      </c>
      <c r="O18" s="2"/>
      <c r="X18" s="2"/>
    </row>
    <row r="19" spans="1:40" outlineLevel="1">
      <c r="A19" s="2" t="s">
        <v>235</v>
      </c>
      <c r="B19" s="120">
        <v>8</v>
      </c>
      <c r="D19" s="2" t="s">
        <v>627</v>
      </c>
      <c r="E19" s="294">
        <f>'DCP II (CF) '!M5</f>
        <v>-0.18608239367604257</v>
      </c>
      <c r="O19" s="2"/>
      <c r="X19" s="2"/>
    </row>
    <row r="20" spans="1:40" ht="13.5" customHeight="1">
      <c r="O20" s="2"/>
      <c r="X20" s="2"/>
    </row>
    <row r="21" spans="1:40">
      <c r="O21" s="2"/>
      <c r="X21" s="2"/>
    </row>
    <row r="22" spans="1:40">
      <c r="O22" s="2"/>
      <c r="X22" s="2"/>
    </row>
    <row r="23" spans="1:40">
      <c r="O23" s="2"/>
      <c r="X23" s="2"/>
    </row>
    <row r="24" spans="1:40">
      <c r="O24" s="2"/>
      <c r="X24" s="2"/>
    </row>
    <row r="25" spans="1:40">
      <c r="O25" s="2"/>
      <c r="X25" s="2"/>
    </row>
    <row r="26" spans="1:40">
      <c r="O26" s="2"/>
      <c r="X26" s="2"/>
    </row>
    <row r="27" spans="1:40">
      <c r="O27" s="2"/>
      <c r="X27" s="2"/>
    </row>
    <row r="28" spans="1:40">
      <c r="O28" s="2"/>
      <c r="X28" s="2"/>
    </row>
    <row r="29" spans="1:40">
      <c r="O29" s="2"/>
      <c r="X29" s="2"/>
    </row>
    <row r="30" spans="1:40" ht="13.5" customHeight="1">
      <c r="K30" s="503" t="s">
        <v>236</v>
      </c>
      <c r="L30" s="504"/>
      <c r="M30" s="504"/>
      <c r="N30" s="504"/>
      <c r="O30" s="504"/>
      <c r="P30" s="504"/>
      <c r="Q30" s="505"/>
      <c r="R30" s="505"/>
      <c r="S30" s="504"/>
      <c r="T30" s="503" t="s">
        <v>237</v>
      </c>
      <c r="U30" s="504"/>
      <c r="V30" s="504"/>
      <c r="W30" s="504"/>
      <c r="X30" s="504"/>
      <c r="Y30" s="504"/>
      <c r="Z30" s="505"/>
      <c r="AA30" s="505"/>
      <c r="AB30" s="504"/>
      <c r="AC30" s="503" t="s">
        <v>238</v>
      </c>
      <c r="AD30" s="504"/>
      <c r="AE30" s="504"/>
      <c r="AF30" s="504"/>
      <c r="AG30" s="504"/>
      <c r="AH30" s="504"/>
      <c r="AI30" s="505"/>
      <c r="AJ30" s="505"/>
      <c r="AK30" s="505"/>
      <c r="AL30" s="505"/>
      <c r="AM30" s="504"/>
    </row>
    <row r="31" spans="1:40" s="141" customFormat="1" ht="39.75" customHeight="1">
      <c r="A31" s="138" t="s">
        <v>239</v>
      </c>
      <c r="B31" s="139" t="s">
        <v>240</v>
      </c>
      <c r="C31" s="139" t="s">
        <v>69</v>
      </c>
      <c r="D31" s="139" t="s">
        <v>241</v>
      </c>
      <c r="E31" s="139" t="s">
        <v>242</v>
      </c>
      <c r="F31" s="139" t="s">
        <v>243</v>
      </c>
      <c r="G31" s="139" t="s">
        <v>244</v>
      </c>
      <c r="H31" s="139" t="s">
        <v>245</v>
      </c>
      <c r="I31" s="139" t="s">
        <v>246</v>
      </c>
      <c r="J31" s="501" t="s">
        <v>247</v>
      </c>
      <c r="K31" s="506" t="s">
        <v>248</v>
      </c>
      <c r="L31" s="506" t="s">
        <v>726</v>
      </c>
      <c r="M31" s="507" t="s">
        <v>250</v>
      </c>
      <c r="N31" s="506" t="s">
        <v>251</v>
      </c>
      <c r="O31" s="507" t="s">
        <v>252</v>
      </c>
      <c r="P31" s="506" t="s">
        <v>115</v>
      </c>
      <c r="Q31" s="507" t="s">
        <v>253</v>
      </c>
      <c r="R31" s="508" t="s">
        <v>254</v>
      </c>
      <c r="S31" s="509" t="s">
        <v>255</v>
      </c>
      <c r="T31" s="506" t="s">
        <v>248</v>
      </c>
      <c r="U31" s="506" t="s">
        <v>726</v>
      </c>
      <c r="V31" s="507" t="s">
        <v>250</v>
      </c>
      <c r="W31" s="506" t="s">
        <v>251</v>
      </c>
      <c r="X31" s="507" t="s">
        <v>252</v>
      </c>
      <c r="Y31" s="506" t="s">
        <v>115</v>
      </c>
      <c r="Z31" s="507" t="s">
        <v>253</v>
      </c>
      <c r="AA31" s="508" t="s">
        <v>254</v>
      </c>
      <c r="AB31" s="509" t="s">
        <v>255</v>
      </c>
      <c r="AC31" s="506" t="s">
        <v>248</v>
      </c>
      <c r="AD31" s="506" t="s">
        <v>249</v>
      </c>
      <c r="AE31" s="507" t="s">
        <v>250</v>
      </c>
      <c r="AF31" s="506" t="s">
        <v>251</v>
      </c>
      <c r="AG31" s="507" t="s">
        <v>252</v>
      </c>
      <c r="AH31" s="506" t="s">
        <v>115</v>
      </c>
      <c r="AI31" s="507" t="s">
        <v>253</v>
      </c>
      <c r="AJ31" s="508" t="s">
        <v>254</v>
      </c>
      <c r="AK31" s="509" t="s">
        <v>255</v>
      </c>
      <c r="AL31" s="508" t="s">
        <v>256</v>
      </c>
      <c r="AM31" s="509" t="s">
        <v>257</v>
      </c>
      <c r="AN31" s="510"/>
    </row>
    <row r="32" spans="1:40">
      <c r="A32" s="2" t="s">
        <v>769</v>
      </c>
      <c r="B32" s="2" t="s">
        <v>770</v>
      </c>
      <c r="C32" s="235" t="s">
        <v>728</v>
      </c>
      <c r="D32" s="374" t="s">
        <v>276</v>
      </c>
      <c r="E32" s="374">
        <v>44256</v>
      </c>
      <c r="F32" s="374" t="s">
        <v>647</v>
      </c>
      <c r="G32" s="374" t="s">
        <v>771</v>
      </c>
      <c r="H32" s="374" t="s">
        <v>44</v>
      </c>
      <c r="I32" s="235" t="s">
        <v>44</v>
      </c>
      <c r="J32" s="512" t="s">
        <v>44</v>
      </c>
      <c r="K32" s="513">
        <v>170</v>
      </c>
      <c r="L32" s="514" t="s">
        <v>44</v>
      </c>
      <c r="M32" s="513">
        <v>3</v>
      </c>
      <c r="N32" s="513">
        <v>56</v>
      </c>
      <c r="O32" s="513">
        <f>M32+N32</f>
        <v>59</v>
      </c>
      <c r="P32" s="268">
        <f>O32/K32</f>
        <v>0.34705882352941175</v>
      </c>
      <c r="Q32" s="515" t="s">
        <v>44</v>
      </c>
      <c r="R32" s="513">
        <v>0</v>
      </c>
      <c r="S32" s="515" t="s">
        <v>44</v>
      </c>
      <c r="T32" s="516">
        <v>170</v>
      </c>
      <c r="U32" s="514">
        <f>T32/T$42</f>
        <v>0.265625</v>
      </c>
      <c r="V32" s="513">
        <v>6</v>
      </c>
      <c r="W32" s="513">
        <v>33</v>
      </c>
      <c r="X32" s="513">
        <f>V32+W32</f>
        <v>39</v>
      </c>
      <c r="Y32" s="268">
        <f>X32/T32</f>
        <v>0.22941176470588234</v>
      </c>
      <c r="Z32" s="515" t="s">
        <v>44</v>
      </c>
      <c r="AA32" s="513">
        <f>X32-O32</f>
        <v>-20</v>
      </c>
      <c r="AB32" s="515">
        <f>IFERROR(X32/O32-1,0)</f>
        <v>-0.33898305084745761</v>
      </c>
      <c r="AC32" s="516">
        <v>170</v>
      </c>
      <c r="AD32" s="514" t="s">
        <v>44</v>
      </c>
      <c r="AE32" s="513">
        <v>6</v>
      </c>
      <c r="AF32" s="513">
        <v>36</v>
      </c>
      <c r="AG32" s="513">
        <f>AE32+AF32</f>
        <v>42</v>
      </c>
      <c r="AH32" s="268">
        <f>AG32/AC32</f>
        <v>0.24705882352941178</v>
      </c>
      <c r="AI32" s="515" t="s">
        <v>44</v>
      </c>
      <c r="AJ32" s="513" t="s">
        <v>44</v>
      </c>
      <c r="AK32" s="515" t="s">
        <v>44</v>
      </c>
      <c r="AL32" s="513">
        <f>AG32-X32</f>
        <v>3</v>
      </c>
      <c r="AM32" s="515">
        <f>IFERROR(AG32/X32-1,0)</f>
        <v>7.6923076923076872E-2</v>
      </c>
    </row>
    <row r="33" spans="1:40">
      <c r="A33" s="2" t="s">
        <v>765</v>
      </c>
      <c r="B33" s="2" t="s">
        <v>766</v>
      </c>
      <c r="C33" s="235" t="s">
        <v>273</v>
      </c>
      <c r="D33" s="374" t="s">
        <v>276</v>
      </c>
      <c r="E33" s="374">
        <v>44256</v>
      </c>
      <c r="F33" s="374" t="s">
        <v>44</v>
      </c>
      <c r="G33" s="374" t="s">
        <v>44</v>
      </c>
      <c r="H33" s="374" t="s">
        <v>44</v>
      </c>
      <c r="I33" s="235" t="s">
        <v>44</v>
      </c>
      <c r="J33" s="518" t="s">
        <v>44</v>
      </c>
      <c r="K33" s="513">
        <v>137</v>
      </c>
      <c r="L33" s="514" t="s">
        <v>44</v>
      </c>
      <c r="M33" s="513">
        <v>10</v>
      </c>
      <c r="N33" s="513">
        <v>190</v>
      </c>
      <c r="O33" s="513">
        <f>N33+M33</f>
        <v>200</v>
      </c>
      <c r="P33" s="269">
        <f>O33/K33</f>
        <v>1.4598540145985401</v>
      </c>
      <c r="Q33" s="515">
        <v>0.13400000000000001</v>
      </c>
      <c r="R33" s="513">
        <v>0</v>
      </c>
      <c r="S33" s="515" t="s">
        <v>44</v>
      </c>
      <c r="T33" s="519">
        <v>127</v>
      </c>
      <c r="U33" s="514">
        <f t="shared" ref="U33:U40" si="0">T33/T$42</f>
        <v>0.19843749999999999</v>
      </c>
      <c r="V33" s="513">
        <v>1</v>
      </c>
      <c r="W33" s="513">
        <v>175</v>
      </c>
      <c r="X33" s="513">
        <f>W33+V33</f>
        <v>176</v>
      </c>
      <c r="Y33" s="268">
        <f>X33/T33</f>
        <v>1.3858267716535433</v>
      </c>
      <c r="Z33" s="515">
        <v>0.08</v>
      </c>
      <c r="AA33" s="513">
        <f t="shared" ref="AA33:AA39" si="1">X33-O33</f>
        <v>-24</v>
      </c>
      <c r="AB33" s="515">
        <f t="shared" ref="AB33:AB39" si="2">IFERROR(X33/O33-1,0)</f>
        <v>-0.12</v>
      </c>
      <c r="AC33" s="519">
        <v>127</v>
      </c>
      <c r="AD33" s="514" t="s">
        <v>44</v>
      </c>
      <c r="AE33" s="513">
        <v>1</v>
      </c>
      <c r="AF33" s="513">
        <v>178</v>
      </c>
      <c r="AG33" s="513">
        <f>AF33+AE33</f>
        <v>179</v>
      </c>
      <c r="AH33" s="268">
        <f>AG33/AC33</f>
        <v>1.4094488188976377</v>
      </c>
      <c r="AI33" s="515">
        <v>0.08</v>
      </c>
      <c r="AJ33" s="513" t="s">
        <v>44</v>
      </c>
      <c r="AK33" s="515" t="s">
        <v>44</v>
      </c>
      <c r="AL33" s="513">
        <f>AG33-X33</f>
        <v>3</v>
      </c>
      <c r="AM33" s="515">
        <f>IFERROR(AG33/X33-1,0)</f>
        <v>1.7045454545454586E-2</v>
      </c>
    </row>
    <row r="34" spans="1:40">
      <c r="A34" s="2" t="s">
        <v>763</v>
      </c>
      <c r="B34" s="2" t="s">
        <v>764</v>
      </c>
      <c r="C34" s="235" t="s">
        <v>112</v>
      </c>
      <c r="D34" s="374" t="s">
        <v>584</v>
      </c>
      <c r="E34" s="374">
        <v>44256</v>
      </c>
      <c r="F34" s="374" t="s">
        <v>44</v>
      </c>
      <c r="G34" s="374" t="s">
        <v>44</v>
      </c>
      <c r="H34" s="374" t="s">
        <v>44</v>
      </c>
      <c r="I34" s="235" t="s">
        <v>44</v>
      </c>
      <c r="J34" s="518" t="s">
        <v>44</v>
      </c>
      <c r="K34" s="513">
        <v>50</v>
      </c>
      <c r="L34" s="514" t="s">
        <v>44</v>
      </c>
      <c r="M34" s="513">
        <v>0</v>
      </c>
      <c r="N34" s="513">
        <v>39</v>
      </c>
      <c r="O34" s="513">
        <f t="shared" ref="O34:O39" si="3">N34+M34</f>
        <v>39</v>
      </c>
      <c r="P34" s="269">
        <f t="shared" ref="P34:P44" si="4">O34/K34</f>
        <v>0.78</v>
      </c>
      <c r="Q34" s="515" t="s">
        <v>44</v>
      </c>
      <c r="R34" s="513">
        <v>0</v>
      </c>
      <c r="S34" s="515" t="s">
        <v>44</v>
      </c>
      <c r="T34" s="519">
        <v>50</v>
      </c>
      <c r="U34" s="514">
        <f t="shared" si="0"/>
        <v>7.8125E-2</v>
      </c>
      <c r="V34" s="513">
        <v>0</v>
      </c>
      <c r="W34" s="513">
        <v>30</v>
      </c>
      <c r="X34" s="513">
        <f t="shared" ref="X34:X39" si="5">W34+V34</f>
        <v>30</v>
      </c>
      <c r="Y34" s="268">
        <f t="shared" ref="Y34:Y39" si="6">X34/T34</f>
        <v>0.6</v>
      </c>
      <c r="Z34" s="515" t="s">
        <v>44</v>
      </c>
      <c r="AA34" s="513">
        <f t="shared" si="1"/>
        <v>-9</v>
      </c>
      <c r="AB34" s="515">
        <f t="shared" si="2"/>
        <v>-0.23076923076923073</v>
      </c>
      <c r="AC34" s="519">
        <v>50</v>
      </c>
      <c r="AD34" s="514" t="s">
        <v>44</v>
      </c>
      <c r="AE34" s="513">
        <v>0</v>
      </c>
      <c r="AF34" s="513">
        <v>30</v>
      </c>
      <c r="AG34" s="513">
        <f t="shared" ref="AG34:AG39" si="7">AF34+AE34</f>
        <v>30</v>
      </c>
      <c r="AH34" s="268">
        <f t="shared" ref="AH34:AH40" si="8">AG34/AC34</f>
        <v>0.6</v>
      </c>
      <c r="AI34" s="515" t="s">
        <v>44</v>
      </c>
      <c r="AJ34" s="513" t="s">
        <v>44</v>
      </c>
      <c r="AK34" s="515" t="s">
        <v>44</v>
      </c>
      <c r="AL34" s="513">
        <f t="shared" ref="AL34:AL40" si="9">AG34-X34</f>
        <v>0</v>
      </c>
      <c r="AM34" s="515">
        <f t="shared" ref="AM34:AM39" si="10">IFERROR(AG34/X34-1,0)</f>
        <v>0</v>
      </c>
    </row>
    <row r="35" spans="1:40">
      <c r="A35" s="2" t="s">
        <v>852</v>
      </c>
      <c r="B35" s="2" t="s">
        <v>853</v>
      </c>
      <c r="C35" s="235" t="s">
        <v>260</v>
      </c>
      <c r="D35" s="374" t="s">
        <v>584</v>
      </c>
      <c r="E35" s="374">
        <v>44287</v>
      </c>
      <c r="F35" s="374" t="s">
        <v>44</v>
      </c>
      <c r="G35" s="374" t="s">
        <v>44</v>
      </c>
      <c r="H35" s="374" t="s">
        <v>44</v>
      </c>
      <c r="I35" s="235" t="s">
        <v>44</v>
      </c>
      <c r="J35" s="518" t="s">
        <v>44</v>
      </c>
      <c r="K35" s="513">
        <v>150</v>
      </c>
      <c r="L35" s="514" t="s">
        <v>44</v>
      </c>
      <c r="M35" s="513">
        <v>0</v>
      </c>
      <c r="N35" s="513">
        <v>194</v>
      </c>
      <c r="O35" s="513">
        <f t="shared" si="3"/>
        <v>194</v>
      </c>
      <c r="P35" s="269">
        <f t="shared" si="4"/>
        <v>1.2933333333333332</v>
      </c>
      <c r="Q35" s="515">
        <v>0.17299999999999999</v>
      </c>
      <c r="R35" s="513">
        <v>0</v>
      </c>
      <c r="S35" s="515" t="s">
        <v>44</v>
      </c>
      <c r="T35" s="519">
        <v>100</v>
      </c>
      <c r="U35" s="514">
        <f t="shared" si="0"/>
        <v>0.15625</v>
      </c>
      <c r="V35" s="513">
        <v>0</v>
      </c>
      <c r="W35" s="513">
        <v>185</v>
      </c>
      <c r="X35" s="513">
        <f t="shared" si="5"/>
        <v>185</v>
      </c>
      <c r="Y35" s="268">
        <f t="shared" si="6"/>
        <v>1.85</v>
      </c>
      <c r="Z35" s="515">
        <v>0.187</v>
      </c>
      <c r="AA35" s="513">
        <f t="shared" si="1"/>
        <v>-9</v>
      </c>
      <c r="AB35" s="515">
        <f t="shared" si="2"/>
        <v>-4.6391752577319534E-2</v>
      </c>
      <c r="AC35" s="519">
        <v>100</v>
      </c>
      <c r="AD35" s="514" t="s">
        <v>44</v>
      </c>
      <c r="AE35" s="513">
        <v>0</v>
      </c>
      <c r="AF35" s="513">
        <v>190</v>
      </c>
      <c r="AG35" s="513">
        <f t="shared" si="7"/>
        <v>190</v>
      </c>
      <c r="AH35" s="268">
        <f t="shared" si="8"/>
        <v>1.9</v>
      </c>
      <c r="AI35" s="515">
        <v>0.182</v>
      </c>
      <c r="AJ35" s="513" t="s">
        <v>44</v>
      </c>
      <c r="AK35" s="515" t="s">
        <v>44</v>
      </c>
      <c r="AL35" s="513">
        <f t="shared" si="9"/>
        <v>5</v>
      </c>
      <c r="AM35" s="515">
        <f t="shared" si="10"/>
        <v>2.7027027027026973E-2</v>
      </c>
    </row>
    <row r="36" spans="1:40">
      <c r="A36" s="2" t="s">
        <v>854</v>
      </c>
      <c r="B36" s="2" t="s">
        <v>755</v>
      </c>
      <c r="C36" s="235" t="s">
        <v>273</v>
      </c>
      <c r="D36" s="374" t="s">
        <v>584</v>
      </c>
      <c r="E36" s="374">
        <v>44317</v>
      </c>
      <c r="F36" s="374" t="s">
        <v>44</v>
      </c>
      <c r="G36" s="374" t="s">
        <v>44</v>
      </c>
      <c r="H36" s="374" t="s">
        <v>44</v>
      </c>
      <c r="I36" s="235" t="s">
        <v>44</v>
      </c>
      <c r="J36" s="518" t="s">
        <v>44</v>
      </c>
      <c r="K36" s="513">
        <v>19</v>
      </c>
      <c r="L36" s="514" t="s">
        <v>44</v>
      </c>
      <c r="M36" s="513">
        <v>0</v>
      </c>
      <c r="N36" s="513">
        <v>19</v>
      </c>
      <c r="O36" s="513">
        <f t="shared" si="3"/>
        <v>19</v>
      </c>
      <c r="P36" s="269">
        <f t="shared" si="4"/>
        <v>1</v>
      </c>
      <c r="Q36" s="515" t="s">
        <v>44</v>
      </c>
      <c r="R36" s="513">
        <v>0</v>
      </c>
      <c r="S36" s="515" t="s">
        <v>44</v>
      </c>
      <c r="T36" s="519">
        <v>19</v>
      </c>
      <c r="U36" s="514">
        <f t="shared" si="0"/>
        <v>2.9687499999999999E-2</v>
      </c>
      <c r="V36" s="513">
        <v>0</v>
      </c>
      <c r="W36" s="513">
        <v>19</v>
      </c>
      <c r="X36" s="513">
        <f t="shared" si="5"/>
        <v>19</v>
      </c>
      <c r="Y36" s="268">
        <f t="shared" si="6"/>
        <v>1</v>
      </c>
      <c r="Z36" s="515" t="s">
        <v>44</v>
      </c>
      <c r="AA36" s="513">
        <f t="shared" si="1"/>
        <v>0</v>
      </c>
      <c r="AB36" s="515">
        <f t="shared" si="2"/>
        <v>0</v>
      </c>
      <c r="AC36" s="519">
        <v>19</v>
      </c>
      <c r="AD36" s="514" t="s">
        <v>44</v>
      </c>
      <c r="AE36" s="513">
        <v>0</v>
      </c>
      <c r="AF36" s="513">
        <v>19</v>
      </c>
      <c r="AG36" s="513">
        <f t="shared" si="7"/>
        <v>19</v>
      </c>
      <c r="AH36" s="268">
        <f t="shared" si="8"/>
        <v>1</v>
      </c>
      <c r="AI36" s="515" t="s">
        <v>44</v>
      </c>
      <c r="AJ36" s="513" t="s">
        <v>44</v>
      </c>
      <c r="AK36" s="515" t="s">
        <v>44</v>
      </c>
      <c r="AL36" s="513">
        <f t="shared" si="9"/>
        <v>0</v>
      </c>
      <c r="AM36" s="515">
        <f t="shared" si="10"/>
        <v>0</v>
      </c>
    </row>
    <row r="37" spans="1:40">
      <c r="A37" s="2" t="s">
        <v>855</v>
      </c>
      <c r="B37" s="2" t="s">
        <v>856</v>
      </c>
      <c r="C37" s="235" t="s">
        <v>728</v>
      </c>
      <c r="D37" s="374" t="s">
        <v>584</v>
      </c>
      <c r="E37" s="374">
        <v>44652</v>
      </c>
      <c r="F37" s="374" t="s">
        <v>44</v>
      </c>
      <c r="G37" s="374" t="s">
        <v>44</v>
      </c>
      <c r="H37" s="374" t="s">
        <v>44</v>
      </c>
      <c r="I37" s="235" t="s">
        <v>44</v>
      </c>
      <c r="J37" s="518" t="s">
        <v>44</v>
      </c>
      <c r="K37" s="513">
        <v>82</v>
      </c>
      <c r="L37" s="514" t="s">
        <v>44</v>
      </c>
      <c r="M37" s="513">
        <v>0</v>
      </c>
      <c r="N37" s="513">
        <v>86</v>
      </c>
      <c r="O37" s="513">
        <f t="shared" si="3"/>
        <v>86</v>
      </c>
      <c r="P37" s="269">
        <f t="shared" si="4"/>
        <v>1.0487804878048781</v>
      </c>
      <c r="Q37" s="515">
        <v>0.04</v>
      </c>
      <c r="R37" s="513">
        <v>0</v>
      </c>
      <c r="S37" s="515" t="s">
        <v>44</v>
      </c>
      <c r="T37" s="519">
        <v>82</v>
      </c>
      <c r="U37" s="514">
        <f t="shared" si="0"/>
        <v>0.12812499999999999</v>
      </c>
      <c r="V37" s="513">
        <v>0</v>
      </c>
      <c r="W37" s="513">
        <v>104</v>
      </c>
      <c r="X37" s="513">
        <f t="shared" si="5"/>
        <v>104</v>
      </c>
      <c r="Y37" s="268">
        <f t="shared" si="6"/>
        <v>1.2682926829268293</v>
      </c>
      <c r="Z37" s="515">
        <v>0.108</v>
      </c>
      <c r="AA37" s="513">
        <f t="shared" si="1"/>
        <v>18</v>
      </c>
      <c r="AB37" s="515">
        <f t="shared" si="2"/>
        <v>0.20930232558139528</v>
      </c>
      <c r="AC37" s="519">
        <v>82</v>
      </c>
      <c r="AD37" s="514" t="s">
        <v>44</v>
      </c>
      <c r="AE37" s="513">
        <v>0</v>
      </c>
      <c r="AF37" s="513">
        <v>106</v>
      </c>
      <c r="AG37" s="513">
        <f t="shared" si="7"/>
        <v>106</v>
      </c>
      <c r="AH37" s="268">
        <f t="shared" si="8"/>
        <v>1.2926829268292683</v>
      </c>
      <c r="AI37" s="515">
        <v>0.107</v>
      </c>
      <c r="AJ37" s="513" t="s">
        <v>44</v>
      </c>
      <c r="AK37" s="515" t="s">
        <v>44</v>
      </c>
      <c r="AL37" s="513">
        <f t="shared" si="9"/>
        <v>2</v>
      </c>
      <c r="AM37" s="515">
        <f t="shared" si="10"/>
        <v>1.9230769230769162E-2</v>
      </c>
    </row>
    <row r="38" spans="1:40">
      <c r="A38" s="2" t="s">
        <v>774</v>
      </c>
      <c r="B38" s="2" t="s">
        <v>775</v>
      </c>
      <c r="C38" s="235" t="s">
        <v>260</v>
      </c>
      <c r="D38" s="374" t="s">
        <v>584</v>
      </c>
      <c r="E38" s="374">
        <v>44652</v>
      </c>
      <c r="F38" s="374" t="s">
        <v>647</v>
      </c>
      <c r="G38" s="374" t="s">
        <v>776</v>
      </c>
      <c r="H38" s="374" t="s">
        <v>44</v>
      </c>
      <c r="I38" s="235" t="s">
        <v>44</v>
      </c>
      <c r="J38" s="518" t="s">
        <v>44</v>
      </c>
      <c r="K38" s="513">
        <v>69</v>
      </c>
      <c r="L38" s="514" t="s">
        <v>44</v>
      </c>
      <c r="M38" s="513">
        <v>6</v>
      </c>
      <c r="N38" s="513">
        <v>46</v>
      </c>
      <c r="O38" s="513">
        <f t="shared" si="3"/>
        <v>52</v>
      </c>
      <c r="P38" s="269">
        <f t="shared" si="4"/>
        <v>0.75362318840579712</v>
      </c>
      <c r="Q38" s="515" t="s">
        <v>44</v>
      </c>
      <c r="R38" s="513">
        <v>0</v>
      </c>
      <c r="S38" s="515" t="s">
        <v>44</v>
      </c>
      <c r="T38" s="519">
        <v>69</v>
      </c>
      <c r="U38" s="514">
        <f t="shared" si="0"/>
        <v>0.10781250000000001</v>
      </c>
      <c r="V38" s="513">
        <v>11</v>
      </c>
      <c r="W38" s="513">
        <v>65</v>
      </c>
      <c r="X38" s="513">
        <f t="shared" si="5"/>
        <v>76</v>
      </c>
      <c r="Y38" s="268">
        <f t="shared" si="6"/>
        <v>1.1014492753623188</v>
      </c>
      <c r="Z38" s="515">
        <v>4.5999999999999999E-2</v>
      </c>
      <c r="AA38" s="513">
        <f t="shared" si="1"/>
        <v>24</v>
      </c>
      <c r="AB38" s="515">
        <f t="shared" si="2"/>
        <v>0.46153846153846145</v>
      </c>
      <c r="AC38" s="519">
        <v>69</v>
      </c>
      <c r="AD38" s="514" t="s">
        <v>44</v>
      </c>
      <c r="AE38" s="513">
        <v>11</v>
      </c>
      <c r="AF38" s="513">
        <v>71</v>
      </c>
      <c r="AG38" s="513">
        <f t="shared" si="7"/>
        <v>82</v>
      </c>
      <c r="AH38" s="268">
        <f t="shared" si="8"/>
        <v>1.1884057971014492</v>
      </c>
      <c r="AI38" s="515">
        <v>7.8E-2</v>
      </c>
      <c r="AJ38" s="513" t="s">
        <v>44</v>
      </c>
      <c r="AK38" s="515" t="s">
        <v>44</v>
      </c>
      <c r="AL38" s="513">
        <f t="shared" si="9"/>
        <v>6</v>
      </c>
      <c r="AM38" s="515">
        <f t="shared" si="10"/>
        <v>7.8947368421052655E-2</v>
      </c>
    </row>
    <row r="39" spans="1:40">
      <c r="A39" s="2" t="s">
        <v>857</v>
      </c>
      <c r="B39" s="2" t="s">
        <v>858</v>
      </c>
      <c r="C39" s="235" t="s">
        <v>260</v>
      </c>
      <c r="D39" s="374" t="s">
        <v>584</v>
      </c>
      <c r="E39" s="374">
        <v>45047</v>
      </c>
      <c r="F39" s="374" t="s">
        <v>44</v>
      </c>
      <c r="G39" s="374" t="s">
        <v>44</v>
      </c>
      <c r="H39" s="374" t="s">
        <v>44</v>
      </c>
      <c r="I39" s="235" t="s">
        <v>44</v>
      </c>
      <c r="J39" s="518" t="s">
        <v>44</v>
      </c>
      <c r="K39" s="513">
        <v>75</v>
      </c>
      <c r="L39" s="514" t="s">
        <v>44</v>
      </c>
      <c r="M39" s="513">
        <v>0</v>
      </c>
      <c r="N39" s="513">
        <v>87</v>
      </c>
      <c r="O39" s="513">
        <f t="shared" si="3"/>
        <v>87</v>
      </c>
      <c r="P39" s="269">
        <f t="shared" si="4"/>
        <v>1.1599999999999999</v>
      </c>
      <c r="Q39" s="515">
        <v>0.14399999999999999</v>
      </c>
      <c r="R39" s="513">
        <v>0</v>
      </c>
      <c r="S39" s="515" t="s">
        <v>44</v>
      </c>
      <c r="T39" s="519">
        <v>23</v>
      </c>
      <c r="U39" s="514">
        <f t="shared" si="0"/>
        <v>3.5937499999999997E-2</v>
      </c>
      <c r="V39" s="513">
        <v>0</v>
      </c>
      <c r="W39" s="513">
        <v>51</v>
      </c>
      <c r="X39" s="513">
        <f t="shared" si="5"/>
        <v>51</v>
      </c>
      <c r="Y39" s="268">
        <f t="shared" si="6"/>
        <v>2.2173913043478262</v>
      </c>
      <c r="Z39" s="515">
        <v>0.17100000000000001</v>
      </c>
      <c r="AA39" s="513">
        <f t="shared" si="1"/>
        <v>-36</v>
      </c>
      <c r="AB39" s="515">
        <f t="shared" si="2"/>
        <v>-0.41379310344827591</v>
      </c>
      <c r="AC39" s="519">
        <v>23</v>
      </c>
      <c r="AD39" s="514" t="s">
        <v>44</v>
      </c>
      <c r="AE39" s="513">
        <v>0</v>
      </c>
      <c r="AF39" s="513">
        <v>54</v>
      </c>
      <c r="AG39" s="513">
        <f t="shared" si="7"/>
        <v>54</v>
      </c>
      <c r="AH39" s="268">
        <f t="shared" si="8"/>
        <v>2.347826086956522</v>
      </c>
      <c r="AI39" s="515">
        <v>0.17599999999999999</v>
      </c>
      <c r="AJ39" s="513" t="s">
        <v>44</v>
      </c>
      <c r="AK39" s="515" t="s">
        <v>44</v>
      </c>
      <c r="AL39" s="513">
        <f t="shared" si="9"/>
        <v>3</v>
      </c>
      <c r="AM39" s="515">
        <f t="shared" si="10"/>
        <v>5.8823529411764719E-2</v>
      </c>
    </row>
    <row r="40" spans="1:40">
      <c r="A40" s="2" t="s">
        <v>859</v>
      </c>
      <c r="C40" s="235" t="s">
        <v>260</v>
      </c>
      <c r="D40" s="374" t="s">
        <v>584</v>
      </c>
      <c r="E40" s="374">
        <v>45689</v>
      </c>
      <c r="F40" s="374" t="s">
        <v>647</v>
      </c>
      <c r="G40" s="374" t="s">
        <v>860</v>
      </c>
      <c r="H40" s="374" t="s">
        <v>44</v>
      </c>
      <c r="I40" s="235" t="s">
        <v>44</v>
      </c>
      <c r="J40" s="518" t="s">
        <v>44</v>
      </c>
      <c r="K40" s="513" t="s">
        <v>44</v>
      </c>
      <c r="L40" s="514" t="s">
        <v>44</v>
      </c>
      <c r="M40" s="513" t="s">
        <v>44</v>
      </c>
      <c r="N40" s="513" t="s">
        <v>44</v>
      </c>
      <c r="O40" s="513" t="s">
        <v>44</v>
      </c>
      <c r="P40" s="269" t="s">
        <v>44</v>
      </c>
      <c r="Q40" s="515" t="s">
        <v>44</v>
      </c>
      <c r="R40" s="513" t="s">
        <v>44</v>
      </c>
      <c r="S40" s="515" t="s">
        <v>44</v>
      </c>
      <c r="T40" s="519">
        <v>0</v>
      </c>
      <c r="U40" s="514">
        <f t="shared" si="0"/>
        <v>0</v>
      </c>
      <c r="V40" s="513">
        <v>0</v>
      </c>
      <c r="W40" s="513">
        <v>0</v>
      </c>
      <c r="X40" s="513">
        <v>0</v>
      </c>
      <c r="Y40" s="268" t="s">
        <v>44</v>
      </c>
      <c r="Z40" s="515" t="s">
        <v>44</v>
      </c>
      <c r="AA40" s="513" t="s">
        <v>44</v>
      </c>
      <c r="AB40" s="515" t="s">
        <v>44</v>
      </c>
      <c r="AC40" s="519">
        <v>214</v>
      </c>
      <c r="AD40" s="514" t="s">
        <v>44</v>
      </c>
      <c r="AE40" s="513">
        <v>0</v>
      </c>
      <c r="AF40" s="513">
        <v>449</v>
      </c>
      <c r="AG40" s="513">
        <f>AF40+AE40</f>
        <v>449</v>
      </c>
      <c r="AH40" s="268">
        <f t="shared" si="8"/>
        <v>2.0981308411214954</v>
      </c>
      <c r="AI40" s="515" t="s">
        <v>44</v>
      </c>
      <c r="AJ40" s="513" t="s">
        <v>44</v>
      </c>
      <c r="AK40" s="515" t="s">
        <v>44</v>
      </c>
      <c r="AL40" s="513">
        <f t="shared" si="9"/>
        <v>449</v>
      </c>
      <c r="AM40" s="515" t="s">
        <v>44</v>
      </c>
    </row>
    <row r="41" spans="1:40">
      <c r="O41" s="2"/>
      <c r="X41" s="2"/>
    </row>
    <row r="42" spans="1:40" s="520" customFormat="1" ht="12" thickBot="1">
      <c r="A42" s="520" t="s">
        <v>45</v>
      </c>
      <c r="K42" s="521">
        <f>SUM(K32:K39)</f>
        <v>752</v>
      </c>
      <c r="M42" s="522">
        <f>SUM(M32:M39)</f>
        <v>19</v>
      </c>
      <c r="N42" s="522">
        <f>SUM(N32:N39)</f>
        <v>717</v>
      </c>
      <c r="O42" s="522">
        <f>SUM(O32:O39)</f>
        <v>736</v>
      </c>
      <c r="P42" s="523">
        <f t="shared" si="4"/>
        <v>0.97872340425531912</v>
      </c>
      <c r="Q42" s="524" t="s">
        <v>44</v>
      </c>
      <c r="R42" s="524" t="s">
        <v>44</v>
      </c>
      <c r="S42" s="524" t="s">
        <v>44</v>
      </c>
      <c r="T42" s="521">
        <f>SUM(T32:T39)</f>
        <v>640</v>
      </c>
      <c r="V42" s="522">
        <f>SUM(V32:V39)</f>
        <v>18</v>
      </c>
      <c r="W42" s="522">
        <f>SUM(W32:W39)</f>
        <v>662</v>
      </c>
      <c r="X42" s="522">
        <f>SUM(X32:X39)</f>
        <v>680</v>
      </c>
      <c r="Y42" s="523">
        <f t="shared" ref="Y42" si="11">X42/T42</f>
        <v>1.0625</v>
      </c>
      <c r="Z42" s="525" t="s">
        <v>44</v>
      </c>
      <c r="AA42" s="525">
        <f t="shared" ref="AA42" si="12">X42-O42</f>
        <v>-56</v>
      </c>
      <c r="AB42" s="526">
        <f t="shared" ref="AB42" si="13">IFERROR(X42/O42-1,0)</f>
        <v>-7.6086956521739135E-2</v>
      </c>
      <c r="AC42" s="521">
        <f>SUM(AC32:AC40)</f>
        <v>854</v>
      </c>
      <c r="AE42" s="522">
        <f t="shared" ref="AE42:AG42" si="14">SUM(AE32:AE40)</f>
        <v>18</v>
      </c>
      <c r="AF42" s="522">
        <f t="shared" si="14"/>
        <v>1133</v>
      </c>
      <c r="AG42" s="522">
        <f t="shared" si="14"/>
        <v>1151</v>
      </c>
      <c r="AH42" s="523">
        <f t="shared" ref="AH42" si="15">AG42/AC42</f>
        <v>1.3477751756440282</v>
      </c>
      <c r="AI42" s="525" t="s">
        <v>44</v>
      </c>
      <c r="AJ42" s="525" t="s">
        <v>44</v>
      </c>
      <c r="AK42" s="547" t="s">
        <v>44</v>
      </c>
      <c r="AL42" s="525">
        <f>AG42-X42</f>
        <v>471</v>
      </c>
      <c r="AM42" s="547">
        <f>IFERROR(AG42/X42-1,0)</f>
        <v>0.69264705882352939</v>
      </c>
      <c r="AN42" s="527"/>
    </row>
    <row r="43" spans="1:40">
      <c r="O43" s="2"/>
      <c r="X43" s="2"/>
    </row>
    <row r="44" spans="1:40" s="389" customFormat="1">
      <c r="A44" s="388" t="s">
        <v>277</v>
      </c>
      <c r="K44" s="528">
        <f>SUMIF($D$32:$D$39,"Unrealized",K$32:K$39)+SUMIF($D$32:$D$39,"Partial Realized",K$32:K$39)</f>
        <v>752</v>
      </c>
      <c r="M44" s="529">
        <f>SUMIF($D$32:$D$39,"Unrealized",M$32:M$39)+SUMIF($D$32:$D$39,"Partial Realized",M$32:M$39)</f>
        <v>19</v>
      </c>
      <c r="N44" s="529">
        <f>SUMIF($D$32:$D$39,"Unrealized",N$32:N$39)+SUMIF($D$32:$D$39,"Partial Realized",N$32:N$39)</f>
        <v>717</v>
      </c>
      <c r="O44" s="529">
        <f>SUMIF($D$32:$D$39,"Unrealized",O$32:O$39)+SUMIF($D$32:$D$39,"Partial Realized",O$32:O$39)</f>
        <v>736</v>
      </c>
      <c r="P44" s="530">
        <f t="shared" si="4"/>
        <v>0.97872340425531912</v>
      </c>
      <c r="R44" s="531" t="s">
        <v>44</v>
      </c>
      <c r="S44" s="532" t="s">
        <v>44</v>
      </c>
      <c r="T44" s="528">
        <f>SUMIF($D$32:$D$39,"Unrealized",T$32:T$39)+SUMIF($D$32:$D$39,"Partial Realized",T$32:T$39)</f>
        <v>640</v>
      </c>
      <c r="V44" s="529">
        <f>SUMIF($D$32:$D$39,"Unrealized",V$32:V$39)+SUMIF($D$32:$D$39,"Partial Realized",V$32:V$39)</f>
        <v>18</v>
      </c>
      <c r="W44" s="529">
        <f>SUMIF($D$32:$D$39,"Unrealized",W$32:W$39)+SUMIF($D$32:$D$39,"Partial Realized",W$32:W$39)</f>
        <v>662</v>
      </c>
      <c r="X44" s="529">
        <f>SUMIF($D$32:$D$39,"Unrealized",X$32:X$39)+SUMIF($D$32:$D$39,"Partial Realized",X$32:X$39)</f>
        <v>680</v>
      </c>
      <c r="Y44" s="530">
        <f t="shared" ref="Y44" si="16">X44/T44</f>
        <v>1.0625</v>
      </c>
      <c r="AA44" s="533">
        <f t="shared" ref="AA44:AA45" si="17">X44-O44</f>
        <v>-56</v>
      </c>
      <c r="AB44" s="534">
        <f t="shared" ref="AB44:AB45" si="18">IFERROR(X44/O44-1,0)</f>
        <v>-7.6086956521739135E-2</v>
      </c>
      <c r="AC44" s="528">
        <f>SUMIF($D$32:$D$40,"Unrealized",AC$32:AC$40)+SUMIF($D$32:$D$40,"Partial Realized",AC$32:AC$40)</f>
        <v>854</v>
      </c>
      <c r="AE44" s="529">
        <f>SUMIF($D$32:$D$40,"Unrealized",AE$32:AE$40)+SUMIF($D$32:$D$40,"Partial Realized",AE$32:AE$40)</f>
        <v>18</v>
      </c>
      <c r="AF44" s="529">
        <f t="shared" ref="AF44:AG44" si="19">SUMIF($D$32:$D$40,"Unrealized",AF$32:AF$40)+SUMIF($D$32:$D$40,"Partial Realized",AF$32:AF$40)</f>
        <v>1133</v>
      </c>
      <c r="AG44" s="529">
        <f t="shared" si="19"/>
        <v>1151</v>
      </c>
      <c r="AH44" s="530">
        <f t="shared" ref="AH44" si="20">AG44/AC44</f>
        <v>1.3477751756440282</v>
      </c>
      <c r="AJ44" s="533" t="s">
        <v>44</v>
      </c>
      <c r="AK44" s="548" t="s">
        <v>44</v>
      </c>
      <c r="AL44" s="533">
        <f>AG44-X44</f>
        <v>471</v>
      </c>
      <c r="AM44" s="548">
        <f>IFERROR(AG44/X44-1,0)</f>
        <v>0.69264705882352939</v>
      </c>
      <c r="AN44" s="535"/>
    </row>
    <row r="45" spans="1:40" s="389" customFormat="1">
      <c r="A45" s="388" t="s">
        <v>278</v>
      </c>
      <c r="K45" s="528">
        <f>SUMIF($D$32:$D$39,"Realized",K$32:K$39)+SUMIF($D$32:$D$39,"Write-off",K$32:K$39)</f>
        <v>0</v>
      </c>
      <c r="M45" s="529">
        <f>SUMIF($D$32:$D$39,"Realized",M$32:M$39)+SUMIF($D$32:$D$39,"Write-off",M$32:M$39)</f>
        <v>0</v>
      </c>
      <c r="N45" s="529">
        <f>SUMIF($D$32:$D$39,"Realized",N$32:N$39)+SUMIF($D$32:$D$39,"Write-off",N$32:N$39)</f>
        <v>0</v>
      </c>
      <c r="O45" s="529">
        <f>SUMIF($D$32:$D$39,"Realized",O$32:O$39)+SUMIF($D$32:$D$39,"Write-off",O$32:O$39)</f>
        <v>0</v>
      </c>
      <c r="P45" s="530">
        <f>IFERROR(O45/K45,0)</f>
        <v>0</v>
      </c>
      <c r="R45" s="531" t="s">
        <v>44</v>
      </c>
      <c r="S45" s="532" t="s">
        <v>44</v>
      </c>
      <c r="T45" s="528">
        <f>SUMIF($D$32:$D$39,"Realized",T$32:T$39)+SUMIF($D$32:$D$39,"Write-off",T$32:T$39)</f>
        <v>0</v>
      </c>
      <c r="V45" s="529">
        <f>SUMIF($D$32:$D$39,"Realized",V$32:V$39)+SUMIF($D$32:$D$39,"Write-off",V$32:V$39)</f>
        <v>0</v>
      </c>
      <c r="W45" s="529">
        <f>SUMIF($D$32:$D$39,"Realized",W$32:W$39)+SUMIF($D$32:$D$39,"Write-off",W$32:W$39)</f>
        <v>0</v>
      </c>
      <c r="X45" s="529">
        <f>SUMIF($D$32:$D$39,"Realized",X$32:X$39)+SUMIF($D$32:$D$39,"Write-off",X$32:X$39)</f>
        <v>0</v>
      </c>
      <c r="Y45" s="530">
        <f>IFERROR(X45/T45,0)</f>
        <v>0</v>
      </c>
      <c r="AA45" s="533">
        <f t="shared" si="17"/>
        <v>0</v>
      </c>
      <c r="AB45" s="534">
        <f t="shared" si="18"/>
        <v>0</v>
      </c>
      <c r="AC45" s="528">
        <f>SUMIF($D$32:$D$40,"Realized",AC$32:AC$40)+SUMIF($D$32:$D$40,"Write-off",AC$32:AC$40)</f>
        <v>0</v>
      </c>
      <c r="AE45" s="529">
        <f>SUMIF($D$32:$D$40,"Realized",AE$32:AE$40)+SUMIF($D$32:$D$40,"Write-off",AE$32:AE$40)</f>
        <v>0</v>
      </c>
      <c r="AF45" s="529">
        <f t="shared" ref="AF45:AG45" si="21">SUMIF($D$32:$D$40,"Realized",AF$32:AF$40)+SUMIF($D$32:$D$40,"Write-off",AF$32:AF$40)</f>
        <v>0</v>
      </c>
      <c r="AG45" s="529">
        <f t="shared" si="21"/>
        <v>0</v>
      </c>
      <c r="AH45" s="530">
        <f>IFERROR(AG45/AC45,0)</f>
        <v>0</v>
      </c>
      <c r="AJ45" s="533" t="s">
        <v>44</v>
      </c>
      <c r="AK45" s="548" t="s">
        <v>44</v>
      </c>
      <c r="AL45" s="533">
        <f>AG45-X45</f>
        <v>0</v>
      </c>
      <c r="AM45" s="548">
        <f>IFERROR(AG45/X45-1,0)</f>
        <v>0</v>
      </c>
      <c r="AN45" s="535"/>
    </row>
    <row r="46" spans="1:40">
      <c r="O46" s="2"/>
      <c r="X46" s="2"/>
    </row>
    <row r="47" spans="1:40">
      <c r="O47" s="2"/>
      <c r="X47" s="2"/>
    </row>
    <row r="48" spans="1:40" s="536" customFormat="1">
      <c r="A48" s="536" t="s">
        <v>279</v>
      </c>
      <c r="K48" s="537"/>
      <c r="T48" s="537"/>
      <c r="AC48" s="537"/>
      <c r="AN48" s="537"/>
    </row>
    <row r="49" spans="1:40" ht="13.5" customHeight="1">
      <c r="K49" s="538" t="s">
        <v>236</v>
      </c>
      <c r="L49" s="539"/>
      <c r="M49" s="539"/>
      <c r="N49" s="539"/>
      <c r="O49" s="539"/>
      <c r="P49" s="539"/>
      <c r="Q49" s="540"/>
      <c r="R49" s="540"/>
      <c r="S49" s="539"/>
      <c r="T49" s="503" t="s">
        <v>237</v>
      </c>
      <c r="U49" s="504"/>
      <c r="V49" s="504"/>
      <c r="W49" s="504"/>
      <c r="X49" s="504"/>
      <c r="Y49" s="504"/>
      <c r="Z49" s="505"/>
      <c r="AA49" s="505"/>
      <c r="AB49" s="504"/>
      <c r="AC49" s="503" t="s">
        <v>238</v>
      </c>
      <c r="AD49" s="504"/>
      <c r="AE49" s="504"/>
      <c r="AF49" s="504"/>
      <c r="AG49" s="539"/>
      <c r="AH49" s="539"/>
      <c r="AI49" s="540"/>
      <c r="AJ49" s="540"/>
      <c r="AK49" s="540"/>
      <c r="AL49" s="540"/>
      <c r="AM49" s="539"/>
    </row>
    <row r="50" spans="1:40" s="141" customFormat="1" ht="39.75" customHeight="1">
      <c r="A50" s="138" t="s">
        <v>239</v>
      </c>
      <c r="B50" s="139" t="s">
        <v>240</v>
      </c>
      <c r="C50" s="139" t="s">
        <v>69</v>
      </c>
      <c r="D50" s="139" t="s">
        <v>241</v>
      </c>
      <c r="E50" s="139" t="s">
        <v>242</v>
      </c>
      <c r="F50" s="139" t="s">
        <v>243</v>
      </c>
      <c r="G50" s="139" t="s">
        <v>244</v>
      </c>
      <c r="H50" s="139" t="s">
        <v>245</v>
      </c>
      <c r="I50" s="139" t="s">
        <v>246</v>
      </c>
      <c r="J50" s="501" t="s">
        <v>247</v>
      </c>
      <c r="K50" s="541" t="s">
        <v>280</v>
      </c>
      <c r="L50" s="542"/>
      <c r="M50" s="543"/>
      <c r="N50" s="542"/>
      <c r="O50" s="541" t="s">
        <v>281</v>
      </c>
      <c r="P50" s="542"/>
      <c r="Q50" s="543"/>
      <c r="R50" s="542"/>
      <c r="S50" s="544"/>
      <c r="T50" s="541" t="s">
        <v>280</v>
      </c>
      <c r="U50" s="542"/>
      <c r="V50" s="543"/>
      <c r="W50" s="542"/>
      <c r="X50" s="541" t="s">
        <v>281</v>
      </c>
      <c r="Y50" s="542"/>
      <c r="Z50" s="543"/>
      <c r="AA50" s="542"/>
      <c r="AB50" s="544"/>
      <c r="AC50" s="541" t="s">
        <v>280</v>
      </c>
      <c r="AD50" s="542"/>
      <c r="AE50" s="543"/>
      <c r="AF50" s="542"/>
      <c r="AG50" s="541" t="s">
        <v>281</v>
      </c>
      <c r="AH50" s="542"/>
      <c r="AI50" s="543"/>
      <c r="AJ50" s="542"/>
      <c r="AK50" s="545"/>
      <c r="AL50" s="545"/>
      <c r="AM50" s="544"/>
      <c r="AN50" s="510"/>
    </row>
    <row r="51" spans="1:40">
      <c r="A51" s="2" t="s">
        <v>769</v>
      </c>
      <c r="B51" s="2" t="s">
        <v>770</v>
      </c>
      <c r="C51" s="235" t="s">
        <v>728</v>
      </c>
      <c r="D51" s="374" t="s">
        <v>276</v>
      </c>
      <c r="E51" s="374">
        <v>44256</v>
      </c>
      <c r="F51" s="374" t="s">
        <v>647</v>
      </c>
      <c r="G51" s="374" t="s">
        <v>771</v>
      </c>
      <c r="H51" s="374" t="s">
        <v>44</v>
      </c>
      <c r="I51" s="235" t="s">
        <v>44</v>
      </c>
      <c r="J51" s="512" t="s">
        <v>44</v>
      </c>
    </row>
    <row r="52" spans="1:40">
      <c r="A52" s="2" t="s">
        <v>765</v>
      </c>
      <c r="B52" s="2" t="s">
        <v>766</v>
      </c>
      <c r="C52" s="235" t="s">
        <v>273</v>
      </c>
      <c r="D52" s="374" t="s">
        <v>276</v>
      </c>
      <c r="E52" s="374">
        <v>44256</v>
      </c>
      <c r="F52" s="374" t="s">
        <v>44</v>
      </c>
      <c r="G52" s="374" t="s">
        <v>44</v>
      </c>
      <c r="H52" s="374" t="s">
        <v>44</v>
      </c>
      <c r="I52" s="235" t="s">
        <v>44</v>
      </c>
      <c r="J52" s="518" t="s">
        <v>44</v>
      </c>
      <c r="T52" s="367" t="s">
        <v>795</v>
      </c>
      <c r="X52" s="367" t="s">
        <v>861</v>
      </c>
    </row>
    <row r="53" spans="1:40">
      <c r="A53" s="2" t="s">
        <v>763</v>
      </c>
      <c r="B53" s="2" t="s">
        <v>764</v>
      </c>
      <c r="C53" s="235" t="s">
        <v>112</v>
      </c>
      <c r="D53" s="374" t="s">
        <v>584</v>
      </c>
      <c r="E53" s="374">
        <v>44256</v>
      </c>
      <c r="F53" s="374" t="s">
        <v>44</v>
      </c>
      <c r="G53" s="374" t="s">
        <v>44</v>
      </c>
      <c r="H53" s="374" t="s">
        <v>44</v>
      </c>
      <c r="I53" s="235" t="s">
        <v>44</v>
      </c>
      <c r="J53" s="518" t="s">
        <v>44</v>
      </c>
      <c r="T53" s="367" t="s">
        <v>790</v>
      </c>
      <c r="X53" s="367" t="s">
        <v>794</v>
      </c>
    </row>
    <row r="54" spans="1:40">
      <c r="A54" s="2" t="s">
        <v>852</v>
      </c>
      <c r="B54" s="2" t="s">
        <v>853</v>
      </c>
      <c r="C54" s="235" t="s">
        <v>260</v>
      </c>
      <c r="D54" s="374" t="s">
        <v>584</v>
      </c>
      <c r="E54" s="374">
        <v>44287</v>
      </c>
      <c r="F54" s="374" t="s">
        <v>44</v>
      </c>
      <c r="G54" s="374" t="s">
        <v>44</v>
      </c>
      <c r="H54" s="374" t="s">
        <v>44</v>
      </c>
      <c r="I54" s="235" t="s">
        <v>44</v>
      </c>
      <c r="J54" s="518" t="s">
        <v>44</v>
      </c>
      <c r="T54" s="367" t="s">
        <v>862</v>
      </c>
      <c r="X54" s="367" t="s">
        <v>863</v>
      </c>
    </row>
    <row r="55" spans="1:40">
      <c r="A55" s="2" t="s">
        <v>854</v>
      </c>
      <c r="B55" s="2" t="s">
        <v>755</v>
      </c>
      <c r="C55" s="235" t="s">
        <v>273</v>
      </c>
      <c r="D55" s="374" t="s">
        <v>584</v>
      </c>
      <c r="E55" s="374">
        <v>44317</v>
      </c>
      <c r="F55" s="374" t="s">
        <v>44</v>
      </c>
      <c r="G55" s="374" t="s">
        <v>44</v>
      </c>
      <c r="H55" s="374" t="s">
        <v>44</v>
      </c>
      <c r="I55" s="235" t="s">
        <v>44</v>
      </c>
      <c r="J55" s="518" t="s">
        <v>44</v>
      </c>
      <c r="T55" s="367" t="s">
        <v>864</v>
      </c>
      <c r="X55" s="367" t="s">
        <v>865</v>
      </c>
    </row>
    <row r="56" spans="1:40">
      <c r="A56" s="2" t="s">
        <v>855</v>
      </c>
      <c r="B56" s="2" t="s">
        <v>856</v>
      </c>
      <c r="C56" s="235" t="s">
        <v>728</v>
      </c>
      <c r="D56" s="374" t="s">
        <v>584</v>
      </c>
      <c r="E56" s="374">
        <v>44652</v>
      </c>
      <c r="F56" s="374" t="s">
        <v>44</v>
      </c>
      <c r="G56" s="374" t="s">
        <v>44</v>
      </c>
      <c r="H56" s="374" t="s">
        <v>44</v>
      </c>
      <c r="I56" s="235" t="s">
        <v>44</v>
      </c>
      <c r="J56" s="518" t="s">
        <v>44</v>
      </c>
      <c r="T56" s="367" t="s">
        <v>866</v>
      </c>
      <c r="X56" s="367" t="s">
        <v>867</v>
      </c>
    </row>
    <row r="57" spans="1:40">
      <c r="A57" s="2" t="s">
        <v>774</v>
      </c>
      <c r="B57" s="2" t="s">
        <v>775</v>
      </c>
      <c r="C57" s="235" t="s">
        <v>260</v>
      </c>
      <c r="D57" s="374" t="s">
        <v>584</v>
      </c>
      <c r="E57" s="374">
        <v>44652</v>
      </c>
      <c r="F57" s="374" t="s">
        <v>647</v>
      </c>
      <c r="G57" s="374" t="s">
        <v>776</v>
      </c>
      <c r="H57" s="374" t="s">
        <v>44</v>
      </c>
      <c r="I57" s="235" t="s">
        <v>44</v>
      </c>
      <c r="J57" s="518" t="s">
        <v>44</v>
      </c>
      <c r="T57" s="367" t="s">
        <v>790</v>
      </c>
      <c r="X57" s="367" t="s">
        <v>791</v>
      </c>
    </row>
    <row r="58" spans="1:40">
      <c r="A58" s="2" t="s">
        <v>857</v>
      </c>
      <c r="B58" s="2" t="s">
        <v>858</v>
      </c>
      <c r="C58" s="235" t="s">
        <v>260</v>
      </c>
      <c r="D58" s="374" t="s">
        <v>584</v>
      </c>
      <c r="E58" s="374">
        <v>45047</v>
      </c>
      <c r="F58" s="374" t="s">
        <v>44</v>
      </c>
      <c r="G58" s="374" t="s">
        <v>44</v>
      </c>
      <c r="H58" s="374" t="s">
        <v>44</v>
      </c>
      <c r="I58" s="235" t="s">
        <v>44</v>
      </c>
      <c r="J58" s="518" t="s">
        <v>44</v>
      </c>
      <c r="T58" s="367" t="s">
        <v>868</v>
      </c>
      <c r="X58" s="367" t="s">
        <v>869</v>
      </c>
    </row>
  </sheetData>
  <conditionalFormatting sqref="R32:S40">
    <cfRule type="cellIs" dxfId="107" priority="15" operator="lessThan">
      <formula>0</formula>
    </cfRule>
    <cfRule type="cellIs" dxfId="106" priority="16" operator="greaterThan">
      <formula>0</formula>
    </cfRule>
  </conditionalFormatting>
  <conditionalFormatting sqref="AA32:AB40">
    <cfRule type="cellIs" dxfId="105" priority="19" operator="lessThan">
      <formula>0</formula>
    </cfRule>
    <cfRule type="cellIs" dxfId="104" priority="20" operator="greaterThan">
      <formula>0</formula>
    </cfRule>
  </conditionalFormatting>
  <conditionalFormatting sqref="AA42:AB42">
    <cfRule type="cellIs" dxfId="103" priority="13" operator="lessThan">
      <formula>0</formula>
    </cfRule>
    <cfRule type="cellIs" dxfId="102" priority="14" operator="greaterThan">
      <formula>0</formula>
    </cfRule>
  </conditionalFormatting>
  <conditionalFormatting sqref="AA44:AB45">
    <cfRule type="cellIs" dxfId="101" priority="11" operator="lessThan">
      <formula>0</formula>
    </cfRule>
    <cfRule type="cellIs" dxfId="100" priority="12" operator="greaterThan">
      <formula>0</formula>
    </cfRule>
  </conditionalFormatting>
  <conditionalFormatting sqref="AJ32:AM40">
    <cfRule type="cellIs" dxfId="99" priority="9" operator="lessThan">
      <formula>0</formula>
    </cfRule>
    <cfRule type="cellIs" dxfId="98" priority="10" operator="greaterThan">
      <formula>0</formula>
    </cfRule>
  </conditionalFormatting>
  <conditionalFormatting sqref="AJ42:AM42">
    <cfRule type="cellIs" dxfId="97" priority="5" operator="lessThan">
      <formula>0</formula>
    </cfRule>
    <cfRule type="cellIs" dxfId="96" priority="6" operator="greaterThan">
      <formula>0</formula>
    </cfRule>
  </conditionalFormatting>
  <conditionalFormatting sqref="AJ44:AM45">
    <cfRule type="cellIs" dxfId="95" priority="1" operator="lessThan">
      <formula>0</formula>
    </cfRule>
    <cfRule type="cellIs" dxfId="94" priority="2" operator="greaterThan">
      <formula>0</formula>
    </cfRule>
  </conditionalFormatting>
  <printOptions horizontalCentered="1"/>
  <pageMargins left="0.23622047244094491" right="0" top="0.35433070866141736" bottom="0.19685039370078741" header="0.15748031496062992" footer="0.15748031496062992"/>
  <pageSetup paperSize="8" scale="37" orientation="landscape"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3A922-4613-4CF5-8A41-3C68FFA1A549}">
  <sheetPr>
    <tabColor theme="8"/>
  </sheetPr>
  <dimension ref="B1:V28"/>
  <sheetViews>
    <sheetView workbookViewId="0"/>
  </sheetViews>
  <sheetFormatPr defaultColWidth="9" defaultRowHeight="11.25"/>
  <cols>
    <col min="1" max="1" width="2.7109375" style="2" customWidth="1"/>
    <col min="2" max="2" width="18.7109375" style="2" customWidth="1"/>
    <col min="3" max="3" width="15.140625" style="2" customWidth="1"/>
    <col min="4" max="4" width="15.28515625" style="2" hidden="1" customWidth="1"/>
    <col min="5" max="5" width="14.7109375" style="2" customWidth="1"/>
    <col min="6" max="6" width="5" style="2" bestFit="1" customWidth="1"/>
    <col min="7" max="7" width="79.7109375" style="2" bestFit="1" customWidth="1"/>
    <col min="8" max="10" width="14.28515625" style="2" customWidth="1"/>
    <col min="11" max="11" width="8.42578125" style="2" bestFit="1" customWidth="1"/>
    <col min="12" max="12" width="20.140625" style="2" customWidth="1"/>
    <col min="13" max="16" width="14.28515625" style="2" customWidth="1"/>
    <col min="17" max="17" width="12.28515625" style="2" customWidth="1"/>
    <col min="18" max="18" width="13.28515625" style="2" customWidth="1"/>
    <col min="19" max="19" width="16.140625" style="2" customWidth="1"/>
    <col min="20" max="20" width="9" style="2"/>
    <col min="21" max="21" width="9.85546875" style="2" bestFit="1" customWidth="1"/>
    <col min="22" max="22" width="13.42578125" style="2" customWidth="1"/>
    <col min="23" max="16384" width="9" style="2"/>
  </cols>
  <sheetData>
    <row r="1" spans="2:22">
      <c r="B1" s="75" t="s">
        <v>282</v>
      </c>
      <c r="L1" s="626">
        <f>C3</f>
        <v>45657</v>
      </c>
      <c r="M1" s="626"/>
      <c r="N1" s="198" t="s">
        <v>283</v>
      </c>
      <c r="O1" s="199" t="s">
        <v>284</v>
      </c>
    </row>
    <row r="2" spans="2:22" ht="12" thickBot="1">
      <c r="L2" s="172" t="s">
        <v>285</v>
      </c>
      <c r="M2" s="173">
        <f>M22</f>
        <v>-37438527.32</v>
      </c>
      <c r="N2" s="201">
        <v>-37438527</v>
      </c>
      <c r="O2" s="205">
        <f>M2-N2</f>
        <v>-0.32000000029802322</v>
      </c>
    </row>
    <row r="3" spans="2:22" ht="12" thickBot="1">
      <c r="B3" s="202" t="s">
        <v>286</v>
      </c>
      <c r="C3" s="272">
        <f>'DCP II'!E1</f>
        <v>45657</v>
      </c>
      <c r="L3" s="172" t="s">
        <v>287</v>
      </c>
      <c r="M3" s="173">
        <f>P22</f>
        <v>2676323.44</v>
      </c>
      <c r="N3" s="201">
        <v>2676323</v>
      </c>
      <c r="O3" s="205">
        <f>M3-N3</f>
        <v>0.43999999994412065</v>
      </c>
    </row>
    <row r="4" spans="2:22">
      <c r="H4" s="273"/>
      <c r="L4" s="175" t="s">
        <v>288</v>
      </c>
      <c r="M4" s="176">
        <f>L24</f>
        <v>25000583</v>
      </c>
    </row>
    <row r="5" spans="2:22" s="75" customFormat="1">
      <c r="B5" s="75" t="s">
        <v>289</v>
      </c>
      <c r="C5" s="75" t="s">
        <v>10</v>
      </c>
      <c r="L5" s="172" t="s">
        <v>75</v>
      </c>
      <c r="M5" s="180">
        <f>XIRR(L10:L24,E10:E24)</f>
        <v>-0.18608239367604257</v>
      </c>
    </row>
    <row r="6" spans="2:22">
      <c r="B6" s="75" t="s">
        <v>291</v>
      </c>
      <c r="C6" s="75" t="s">
        <v>24</v>
      </c>
    </row>
    <row r="7" spans="2:22">
      <c r="B7" s="75" t="s">
        <v>52</v>
      </c>
      <c r="C7" s="257">
        <v>100000000</v>
      </c>
    </row>
    <row r="8" spans="2:22">
      <c r="T8" s="634" t="s">
        <v>814</v>
      </c>
      <c r="U8" s="634"/>
      <c r="V8" s="634"/>
    </row>
    <row r="9" spans="2:22" s="186" customFormat="1" ht="33.75">
      <c r="B9" s="280" t="s">
        <v>292</v>
      </c>
      <c r="C9" s="183" t="s">
        <v>0</v>
      </c>
      <c r="D9" s="183" t="s">
        <v>293</v>
      </c>
      <c r="E9" s="183" t="s">
        <v>294</v>
      </c>
      <c r="F9" s="183" t="s">
        <v>295</v>
      </c>
      <c r="G9" s="183" t="s">
        <v>176</v>
      </c>
      <c r="H9" s="184" t="s">
        <v>296</v>
      </c>
      <c r="I9" s="185" t="s">
        <v>435</v>
      </c>
      <c r="J9" s="185" t="s">
        <v>436</v>
      </c>
      <c r="K9" s="185" t="s">
        <v>299</v>
      </c>
      <c r="L9" s="185" t="s">
        <v>300</v>
      </c>
      <c r="M9" s="185" t="s">
        <v>301</v>
      </c>
      <c r="N9" s="185" t="s">
        <v>302</v>
      </c>
      <c r="O9" s="185" t="s">
        <v>708</v>
      </c>
      <c r="P9" s="185" t="s">
        <v>438</v>
      </c>
      <c r="Q9" s="184" t="s">
        <v>195</v>
      </c>
      <c r="R9" s="184" t="s">
        <v>709</v>
      </c>
      <c r="T9" s="183" t="s">
        <v>815</v>
      </c>
      <c r="U9" s="185" t="s">
        <v>301</v>
      </c>
      <c r="V9" s="185" t="s">
        <v>302</v>
      </c>
    </row>
    <row r="10" spans="2:22">
      <c r="B10" s="2" t="s">
        <v>307</v>
      </c>
      <c r="C10" s="2" t="s">
        <v>308</v>
      </c>
      <c r="D10" s="187">
        <v>43553</v>
      </c>
      <c r="E10" s="187">
        <v>44761</v>
      </c>
      <c r="F10" s="2">
        <f>YEAR(E10)</f>
        <v>2022</v>
      </c>
      <c r="G10" s="211" t="s">
        <v>870</v>
      </c>
      <c r="H10" s="108">
        <v>-7101905.29</v>
      </c>
      <c r="I10" s="108">
        <v>-2153424.66</v>
      </c>
      <c r="J10" s="108">
        <v>-706132.69</v>
      </c>
      <c r="K10" s="108">
        <v>-80398.850000000006</v>
      </c>
      <c r="L10" s="108">
        <f t="shared" ref="L10:L14" si="0">SUM(H10:K10)</f>
        <v>-10041861.489999998</v>
      </c>
      <c r="M10" s="170">
        <f>IF(L10&lt;0,L10,0)</f>
        <v>-10041861.489999998</v>
      </c>
      <c r="N10" s="170">
        <f t="shared" ref="N10:N18" si="1">M10+$C$7</f>
        <v>89958138.510000005</v>
      </c>
      <c r="O10" s="170">
        <f>SUMIF(H10:K10,"&gt;0", H10:K10)</f>
        <v>0</v>
      </c>
      <c r="P10" s="170">
        <f>O10</f>
        <v>0</v>
      </c>
      <c r="R10" s="171"/>
      <c r="U10" s="170">
        <f>IF(L10&lt;0,L10,0)</f>
        <v>-10041861.489999998</v>
      </c>
      <c r="V10" s="108">
        <f>U10+$C$7</f>
        <v>89958138.510000005</v>
      </c>
    </row>
    <row r="11" spans="2:22">
      <c r="B11" s="2" t="s">
        <v>871</v>
      </c>
      <c r="C11" s="2" t="s">
        <v>872</v>
      </c>
      <c r="D11" s="187"/>
      <c r="E11" s="187">
        <v>44833</v>
      </c>
      <c r="F11" s="2">
        <v>2022</v>
      </c>
      <c r="G11" s="211" t="s">
        <v>873</v>
      </c>
      <c r="H11" s="108">
        <v>469607.03</v>
      </c>
      <c r="I11" s="108"/>
      <c r="J11" s="108"/>
      <c r="K11" s="108"/>
      <c r="L11" s="108">
        <f t="shared" si="0"/>
        <v>469607.03</v>
      </c>
      <c r="M11" s="170">
        <f>M10+L11</f>
        <v>-9572254.459999999</v>
      </c>
      <c r="N11" s="170">
        <f t="shared" si="1"/>
        <v>90427745.540000007</v>
      </c>
      <c r="O11" s="170">
        <v>0</v>
      </c>
      <c r="P11" s="170">
        <f>O11</f>
        <v>0</v>
      </c>
      <c r="T11" s="171">
        <f>L11</f>
        <v>469607.03</v>
      </c>
      <c r="U11" s="170">
        <f>IF(L11&lt;0,L11,0)+T11+U10</f>
        <v>-9572254.459999999</v>
      </c>
      <c r="V11" s="108">
        <f t="shared" ref="V11:V22" si="2">U11+$C$7</f>
        <v>90427745.540000007</v>
      </c>
    </row>
    <row r="12" spans="2:22">
      <c r="B12" s="2" t="s">
        <v>871</v>
      </c>
      <c r="C12" s="2" t="s">
        <v>874</v>
      </c>
      <c r="D12" s="187"/>
      <c r="E12" s="187">
        <v>44911</v>
      </c>
      <c r="F12" s="2">
        <v>2022</v>
      </c>
      <c r="G12" s="211" t="s">
        <v>870</v>
      </c>
      <c r="H12" s="108">
        <v>22897.51</v>
      </c>
      <c r="I12" s="108"/>
      <c r="J12" s="108"/>
      <c r="K12" s="108"/>
      <c r="L12" s="108">
        <f t="shared" si="0"/>
        <v>22897.51</v>
      </c>
      <c r="M12" s="170">
        <f>M11+L12</f>
        <v>-9549356.9499999993</v>
      </c>
      <c r="N12" s="170">
        <f>M12+$C$7</f>
        <v>90450643.049999997</v>
      </c>
      <c r="O12" s="170">
        <v>0</v>
      </c>
      <c r="P12" s="170">
        <f>O12</f>
        <v>0</v>
      </c>
      <c r="T12" s="171">
        <f>L12</f>
        <v>22897.51</v>
      </c>
      <c r="U12" s="170">
        <f t="shared" ref="U12:U22" si="3">IF(L12&lt;0,L12,0)+T12+U11</f>
        <v>-9549356.9499999993</v>
      </c>
      <c r="V12" s="108">
        <f>U12+$C$7</f>
        <v>90450643.049999997</v>
      </c>
    </row>
    <row r="13" spans="2:22">
      <c r="B13" s="2" t="s">
        <v>307</v>
      </c>
      <c r="C13" s="2" t="s">
        <v>310</v>
      </c>
      <c r="D13" s="187">
        <v>43553</v>
      </c>
      <c r="E13" s="187">
        <v>44953</v>
      </c>
      <c r="F13" s="2">
        <f t="shared" ref="F13:F22" si="4">YEAR(E13)</f>
        <v>2023</v>
      </c>
      <c r="G13" s="211" t="s">
        <v>875</v>
      </c>
      <c r="H13" s="108">
        <v>-10868854.93</v>
      </c>
      <c r="I13" s="108"/>
      <c r="J13" s="108"/>
      <c r="K13" s="108"/>
      <c r="L13" s="108">
        <f t="shared" si="0"/>
        <v>-10868854.93</v>
      </c>
      <c r="M13" s="170">
        <f>IF(L13&lt;0,L13,0)+M12</f>
        <v>-20418211.879999999</v>
      </c>
      <c r="N13" s="170">
        <f t="shared" si="1"/>
        <v>79581788.120000005</v>
      </c>
      <c r="O13" s="170">
        <f>SUMIF(H13:K13,"&gt;0", H13:K13)</f>
        <v>0</v>
      </c>
      <c r="P13" s="170">
        <f>O13</f>
        <v>0</v>
      </c>
      <c r="U13" s="170">
        <f t="shared" si="3"/>
        <v>-20418211.879999999</v>
      </c>
      <c r="V13" s="108">
        <f t="shared" si="2"/>
        <v>79581788.120000005</v>
      </c>
    </row>
    <row r="14" spans="2:22">
      <c r="B14" s="2" t="s">
        <v>49</v>
      </c>
      <c r="C14" s="2" t="s">
        <v>314</v>
      </c>
      <c r="D14" s="187"/>
      <c r="E14" s="187">
        <v>44953</v>
      </c>
      <c r="F14" s="2">
        <f t="shared" si="4"/>
        <v>2023</v>
      </c>
      <c r="G14" s="132" t="s">
        <v>876</v>
      </c>
      <c r="H14" s="170">
        <v>89423.06</v>
      </c>
      <c r="I14" s="170"/>
      <c r="J14" s="170"/>
      <c r="K14" s="170"/>
      <c r="L14" s="170">
        <f t="shared" si="0"/>
        <v>89423.06</v>
      </c>
      <c r="M14" s="170">
        <f>IF(L14&lt;0,L14,0)+M13</f>
        <v>-20418211.879999999</v>
      </c>
      <c r="N14" s="170">
        <f>M14+$C$7</f>
        <v>79581788.120000005</v>
      </c>
      <c r="O14" s="170">
        <f>L14</f>
        <v>89423.06</v>
      </c>
      <c r="P14" s="170">
        <f>O14</f>
        <v>89423.06</v>
      </c>
      <c r="T14" s="171">
        <f>L14</f>
        <v>89423.06</v>
      </c>
      <c r="U14" s="170">
        <f t="shared" si="3"/>
        <v>-20328788.82</v>
      </c>
      <c r="V14" s="108">
        <f t="shared" si="2"/>
        <v>79671211.180000007</v>
      </c>
    </row>
    <row r="15" spans="2:22">
      <c r="B15" s="2" t="s">
        <v>307</v>
      </c>
      <c r="C15" s="2" t="s">
        <v>311</v>
      </c>
      <c r="D15" s="187">
        <v>43553</v>
      </c>
      <c r="E15" s="187">
        <v>45044</v>
      </c>
      <c r="F15" s="2">
        <f t="shared" si="4"/>
        <v>2023</v>
      </c>
      <c r="G15" s="132" t="s">
        <v>857</v>
      </c>
      <c r="H15" s="170">
        <v>-2990280.47</v>
      </c>
      <c r="I15" s="170"/>
      <c r="J15" s="170"/>
      <c r="K15" s="170"/>
      <c r="L15" s="170">
        <f t="shared" ref="L15:L17" si="5">SUM(H15:K15)</f>
        <v>-2990280.47</v>
      </c>
      <c r="M15" s="170">
        <f t="shared" ref="M15:M16" si="6">IF(L15&lt;0,L15,0)+M14</f>
        <v>-23408492.349999998</v>
      </c>
      <c r="N15" s="170">
        <f t="shared" si="1"/>
        <v>76591507.650000006</v>
      </c>
      <c r="O15" s="170">
        <f>SUMIF(H15:K15,"&gt;0", H15:K15)</f>
        <v>0</v>
      </c>
      <c r="P15" s="178">
        <f>P14+O15</f>
        <v>89423.06</v>
      </c>
      <c r="S15" s="2" t="s">
        <v>514</v>
      </c>
      <c r="U15" s="170">
        <f t="shared" si="3"/>
        <v>-23319069.289999999</v>
      </c>
      <c r="V15" s="108">
        <f t="shared" si="2"/>
        <v>76680930.710000008</v>
      </c>
    </row>
    <row r="16" spans="2:22">
      <c r="B16" s="2" t="s">
        <v>307</v>
      </c>
      <c r="C16" s="2" t="s">
        <v>316</v>
      </c>
      <c r="D16" s="187"/>
      <c r="E16" s="187">
        <v>45357</v>
      </c>
      <c r="F16" s="2">
        <f t="shared" si="4"/>
        <v>2024</v>
      </c>
      <c r="G16" s="132"/>
      <c r="H16" s="170">
        <v>-6592220.5499999998</v>
      </c>
      <c r="I16" s="170"/>
      <c r="J16" s="170"/>
      <c r="K16" s="170"/>
      <c r="L16" s="170">
        <f t="shared" si="5"/>
        <v>-6592220.5499999998</v>
      </c>
      <c r="M16" s="170">
        <f t="shared" si="6"/>
        <v>-30000712.899999999</v>
      </c>
      <c r="N16" s="170">
        <f t="shared" si="1"/>
        <v>69999287.099999994</v>
      </c>
      <c r="O16" s="170">
        <f>SUMIF(H16:K16,"&gt;0", H16:K16)</f>
        <v>0</v>
      </c>
      <c r="P16" s="170">
        <f t="shared" ref="P16:P22" si="7">P15+O16</f>
        <v>89423.06</v>
      </c>
      <c r="U16" s="170">
        <f t="shared" si="3"/>
        <v>-29911289.84</v>
      </c>
      <c r="V16" s="108">
        <f t="shared" si="2"/>
        <v>70088710.159999996</v>
      </c>
    </row>
    <row r="17" spans="2:22">
      <c r="B17" s="2" t="s">
        <v>49</v>
      </c>
      <c r="C17" s="2" t="s">
        <v>314</v>
      </c>
      <c r="E17" s="187">
        <v>45357</v>
      </c>
      <c r="F17" s="2">
        <f t="shared" si="4"/>
        <v>2024</v>
      </c>
      <c r="G17" s="211" t="s">
        <v>877</v>
      </c>
      <c r="H17" s="132">
        <f>11525.67+245813.9</f>
        <v>257339.57</v>
      </c>
      <c r="I17" s="132"/>
      <c r="J17" s="281"/>
      <c r="K17" s="281"/>
      <c r="L17" s="170">
        <f t="shared" si="5"/>
        <v>257339.57</v>
      </c>
      <c r="M17" s="170">
        <f>IF(L17&lt;0,L17,0)+M16</f>
        <v>-30000712.899999999</v>
      </c>
      <c r="N17" s="170">
        <f t="shared" si="1"/>
        <v>69999287.099999994</v>
      </c>
      <c r="O17" s="170">
        <f>SUMIF(H17:K17,"&gt;0", H17:K17)</f>
        <v>257339.57</v>
      </c>
      <c r="P17" s="170">
        <f t="shared" si="7"/>
        <v>346762.63</v>
      </c>
      <c r="T17" s="171">
        <f>L17</f>
        <v>257339.57</v>
      </c>
      <c r="U17" s="170">
        <f t="shared" si="3"/>
        <v>-29653950.27</v>
      </c>
      <c r="V17" s="108">
        <f t="shared" si="2"/>
        <v>70346049.730000004</v>
      </c>
    </row>
    <row r="18" spans="2:22">
      <c r="B18" s="2" t="s">
        <v>307</v>
      </c>
      <c r="C18" s="2" t="s">
        <v>320</v>
      </c>
      <c r="D18" s="187"/>
      <c r="E18" s="187">
        <v>45412</v>
      </c>
      <c r="F18" s="2">
        <f t="shared" si="4"/>
        <v>2024</v>
      </c>
      <c r="G18" s="132"/>
      <c r="H18" s="170">
        <v>-4603397.03</v>
      </c>
      <c r="I18" s="170"/>
      <c r="J18" s="170"/>
      <c r="K18" s="170"/>
      <c r="L18" s="170">
        <f t="shared" ref="L18" si="8">SUM(H18:K18)</f>
        <v>-4603397.03</v>
      </c>
      <c r="M18" s="170">
        <f t="shared" ref="M18" si="9">IF(L18&lt;0,L18,0)+M17</f>
        <v>-34604109.93</v>
      </c>
      <c r="N18" s="170">
        <f t="shared" si="1"/>
        <v>65395890.07</v>
      </c>
      <c r="O18" s="170">
        <f>SUMIF(H18:K18,"&gt;0", H18:K18)</f>
        <v>0</v>
      </c>
      <c r="P18" s="170">
        <f t="shared" si="7"/>
        <v>346762.63</v>
      </c>
      <c r="S18" s="2" t="s">
        <v>846</v>
      </c>
      <c r="U18" s="170">
        <f t="shared" si="3"/>
        <v>-34257347.299999997</v>
      </c>
      <c r="V18" s="108">
        <f t="shared" si="2"/>
        <v>65742652.700000003</v>
      </c>
    </row>
    <row r="19" spans="2:22" ht="15">
      <c r="B19" s="2" t="s">
        <v>49</v>
      </c>
      <c r="C19" s="2" t="s">
        <v>337</v>
      </c>
      <c r="D19" s="187"/>
      <c r="E19" s="187">
        <v>45489</v>
      </c>
      <c r="F19" s="2">
        <f t="shared" si="4"/>
        <v>2024</v>
      </c>
      <c r="G19" s="132" t="s">
        <v>878</v>
      </c>
      <c r="H19" s="170">
        <f>1976071.86+68247.53+20413.48</f>
        <v>2064732.87</v>
      </c>
      <c r="I19" s="170"/>
      <c r="J19" s="170"/>
      <c r="K19" s="170"/>
      <c r="L19" s="402">
        <f>SUM(H19:K19)</f>
        <v>2064732.87</v>
      </c>
      <c r="M19" s="170">
        <f>IF(L19&lt;0,L19,0)+M18</f>
        <v>-34604109.93</v>
      </c>
      <c r="N19" s="170">
        <f>M19+$C$7</f>
        <v>65395890.07</v>
      </c>
      <c r="O19" s="170">
        <f>SUMIF(H19:K19,"&gt;0", H19:K19)</f>
        <v>2064732.87</v>
      </c>
      <c r="P19" s="170">
        <f t="shared" si="7"/>
        <v>2411495.5</v>
      </c>
      <c r="T19" s="171">
        <f>L19</f>
        <v>2064732.87</v>
      </c>
      <c r="U19" s="170">
        <f t="shared" si="3"/>
        <v>-32192614.429999996</v>
      </c>
      <c r="V19" s="108">
        <f t="shared" si="2"/>
        <v>67807385.570000008</v>
      </c>
    </row>
    <row r="20" spans="2:22" ht="15">
      <c r="B20" s="2" t="s">
        <v>307</v>
      </c>
      <c r="C20" s="2" t="s">
        <v>325</v>
      </c>
      <c r="D20" s="187"/>
      <c r="E20" s="187">
        <v>45489</v>
      </c>
      <c r="F20" s="2">
        <f t="shared" si="4"/>
        <v>2024</v>
      </c>
      <c r="G20" s="132"/>
      <c r="H20" s="170">
        <v>-365061.3</v>
      </c>
      <c r="I20" s="170">
        <v>-994535.52</v>
      </c>
      <c r="J20" s="170">
        <v>-321527.46000000002</v>
      </c>
      <c r="K20" s="170"/>
      <c r="L20" s="402">
        <f t="shared" ref="L20:L21" si="10">SUM(H20:K20)</f>
        <v>-1681124.28</v>
      </c>
      <c r="M20" s="170">
        <f>IF(L20&lt;0,L20,0)+M19</f>
        <v>-36285234.210000001</v>
      </c>
      <c r="N20" s="170">
        <f t="shared" ref="N20:N22" si="11">M20+$C$7</f>
        <v>63714765.789999999</v>
      </c>
      <c r="O20" s="170">
        <f t="shared" ref="O20:O21" si="12">SUMIF(H20:K20,"&gt;0", H20:K20)</f>
        <v>0</v>
      </c>
      <c r="P20" s="170">
        <f t="shared" si="7"/>
        <v>2411495.5</v>
      </c>
      <c r="S20" s="2" t="s">
        <v>617</v>
      </c>
      <c r="U20" s="170">
        <f t="shared" si="3"/>
        <v>-33873738.709999993</v>
      </c>
      <c r="V20" s="108">
        <f t="shared" si="2"/>
        <v>66126261.290000007</v>
      </c>
    </row>
    <row r="21" spans="2:22" ht="15">
      <c r="B21" s="2" t="s">
        <v>307</v>
      </c>
      <c r="C21" s="2" t="s">
        <v>322</v>
      </c>
      <c r="D21" s="187"/>
      <c r="E21" s="187">
        <v>45643</v>
      </c>
      <c r="F21" s="2">
        <f t="shared" si="4"/>
        <v>2024</v>
      </c>
      <c r="G21" s="132"/>
      <c r="H21" s="170"/>
      <c r="I21" s="170">
        <v>-1005464.48</v>
      </c>
      <c r="J21" s="170">
        <v>-147828.63</v>
      </c>
      <c r="K21" s="170"/>
      <c r="L21" s="402">
        <f t="shared" si="10"/>
        <v>-1153293.1099999999</v>
      </c>
      <c r="M21" s="170">
        <f t="shared" ref="M21" si="13">IF(L21&lt;0,L21,0)+M20</f>
        <v>-37438527.32</v>
      </c>
      <c r="N21" s="170">
        <f t="shared" si="11"/>
        <v>62561472.68</v>
      </c>
      <c r="O21" s="170">
        <f t="shared" si="12"/>
        <v>0</v>
      </c>
      <c r="P21" s="170">
        <f t="shared" si="7"/>
        <v>2411495.5</v>
      </c>
      <c r="U21" s="170">
        <f t="shared" si="3"/>
        <v>-35027031.819999993</v>
      </c>
      <c r="V21" s="108">
        <f t="shared" si="2"/>
        <v>64972968.180000007</v>
      </c>
    </row>
    <row r="22" spans="2:22" ht="15">
      <c r="B22" s="2" t="s">
        <v>49</v>
      </c>
      <c r="C22" s="2" t="s">
        <v>338</v>
      </c>
      <c r="D22" s="187"/>
      <c r="E22" s="187">
        <v>45643</v>
      </c>
      <c r="F22" s="2">
        <f t="shared" si="4"/>
        <v>2024</v>
      </c>
      <c r="G22" s="132" t="s">
        <v>879</v>
      </c>
      <c r="H22" s="170">
        <v>264827.94</v>
      </c>
      <c r="I22" s="170"/>
      <c r="J22" s="170"/>
      <c r="K22" s="170"/>
      <c r="L22" s="402">
        <f>SUM(H22:K22)</f>
        <v>264827.94</v>
      </c>
      <c r="M22" s="170">
        <f>IF(L22&lt;0,L22,0)+M21</f>
        <v>-37438527.32</v>
      </c>
      <c r="N22" s="170">
        <f t="shared" si="11"/>
        <v>62561472.68</v>
      </c>
      <c r="O22" s="170">
        <f>SUMIF(H22:K22,"&gt;0", H22:K22)</f>
        <v>264827.94</v>
      </c>
      <c r="P22" s="170">
        <f t="shared" si="7"/>
        <v>2676323.44</v>
      </c>
      <c r="S22" s="2" t="s">
        <v>403</v>
      </c>
      <c r="T22" s="171">
        <f>L22</f>
        <v>264827.94</v>
      </c>
      <c r="U22" s="170">
        <f t="shared" si="3"/>
        <v>-34762203.879999995</v>
      </c>
      <c r="V22" s="108">
        <f t="shared" si="2"/>
        <v>65237796.120000005</v>
      </c>
    </row>
    <row r="23" spans="2:22">
      <c r="E23" s="187"/>
      <c r="G23" s="132"/>
      <c r="H23" s="132"/>
      <c r="I23" s="132"/>
      <c r="J23" s="281"/>
      <c r="K23" s="281"/>
      <c r="L23" s="170"/>
      <c r="M23" s="170"/>
      <c r="N23" s="170"/>
      <c r="O23" s="170"/>
      <c r="P23" s="170"/>
    </row>
    <row r="24" spans="2:22" s="191" customFormat="1">
      <c r="C24" s="191" t="s">
        <v>716</v>
      </c>
      <c r="D24" s="192"/>
      <c r="E24" s="192">
        <f>C3</f>
        <v>45657</v>
      </c>
      <c r="F24" s="191">
        <f>YEAR(E24)</f>
        <v>2024</v>
      </c>
      <c r="G24" s="191" t="s">
        <v>681</v>
      </c>
      <c r="H24" s="193"/>
      <c r="I24" s="193"/>
      <c r="J24" s="193"/>
      <c r="K24" s="193"/>
      <c r="L24" s="282">
        <v>25000583</v>
      </c>
      <c r="M24" s="193"/>
      <c r="N24" s="193"/>
      <c r="O24" s="193"/>
      <c r="P24" s="193"/>
    </row>
    <row r="25" spans="2:22">
      <c r="G25" s="132"/>
      <c r="H25" s="132"/>
      <c r="I25" s="132"/>
      <c r="J25" s="132"/>
      <c r="K25" s="132"/>
      <c r="L25" s="132"/>
      <c r="M25" s="132"/>
      <c r="N25" s="132"/>
      <c r="O25" s="132"/>
      <c r="P25" s="132"/>
    </row>
    <row r="26" spans="2:22">
      <c r="G26" s="132"/>
      <c r="H26" s="132"/>
      <c r="I26" s="132"/>
      <c r="J26" s="132"/>
      <c r="K26" s="132"/>
      <c r="L26" s="132"/>
      <c r="M26" s="132"/>
      <c r="N26" s="132"/>
      <c r="O26" s="132"/>
      <c r="P26" s="132"/>
    </row>
    <row r="27" spans="2:22">
      <c r="G27" s="132"/>
      <c r="H27" s="132"/>
      <c r="I27" s="132"/>
      <c r="J27" s="132"/>
      <c r="K27" s="132"/>
      <c r="L27" s="132"/>
      <c r="M27" s="132"/>
      <c r="N27" s="132"/>
      <c r="O27" s="132"/>
      <c r="P27" s="132"/>
    </row>
    <row r="28" spans="2:22">
      <c r="B28" s="2" t="s">
        <v>880</v>
      </c>
      <c r="L28" s="171"/>
    </row>
  </sheetData>
  <mergeCells count="2">
    <mergeCell ref="L1:M1"/>
    <mergeCell ref="T8:V8"/>
  </mergeCells>
  <phoneticPr fontId="62" type="noConversion"/>
  <hyperlinks>
    <hyperlink ref="L19" r:id="rId1" location="3 &amp; Funding Notice #6.pdf&amp;viewid=048c04e9-146b-425b-9d09-84676d2821bc&amp;parent=\sites\ACH33-ACH33-SGInvestment-CCGBVI\Shared Documents\ACH33 - SG Investment - CCGBVI\1. Private Equity\1 - Funds\1 - USD Funds\DCP (USD)\2 - DCP USD Fund II\3 - Distribution Notice" display="../../../../Forms/AllItems.aspx?CT=1722236910052&amp;OR=OWA%2DNT%2DMail&amp;CID=4ee197c8%2D4f6b%2D8418%2D90d3%2Dff79d36307e2&amp;id=%2Fsites%2FACH33%2DACH33%2DSGInvestment%2DCCGBVI%2FShared%20Documents%2FACH33%20%2D%20SG%20Investment%20%2D%20CCGBVI%2F1%2E%20Private%20Equity%2F1%20%2D%20Funds%2F1%20%2D%20USD%20Funds%2FDCP%20%28USD%29%2F2%20%2D%20DCP%20USD%20Fund%20II%2F3%20%2D%20Distribution%20Notice%2F06%2DCapital%20China%20Group%20Ltd%20%2D%20Distribution%20Notice%20%233%20%26%20Funding%20Notice%20%236%2Epdf&amp;viewid=048c04e9%2D146b%2D425b%2D9d09%2D84676d2821bc&amp;parent=%2Fsites%2FACH33%2DACH33%2DSGInvestment%2DCCGBVI%2FShared%20Documents%2FACH33%20%2D%20SG%20Investment%20%2D%20CCGBVI%2F1%2E%20Private%20Equity%2F1%20%2D%20Funds%2F1%20%2D%20USD%20Funds%2FDCP%20%28USD%29%2F2%20%2D%20DCP%20USD%20Fund%20II%2F3%20%2D%20Distribution%20Notice" xr:uid="{B9EFA8AA-F6AF-43B7-90A2-E96F0CF3583D}"/>
    <hyperlink ref="L20" r:id="rId2" location="3 &amp; Funding Notice #6.pdf&amp;viewid=048c04e9-146b-425b-9d09-84676d2821bc&amp;parent=\sites\ACH33-ACH33-SGInvestment-CCGBVI\Shared Documents\ACH33 - SG Investment - CCGBVI\1. Private Equity\1 - Funds\1 - USD Funds\DCP (USD)\2 - DCP USD Fund II\3 - Distribution Notice" display="../../../../Forms/AllItems.aspx?CT=1722236910052&amp;OR=OWA%2DNT%2DMail&amp;CID=4ee197c8%2D4f6b%2D8418%2D90d3%2Dff79d36307e2&amp;id=%2Fsites%2FACH33%2DACH33%2DSGInvestment%2DCCGBVI%2FShared%20Documents%2FACH33%20%2D%20SG%20Investment%20%2D%20CCGBVI%2F1%2E%20Private%20Equity%2F1%20%2D%20Funds%2F1%20%2D%20USD%20Funds%2FDCP%20%28USD%29%2F2%20%2D%20DCP%20USD%20Fund%20II%2F3%20%2D%20Distribution%20Notice%2F06%2DCapital%20China%20Group%20Ltd%20%2D%20Distribution%20Notice%20%233%20%26%20Funding%20Notice%20%236%2Epdf&amp;viewid=048c04e9%2D146b%2D425b%2D9d09%2D84676d2821bc&amp;parent=%2Fsites%2FACH33%2DACH33%2DSGInvestment%2DCCGBVI%2FShared%20Documents%2FACH33%20%2D%20SG%20Investment%20%2D%20CCGBVI%2F1%2E%20Private%20Equity%2F1%20%2D%20Funds%2F1%20%2D%20USD%20Funds%2FDCP%20%28USD%29%2F2%20%2D%20DCP%20USD%20Fund%20II%2F3%20%2D%20Distribution%20Notice" xr:uid="{24A7FD57-7A43-4F1F-AAB7-752E6D94308E}"/>
    <hyperlink ref="L21" r:id="rId3" display="../../../../../../../:b:/s/ACH33-ACH33-SGInvestment-CCGBVI/EXwSsOwarH9GpERPltthKD0B6Z3ZyPYHfOvt8zRRYVjAHw?e=ChRttp" xr:uid="{997B18C7-BEAF-4401-A9D0-667813C4B9A2}"/>
    <hyperlink ref="L22" r:id="rId4" location="3 &amp; Funding Notice #6.pdf&amp;viewid=048c04e9-146b-425b-9d09-84676d2821bc&amp;parent=\sites\ACH33-ACH33-SGInvestment-CCGBVI\Shared Documents\ACH33 - SG Investment - CCGBVI\1. Private Equity\1 - Funds\1 - USD Funds\DCP (USD)\2 - DCP USD Fund II\3 - Distribution Notice" display="../../../../Forms/AllItems.aspx?CT=1722236910052&amp;OR=OWA%2DNT%2DMail&amp;CID=4ee197c8%2D4f6b%2D8418%2D90d3%2Dff79d36307e2&amp;id=%2Fsites%2FACH33%2DACH33%2DSGInvestment%2DCCGBVI%2FShared%20Documents%2FACH33%20%2D%20SG%20Investment%20%2D%20CCGBVI%2F1%2E%20Private%20Equity%2F1%20%2D%20Funds%2F1%20%2D%20USD%20Funds%2FDCP%20%28USD%29%2F2%20%2D%20DCP%20USD%20Fund%20II%2F3%20%2D%20Distribution%20Notice%2F06%2DCapital%20China%20Group%20Ltd%20%2D%20Distribution%20Notice%20%233%20%26%20Funding%20Notice%20%236%2Epdf&amp;viewid=048c04e9%2D146b%2D425b%2D9d09%2D84676d2821bc&amp;parent=%2Fsites%2FACH33%2DACH33%2DSGInvestment%2DCCGBVI%2FShared%20Documents%2FACH33%20%2D%20SG%20Investment%20%2D%20CCGBVI%2F1%2E%20Private%20Equity%2F1%20%2D%20Funds%2F1%20%2D%20USD%20Funds%2FDCP%20%28USD%29%2F2%20%2D%20DCP%20USD%20Fund%20II%2F3%20%2D%20Distribution%20Notice" xr:uid="{A43C177B-C3B8-422F-A165-FF4D553BFB81}"/>
  </hyperlinks>
  <pageMargins left="0.7" right="0.7" top="0.75" bottom="0.75" header="0.3" footer="0.3"/>
  <pageSetup paperSize="9" scale="36" orientation="portrait" r:id="rId5"/>
  <legacyDrawing r:id="rId6"/>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F8BD6-E856-4E99-9BA6-5C6807D8BCC5}">
  <sheetPr>
    <pageSetUpPr fitToPage="1"/>
  </sheetPr>
  <dimension ref="A1:S35"/>
  <sheetViews>
    <sheetView workbookViewId="0">
      <selection activeCell="E19" sqref="E19"/>
    </sheetView>
  </sheetViews>
  <sheetFormatPr defaultColWidth="9" defaultRowHeight="11.25" outlineLevelRow="1"/>
  <cols>
    <col min="1" max="1" width="32.140625" style="2" customWidth="1"/>
    <col min="2" max="2" width="33.42578125" style="2" bestFit="1" customWidth="1"/>
    <col min="3" max="3" width="2.42578125" style="2" customWidth="1"/>
    <col min="4" max="4" width="39.7109375" style="2" bestFit="1" customWidth="1"/>
    <col min="5" max="5" width="13.42578125" style="2" bestFit="1" customWidth="1"/>
    <col min="6" max="6" width="2.28515625" style="2" customWidth="1"/>
    <col min="7" max="7" width="38" style="2" bestFit="1" customWidth="1"/>
    <col min="8" max="8" width="12.7109375" style="2" customWidth="1"/>
    <col min="9" max="9" width="18" style="2" customWidth="1"/>
    <col min="10" max="10" width="13" style="2" customWidth="1"/>
    <col min="11" max="11" width="14.140625" style="2" customWidth="1"/>
    <col min="12" max="12" width="13.28515625" style="2" bestFit="1" customWidth="1"/>
    <col min="13" max="13" width="13.7109375" style="2" bestFit="1" customWidth="1"/>
    <col min="14" max="14" width="8.140625" style="2" customWidth="1"/>
    <col min="15" max="15" width="8" style="2" customWidth="1"/>
    <col min="16" max="16" width="9.42578125" style="2" bestFit="1" customWidth="1"/>
    <col min="17" max="17" width="13.42578125" style="2" customWidth="1"/>
    <col min="18" max="18" width="18" style="2" customWidth="1"/>
    <col min="19" max="19" width="10" style="2" bestFit="1" customWidth="1"/>
    <col min="20" max="16384" width="9" style="2"/>
  </cols>
  <sheetData>
    <row r="1" spans="1:16" s="119" customFormat="1">
      <c r="A1" s="117" t="s">
        <v>179</v>
      </c>
      <c r="B1" s="118"/>
      <c r="C1" s="74"/>
      <c r="D1" s="117" t="s">
        <v>180</v>
      </c>
      <c r="E1" s="219">
        <v>45657</v>
      </c>
      <c r="F1" s="2"/>
      <c r="G1" s="117" t="s">
        <v>181</v>
      </c>
      <c r="H1" s="118"/>
      <c r="I1" s="2"/>
      <c r="J1" s="2"/>
      <c r="K1" s="2"/>
      <c r="L1" s="2"/>
      <c r="M1" s="2"/>
      <c r="N1" s="2"/>
      <c r="O1" s="2"/>
      <c r="P1" s="2"/>
    </row>
    <row r="2" spans="1:16" outlineLevel="1">
      <c r="A2" s="2" t="s">
        <v>182</v>
      </c>
      <c r="B2" s="120" t="s">
        <v>36</v>
      </c>
      <c r="D2" s="2" t="s">
        <v>183</v>
      </c>
      <c r="E2" s="220">
        <v>0.53001799999999999</v>
      </c>
      <c r="G2" s="2" t="s">
        <v>184</v>
      </c>
      <c r="H2" s="120" t="s">
        <v>185</v>
      </c>
    </row>
    <row r="3" spans="1:16" outlineLevel="1">
      <c r="A3" s="2" t="s">
        <v>186</v>
      </c>
      <c r="B3" s="122">
        <v>42892</v>
      </c>
      <c r="D3" s="2" t="s">
        <v>187</v>
      </c>
      <c r="E3" s="220">
        <v>0.93904900000000002</v>
      </c>
      <c r="G3" s="2" t="s">
        <v>188</v>
      </c>
      <c r="H3" s="120" t="s">
        <v>189</v>
      </c>
    </row>
    <row r="4" spans="1:16" outlineLevel="1">
      <c r="A4" s="2" t="s">
        <v>190</v>
      </c>
      <c r="B4" s="122" t="s">
        <v>881</v>
      </c>
      <c r="D4" s="2" t="s">
        <v>191</v>
      </c>
      <c r="E4" s="125">
        <f>N31</f>
        <v>0.84550745255735626</v>
      </c>
      <c r="G4" s="2" t="s">
        <v>192</v>
      </c>
      <c r="H4" s="124">
        <v>0</v>
      </c>
    </row>
    <row r="5" spans="1:16" outlineLevel="1">
      <c r="A5" s="2" t="s">
        <v>193</v>
      </c>
      <c r="B5" s="120">
        <v>2017</v>
      </c>
      <c r="D5" s="2" t="s">
        <v>194</v>
      </c>
      <c r="E5" s="221" t="s">
        <v>570</v>
      </c>
      <c r="G5" s="2" t="s">
        <v>195</v>
      </c>
      <c r="H5" s="126">
        <v>0.2</v>
      </c>
    </row>
    <row r="6" spans="1:16" outlineLevel="1">
      <c r="A6" s="2" t="s">
        <v>196</v>
      </c>
      <c r="B6" s="120" t="s">
        <v>882</v>
      </c>
      <c r="D6" s="2" t="s">
        <v>198</v>
      </c>
      <c r="E6" s="221" t="s">
        <v>570</v>
      </c>
      <c r="G6" s="117" t="s">
        <v>199</v>
      </c>
      <c r="H6" s="118"/>
    </row>
    <row r="7" spans="1:16" outlineLevel="1">
      <c r="A7" s="2" t="s">
        <v>200</v>
      </c>
      <c r="B7" s="120" t="s">
        <v>883</v>
      </c>
      <c r="D7" s="2" t="s">
        <v>202</v>
      </c>
      <c r="E7" s="221" t="s">
        <v>570</v>
      </c>
      <c r="G7" s="2" t="s">
        <v>203</v>
      </c>
      <c r="H7" s="2" t="s">
        <v>204</v>
      </c>
    </row>
    <row r="8" spans="1:16" outlineLevel="1">
      <c r="A8" s="2" t="s">
        <v>205</v>
      </c>
      <c r="B8" s="120" t="s">
        <v>206</v>
      </c>
      <c r="D8" s="2" t="s">
        <v>207</v>
      </c>
      <c r="E8" s="221" t="s">
        <v>570</v>
      </c>
      <c r="G8" s="2" t="s">
        <v>208</v>
      </c>
      <c r="H8" s="2" t="s">
        <v>209</v>
      </c>
    </row>
    <row r="9" spans="1:16" outlineLevel="1">
      <c r="A9" s="2" t="s">
        <v>65</v>
      </c>
      <c r="B9" s="120" t="s">
        <v>884</v>
      </c>
      <c r="D9" s="128" t="s">
        <v>885</v>
      </c>
      <c r="E9" s="222"/>
    </row>
    <row r="10" spans="1:16" outlineLevel="1">
      <c r="A10" s="2" t="s">
        <v>212</v>
      </c>
      <c r="B10" s="120" t="s">
        <v>573</v>
      </c>
      <c r="D10" s="2" t="s">
        <v>214</v>
      </c>
      <c r="E10" s="129">
        <v>6</v>
      </c>
      <c r="I10" s="240"/>
    </row>
    <row r="11" spans="1:16" outlineLevel="1">
      <c r="A11" s="2" t="s">
        <v>215</v>
      </c>
      <c r="B11" s="122" t="s">
        <v>886</v>
      </c>
      <c r="D11" s="2" t="s">
        <v>216</v>
      </c>
      <c r="E11" s="135">
        <f>6/9.603</f>
        <v>0.62480474851608869</v>
      </c>
      <c r="G11" s="2">
        <f>+E10/E11</f>
        <v>9.6029999999999998</v>
      </c>
      <c r="I11" s="240"/>
    </row>
    <row r="12" spans="1:16" outlineLevel="1">
      <c r="A12" s="2" t="s">
        <v>217</v>
      </c>
      <c r="B12" s="120" t="s">
        <v>24</v>
      </c>
      <c r="D12" s="2" t="s">
        <v>218</v>
      </c>
      <c r="E12" s="224">
        <f>-'E15 Fund I (CF) '!I2/10^6</f>
        <v>6</v>
      </c>
    </row>
    <row r="13" spans="1:16" outlineLevel="1">
      <c r="A13" s="2" t="s">
        <v>219</v>
      </c>
      <c r="B13" s="120" t="s">
        <v>887</v>
      </c>
      <c r="D13" s="2" t="s">
        <v>221</v>
      </c>
      <c r="E13" s="129">
        <f>E10-E12</f>
        <v>0</v>
      </c>
    </row>
    <row r="14" spans="1:16" outlineLevel="1">
      <c r="A14" s="2" t="s">
        <v>222</v>
      </c>
      <c r="B14" s="120" t="s">
        <v>570</v>
      </c>
      <c r="D14" s="2" t="s">
        <v>224</v>
      </c>
      <c r="E14" s="121">
        <f>'E15 Fund I (CF) '!I3/10^6</f>
        <v>4.1582107900000009</v>
      </c>
      <c r="I14" s="200"/>
    </row>
    <row r="15" spans="1:16" outlineLevel="1">
      <c r="A15" s="2" t="s">
        <v>225</v>
      </c>
      <c r="B15" s="120" t="s">
        <v>570</v>
      </c>
      <c r="D15" s="2" t="s">
        <v>227</v>
      </c>
      <c r="E15" s="224">
        <f>'E15 Fund I (CF) '!I4/10^6</f>
        <v>0.56930499999999995</v>
      </c>
      <c r="I15" s="131"/>
    </row>
    <row r="16" spans="1:16" outlineLevel="1">
      <c r="A16" s="2" t="s">
        <v>228</v>
      </c>
      <c r="B16" s="134">
        <v>44196</v>
      </c>
      <c r="D16" s="2" t="s">
        <v>229</v>
      </c>
      <c r="E16" s="225">
        <f>E12/E10</f>
        <v>1</v>
      </c>
      <c r="I16" s="131"/>
      <c r="M16" s="131"/>
    </row>
    <row r="17" spans="1:19" outlineLevel="1">
      <c r="A17" s="2" t="s">
        <v>230</v>
      </c>
      <c r="B17" s="120" t="s">
        <v>231</v>
      </c>
      <c r="D17" s="2" t="s">
        <v>232</v>
      </c>
      <c r="E17" s="266">
        <f>E14/E12</f>
        <v>0.69303513166666686</v>
      </c>
      <c r="K17" s="131"/>
      <c r="L17" s="131"/>
    </row>
    <row r="18" spans="1:19" outlineLevel="1">
      <c r="A18" s="117" t="s">
        <v>233</v>
      </c>
      <c r="B18" s="118"/>
      <c r="D18" s="2" t="s">
        <v>234</v>
      </c>
      <c r="E18" s="137">
        <f>(E15+E14)/E12</f>
        <v>0.78791929833333352</v>
      </c>
    </row>
    <row r="19" spans="1:19" outlineLevel="1">
      <c r="A19" s="2" t="s">
        <v>235</v>
      </c>
      <c r="B19" s="120">
        <v>3</v>
      </c>
      <c r="D19" s="2" t="s">
        <v>177</v>
      </c>
      <c r="E19" s="294">
        <f>'E15 Fund I (CF) '!I5</f>
        <v>-8.4686514735221888E-2</v>
      </c>
    </row>
    <row r="20" spans="1:19" s="141" customFormat="1" ht="39.75" customHeight="1">
      <c r="A20" s="138" t="s">
        <v>888</v>
      </c>
      <c r="B20" s="638" t="s">
        <v>240</v>
      </c>
      <c r="C20" s="639"/>
      <c r="D20" s="639"/>
      <c r="E20" s="639"/>
      <c r="F20" s="640"/>
      <c r="G20" s="139" t="s">
        <v>69</v>
      </c>
      <c r="H20" s="139" t="s">
        <v>242</v>
      </c>
      <c r="I20" s="140" t="s">
        <v>889</v>
      </c>
      <c r="J20" s="140" t="s">
        <v>890</v>
      </c>
      <c r="K20" s="139" t="s">
        <v>891</v>
      </c>
      <c r="L20" s="140" t="s">
        <v>892</v>
      </c>
      <c r="M20" s="139" t="s">
        <v>893</v>
      </c>
      <c r="N20" s="140" t="s">
        <v>115</v>
      </c>
      <c r="O20" s="139" t="s">
        <v>253</v>
      </c>
      <c r="P20" s="139" t="s">
        <v>243</v>
      </c>
    </row>
    <row r="21" spans="1:19" s="116" customFormat="1" ht="27.75" customHeight="1">
      <c r="A21" s="158" t="s">
        <v>894</v>
      </c>
      <c r="B21" s="637" t="s">
        <v>895</v>
      </c>
      <c r="C21" s="637"/>
      <c r="D21" s="637"/>
      <c r="E21" s="637"/>
      <c r="F21" s="637"/>
      <c r="G21" s="160" t="s">
        <v>896</v>
      </c>
      <c r="H21" s="143">
        <v>43009</v>
      </c>
      <c r="I21" s="335">
        <v>2524103</v>
      </c>
      <c r="J21" s="162">
        <v>4.6699999999999998E-2</v>
      </c>
      <c r="K21" s="227">
        <v>0</v>
      </c>
      <c r="L21" s="335">
        <v>530018</v>
      </c>
      <c r="M21" s="336">
        <f>K21+L21</f>
        <v>530018</v>
      </c>
      <c r="N21" s="231">
        <f>M21/I21</f>
        <v>0.20998271465150195</v>
      </c>
      <c r="O21" s="143" t="s">
        <v>570</v>
      </c>
      <c r="P21" s="143"/>
      <c r="Q21" s="160"/>
      <c r="R21" s="160"/>
      <c r="S21" s="160"/>
    </row>
    <row r="22" spans="1:19" s="146" customFormat="1">
      <c r="A22" s="146" t="s">
        <v>897</v>
      </c>
      <c r="B22" s="147"/>
      <c r="G22" s="228"/>
      <c r="H22" s="148"/>
      <c r="I22" s="331">
        <f>SUM(I21:I21)</f>
        <v>2524103</v>
      </c>
      <c r="J22" s="337"/>
      <c r="K22" s="331">
        <f>SUM(K21:K21)</f>
        <v>0</v>
      </c>
      <c r="L22" s="331">
        <f>SUM(L21:L21)</f>
        <v>530018</v>
      </c>
      <c r="M22" s="331">
        <f>SUM(M21:M21)</f>
        <v>530018</v>
      </c>
      <c r="N22" s="295">
        <f>M22/I22</f>
        <v>0.20998271465150195</v>
      </c>
      <c r="O22" s="149"/>
      <c r="P22" s="228"/>
      <c r="Q22" s="228"/>
      <c r="R22" s="228"/>
      <c r="S22" s="228"/>
    </row>
    <row r="23" spans="1:19" s="116" customFormat="1" ht="9" customHeight="1">
      <c r="G23" s="160"/>
      <c r="H23" s="143"/>
      <c r="I23" s="159"/>
      <c r="J23" s="338"/>
      <c r="K23" s="159"/>
      <c r="L23" s="159"/>
      <c r="M23" s="159"/>
      <c r="N23" s="159"/>
      <c r="O23" s="144"/>
      <c r="P23" s="160"/>
      <c r="Q23" s="160"/>
      <c r="R23" s="160"/>
      <c r="S23" s="160"/>
    </row>
    <row r="24" spans="1:19" s="116" customFormat="1" ht="54" customHeight="1">
      <c r="A24" s="151" t="s">
        <v>898</v>
      </c>
      <c r="B24" s="641" t="s">
        <v>899</v>
      </c>
      <c r="C24" s="641"/>
      <c r="D24" s="641"/>
      <c r="E24" s="641"/>
      <c r="F24" s="641"/>
      <c r="G24" s="152" t="s">
        <v>69</v>
      </c>
      <c r="H24" s="153" t="s">
        <v>242</v>
      </c>
      <c r="I24" s="339" t="s">
        <v>248</v>
      </c>
      <c r="J24" s="340" t="s">
        <v>890</v>
      </c>
      <c r="K24" s="339" t="s">
        <v>250</v>
      </c>
      <c r="L24" s="339" t="s">
        <v>900</v>
      </c>
      <c r="M24" s="339" t="s">
        <v>252</v>
      </c>
      <c r="N24" s="339" t="s">
        <v>115</v>
      </c>
      <c r="O24" s="155" t="s">
        <v>253</v>
      </c>
      <c r="P24" s="157" t="s">
        <v>243</v>
      </c>
      <c r="Q24" s="157" t="s">
        <v>245</v>
      </c>
      <c r="R24" s="157" t="s">
        <v>246</v>
      </c>
      <c r="S24" s="157" t="s">
        <v>901</v>
      </c>
    </row>
    <row r="25" spans="1:19" s="116" customFormat="1" ht="29.25" customHeight="1">
      <c r="A25" s="158" t="s">
        <v>902</v>
      </c>
      <c r="B25" s="637" t="s">
        <v>903</v>
      </c>
      <c r="C25" s="637"/>
      <c r="D25" s="637"/>
      <c r="E25" s="637"/>
      <c r="F25" s="637"/>
      <c r="G25" s="160" t="s">
        <v>904</v>
      </c>
      <c r="H25" s="143">
        <v>42917</v>
      </c>
      <c r="I25" s="341">
        <v>1000000</v>
      </c>
      <c r="J25" s="342">
        <v>1.585E-2</v>
      </c>
      <c r="K25" s="159">
        <v>0</v>
      </c>
      <c r="L25" s="159">
        <v>0</v>
      </c>
      <c r="M25" s="159">
        <f>K25+L25</f>
        <v>0</v>
      </c>
      <c r="N25" s="161">
        <f>M25/I25</f>
        <v>0</v>
      </c>
      <c r="O25" s="143" t="s">
        <v>570</v>
      </c>
      <c r="P25" s="143" t="s">
        <v>44</v>
      </c>
      <c r="Q25" s="143">
        <v>43983</v>
      </c>
      <c r="R25" s="267" t="s">
        <v>905</v>
      </c>
      <c r="S25" s="267" t="s">
        <v>906</v>
      </c>
    </row>
    <row r="26" spans="1:19" s="116" customFormat="1" ht="36.6" customHeight="1">
      <c r="A26" s="158" t="s">
        <v>907</v>
      </c>
      <c r="B26" s="637" t="s">
        <v>903</v>
      </c>
      <c r="C26" s="637"/>
      <c r="D26" s="637"/>
      <c r="E26" s="637"/>
      <c r="F26" s="637"/>
      <c r="G26" s="160" t="s">
        <v>904</v>
      </c>
      <c r="H26" s="143">
        <v>43466</v>
      </c>
      <c r="I26" s="343">
        <v>1010015</v>
      </c>
      <c r="J26" s="344">
        <v>0.02</v>
      </c>
      <c r="K26" s="159">
        <v>0</v>
      </c>
      <c r="L26" s="159">
        <v>0</v>
      </c>
      <c r="M26" s="161">
        <f>K26+L26</f>
        <v>0</v>
      </c>
      <c r="N26" s="161">
        <f>M26/I26</f>
        <v>0</v>
      </c>
      <c r="O26" s="143" t="s">
        <v>570</v>
      </c>
      <c r="P26" s="143" t="s">
        <v>44</v>
      </c>
      <c r="Q26" s="143">
        <v>43983</v>
      </c>
      <c r="R26" s="267" t="s">
        <v>905</v>
      </c>
      <c r="S26" s="267" t="s">
        <v>622</v>
      </c>
    </row>
    <row r="27" spans="1:19" s="116" customFormat="1" ht="42.6" customHeight="1">
      <c r="A27" s="158" t="s">
        <v>908</v>
      </c>
      <c r="B27" s="637" t="s">
        <v>909</v>
      </c>
      <c r="C27" s="637"/>
      <c r="D27" s="637"/>
      <c r="E27" s="637"/>
      <c r="F27" s="637"/>
      <c r="G27" s="160" t="s">
        <v>910</v>
      </c>
      <c r="H27" s="143">
        <v>43009</v>
      </c>
      <c r="I27" s="345">
        <f>3000000</f>
        <v>3000000</v>
      </c>
      <c r="J27" s="342">
        <v>1.9750000000000002E-3</v>
      </c>
      <c r="K27" s="271">
        <f>6743275.54</f>
        <v>6743275.54</v>
      </c>
      <c r="L27" s="346">
        <v>0</v>
      </c>
      <c r="M27" s="345">
        <f>K27+L27</f>
        <v>6743275.54</v>
      </c>
      <c r="N27" s="231">
        <f>M27/I27</f>
        <v>2.2477585133333333</v>
      </c>
      <c r="O27" s="143" t="s">
        <v>570</v>
      </c>
      <c r="P27" s="143" t="s">
        <v>44</v>
      </c>
      <c r="Q27" s="143">
        <v>43617</v>
      </c>
      <c r="R27" s="267" t="s">
        <v>911</v>
      </c>
      <c r="S27" s="267" t="s">
        <v>912</v>
      </c>
    </row>
    <row r="28" spans="1:19" s="116" customFormat="1" ht="26.25" customHeight="1">
      <c r="A28" s="158" t="s">
        <v>913</v>
      </c>
      <c r="B28" s="637" t="s">
        <v>914</v>
      </c>
      <c r="C28" s="637"/>
      <c r="D28" s="637"/>
      <c r="E28" s="637"/>
      <c r="F28" s="637"/>
      <c r="G28" s="160" t="s">
        <v>915</v>
      </c>
      <c r="H28" s="143">
        <v>42917</v>
      </c>
      <c r="I28" s="347">
        <f>1068164</f>
        <v>1068164</v>
      </c>
      <c r="J28" s="342">
        <v>6.6249999999999998E-3</v>
      </c>
      <c r="K28" s="271">
        <v>0</v>
      </c>
      <c r="L28" s="346">
        <v>0</v>
      </c>
      <c r="M28" s="347">
        <f>K28+L28</f>
        <v>0</v>
      </c>
      <c r="N28" s="161">
        <f>M28/I28</f>
        <v>0</v>
      </c>
      <c r="O28" s="143" t="s">
        <v>570</v>
      </c>
      <c r="P28" s="143" t="s">
        <v>44</v>
      </c>
      <c r="Q28" s="143">
        <v>43891</v>
      </c>
      <c r="R28" s="267" t="s">
        <v>905</v>
      </c>
      <c r="S28" s="267" t="s">
        <v>906</v>
      </c>
    </row>
    <row r="29" spans="1:19">
      <c r="A29" s="163" t="s">
        <v>916</v>
      </c>
      <c r="B29" s="164"/>
      <c r="G29" s="160"/>
      <c r="H29" s="143"/>
      <c r="I29" s="331">
        <f>SUM(I25:I28)</f>
        <v>6078179</v>
      </c>
      <c r="J29" s="348"/>
      <c r="K29" s="349">
        <f>SUM(K25:K28)</f>
        <v>6743275.54</v>
      </c>
      <c r="L29" s="229">
        <f>SUM(L25:L28)</f>
        <v>0</v>
      </c>
      <c r="M29" s="331">
        <f>SUM(M25:M28)</f>
        <v>6743275.54</v>
      </c>
      <c r="N29" s="295">
        <f>M29/I29</f>
        <v>1.1094236513929583</v>
      </c>
      <c r="O29" s="149"/>
      <c r="P29" s="160"/>
      <c r="Q29" s="160"/>
      <c r="R29" s="160"/>
      <c r="S29" s="160"/>
    </row>
    <row r="30" spans="1:19">
      <c r="B30" s="164"/>
      <c r="G30" s="160"/>
      <c r="H30" s="143"/>
      <c r="I30" s="341"/>
      <c r="J30" s="338"/>
      <c r="K30" s="271"/>
      <c r="L30" s="159"/>
      <c r="M30" s="341"/>
      <c r="N30" s="159"/>
      <c r="O30" s="144"/>
      <c r="P30" s="160"/>
      <c r="Q30" s="160"/>
      <c r="R30" s="160"/>
      <c r="S30" s="160"/>
    </row>
    <row r="31" spans="1:19" ht="12" thickBot="1">
      <c r="A31" s="165" t="s">
        <v>45</v>
      </c>
      <c r="B31" s="164"/>
      <c r="G31" s="160"/>
      <c r="H31" s="143"/>
      <c r="I31" s="376">
        <f>I29+I22</f>
        <v>8602282</v>
      </c>
      <c r="J31" s="338"/>
      <c r="K31" s="377">
        <f>K29+K22</f>
        <v>6743275.54</v>
      </c>
      <c r="L31" s="376">
        <f>L29+L22</f>
        <v>530018</v>
      </c>
      <c r="M31" s="376">
        <f>M29+M22</f>
        <v>7273293.54</v>
      </c>
      <c r="N31" s="295">
        <f>M31/I31</f>
        <v>0.84550745255735626</v>
      </c>
      <c r="O31" s="160"/>
      <c r="P31" s="160"/>
      <c r="Q31" s="160"/>
      <c r="R31" s="160"/>
      <c r="S31" s="160"/>
    </row>
    <row r="34" spans="1:1">
      <c r="A34" s="169" t="s">
        <v>917</v>
      </c>
    </row>
    <row r="35" spans="1:1">
      <c r="A35" s="2" t="s">
        <v>918</v>
      </c>
    </row>
  </sheetData>
  <mergeCells count="7">
    <mergeCell ref="B28:F28"/>
    <mergeCell ref="B21:F21"/>
    <mergeCell ref="B20:F20"/>
    <mergeCell ref="B27:F27"/>
    <mergeCell ref="B26:F26"/>
    <mergeCell ref="B24:F24"/>
    <mergeCell ref="B25:F25"/>
  </mergeCells>
  <phoneticPr fontId="62" type="noConversion"/>
  <pageMargins left="0.23622047244094491" right="0.23622047244094491" top="0.74803149606299213" bottom="0.74803149606299213" header="0.31496062992125984" footer="0.31496062992125984"/>
  <pageSetup paperSize="8" scale="65" orientation="landscape"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F8330-6D45-43B9-A9B5-A08B55ABFFEE}">
  <sheetPr>
    <tabColor theme="8"/>
  </sheetPr>
  <dimension ref="B1:R16"/>
  <sheetViews>
    <sheetView topLeftCell="C1" workbookViewId="0">
      <selection activeCell="I5" sqref="I5"/>
    </sheetView>
  </sheetViews>
  <sheetFormatPr defaultColWidth="9" defaultRowHeight="11.25"/>
  <cols>
    <col min="1" max="1" width="2.7109375" style="2" customWidth="1"/>
    <col min="2" max="2" width="21.7109375" style="2" customWidth="1"/>
    <col min="3" max="3" width="15.28515625" style="2" customWidth="1"/>
    <col min="4" max="4" width="18.140625" style="2" bestFit="1" customWidth="1"/>
    <col min="5" max="5" width="41.42578125" style="2" customWidth="1"/>
    <col min="6" max="7" width="14.28515625" style="2" customWidth="1"/>
    <col min="8" max="8" width="20.7109375" style="2" customWidth="1"/>
    <col min="9" max="11" width="14.28515625" style="2" customWidth="1"/>
    <col min="12" max="12" width="18.140625" style="2" customWidth="1"/>
    <col min="13" max="14" width="14.28515625" style="2" customWidth="1"/>
    <col min="15" max="15" width="3" style="2" customWidth="1"/>
    <col min="16" max="16" width="12.7109375" style="2" bestFit="1" customWidth="1"/>
    <col min="17" max="17" width="18.42578125" style="2" customWidth="1"/>
    <col min="18" max="16384" width="9" style="2"/>
  </cols>
  <sheetData>
    <row r="1" spans="2:18">
      <c r="B1" s="75" t="s">
        <v>282</v>
      </c>
      <c r="H1" s="626">
        <f>C3</f>
        <v>45657</v>
      </c>
      <c r="I1" s="626"/>
      <c r="J1" s="350"/>
      <c r="K1" s="199"/>
    </row>
    <row r="2" spans="2:18" ht="12" thickBot="1">
      <c r="H2" s="172" t="s">
        <v>285</v>
      </c>
      <c r="I2" s="173">
        <f>K15</f>
        <v>-6000000</v>
      </c>
      <c r="J2" s="201"/>
      <c r="K2" s="189"/>
    </row>
    <row r="3" spans="2:18" ht="12" thickBot="1">
      <c r="B3" s="202" t="s">
        <v>286</v>
      </c>
      <c r="C3" s="334">
        <f>'E15 Fund I'!E1</f>
        <v>45657</v>
      </c>
      <c r="H3" s="172" t="s">
        <v>287</v>
      </c>
      <c r="I3" s="173">
        <f>N15</f>
        <v>4158210.7900000005</v>
      </c>
      <c r="J3" s="201"/>
      <c r="K3" s="189"/>
    </row>
    <row r="4" spans="2:18">
      <c r="H4" s="175" t="s">
        <v>288</v>
      </c>
      <c r="I4" s="176">
        <f>J16</f>
        <v>569305</v>
      </c>
    </row>
    <row r="5" spans="2:18" s="75" customFormat="1">
      <c r="B5" s="75" t="s">
        <v>289</v>
      </c>
      <c r="C5" s="177" t="s">
        <v>36</v>
      </c>
      <c r="H5" s="172" t="s">
        <v>75</v>
      </c>
      <c r="I5" s="180">
        <f>XIRR(J10:J16,D10:D16)</f>
        <v>-8.4686514735221888E-2</v>
      </c>
    </row>
    <row r="6" spans="2:18">
      <c r="B6" s="75" t="s">
        <v>291</v>
      </c>
      <c r="C6" s="75" t="s">
        <v>24</v>
      </c>
    </row>
    <row r="7" spans="2:18">
      <c r="B7" s="75" t="s">
        <v>52</v>
      </c>
      <c r="C7" s="178">
        <v>6000000</v>
      </c>
    </row>
    <row r="9" spans="2:18" s="186" customFormat="1" ht="22.5">
      <c r="B9" s="183" t="s">
        <v>919</v>
      </c>
      <c r="C9" s="183" t="s">
        <v>0</v>
      </c>
      <c r="D9" s="183" t="s">
        <v>294</v>
      </c>
      <c r="E9" s="183" t="s">
        <v>176</v>
      </c>
      <c r="F9" s="208" t="s">
        <v>296</v>
      </c>
      <c r="G9" s="183" t="s">
        <v>435</v>
      </c>
      <c r="H9" s="183" t="s">
        <v>436</v>
      </c>
      <c r="I9" s="183" t="s">
        <v>299</v>
      </c>
      <c r="J9" s="183" t="s">
        <v>300</v>
      </c>
      <c r="K9" s="183" t="s">
        <v>301</v>
      </c>
      <c r="L9" s="183" t="s">
        <v>302</v>
      </c>
      <c r="M9" s="183" t="s">
        <v>437</v>
      </c>
      <c r="N9" s="183" t="s">
        <v>438</v>
      </c>
      <c r="O9" s="183"/>
      <c r="P9" s="208" t="s">
        <v>195</v>
      </c>
      <c r="Q9" s="186" t="s">
        <v>920</v>
      </c>
    </row>
    <row r="10" spans="2:18">
      <c r="B10" s="2" t="s">
        <v>307</v>
      </c>
      <c r="C10" s="2" t="s">
        <v>308</v>
      </c>
      <c r="D10" s="187">
        <v>42896</v>
      </c>
      <c r="E10" s="211" t="s">
        <v>921</v>
      </c>
      <c r="F10" s="211">
        <v>-3500000</v>
      </c>
      <c r="G10" s="211"/>
      <c r="H10" s="211"/>
      <c r="I10" s="211"/>
      <c r="J10" s="211">
        <f>SUM(F10:I10)</f>
        <v>-3500000</v>
      </c>
      <c r="K10" s="132">
        <f>J10</f>
        <v>-3500000</v>
      </c>
      <c r="L10" s="132">
        <f t="shared" ref="L10:L15" si="0">$C$7+K10</f>
        <v>2500000</v>
      </c>
      <c r="M10" s="170">
        <f t="shared" ref="M10:M15" si="1">SUMIF(F10:I10,"&gt;0", F10:I10)</f>
        <v>0</v>
      </c>
      <c r="N10" s="132">
        <f>M10</f>
        <v>0</v>
      </c>
    </row>
    <row r="11" spans="2:18">
      <c r="B11" s="2" t="s">
        <v>307</v>
      </c>
      <c r="C11" s="2" t="s">
        <v>310</v>
      </c>
      <c r="D11" s="187">
        <v>43040</v>
      </c>
      <c r="E11" s="211" t="s">
        <v>922</v>
      </c>
      <c r="F11" s="211">
        <v>-2500000</v>
      </c>
      <c r="G11" s="211"/>
      <c r="H11" s="211"/>
      <c r="I11" s="211"/>
      <c r="J11" s="211">
        <f>SUM(F11:I11)</f>
        <v>-2500000</v>
      </c>
      <c r="K11" s="132">
        <f>K10+IF(J11&lt;0,J11,0)</f>
        <v>-6000000</v>
      </c>
      <c r="L11" s="132">
        <f t="shared" si="0"/>
        <v>0</v>
      </c>
      <c r="M11" s="170">
        <f t="shared" si="1"/>
        <v>0</v>
      </c>
      <c r="N11" s="132">
        <f>N10+M11</f>
        <v>0</v>
      </c>
    </row>
    <row r="12" spans="2:18">
      <c r="B12" s="2" t="s">
        <v>49</v>
      </c>
      <c r="C12" s="2" t="s">
        <v>314</v>
      </c>
      <c r="D12" s="187">
        <v>43619</v>
      </c>
      <c r="E12" s="211" t="s">
        <v>923</v>
      </c>
      <c r="F12" s="211">
        <v>3775370.4</v>
      </c>
      <c r="G12" s="211"/>
      <c r="H12" s="211"/>
      <c r="I12" s="211"/>
      <c r="J12" s="211">
        <f>SUM(F12:I12)</f>
        <v>3775370.4</v>
      </c>
      <c r="K12" s="132">
        <f>K11+IF(J12&lt;0,J12,0)</f>
        <v>-6000000</v>
      </c>
      <c r="L12" s="132">
        <f t="shared" si="0"/>
        <v>0</v>
      </c>
      <c r="M12" s="170">
        <f t="shared" si="1"/>
        <v>3775370.4</v>
      </c>
      <c r="N12" s="132">
        <f>N11+M12</f>
        <v>3775370.4</v>
      </c>
      <c r="P12" s="132">
        <v>-430988.89</v>
      </c>
      <c r="Q12" s="132">
        <v>206943.26</v>
      </c>
    </row>
    <row r="13" spans="2:18">
      <c r="B13" s="2" t="s">
        <v>49</v>
      </c>
      <c r="C13" s="2" t="s">
        <v>314</v>
      </c>
      <c r="D13" s="187">
        <v>43619</v>
      </c>
      <c r="E13" s="397" t="s">
        <v>920</v>
      </c>
      <c r="F13" s="211">
        <v>206943.26</v>
      </c>
      <c r="G13" s="211"/>
      <c r="H13" s="211"/>
      <c r="I13" s="211"/>
      <c r="J13" s="211">
        <v>206943.26</v>
      </c>
      <c r="K13" s="132">
        <f>K12+IF(J13&lt;0,J13,0)</f>
        <v>-6000000</v>
      </c>
      <c r="L13" s="132">
        <f t="shared" si="0"/>
        <v>0</v>
      </c>
      <c r="M13" s="170">
        <f t="shared" si="1"/>
        <v>206943.26</v>
      </c>
      <c r="N13" s="132">
        <f>N12+M13</f>
        <v>3982313.66</v>
      </c>
      <c r="P13" s="132"/>
      <c r="Q13" s="132"/>
    </row>
    <row r="14" spans="2:18">
      <c r="B14" s="2" t="s">
        <v>49</v>
      </c>
      <c r="C14" s="2" t="s">
        <v>314</v>
      </c>
      <c r="D14" s="187">
        <v>44033</v>
      </c>
      <c r="E14" s="211" t="s">
        <v>923</v>
      </c>
      <c r="F14" s="211">
        <v>157045.43</v>
      </c>
      <c r="G14" s="211"/>
      <c r="H14" s="211"/>
      <c r="I14" s="211"/>
      <c r="J14" s="211">
        <f>SUM(F14:I14)</f>
        <v>157045.43</v>
      </c>
      <c r="K14" s="132">
        <f>K12+IF(J14&lt;0,J14,0)</f>
        <v>-6000000</v>
      </c>
      <c r="L14" s="132">
        <f t="shared" si="0"/>
        <v>0</v>
      </c>
      <c r="M14" s="170">
        <f t="shared" si="1"/>
        <v>157045.43</v>
      </c>
      <c r="N14" s="132">
        <f>N13+M14</f>
        <v>4139359.0900000003</v>
      </c>
      <c r="P14" s="132">
        <v>-39261.360000000001</v>
      </c>
      <c r="Q14" s="132">
        <v>18851.7</v>
      </c>
    </row>
    <row r="15" spans="2:18">
      <c r="B15" s="2" t="s">
        <v>49</v>
      </c>
      <c r="C15" s="2" t="s">
        <v>314</v>
      </c>
      <c r="D15" s="187">
        <v>44033</v>
      </c>
      <c r="E15" s="397" t="s">
        <v>920</v>
      </c>
      <c r="F15" s="211">
        <v>18851.7</v>
      </c>
      <c r="G15" s="211"/>
      <c r="H15" s="211"/>
      <c r="I15" s="211"/>
      <c r="J15" s="211">
        <f>SUM(F15:I15)</f>
        <v>18851.7</v>
      </c>
      <c r="K15" s="132">
        <f>K14+IF(J15&lt;0,J15,0)</f>
        <v>-6000000</v>
      </c>
      <c r="L15" s="132">
        <f t="shared" si="0"/>
        <v>0</v>
      </c>
      <c r="M15" s="170">
        <f t="shared" si="1"/>
        <v>18851.7</v>
      </c>
      <c r="N15" s="132">
        <f>N14+M15</f>
        <v>4158210.7900000005</v>
      </c>
      <c r="P15" s="132"/>
      <c r="Q15" s="132"/>
      <c r="R15" s="2" t="s">
        <v>617</v>
      </c>
    </row>
    <row r="16" spans="2:18" s="75" customFormat="1">
      <c r="B16" s="191" t="s">
        <v>288</v>
      </c>
      <c r="C16" s="192"/>
      <c r="D16" s="192">
        <f>C3</f>
        <v>45657</v>
      </c>
      <c r="E16" s="191" t="s">
        <v>924</v>
      </c>
      <c r="F16" s="194"/>
      <c r="G16" s="194"/>
      <c r="H16" s="194"/>
      <c r="I16" s="303"/>
      <c r="J16" s="304">
        <v>569305</v>
      </c>
      <c r="K16" s="303"/>
      <c r="L16" s="303"/>
      <c r="M16" s="303"/>
      <c r="N16" s="303"/>
      <c r="O16" s="303"/>
      <c r="P16" s="303"/>
      <c r="Q16" s="303"/>
    </row>
  </sheetData>
  <mergeCells count="1">
    <mergeCell ref="H1:I1"/>
  </mergeCells>
  <phoneticPr fontId="62" type="noConversion"/>
  <pageMargins left="0.7" right="0.7" top="0.75" bottom="0.75" header="0.3" footer="0.3"/>
  <pageSetup paperSize="9" scale="39"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4D205-9335-4AE8-B642-9187347DB584}">
  <sheetPr>
    <pageSetUpPr fitToPage="1"/>
  </sheetPr>
  <dimension ref="A1:S37"/>
  <sheetViews>
    <sheetView workbookViewId="0"/>
  </sheetViews>
  <sheetFormatPr defaultColWidth="9" defaultRowHeight="11.25" outlineLevelRow="1"/>
  <cols>
    <col min="1" max="1" width="32.140625" style="2" customWidth="1"/>
    <col min="2" max="2" width="33.42578125" style="2" bestFit="1" customWidth="1"/>
    <col min="3" max="3" width="2.42578125" style="2" customWidth="1"/>
    <col min="4" max="4" width="39.7109375" style="2" bestFit="1" customWidth="1"/>
    <col min="5" max="5" width="13.7109375" style="2" customWidth="1"/>
    <col min="6" max="6" width="2.28515625" style="2" customWidth="1"/>
    <col min="7" max="7" width="38" style="2" bestFit="1" customWidth="1"/>
    <col min="8" max="8" width="12.7109375" style="2" customWidth="1"/>
    <col min="9" max="9" width="18" style="2" customWidth="1"/>
    <col min="10" max="10" width="13" style="2" customWidth="1"/>
    <col min="11" max="11" width="14.140625" style="2" customWidth="1"/>
    <col min="12" max="12" width="13.7109375" style="2" customWidth="1"/>
    <col min="13" max="13" width="13.7109375" style="2" bestFit="1" customWidth="1"/>
    <col min="14" max="14" width="8.140625" style="2" customWidth="1"/>
    <col min="15" max="15" width="8" style="2" customWidth="1"/>
    <col min="16" max="16" width="9.42578125" style="2" bestFit="1" customWidth="1"/>
    <col min="17" max="17" width="9.7109375" style="2" bestFit="1" customWidth="1"/>
    <col min="18" max="18" width="15" style="2" customWidth="1"/>
    <col min="19" max="19" width="10" style="2" bestFit="1" customWidth="1"/>
    <col min="20" max="16384" width="9" style="2"/>
  </cols>
  <sheetData>
    <row r="1" spans="1:12" s="119" customFormat="1">
      <c r="A1" s="117" t="s">
        <v>179</v>
      </c>
      <c r="B1" s="118"/>
      <c r="C1" s="74"/>
      <c r="D1" s="117" t="s">
        <v>180</v>
      </c>
      <c r="E1" s="219">
        <v>45657</v>
      </c>
      <c r="F1" s="2"/>
      <c r="G1" s="117" t="s">
        <v>181</v>
      </c>
      <c r="H1" s="118"/>
      <c r="I1" s="2"/>
      <c r="J1" s="2"/>
      <c r="K1" s="2"/>
      <c r="L1" s="187">
        <v>44834</v>
      </c>
    </row>
    <row r="2" spans="1:12" outlineLevel="1">
      <c r="A2" s="2" t="s">
        <v>182</v>
      </c>
      <c r="B2" s="120" t="s">
        <v>34</v>
      </c>
      <c r="D2" s="2" t="s">
        <v>183</v>
      </c>
      <c r="E2" s="353">
        <v>0</v>
      </c>
      <c r="G2" s="2" t="s">
        <v>184</v>
      </c>
      <c r="H2" s="120" t="s">
        <v>185</v>
      </c>
    </row>
    <row r="3" spans="1:12" outlineLevel="1">
      <c r="A3" s="2" t="s">
        <v>186</v>
      </c>
      <c r="B3" s="122">
        <v>43476</v>
      </c>
      <c r="C3" s="187"/>
      <c r="D3" s="2" t="s">
        <v>187</v>
      </c>
      <c r="E3" s="353">
        <v>7.0017999999999997E-2</v>
      </c>
      <c r="G3" s="2" t="s">
        <v>188</v>
      </c>
      <c r="H3" s="120" t="s">
        <v>189</v>
      </c>
    </row>
    <row r="4" spans="1:12" outlineLevel="1">
      <c r="A4" s="2" t="s">
        <v>190</v>
      </c>
      <c r="B4" s="120" t="s">
        <v>925</v>
      </c>
      <c r="D4" s="2" t="s">
        <v>191</v>
      </c>
      <c r="E4" s="125">
        <f>N33</f>
        <v>0.81738646105466861</v>
      </c>
      <c r="G4" s="2" t="s">
        <v>192</v>
      </c>
      <c r="H4" s="124">
        <v>0</v>
      </c>
    </row>
    <row r="5" spans="1:12" outlineLevel="1">
      <c r="A5" s="2" t="s">
        <v>193</v>
      </c>
      <c r="B5" s="120">
        <v>2019</v>
      </c>
      <c r="D5" s="2" t="s">
        <v>194</v>
      </c>
      <c r="E5" s="296" t="s">
        <v>570</v>
      </c>
      <c r="G5" s="2" t="s">
        <v>195</v>
      </c>
      <c r="H5" s="126">
        <v>0.1</v>
      </c>
    </row>
    <row r="6" spans="1:12" outlineLevel="1">
      <c r="A6" s="2" t="s">
        <v>196</v>
      </c>
      <c r="B6" s="120" t="s">
        <v>926</v>
      </c>
      <c r="D6" s="2" t="s">
        <v>198</v>
      </c>
      <c r="E6" s="296" t="s">
        <v>570</v>
      </c>
      <c r="G6" s="117" t="s">
        <v>199</v>
      </c>
      <c r="H6" s="118"/>
    </row>
    <row r="7" spans="1:12" outlineLevel="1">
      <c r="A7" s="2" t="s">
        <v>200</v>
      </c>
      <c r="B7" s="120" t="s">
        <v>927</v>
      </c>
      <c r="D7" s="2" t="s">
        <v>202</v>
      </c>
      <c r="E7" s="296" t="s">
        <v>570</v>
      </c>
      <c r="G7" s="2" t="s">
        <v>203</v>
      </c>
      <c r="H7" s="2" t="s">
        <v>204</v>
      </c>
    </row>
    <row r="8" spans="1:12" outlineLevel="1">
      <c r="A8" s="2" t="s">
        <v>205</v>
      </c>
      <c r="B8" s="120" t="s">
        <v>206</v>
      </c>
      <c r="D8" s="2" t="s">
        <v>207</v>
      </c>
      <c r="E8" s="296" t="s">
        <v>570</v>
      </c>
      <c r="G8" s="2" t="s">
        <v>208</v>
      </c>
      <c r="H8" s="2" t="s">
        <v>209</v>
      </c>
    </row>
    <row r="9" spans="1:12" outlineLevel="1">
      <c r="A9" s="2" t="s">
        <v>65</v>
      </c>
      <c r="B9" s="120" t="s">
        <v>884</v>
      </c>
      <c r="D9" s="128" t="s">
        <v>885</v>
      </c>
      <c r="E9" s="222"/>
    </row>
    <row r="10" spans="1:12" outlineLevel="1">
      <c r="A10" s="2" t="s">
        <v>212</v>
      </c>
      <c r="B10" s="120" t="s">
        <v>573</v>
      </c>
      <c r="D10" s="2" t="s">
        <v>214</v>
      </c>
      <c r="E10" s="129">
        <f>'E15 Fund 1.5(CF) '!C7/10^6</f>
        <v>6</v>
      </c>
    </row>
    <row r="11" spans="1:12" outlineLevel="1">
      <c r="A11" s="2" t="s">
        <v>215</v>
      </c>
      <c r="B11" s="120" t="s">
        <v>886</v>
      </c>
      <c r="D11" s="2" t="s">
        <v>216</v>
      </c>
      <c r="E11" s="317">
        <f>4.5/5</f>
        <v>0.9</v>
      </c>
    </row>
    <row r="12" spans="1:12" outlineLevel="1">
      <c r="A12" s="2" t="s">
        <v>217</v>
      </c>
      <c r="B12" s="120" t="s">
        <v>24</v>
      </c>
      <c r="D12" s="2" t="s">
        <v>218</v>
      </c>
      <c r="E12" s="129">
        <f>-'E15 Fund 1.5(CF) '!M2/10^6</f>
        <v>4.5</v>
      </c>
    </row>
    <row r="13" spans="1:12" outlineLevel="1">
      <c r="A13" s="2" t="s">
        <v>219</v>
      </c>
      <c r="B13" s="120" t="s">
        <v>928</v>
      </c>
      <c r="D13" s="2" t="s">
        <v>221</v>
      </c>
      <c r="E13" s="298">
        <f>E10-E12</f>
        <v>1.5</v>
      </c>
    </row>
    <row r="14" spans="1:12" outlineLevel="1">
      <c r="A14" s="2" t="s">
        <v>222</v>
      </c>
      <c r="B14" s="120" t="s">
        <v>929</v>
      </c>
      <c r="D14" s="2" t="s">
        <v>224</v>
      </c>
      <c r="E14" s="133">
        <f>'E15 Fund 1.5(CF) '!M3/10^6</f>
        <v>3.0342691300000002</v>
      </c>
    </row>
    <row r="15" spans="1:12" outlineLevel="1">
      <c r="A15" s="2" t="s">
        <v>225</v>
      </c>
      <c r="B15" s="120" t="s">
        <v>570</v>
      </c>
      <c r="D15" s="2" t="s">
        <v>227</v>
      </c>
      <c r="E15" s="133">
        <f>'E15 Fund 1.5(CF) '!M4/10^6</f>
        <v>4.2858E-2</v>
      </c>
    </row>
    <row r="16" spans="1:12" outlineLevel="1">
      <c r="A16" s="2" t="s">
        <v>228</v>
      </c>
      <c r="B16" s="134">
        <v>44196</v>
      </c>
      <c r="D16" s="2" t="s">
        <v>229</v>
      </c>
      <c r="E16" s="225">
        <f>E12/E10</f>
        <v>0.75</v>
      </c>
    </row>
    <row r="17" spans="1:19" outlineLevel="1">
      <c r="A17" s="2" t="s">
        <v>230</v>
      </c>
      <c r="B17" s="120" t="s">
        <v>231</v>
      </c>
      <c r="D17" s="2" t="s">
        <v>232</v>
      </c>
      <c r="E17" s="225">
        <f>E14/E12</f>
        <v>0.67428202888888888</v>
      </c>
    </row>
    <row r="18" spans="1:19" outlineLevel="1">
      <c r="A18" s="117" t="s">
        <v>233</v>
      </c>
      <c r="B18" s="118"/>
      <c r="D18" s="2" t="s">
        <v>234</v>
      </c>
      <c r="E18" s="125">
        <f>(E15+E14)/E12</f>
        <v>0.68380602888888886</v>
      </c>
    </row>
    <row r="19" spans="1:19" outlineLevel="1">
      <c r="A19" s="2" t="s">
        <v>235</v>
      </c>
      <c r="B19" s="120">
        <f>COUNTA(A28:A28)+COUNTA(A29:A30)</f>
        <v>2</v>
      </c>
      <c r="D19" s="2" t="s">
        <v>177</v>
      </c>
      <c r="E19" s="284">
        <f>'E15 Fund 1.5(CF) '!M5</f>
        <v>-0.3842949174344541</v>
      </c>
    </row>
    <row r="23" spans="1:19" s="141" customFormat="1" ht="39.75" customHeight="1">
      <c r="A23" s="138" t="s">
        <v>888</v>
      </c>
      <c r="B23" s="642" t="s">
        <v>240</v>
      </c>
      <c r="C23" s="643"/>
      <c r="D23" s="643"/>
      <c r="E23" s="643"/>
      <c r="F23" s="644"/>
      <c r="G23" s="139" t="s">
        <v>69</v>
      </c>
      <c r="H23" s="139" t="s">
        <v>242</v>
      </c>
      <c r="I23" s="140" t="s">
        <v>248</v>
      </c>
      <c r="J23" s="140" t="s">
        <v>890</v>
      </c>
      <c r="K23" s="139" t="s">
        <v>250</v>
      </c>
      <c r="L23" s="140" t="s">
        <v>900</v>
      </c>
      <c r="M23" s="139" t="s">
        <v>252</v>
      </c>
      <c r="N23" s="140" t="s">
        <v>115</v>
      </c>
      <c r="O23" s="139" t="s">
        <v>253</v>
      </c>
      <c r="P23" s="139" t="s">
        <v>243</v>
      </c>
    </row>
    <row r="24" spans="1:19" s="116" customFormat="1" ht="27.75" customHeight="1" outlineLevel="1">
      <c r="A24" s="645" t="s">
        <v>930</v>
      </c>
      <c r="B24" s="645"/>
      <c r="C24" s="645"/>
      <c r="D24" s="645"/>
      <c r="E24" s="645"/>
      <c r="F24" s="645"/>
      <c r="Q24" s="160"/>
      <c r="R24" s="160"/>
      <c r="S24" s="160"/>
    </row>
    <row r="25" spans="1:19" s="146" customFormat="1" outlineLevel="1">
      <c r="A25" s="146" t="s">
        <v>897</v>
      </c>
      <c r="B25" s="147"/>
      <c r="G25" s="228"/>
      <c r="H25" s="148"/>
      <c r="I25" s="331"/>
      <c r="J25" s="149"/>
      <c r="K25" s="229"/>
      <c r="L25" s="331"/>
      <c r="M25" s="331"/>
      <c r="N25" s="230"/>
      <c r="O25" s="143"/>
      <c r="P25" s="228"/>
      <c r="Q25" s="228"/>
      <c r="R25" s="228"/>
      <c r="S25" s="228"/>
    </row>
    <row r="26" spans="1:19" s="116" customFormat="1" ht="9" customHeight="1">
      <c r="G26" s="160"/>
      <c r="H26" s="143"/>
      <c r="I26" s="159"/>
      <c r="J26" s="144"/>
      <c r="K26" s="159"/>
      <c r="L26" s="159"/>
      <c r="M26" s="159"/>
      <c r="N26" s="150"/>
      <c r="O26" s="144"/>
      <c r="P26" s="160"/>
      <c r="Q26" s="160"/>
      <c r="R26" s="160"/>
      <c r="S26" s="160"/>
    </row>
    <row r="27" spans="1:19" s="116" customFormat="1" ht="54" customHeight="1">
      <c r="A27" s="151" t="s">
        <v>898</v>
      </c>
      <c r="B27" s="641" t="s">
        <v>899</v>
      </c>
      <c r="C27" s="641"/>
      <c r="D27" s="641"/>
      <c r="E27" s="641"/>
      <c r="F27" s="641"/>
      <c r="G27" s="152" t="s">
        <v>69</v>
      </c>
      <c r="H27" s="153" t="s">
        <v>242</v>
      </c>
      <c r="I27" s="154" t="s">
        <v>248</v>
      </c>
      <c r="J27" s="155" t="s">
        <v>890</v>
      </c>
      <c r="K27" s="154" t="s">
        <v>250</v>
      </c>
      <c r="L27" s="154" t="s">
        <v>900</v>
      </c>
      <c r="M27" s="154" t="s">
        <v>252</v>
      </c>
      <c r="N27" s="156" t="s">
        <v>115</v>
      </c>
      <c r="O27" s="155" t="s">
        <v>253</v>
      </c>
      <c r="P27" s="157" t="s">
        <v>243</v>
      </c>
      <c r="Q27" s="157" t="s">
        <v>245</v>
      </c>
      <c r="R27" s="157" t="s">
        <v>246</v>
      </c>
      <c r="S27" s="157" t="s">
        <v>901</v>
      </c>
    </row>
    <row r="28" spans="1:19" s="116" customFormat="1" ht="42" customHeight="1">
      <c r="A28" s="158" t="s">
        <v>931</v>
      </c>
      <c r="B28" s="637" t="s">
        <v>903</v>
      </c>
      <c r="C28" s="637"/>
      <c r="D28" s="637"/>
      <c r="E28" s="637"/>
      <c r="F28" s="637"/>
      <c r="G28" s="160" t="s">
        <v>904</v>
      </c>
      <c r="H28" s="143"/>
      <c r="I28" s="343">
        <v>2200000</v>
      </c>
      <c r="J28" s="149"/>
      <c r="K28" s="161">
        <v>0</v>
      </c>
      <c r="L28" s="343">
        <v>0</v>
      </c>
      <c r="M28" s="343">
        <f>K28+L28</f>
        <v>0</v>
      </c>
      <c r="N28" s="231">
        <f>M28/I28</f>
        <v>0</v>
      </c>
      <c r="O28" s="144"/>
      <c r="P28" s="143"/>
      <c r="Q28" s="143" t="s">
        <v>932</v>
      </c>
      <c r="R28" s="143" t="s">
        <v>905</v>
      </c>
      <c r="S28" s="143"/>
    </row>
    <row r="29" spans="1:19" s="116" customFormat="1" ht="39.75" customHeight="1">
      <c r="A29" s="158" t="s">
        <v>908</v>
      </c>
      <c r="B29" s="637" t="s">
        <v>909</v>
      </c>
      <c r="C29" s="637"/>
      <c r="D29" s="637"/>
      <c r="E29" s="637"/>
      <c r="F29" s="637"/>
      <c r="G29" s="160" t="s">
        <v>910</v>
      </c>
      <c r="H29" s="143">
        <v>43497</v>
      </c>
      <c r="I29" s="341">
        <v>1934000</v>
      </c>
      <c r="J29" s="144">
        <v>9.4499999999999998E-4</v>
      </c>
      <c r="K29" s="341">
        <f>151555.67+3227519.96</f>
        <v>3379075.63</v>
      </c>
      <c r="L29" s="341">
        <v>0</v>
      </c>
      <c r="M29" s="341">
        <f>K29+L29</f>
        <v>3379075.63</v>
      </c>
      <c r="N29" s="150">
        <f>M29/I29</f>
        <v>1.7471952585315409</v>
      </c>
      <c r="O29" s="144"/>
      <c r="P29" s="143" t="s">
        <v>44</v>
      </c>
      <c r="Q29" s="143">
        <v>43617</v>
      </c>
      <c r="R29" s="267" t="s">
        <v>911</v>
      </c>
      <c r="S29" s="160" t="s">
        <v>933</v>
      </c>
    </row>
    <row r="30" spans="1:19" s="116" customFormat="1">
      <c r="B30" s="637"/>
      <c r="C30" s="637"/>
      <c r="D30" s="637"/>
      <c r="E30" s="637"/>
      <c r="F30" s="637"/>
      <c r="G30" s="160"/>
      <c r="H30" s="143"/>
      <c r="I30" s="227"/>
      <c r="J30" s="144"/>
      <c r="K30" s="227"/>
      <c r="L30" s="227"/>
      <c r="M30" s="354"/>
      <c r="N30" s="145"/>
      <c r="O30" s="160"/>
      <c r="P30" s="143"/>
      <c r="Q30" s="143"/>
      <c r="R30" s="142"/>
      <c r="S30" s="160"/>
    </row>
    <row r="31" spans="1:19">
      <c r="A31" s="163" t="s">
        <v>916</v>
      </c>
      <c r="B31" s="164"/>
      <c r="G31" s="160"/>
      <c r="H31" s="143"/>
      <c r="I31" s="349">
        <f>SUM(I28:I30)</f>
        <v>4134000</v>
      </c>
      <c r="J31" s="349"/>
      <c r="K31" s="349">
        <f>SUM(K28:K30)</f>
        <v>3379075.63</v>
      </c>
      <c r="L31" s="349">
        <f>SUM(L28:L30)</f>
        <v>0</v>
      </c>
      <c r="M31" s="349">
        <f>SUM(M28:M30)</f>
        <v>3379075.63</v>
      </c>
      <c r="N31" s="230">
        <f>M31/I31</f>
        <v>0.81738646105466861</v>
      </c>
      <c r="O31" s="160"/>
      <c r="P31" s="160"/>
      <c r="Q31" s="160"/>
      <c r="R31" s="160"/>
      <c r="S31" s="160"/>
    </row>
    <row r="33" spans="1:14" ht="12" thickBot="1">
      <c r="A33" s="165" t="s">
        <v>45</v>
      </c>
      <c r="B33" s="164"/>
      <c r="G33" s="160"/>
      <c r="H33" s="143"/>
      <c r="I33" s="377">
        <f>I31+I25</f>
        <v>4134000</v>
      </c>
      <c r="J33" s="270"/>
      <c r="K33" s="377">
        <f>K31+K25</f>
        <v>3379075.63</v>
      </c>
      <c r="L33" s="377">
        <f>L31+L25</f>
        <v>0</v>
      </c>
      <c r="M33" s="376">
        <f>M31+M25</f>
        <v>3379075.63</v>
      </c>
      <c r="N33" s="232">
        <f>M33/I33</f>
        <v>0.81738646105466861</v>
      </c>
    </row>
    <row r="34" spans="1:14">
      <c r="B34" s="164"/>
      <c r="H34" s="164"/>
      <c r="I34" s="167"/>
      <c r="J34" s="168"/>
      <c r="K34" s="132"/>
      <c r="L34" s="132"/>
      <c r="M34" s="132"/>
      <c r="N34" s="166"/>
    </row>
    <row r="35" spans="1:14">
      <c r="H35" s="164"/>
      <c r="I35" s="167"/>
      <c r="J35" s="168"/>
      <c r="K35" s="132"/>
      <c r="L35" s="132"/>
      <c r="M35" s="132"/>
      <c r="N35" s="166"/>
    </row>
    <row r="36" spans="1:14">
      <c r="A36" s="169" t="s">
        <v>917</v>
      </c>
      <c r="H36" s="164"/>
      <c r="I36" s="167"/>
      <c r="J36" s="168"/>
      <c r="K36" s="167"/>
      <c r="L36" s="167"/>
      <c r="M36" s="167"/>
      <c r="N36" s="166"/>
    </row>
    <row r="37" spans="1:14">
      <c r="A37" s="2" t="s">
        <v>934</v>
      </c>
      <c r="H37" s="164"/>
      <c r="I37" s="167"/>
      <c r="J37" s="168"/>
      <c r="K37" s="167"/>
      <c r="L37" s="167"/>
      <c r="M37" s="167"/>
      <c r="N37" s="166"/>
    </row>
  </sheetData>
  <mergeCells count="6">
    <mergeCell ref="B30:F30"/>
    <mergeCell ref="B23:F23"/>
    <mergeCell ref="B29:F29"/>
    <mergeCell ref="B27:F27"/>
    <mergeCell ref="B28:F28"/>
    <mergeCell ref="A24:F24"/>
  </mergeCells>
  <phoneticPr fontId="62" type="noConversion"/>
  <pageMargins left="0.25" right="0.25" top="0.75" bottom="0.75" header="0.3" footer="0.3"/>
  <pageSetup paperSize="8" scale="66" orientation="landscape"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53DD6-E92D-4487-94A3-74CDDAF0C030}">
  <sheetPr>
    <tabColor theme="8"/>
  </sheetPr>
  <dimension ref="B1:U71"/>
  <sheetViews>
    <sheetView workbookViewId="0"/>
  </sheetViews>
  <sheetFormatPr defaultColWidth="9" defaultRowHeight="11.25"/>
  <cols>
    <col min="1" max="1" width="2.7109375" style="2" customWidth="1"/>
    <col min="2" max="2" width="21.7109375" style="2" customWidth="1"/>
    <col min="3" max="3" width="15.28515625" style="2" customWidth="1"/>
    <col min="4" max="4" width="17" style="2" customWidth="1"/>
    <col min="5" max="5" width="18.140625" style="2" bestFit="1" customWidth="1"/>
    <col min="6" max="6" width="18.140625" style="2" customWidth="1"/>
    <col min="7" max="7" width="17" style="2" bestFit="1" customWidth="1"/>
    <col min="8" max="10" width="14.28515625" style="2" customWidth="1"/>
    <col min="11" max="11" width="15.28515625" style="2" customWidth="1"/>
    <col min="12" max="12" width="23.7109375" style="2" bestFit="1" customWidth="1"/>
    <col min="13" max="13" width="14.28515625" style="2" customWidth="1"/>
    <col min="14" max="14" width="18.140625" style="2" customWidth="1"/>
    <col min="15" max="17" width="14.28515625" style="2" customWidth="1"/>
    <col min="18" max="18" width="3" style="2" customWidth="1"/>
    <col min="19" max="19" width="12" style="2" bestFit="1" customWidth="1"/>
    <col min="20" max="20" width="18.42578125" style="2" customWidth="1"/>
    <col min="21" max="16384" width="9" style="2"/>
  </cols>
  <sheetData>
    <row r="1" spans="2:21">
      <c r="B1" s="75" t="s">
        <v>282</v>
      </c>
      <c r="L1" s="635">
        <f>C3</f>
        <v>45657</v>
      </c>
      <c r="M1" s="636"/>
      <c r="N1" s="351" t="s">
        <v>283</v>
      </c>
    </row>
    <row r="2" spans="2:21" ht="12" thickBot="1">
      <c r="L2" s="172" t="s">
        <v>285</v>
      </c>
      <c r="M2" s="173">
        <f>M14</f>
        <v>-4500000</v>
      </c>
      <c r="N2" s="201">
        <v>-4591089</v>
      </c>
      <c r="O2" s="189"/>
    </row>
    <row r="3" spans="2:21" ht="12" thickBot="1">
      <c r="B3" s="202" t="s">
        <v>286</v>
      </c>
      <c r="C3" s="352">
        <f>'E15 Fund 1.5 (liquidating)'!E1</f>
        <v>45657</v>
      </c>
      <c r="L3" s="172" t="s">
        <v>287</v>
      </c>
      <c r="M3" s="173">
        <f>Q13</f>
        <v>3034269.1300000004</v>
      </c>
      <c r="N3" s="201">
        <v>2929359.91</v>
      </c>
      <c r="O3" s="189"/>
    </row>
    <row r="4" spans="2:21">
      <c r="L4" s="175" t="s">
        <v>288</v>
      </c>
      <c r="M4" s="176">
        <f>L16</f>
        <v>42858</v>
      </c>
      <c r="N4" s="201"/>
    </row>
    <row r="5" spans="2:21" s="75" customFormat="1">
      <c r="B5" s="75" t="s">
        <v>289</v>
      </c>
      <c r="C5" s="177" t="s">
        <v>34</v>
      </c>
      <c r="L5" s="172" t="s">
        <v>75</v>
      </c>
      <c r="M5" s="180">
        <f>XIRR(L10:L16,E10:E16)</f>
        <v>-0.3842949174344541</v>
      </c>
    </row>
    <row r="6" spans="2:21">
      <c r="B6" s="75" t="s">
        <v>291</v>
      </c>
      <c r="C6" s="75" t="s">
        <v>24</v>
      </c>
    </row>
    <row r="7" spans="2:21">
      <c r="B7" s="75" t="s">
        <v>52</v>
      </c>
      <c r="C7" s="178">
        <v>6000000</v>
      </c>
    </row>
    <row r="9" spans="2:21" s="186" customFormat="1" ht="22.5">
      <c r="B9" s="183" t="s">
        <v>919</v>
      </c>
      <c r="C9" s="183" t="s">
        <v>0</v>
      </c>
      <c r="D9" s="183" t="s">
        <v>293</v>
      </c>
      <c r="E9" s="183" t="s">
        <v>294</v>
      </c>
      <c r="F9" s="183" t="s">
        <v>295</v>
      </c>
      <c r="G9" s="183" t="s">
        <v>176</v>
      </c>
      <c r="H9" s="208" t="s">
        <v>296</v>
      </c>
      <c r="I9" s="183" t="s">
        <v>435</v>
      </c>
      <c r="J9" s="183" t="s">
        <v>436</v>
      </c>
      <c r="K9" s="183" t="s">
        <v>299</v>
      </c>
      <c r="L9" s="183" t="s">
        <v>300</v>
      </c>
      <c r="M9" s="183" t="s">
        <v>301</v>
      </c>
      <c r="N9" s="183" t="s">
        <v>302</v>
      </c>
      <c r="O9" s="183" t="s">
        <v>437</v>
      </c>
      <c r="P9" s="183" t="s">
        <v>708</v>
      </c>
      <c r="Q9" s="183" t="s">
        <v>438</v>
      </c>
      <c r="R9" s="183"/>
      <c r="S9" s="208" t="s">
        <v>195</v>
      </c>
      <c r="T9" s="183" t="s">
        <v>288</v>
      </c>
    </row>
    <row r="10" spans="2:21">
      <c r="B10" s="2" t="s">
        <v>307</v>
      </c>
      <c r="C10" s="2" t="s">
        <v>308</v>
      </c>
      <c r="D10" s="187">
        <v>43487</v>
      </c>
      <c r="E10" s="187">
        <v>43487</v>
      </c>
      <c r="F10" s="2">
        <f>YEAR(E10)</f>
        <v>2019</v>
      </c>
      <c r="G10" s="132"/>
      <c r="H10" s="170">
        <v>-4500000</v>
      </c>
      <c r="I10" s="132"/>
      <c r="J10" s="132"/>
      <c r="K10" s="132"/>
      <c r="L10" s="170">
        <f>SUM(H10:K10)</f>
        <v>-4500000</v>
      </c>
      <c r="M10" s="170">
        <f>L10</f>
        <v>-4500000</v>
      </c>
      <c r="N10" s="132">
        <f>$C$7+M10</f>
        <v>1500000</v>
      </c>
      <c r="O10" s="170">
        <f>SUMIF(H10:K10,"&gt;0", H10:K10)</f>
        <v>0</v>
      </c>
      <c r="P10" s="170">
        <f>SUMIF(H10:K10,"&gt;0", H10:K10)</f>
        <v>0</v>
      </c>
      <c r="Q10" s="170">
        <f>P10</f>
        <v>0</v>
      </c>
      <c r="S10" s="170"/>
    </row>
    <row r="11" spans="2:21">
      <c r="B11" s="2" t="s">
        <v>49</v>
      </c>
      <c r="C11" s="2" t="s">
        <v>314</v>
      </c>
      <c r="D11" s="187">
        <v>43619</v>
      </c>
      <c r="E11" s="187">
        <v>43619</v>
      </c>
      <c r="F11" s="2">
        <f>YEAR(E11)</f>
        <v>2019</v>
      </c>
      <c r="G11" s="132" t="s">
        <v>923</v>
      </c>
      <c r="H11" s="170">
        <v>2807879.74</v>
      </c>
      <c r="I11" s="132"/>
      <c r="J11" s="132"/>
      <c r="K11" s="132"/>
      <c r="L11" s="170">
        <f>SUM(H11:K11)</f>
        <v>2807879.74</v>
      </c>
      <c r="M11" s="170">
        <f>M10+IF(L11&lt;0,L11,0)</f>
        <v>-4500000</v>
      </c>
      <c r="N11" s="132">
        <f>$C$7+M11</f>
        <v>1500000</v>
      </c>
      <c r="O11" s="170">
        <f>SUMIF(H11:K11,"&gt;0", H11:K11)</f>
        <v>2807879.74</v>
      </c>
      <c r="P11" s="170">
        <f>SUMIF(H11:K11,"&gt;0", H11:K11)+S11</f>
        <v>2899291.16</v>
      </c>
      <c r="Q11" s="170">
        <f>Q10+P11</f>
        <v>2899291.16</v>
      </c>
      <c r="S11" s="170">
        <v>91411.42</v>
      </c>
      <c r="T11" s="132"/>
    </row>
    <row r="12" spans="2:21" ht="22.5">
      <c r="B12" s="2" t="s">
        <v>49</v>
      </c>
      <c r="C12" s="2" t="s">
        <v>314</v>
      </c>
      <c r="D12" s="187">
        <v>43619</v>
      </c>
      <c r="E12" s="187">
        <v>43619</v>
      </c>
      <c r="F12" s="2">
        <f>YEAR(E12)</f>
        <v>2019</v>
      </c>
      <c r="G12" s="397" t="s">
        <v>920</v>
      </c>
      <c r="H12" s="170">
        <f>S11</f>
        <v>91411.42</v>
      </c>
      <c r="I12" s="132"/>
      <c r="J12" s="132"/>
      <c r="K12" s="132"/>
      <c r="L12" s="170">
        <f>SUM(H12:K12)</f>
        <v>91411.42</v>
      </c>
      <c r="M12" s="170"/>
      <c r="N12" s="132"/>
      <c r="O12" s="170"/>
      <c r="P12" s="170"/>
      <c r="Q12" s="170"/>
      <c r="S12" s="170"/>
      <c r="T12" s="132"/>
    </row>
    <row r="13" spans="2:21">
      <c r="B13" s="2" t="s">
        <v>49</v>
      </c>
      <c r="C13" s="2" t="s">
        <v>330</v>
      </c>
      <c r="D13" s="187">
        <v>44033</v>
      </c>
      <c r="E13" s="187">
        <v>44033</v>
      </c>
      <c r="F13" s="2">
        <f>YEAR(E13)</f>
        <v>2020</v>
      </c>
      <c r="G13" s="132" t="s">
        <v>923</v>
      </c>
      <c r="H13" s="170">
        <v>121480.17</v>
      </c>
      <c r="I13" s="132"/>
      <c r="J13" s="132"/>
      <c r="K13" s="132"/>
      <c r="L13" s="170">
        <f>SUM(H13:K13)</f>
        <v>121480.17</v>
      </c>
      <c r="M13" s="170">
        <f>M11+IF(L13&lt;0,L13,0)</f>
        <v>-4500000</v>
      </c>
      <c r="N13" s="132">
        <f>$C$7+M13</f>
        <v>1500000</v>
      </c>
      <c r="O13" s="170">
        <f>SUMIF(H13:K13,"&gt;0", H13:K13)</f>
        <v>121480.17</v>
      </c>
      <c r="P13" s="170">
        <f>SUMIF(H13:K13,"&gt;0", H13:K13)+S13</f>
        <v>134977.97</v>
      </c>
      <c r="Q13" s="170">
        <f>Q11+P13</f>
        <v>3034269.1300000004</v>
      </c>
      <c r="S13" s="170">
        <v>13497.8</v>
      </c>
      <c r="T13" s="132"/>
      <c r="U13" s="2" t="s">
        <v>935</v>
      </c>
    </row>
    <row r="14" spans="2:21">
      <c r="B14" s="2" t="s">
        <v>49</v>
      </c>
      <c r="C14" s="2" t="s">
        <v>330</v>
      </c>
      <c r="D14" s="187">
        <v>44033</v>
      </c>
      <c r="E14" s="187">
        <v>44033</v>
      </c>
      <c r="F14" s="2">
        <f>YEAR(E14)</f>
        <v>2020</v>
      </c>
      <c r="G14" s="132" t="s">
        <v>923</v>
      </c>
      <c r="H14" s="170">
        <f>S13</f>
        <v>13497.8</v>
      </c>
      <c r="I14" s="132"/>
      <c r="J14" s="132"/>
      <c r="K14" s="132"/>
      <c r="L14" s="170">
        <f>SUM(H14:K14)+S14</f>
        <v>13497.8</v>
      </c>
      <c r="M14" s="170">
        <f>M13</f>
        <v>-4500000</v>
      </c>
      <c r="N14" s="132">
        <f>$C$7+M14</f>
        <v>1500000</v>
      </c>
      <c r="O14" s="170"/>
      <c r="P14" s="170"/>
      <c r="Q14" s="170"/>
      <c r="S14" s="170"/>
      <c r="T14" s="132"/>
      <c r="U14" s="2" t="s">
        <v>617</v>
      </c>
    </row>
    <row r="15" spans="2:21">
      <c r="D15" s="187"/>
      <c r="E15" s="187"/>
      <c r="G15" s="132"/>
      <c r="H15" s="170"/>
      <c r="I15" s="132"/>
      <c r="J15" s="132"/>
      <c r="K15" s="132"/>
      <c r="L15" s="170"/>
      <c r="M15" s="170"/>
      <c r="N15" s="132"/>
      <c r="O15" s="170"/>
      <c r="P15" s="170"/>
      <c r="Q15" s="170"/>
      <c r="S15" s="170"/>
      <c r="T15" s="132"/>
    </row>
    <row r="16" spans="2:21" s="75" customFormat="1">
      <c r="B16" s="191" t="s">
        <v>936</v>
      </c>
      <c r="C16" s="192"/>
      <c r="D16" s="192"/>
      <c r="E16" s="192">
        <f>C3</f>
        <v>45657</v>
      </c>
      <c r="F16" s="192"/>
      <c r="G16" s="191" t="s">
        <v>924</v>
      </c>
      <c r="H16" s="194"/>
      <c r="I16" s="194"/>
      <c r="J16" s="194"/>
      <c r="K16" s="303"/>
      <c r="L16" s="304">
        <v>42858</v>
      </c>
      <c r="M16" s="303"/>
      <c r="N16" s="303"/>
      <c r="O16" s="303"/>
      <c r="P16" s="303"/>
      <c r="Q16" s="303"/>
      <c r="R16" s="303"/>
      <c r="S16" s="303"/>
      <c r="T16" s="304"/>
    </row>
    <row r="71" spans="9:9">
      <c r="I71" s="2" t="e">
        <f>'[5]E15 Fund 1.5 (liquidating)'!E1</f>
        <v>#REF!</v>
      </c>
    </row>
  </sheetData>
  <mergeCells count="1">
    <mergeCell ref="L1:M1"/>
  </mergeCells>
  <phoneticPr fontId="62" type="noConversion"/>
  <pageMargins left="0.7" right="0.7" top="0.75" bottom="0.75" header="0.3" footer="0.3"/>
  <pageSetup paperSize="9" scale="39"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2CE0B-35A6-4834-975B-2D77E551301A}">
  <sheetPr>
    <tabColor theme="8"/>
    <outlinePr showOutlineSymbols="0"/>
    <pageSetUpPr fitToPage="1"/>
  </sheetPr>
  <dimension ref="A1:AN46"/>
  <sheetViews>
    <sheetView workbookViewId="0"/>
  </sheetViews>
  <sheetFormatPr defaultColWidth="9" defaultRowHeight="11.25" outlineLevelRow="1"/>
  <cols>
    <col min="1" max="1" width="32.140625" style="2" customWidth="1"/>
    <col min="2" max="2" width="79.42578125" style="2" bestFit="1" customWidth="1"/>
    <col min="3" max="3" width="15.7109375" style="2" customWidth="1"/>
    <col min="4" max="4" width="31.140625" style="2" customWidth="1"/>
    <col min="5" max="5" width="14.42578125" style="2" bestFit="1" customWidth="1"/>
    <col min="6" max="7" width="10.7109375" style="2" customWidth="1"/>
    <col min="8" max="8" width="38" style="2" bestFit="1" customWidth="1"/>
    <col min="9" max="9" width="19.28515625" style="2" bestFit="1" customWidth="1"/>
    <col min="10" max="10" width="19.28515625" style="2" customWidth="1"/>
    <col min="11" max="11" width="12.7109375" style="367" customWidth="1"/>
    <col min="12" max="12" width="12.7109375" style="2" customWidth="1"/>
    <col min="13" max="15" width="14.7109375" style="2" customWidth="1"/>
    <col min="16" max="17" width="7.7109375" style="2" customWidth="1"/>
    <col min="18" max="19" width="15.7109375" style="2" customWidth="1"/>
    <col min="20" max="20" width="12.7109375" style="367" customWidth="1"/>
    <col min="21" max="21" width="12.7109375" style="2" customWidth="1"/>
    <col min="22" max="24" width="14.7109375" style="2" customWidth="1"/>
    <col min="25" max="26" width="7.7109375" style="2" customWidth="1"/>
    <col min="27" max="28" width="15.7109375" style="2" customWidth="1"/>
    <col min="29" max="29" width="12.7109375" style="367" customWidth="1"/>
    <col min="30" max="30" width="12.7109375" style="2" customWidth="1"/>
    <col min="31" max="33" width="14.7109375" style="2" customWidth="1"/>
    <col min="34" max="35" width="7.7109375" style="2" customWidth="1"/>
    <col min="36" max="39" width="15.7109375" style="2" customWidth="1"/>
    <col min="40" max="40" width="9" style="367"/>
    <col min="41" max="16384" width="9" style="2"/>
  </cols>
  <sheetData>
    <row r="1" spans="1:20">
      <c r="A1" s="117" t="s">
        <v>179</v>
      </c>
      <c r="B1" s="118"/>
      <c r="C1" s="74"/>
      <c r="D1" s="117" t="s">
        <v>180</v>
      </c>
      <c r="E1" s="219">
        <v>45657</v>
      </c>
      <c r="H1" s="117" t="s">
        <v>404</v>
      </c>
      <c r="I1" s="118"/>
      <c r="J1" s="74"/>
    </row>
    <row r="2" spans="1:20" outlineLevel="1">
      <c r="A2" s="2" t="s">
        <v>182</v>
      </c>
      <c r="B2" s="120" t="s">
        <v>37</v>
      </c>
      <c r="D2" s="2" t="s">
        <v>183</v>
      </c>
      <c r="E2" s="583"/>
      <c r="H2" s="2" t="s">
        <v>184</v>
      </c>
      <c r="I2" s="120" t="s">
        <v>185</v>
      </c>
      <c r="J2" s="120"/>
    </row>
    <row r="3" spans="1:20" outlineLevel="1">
      <c r="A3" s="2" t="s">
        <v>186</v>
      </c>
      <c r="B3" s="329">
        <v>44221</v>
      </c>
      <c r="D3" s="2" t="s">
        <v>187</v>
      </c>
      <c r="E3" s="583">
        <v>9.0871790000000008</v>
      </c>
      <c r="H3" s="2" t="s">
        <v>188</v>
      </c>
      <c r="I3" s="120" t="s">
        <v>185</v>
      </c>
      <c r="J3" s="120"/>
    </row>
    <row r="4" spans="1:20" outlineLevel="1">
      <c r="A4" s="2" t="s">
        <v>190</v>
      </c>
      <c r="B4" s="329" t="s">
        <v>925</v>
      </c>
      <c r="D4" s="2" t="s">
        <v>191</v>
      </c>
      <c r="E4" s="584"/>
      <c r="H4" s="2" t="s">
        <v>192</v>
      </c>
      <c r="I4" s="124">
        <v>0</v>
      </c>
      <c r="J4" s="320"/>
    </row>
    <row r="5" spans="1:20" outlineLevel="1">
      <c r="A5" s="2" t="s">
        <v>193</v>
      </c>
      <c r="B5" s="120">
        <v>2021</v>
      </c>
      <c r="D5" s="2" t="s">
        <v>194</v>
      </c>
      <c r="E5" s="585" t="s">
        <v>570</v>
      </c>
      <c r="H5" s="2" t="s">
        <v>195</v>
      </c>
      <c r="I5" s="126">
        <v>0.2</v>
      </c>
      <c r="J5" s="126"/>
    </row>
    <row r="6" spans="1:20" outlineLevel="1">
      <c r="A6" s="2" t="s">
        <v>196</v>
      </c>
      <c r="B6" s="120" t="s">
        <v>937</v>
      </c>
      <c r="D6" s="2" t="s">
        <v>198</v>
      </c>
      <c r="E6" s="586" t="s">
        <v>570</v>
      </c>
      <c r="H6" s="117" t="s">
        <v>199</v>
      </c>
      <c r="I6" s="118"/>
      <c r="J6" s="74"/>
    </row>
    <row r="7" spans="1:20" outlineLevel="1">
      <c r="A7" s="2" t="s">
        <v>200</v>
      </c>
      <c r="B7" s="120" t="s">
        <v>938</v>
      </c>
      <c r="D7" s="2" t="s">
        <v>202</v>
      </c>
      <c r="E7" s="587" t="s">
        <v>570</v>
      </c>
      <c r="H7" s="2" t="s">
        <v>203</v>
      </c>
      <c r="I7" s="2" t="s">
        <v>204</v>
      </c>
    </row>
    <row r="8" spans="1:20" outlineLevel="1">
      <c r="A8" s="2" t="s">
        <v>205</v>
      </c>
      <c r="B8" s="120" t="s">
        <v>206</v>
      </c>
      <c r="D8" s="2" t="s">
        <v>207</v>
      </c>
      <c r="E8" s="587" t="s">
        <v>570</v>
      </c>
      <c r="H8" s="2" t="s">
        <v>208</v>
      </c>
      <c r="I8" s="2" t="s">
        <v>209</v>
      </c>
    </row>
    <row r="9" spans="1:20" outlineLevel="1">
      <c r="A9" s="2" t="s">
        <v>65</v>
      </c>
      <c r="B9" s="120" t="s">
        <v>939</v>
      </c>
      <c r="D9" s="128" t="s">
        <v>211</v>
      </c>
      <c r="E9" s="291"/>
    </row>
    <row r="10" spans="1:20" outlineLevel="1">
      <c r="A10" s="2" t="s">
        <v>212</v>
      </c>
      <c r="B10" s="120" t="s">
        <v>573</v>
      </c>
      <c r="D10" s="2" t="s">
        <v>214</v>
      </c>
      <c r="E10" s="298">
        <v>10</v>
      </c>
    </row>
    <row r="11" spans="1:20" outlineLevel="1">
      <c r="A11" s="2" t="s">
        <v>215</v>
      </c>
      <c r="B11" s="120" t="s">
        <v>940</v>
      </c>
      <c r="D11" s="2" t="s">
        <v>216</v>
      </c>
      <c r="E11" s="135">
        <f>10/31.14</f>
        <v>0.32113037893384716</v>
      </c>
    </row>
    <row r="12" spans="1:20" outlineLevel="1">
      <c r="A12" s="2" t="s">
        <v>217</v>
      </c>
      <c r="B12" s="120" t="s">
        <v>24</v>
      </c>
      <c r="D12" s="2" t="s">
        <v>218</v>
      </c>
      <c r="E12" s="327">
        <f>-'E15 Fund II CF'!L2/10^6</f>
        <v>6.5958762599999998</v>
      </c>
      <c r="T12" s="502"/>
    </row>
    <row r="13" spans="1:20" outlineLevel="1">
      <c r="A13" s="2" t="s">
        <v>219</v>
      </c>
      <c r="B13" s="120" t="s">
        <v>941</v>
      </c>
      <c r="D13" s="2" t="s">
        <v>221</v>
      </c>
      <c r="E13" s="129">
        <f>E10-E12</f>
        <v>3.4041237400000002</v>
      </c>
      <c r="N13" s="314"/>
      <c r="T13" s="502"/>
    </row>
    <row r="14" spans="1:20" outlineLevel="1">
      <c r="A14" s="2" t="s">
        <v>222</v>
      </c>
      <c r="B14" s="120" t="s">
        <v>929</v>
      </c>
      <c r="D14" s="2" t="s">
        <v>224</v>
      </c>
      <c r="E14" s="133">
        <f>'E15 Fund II CF'!L3/10^6</f>
        <v>24.622247559999998</v>
      </c>
      <c r="N14" s="314"/>
      <c r="T14" s="502"/>
    </row>
    <row r="15" spans="1:20" outlineLevel="1">
      <c r="A15" s="2" t="s">
        <v>225</v>
      </c>
      <c r="B15" s="120" t="s">
        <v>570</v>
      </c>
      <c r="D15" s="2" t="s">
        <v>227</v>
      </c>
      <c r="E15" s="327">
        <f>'E15 Fund II CF'!L4/10^6</f>
        <v>2.6809999999999996</v>
      </c>
      <c r="N15" s="314"/>
    </row>
    <row r="16" spans="1:20" outlineLevel="1">
      <c r="A16" s="2" t="s">
        <v>228</v>
      </c>
      <c r="B16" s="134">
        <v>44196</v>
      </c>
      <c r="D16" s="2" t="s">
        <v>229</v>
      </c>
      <c r="E16" s="225">
        <f>E12/E10</f>
        <v>0.65958762599999998</v>
      </c>
      <c r="N16" s="314"/>
    </row>
    <row r="17" spans="1:40" outlineLevel="1">
      <c r="A17" s="2" t="s">
        <v>230</v>
      </c>
      <c r="B17" s="120" t="s">
        <v>231</v>
      </c>
      <c r="D17" s="2" t="s">
        <v>232</v>
      </c>
      <c r="E17" s="225">
        <f>E14/E12</f>
        <v>3.7329759670173073</v>
      </c>
    </row>
    <row r="18" spans="1:40" outlineLevel="1">
      <c r="A18" s="117" t="s">
        <v>233</v>
      </c>
      <c r="B18" s="118"/>
      <c r="D18" s="2" t="s">
        <v>234</v>
      </c>
      <c r="E18" s="137">
        <f>(E14+E15)/E12</f>
        <v>4.1394420519344308</v>
      </c>
    </row>
    <row r="19" spans="1:40" outlineLevel="1">
      <c r="A19" s="2" t="s">
        <v>235</v>
      </c>
      <c r="B19" s="120">
        <v>5</v>
      </c>
      <c r="D19" s="2" t="s">
        <v>177</v>
      </c>
      <c r="E19" s="355">
        <f>'E15 Fund II CF'!L5</f>
        <v>4.474093198776246</v>
      </c>
    </row>
    <row r="20" spans="1:40" ht="13.5" customHeight="1"/>
    <row r="30" spans="1:40" ht="13.5" customHeight="1">
      <c r="K30" s="503" t="s">
        <v>236</v>
      </c>
      <c r="L30" s="504"/>
      <c r="M30" s="504"/>
      <c r="N30" s="504"/>
      <c r="O30" s="504"/>
      <c r="P30" s="504"/>
      <c r="Q30" s="505"/>
      <c r="R30" s="505"/>
      <c r="S30" s="504"/>
      <c r="T30" s="503" t="s">
        <v>237</v>
      </c>
      <c r="U30" s="504"/>
      <c r="V30" s="504"/>
      <c r="W30" s="504"/>
      <c r="X30" s="504"/>
      <c r="Y30" s="504"/>
      <c r="Z30" s="505"/>
      <c r="AA30" s="505"/>
      <c r="AB30" s="504"/>
      <c r="AC30" s="503" t="s">
        <v>238</v>
      </c>
      <c r="AD30" s="504"/>
      <c r="AE30" s="504"/>
      <c r="AF30" s="504"/>
      <c r="AG30" s="504"/>
      <c r="AH30" s="504"/>
      <c r="AI30" s="505"/>
      <c r="AJ30" s="505"/>
      <c r="AK30" s="505"/>
      <c r="AL30" s="505"/>
      <c r="AM30" s="504"/>
    </row>
    <row r="31" spans="1:40" s="141" customFormat="1" ht="39.75" customHeight="1">
      <c r="A31" s="138" t="s">
        <v>239</v>
      </c>
      <c r="B31" s="139" t="s">
        <v>240</v>
      </c>
      <c r="C31" s="139" t="s">
        <v>69</v>
      </c>
      <c r="D31" s="139" t="s">
        <v>241</v>
      </c>
      <c r="E31" s="139" t="s">
        <v>242</v>
      </c>
      <c r="F31" s="139" t="s">
        <v>243</v>
      </c>
      <c r="G31" s="139" t="s">
        <v>244</v>
      </c>
      <c r="H31" s="139" t="s">
        <v>245</v>
      </c>
      <c r="I31" s="139" t="s">
        <v>246</v>
      </c>
      <c r="J31" s="501" t="s">
        <v>247</v>
      </c>
      <c r="K31" s="506" t="s">
        <v>248</v>
      </c>
      <c r="L31" s="506" t="s">
        <v>942</v>
      </c>
      <c r="M31" s="507" t="s">
        <v>250</v>
      </c>
      <c r="N31" s="506" t="s">
        <v>251</v>
      </c>
      <c r="O31" s="507" t="s">
        <v>252</v>
      </c>
      <c r="P31" s="506" t="s">
        <v>115</v>
      </c>
      <c r="Q31" s="507" t="s">
        <v>253</v>
      </c>
      <c r="R31" s="508" t="s">
        <v>254</v>
      </c>
      <c r="S31" s="509" t="s">
        <v>255</v>
      </c>
      <c r="T31" s="506" t="s">
        <v>248</v>
      </c>
      <c r="U31" s="506" t="s">
        <v>942</v>
      </c>
      <c r="V31" s="507" t="s">
        <v>250</v>
      </c>
      <c r="W31" s="506" t="s">
        <v>251</v>
      </c>
      <c r="X31" s="507" t="s">
        <v>252</v>
      </c>
      <c r="Y31" s="506" t="s">
        <v>115</v>
      </c>
      <c r="Z31" s="507" t="s">
        <v>253</v>
      </c>
      <c r="AA31" s="508" t="s">
        <v>254</v>
      </c>
      <c r="AB31" s="509" t="s">
        <v>255</v>
      </c>
      <c r="AC31" s="506" t="s">
        <v>248</v>
      </c>
      <c r="AD31" s="506" t="s">
        <v>249</v>
      </c>
      <c r="AE31" s="507" t="s">
        <v>250</v>
      </c>
      <c r="AF31" s="506" t="s">
        <v>251</v>
      </c>
      <c r="AG31" s="507" t="s">
        <v>252</v>
      </c>
      <c r="AH31" s="506" t="s">
        <v>115</v>
      </c>
      <c r="AI31" s="507" t="s">
        <v>253</v>
      </c>
      <c r="AJ31" s="508" t="s">
        <v>254</v>
      </c>
      <c r="AK31" s="509" t="s">
        <v>255</v>
      </c>
      <c r="AL31" s="508" t="s">
        <v>256</v>
      </c>
      <c r="AM31" s="509" t="s">
        <v>257</v>
      </c>
      <c r="AN31" s="510"/>
    </row>
    <row r="32" spans="1:40" ht="11.25" customHeight="1">
      <c r="A32" s="158" t="s">
        <v>943</v>
      </c>
      <c r="B32" s="2" t="s">
        <v>944</v>
      </c>
      <c r="C32" s="235" t="s">
        <v>53</v>
      </c>
      <c r="D32" s="374" t="s">
        <v>584</v>
      </c>
      <c r="E32" s="374">
        <v>45015</v>
      </c>
      <c r="F32" s="374"/>
      <c r="G32" s="374"/>
      <c r="H32" s="374"/>
      <c r="I32" s="235"/>
      <c r="J32" s="512" t="s">
        <v>44</v>
      </c>
      <c r="K32" s="513">
        <f>1.01602+2.250111</f>
        <v>3.2661309999999997</v>
      </c>
      <c r="L32" s="514">
        <f>K32/K$38</f>
        <v>0.16102980593432661</v>
      </c>
      <c r="M32" s="513">
        <v>0</v>
      </c>
      <c r="N32" s="513">
        <v>4.1131479999999998</v>
      </c>
      <c r="O32" s="513">
        <f>M32+N32</f>
        <v>4.1131479999999998</v>
      </c>
      <c r="P32" s="268">
        <f>O32/K32</f>
        <v>1.2593334437596042</v>
      </c>
      <c r="Q32" s="513">
        <v>0</v>
      </c>
      <c r="R32" s="513">
        <v>0</v>
      </c>
      <c r="S32" s="515" t="s">
        <v>44</v>
      </c>
      <c r="T32" s="516">
        <f>1.01602+2.250111</f>
        <v>3.2661309999999997</v>
      </c>
      <c r="U32" s="514">
        <f>T32/T$38</f>
        <v>0.16102980593432661</v>
      </c>
      <c r="V32" s="513">
        <v>0</v>
      </c>
      <c r="W32" s="513">
        <v>4.1131479999999998</v>
      </c>
      <c r="X32" s="513">
        <f>V32+W32</f>
        <v>4.1131479999999998</v>
      </c>
      <c r="Y32" s="268">
        <f>X32/T32</f>
        <v>1.2593334437596042</v>
      </c>
      <c r="Z32" s="513">
        <v>0</v>
      </c>
      <c r="AA32" s="513">
        <f>X32-O32</f>
        <v>0</v>
      </c>
      <c r="AB32" s="515">
        <f>IFERROR(X32/O32-1,0)</f>
        <v>0</v>
      </c>
      <c r="AC32" s="517"/>
      <c r="AD32" s="514"/>
      <c r="AE32" s="513"/>
      <c r="AF32" s="513"/>
      <c r="AG32" s="513"/>
      <c r="AH32" s="268"/>
      <c r="AI32" s="513"/>
      <c r="AJ32" s="513"/>
      <c r="AK32" s="515"/>
      <c r="AL32" s="513"/>
      <c r="AM32" s="515"/>
    </row>
    <row r="33" spans="1:40" ht="11.25" customHeight="1">
      <c r="A33" s="158" t="s">
        <v>945</v>
      </c>
      <c r="B33" s="2" t="s">
        <v>946</v>
      </c>
      <c r="C33" s="235" t="s">
        <v>273</v>
      </c>
      <c r="D33" s="374" t="s">
        <v>584</v>
      </c>
      <c r="E33" s="374">
        <v>45016</v>
      </c>
      <c r="F33" s="374"/>
      <c r="G33" s="374"/>
      <c r="H33" s="374"/>
      <c r="I33" s="235"/>
      <c r="J33" s="518" t="s">
        <v>44</v>
      </c>
      <c r="K33" s="513">
        <v>1.6</v>
      </c>
      <c r="L33" s="514">
        <f t="shared" ref="L33:L36" si="0">K33/K$38</f>
        <v>7.8884677159281921E-2</v>
      </c>
      <c r="M33" s="513">
        <v>0</v>
      </c>
      <c r="N33" s="513">
        <v>2.5956630000000001</v>
      </c>
      <c r="O33" s="513">
        <f>N33+M33</f>
        <v>2.5956630000000001</v>
      </c>
      <c r="P33" s="269">
        <f>O33/K33</f>
        <v>1.622289375</v>
      </c>
      <c r="Q33" s="513">
        <v>0</v>
      </c>
      <c r="R33" s="513">
        <v>0</v>
      </c>
      <c r="S33" s="515" t="s">
        <v>44</v>
      </c>
      <c r="T33" s="519">
        <v>1.6</v>
      </c>
      <c r="U33" s="514">
        <f t="shared" ref="U33:U36" si="1">T33/T$38</f>
        <v>7.8884677159281921E-2</v>
      </c>
      <c r="V33" s="513">
        <v>0</v>
      </c>
      <c r="W33" s="513">
        <v>2.48</v>
      </c>
      <c r="X33" s="513">
        <f>W33+V33</f>
        <v>2.48</v>
      </c>
      <c r="Y33" s="268">
        <f>X33/T33</f>
        <v>1.5499999999999998</v>
      </c>
      <c r="Z33" s="513">
        <v>0</v>
      </c>
      <c r="AA33" s="513">
        <f t="shared" ref="AA33:AA36" si="2">X33-O33</f>
        <v>-0.11566300000000007</v>
      </c>
      <c r="AB33" s="515">
        <f t="shared" ref="AB33:AB36" si="3">IFERROR(X33/O33-1,0)</f>
        <v>-4.4560098903440148E-2</v>
      </c>
      <c r="AC33" s="517"/>
      <c r="AD33" s="514"/>
      <c r="AE33" s="513"/>
      <c r="AF33" s="513"/>
      <c r="AG33" s="513"/>
      <c r="AH33" s="268"/>
      <c r="AI33" s="513"/>
      <c r="AJ33" s="513"/>
      <c r="AK33" s="515"/>
      <c r="AL33" s="513"/>
      <c r="AM33" s="515"/>
    </row>
    <row r="34" spans="1:40">
      <c r="A34" s="158" t="s">
        <v>947</v>
      </c>
      <c r="B34" s="2" t="s">
        <v>948</v>
      </c>
      <c r="C34" s="235" t="s">
        <v>273</v>
      </c>
      <c r="D34" s="374" t="s">
        <v>584</v>
      </c>
      <c r="E34" s="374">
        <v>44918</v>
      </c>
      <c r="F34" s="374"/>
      <c r="G34" s="374"/>
      <c r="H34" s="374"/>
      <c r="I34" s="235"/>
      <c r="J34" s="518" t="s">
        <v>44</v>
      </c>
      <c r="K34" s="513">
        <v>3.380309</v>
      </c>
      <c r="L34" s="514">
        <f t="shared" si="0"/>
        <v>0.16665911510225945</v>
      </c>
      <c r="M34" s="513">
        <v>0</v>
      </c>
      <c r="N34" s="513">
        <v>2.0789080000000002</v>
      </c>
      <c r="O34" s="513">
        <f t="shared" ref="O34:O36" si="4">N34+M34</f>
        <v>2.0789080000000002</v>
      </c>
      <c r="P34" s="269">
        <f t="shared" ref="P34:P41" si="5">O34/K34</f>
        <v>0.61500531460289587</v>
      </c>
      <c r="Q34" s="513">
        <v>0</v>
      </c>
      <c r="R34" s="513">
        <v>0</v>
      </c>
      <c r="S34" s="515" t="s">
        <v>44</v>
      </c>
      <c r="T34" s="519">
        <v>3.380309</v>
      </c>
      <c r="U34" s="514">
        <f t="shared" si="1"/>
        <v>0.16665911510225945</v>
      </c>
      <c r="V34" s="513">
        <v>0</v>
      </c>
      <c r="W34" s="513">
        <v>2.0977079999999999</v>
      </c>
      <c r="X34" s="513">
        <f t="shared" ref="X34:X36" si="6">W34+V34</f>
        <v>2.0977079999999999</v>
      </c>
      <c r="Y34" s="268">
        <f t="shared" ref="Y34:Y36" si="7">X34/T34</f>
        <v>0.62056693633629345</v>
      </c>
      <c r="Z34" s="513">
        <v>0</v>
      </c>
      <c r="AA34" s="513">
        <f t="shared" si="2"/>
        <v>1.8799999999999706E-2</v>
      </c>
      <c r="AB34" s="515">
        <f t="shared" si="3"/>
        <v>9.0432092233037054E-3</v>
      </c>
      <c r="AC34" s="517"/>
      <c r="AD34" s="514"/>
      <c r="AE34" s="513"/>
      <c r="AF34" s="513"/>
      <c r="AG34" s="513"/>
      <c r="AH34" s="268"/>
      <c r="AI34" s="513"/>
      <c r="AJ34" s="513"/>
      <c r="AK34" s="515"/>
      <c r="AL34" s="513"/>
      <c r="AM34" s="515"/>
    </row>
    <row r="35" spans="1:40">
      <c r="A35" s="2" t="s">
        <v>949</v>
      </c>
      <c r="B35" s="2" t="s">
        <v>950</v>
      </c>
      <c r="C35" s="235" t="s">
        <v>273</v>
      </c>
      <c r="D35" s="374" t="s">
        <v>261</v>
      </c>
      <c r="E35" s="374">
        <v>44013</v>
      </c>
      <c r="F35" s="374">
        <v>44075</v>
      </c>
      <c r="G35" s="374" t="s">
        <v>951</v>
      </c>
      <c r="H35" s="374"/>
      <c r="I35" s="235"/>
      <c r="J35" s="518">
        <f>YEAR(H35)-YEAR(E35)</f>
        <v>-120</v>
      </c>
      <c r="K35" s="513">
        <v>10.493333</v>
      </c>
      <c r="L35" s="514">
        <f t="shared" si="0"/>
        <v>0.5173519912686495</v>
      </c>
      <c r="M35" s="513">
        <f>10036850*9/10^6</f>
        <v>90.331649999999996</v>
      </c>
      <c r="N35" s="513">
        <v>0</v>
      </c>
      <c r="O35" s="513">
        <f t="shared" si="4"/>
        <v>90.331649999999996</v>
      </c>
      <c r="P35" s="269">
        <f t="shared" si="5"/>
        <v>8.6084802607522324</v>
      </c>
      <c r="Q35" s="513">
        <v>0</v>
      </c>
      <c r="R35" s="513">
        <v>0</v>
      </c>
      <c r="S35" s="515" t="s">
        <v>44</v>
      </c>
      <c r="T35" s="519">
        <f>K35</f>
        <v>10.493333</v>
      </c>
      <c r="U35" s="514">
        <f t="shared" si="1"/>
        <v>0.5173519912686495</v>
      </c>
      <c r="V35" s="513">
        <f>M35</f>
        <v>90.331649999999996</v>
      </c>
      <c r="W35" s="513">
        <v>0</v>
      </c>
      <c r="X35" s="513">
        <f t="shared" si="6"/>
        <v>90.331649999999996</v>
      </c>
      <c r="Y35" s="268">
        <f t="shared" si="7"/>
        <v>8.6084802607522324</v>
      </c>
      <c r="Z35" s="513">
        <v>0</v>
      </c>
      <c r="AA35" s="513">
        <f t="shared" si="2"/>
        <v>0</v>
      </c>
      <c r="AB35" s="515">
        <f t="shared" si="3"/>
        <v>0</v>
      </c>
      <c r="AC35" s="517"/>
      <c r="AD35" s="514"/>
      <c r="AE35" s="513"/>
      <c r="AF35" s="513"/>
      <c r="AG35" s="513"/>
      <c r="AH35" s="268"/>
      <c r="AI35" s="513"/>
      <c r="AJ35" s="513"/>
      <c r="AK35" s="515"/>
      <c r="AL35" s="513"/>
      <c r="AM35" s="515"/>
    </row>
    <row r="36" spans="1:40">
      <c r="A36" s="2" t="s">
        <v>952</v>
      </c>
      <c r="B36" s="2" t="s">
        <v>953</v>
      </c>
      <c r="C36" s="235" t="s">
        <v>273</v>
      </c>
      <c r="D36" s="374" t="s">
        <v>261</v>
      </c>
      <c r="E36" s="374">
        <v>44105</v>
      </c>
      <c r="F36" s="374"/>
      <c r="G36" s="374"/>
      <c r="H36" s="374"/>
      <c r="I36" s="235"/>
      <c r="J36" s="518">
        <f>YEAR(H36)-YEAR(E36)</f>
        <v>-120</v>
      </c>
      <c r="K36" s="513">
        <v>1.5429999999999999</v>
      </c>
      <c r="L36" s="514">
        <f t="shared" si="0"/>
        <v>7.6074410535482501E-2</v>
      </c>
      <c r="M36" s="513">
        <f>2127386.89/10^6</f>
        <v>2.1273868899999999</v>
      </c>
      <c r="N36" s="513">
        <v>0</v>
      </c>
      <c r="O36" s="513">
        <f t="shared" si="4"/>
        <v>2.1273868899999999</v>
      </c>
      <c r="P36" s="269">
        <f t="shared" si="5"/>
        <v>1.3787342125729098</v>
      </c>
      <c r="Q36" s="513">
        <v>0</v>
      </c>
      <c r="R36" s="513">
        <v>0</v>
      </c>
      <c r="S36" s="515" t="s">
        <v>44</v>
      </c>
      <c r="T36" s="519">
        <f>K36</f>
        <v>1.5429999999999999</v>
      </c>
      <c r="U36" s="514">
        <f t="shared" si="1"/>
        <v>7.6074410535482501E-2</v>
      </c>
      <c r="V36" s="513">
        <f>M36</f>
        <v>2.1273868899999999</v>
      </c>
      <c r="W36" s="513">
        <v>0</v>
      </c>
      <c r="X36" s="513">
        <f t="shared" si="6"/>
        <v>2.1273868899999999</v>
      </c>
      <c r="Y36" s="268">
        <f t="shared" si="7"/>
        <v>1.3787342125729098</v>
      </c>
      <c r="Z36" s="513">
        <v>0</v>
      </c>
      <c r="AA36" s="513">
        <f t="shared" si="2"/>
        <v>0</v>
      </c>
      <c r="AB36" s="515">
        <f t="shared" si="3"/>
        <v>0</v>
      </c>
      <c r="AC36" s="517"/>
      <c r="AD36" s="514"/>
      <c r="AE36" s="513"/>
      <c r="AF36" s="513"/>
      <c r="AG36" s="513"/>
      <c r="AH36" s="268"/>
      <c r="AI36" s="513"/>
      <c r="AJ36" s="513"/>
      <c r="AK36" s="515"/>
      <c r="AL36" s="513"/>
      <c r="AM36" s="515"/>
    </row>
    <row r="38" spans="1:40" s="520" customFormat="1" ht="12" thickBot="1">
      <c r="A38" s="520" t="s">
        <v>45</v>
      </c>
      <c r="K38" s="521">
        <f>SUM(K32:K36)</f>
        <v>20.282772999999999</v>
      </c>
      <c r="L38" s="547">
        <f>K38/K$38</f>
        <v>1</v>
      </c>
      <c r="M38" s="522">
        <f>SUM(M32:M36)</f>
        <v>92.459036889999993</v>
      </c>
      <c r="N38" s="522">
        <f>SUM(N32:N36)</f>
        <v>8.7877189999999992</v>
      </c>
      <c r="O38" s="522">
        <f>SUM(O32:O36)</f>
        <v>101.24675588999999</v>
      </c>
      <c r="P38" s="523">
        <f t="shared" si="5"/>
        <v>4.9917610323795465</v>
      </c>
      <c r="Q38" s="524" t="s">
        <v>44</v>
      </c>
      <c r="R38" s="524" t="s">
        <v>44</v>
      </c>
      <c r="S38" s="524" t="s">
        <v>44</v>
      </c>
      <c r="T38" s="521">
        <f>SUM(T32:T36)</f>
        <v>20.282772999999999</v>
      </c>
      <c r="U38" s="547">
        <f>T38/T$38</f>
        <v>1</v>
      </c>
      <c r="V38" s="522">
        <f>SUM(V32:V36)</f>
        <v>92.459036889999993</v>
      </c>
      <c r="W38" s="522">
        <f>SUM(W32:W36)</f>
        <v>8.6908560000000001</v>
      </c>
      <c r="X38" s="522">
        <f>SUM(X32:X36)</f>
        <v>101.14989288999999</v>
      </c>
      <c r="Y38" s="523">
        <f t="shared" ref="Y38" si="8">X38/T38</f>
        <v>4.9869854033272469</v>
      </c>
      <c r="Z38" s="525" t="s">
        <v>44</v>
      </c>
      <c r="AA38" s="525">
        <f t="shared" ref="AA38" si="9">X38-O38</f>
        <v>-9.6862999999999033E-2</v>
      </c>
      <c r="AB38" s="526">
        <f t="shared" ref="AB38" si="10">IFERROR(X38/O38-1,0)</f>
        <v>-9.5670225824551203E-4</v>
      </c>
      <c r="AC38" s="527"/>
      <c r="AN38" s="527"/>
    </row>
    <row r="40" spans="1:40" s="389" customFormat="1">
      <c r="A40" s="388" t="s">
        <v>277</v>
      </c>
      <c r="K40" s="528">
        <f>SUMIF($D$32:$D$36,"Unrealized",K$32:K$36)+SUMIF($D$32:$D$36,"Partial Realized",K$32:K$36)</f>
        <v>8.2464399999999998</v>
      </c>
      <c r="M40" s="529">
        <f>SUMIF($D$32:$D$36,"Unrealized",M$32:M$36)+SUMIF($D$32:$D$36,"Partial Realized",M$32:M$36)</f>
        <v>0</v>
      </c>
      <c r="N40" s="529">
        <f>SUMIF($D$32:$D$36,"Unrealized",N$32:N$36)+SUMIF($D$32:$D$36,"Partial Realized",N$32:N$36)</f>
        <v>8.7877189999999992</v>
      </c>
      <c r="O40" s="529">
        <f>SUMIF($D$32:$D$36,"Unrealized",O$32:O$36)+SUMIF($D$32:$D$36,"Partial Realized",O$32:O$36)</f>
        <v>8.7877189999999992</v>
      </c>
      <c r="P40" s="530">
        <f t="shared" si="5"/>
        <v>1.0656378995057261</v>
      </c>
      <c r="R40" s="531" t="s">
        <v>44</v>
      </c>
      <c r="S40" s="532" t="s">
        <v>44</v>
      </c>
      <c r="T40" s="528">
        <f>SUMIF($D$32:$D$36,"Unrealized",T$32:T$36)+SUMIF($D$32:$D$36,"Partial Realized",T$32:T$36)</f>
        <v>8.2464399999999998</v>
      </c>
      <c r="V40" s="529">
        <f>SUMIF($D$32:$D$36,"Unrealized",V$32:V$36)+SUMIF($D$32:$D$36,"Partial Realized",V$32:V$36)</f>
        <v>0</v>
      </c>
      <c r="W40" s="529">
        <f>SUMIF($D$32:$D$36,"Unrealized",W$32:W$36)+SUMIF($D$32:$D$36,"Partial Realized",W$32:W$36)</f>
        <v>8.6908560000000001</v>
      </c>
      <c r="X40" s="529">
        <f>SUMIF($D$32:$D$36,"Unrealized",X$32:X$36)+SUMIF($D$32:$D$36,"Partial Realized",X$32:X$36)</f>
        <v>8.6908560000000001</v>
      </c>
      <c r="Y40" s="530">
        <f t="shared" ref="Y40:Y41" si="11">X40/T40</f>
        <v>1.0538918612152639</v>
      </c>
      <c r="AA40" s="533">
        <f t="shared" ref="AA40:AA41" si="12">X40-O40</f>
        <v>-9.6862999999999033E-2</v>
      </c>
      <c r="AB40" s="534">
        <f t="shared" ref="AB40:AB41" si="13">IFERROR(X40/O40-1,0)</f>
        <v>-1.1022541799527108E-2</v>
      </c>
      <c r="AN40" s="535"/>
    </row>
    <row r="41" spans="1:40" s="389" customFormat="1">
      <c r="A41" s="388" t="s">
        <v>278</v>
      </c>
      <c r="K41" s="528">
        <f>SUMIF($D$32:$D$36,"Realized",K$32:K$36)+SUMIF($D$32:$D$36,"Write-off",K$32:K$36)</f>
        <v>12.036332999999999</v>
      </c>
      <c r="M41" s="529">
        <f>SUMIF($D$32:$D$36,"Realized",M$32:M$36)+SUMIF($D$32:$D$36,"Write-off",M$32:M$36)</f>
        <v>92.459036889999993</v>
      </c>
      <c r="N41" s="529">
        <f>SUMIF($D$32:$D$36,"Realized",N$32:N$36)+SUMIF($D$32:$D$36,"Write-off",N$32:N$36)</f>
        <v>0</v>
      </c>
      <c r="O41" s="529">
        <f>SUMIF($D$32:$D$36,"Realized",O$32:O$36)+SUMIF($D$32:$D$36,"Write-off",O$32:O$36)</f>
        <v>92.459036889999993</v>
      </c>
      <c r="P41" s="530">
        <f t="shared" si="5"/>
        <v>7.6816615899543494</v>
      </c>
      <c r="R41" s="531" t="s">
        <v>44</v>
      </c>
      <c r="S41" s="532" t="s">
        <v>44</v>
      </c>
      <c r="T41" s="528">
        <f>SUMIF($D$32:$D$36,"Realized",T$32:T$36)+SUMIF($D$32:$D$36,"Write-off",T$32:T$36)</f>
        <v>12.036332999999999</v>
      </c>
      <c r="V41" s="529">
        <f>SUMIF($D$32:$D$36,"Realized",V$32:V$36)+SUMIF($D$32:$D$36,"Write-off",V$32:V$36)</f>
        <v>92.459036889999993</v>
      </c>
      <c r="W41" s="529">
        <f>SUMIF($D$32:$D$36,"Realized",W$32:W$36)+SUMIF($D$32:$D$36,"Write-off",W$32:W$36)</f>
        <v>0</v>
      </c>
      <c r="X41" s="529">
        <f>SUMIF($D$32:$D$36,"Realized",X$32:X$36)+SUMIF($D$32:$D$36,"Write-off",X$32:X$36)</f>
        <v>92.459036889999993</v>
      </c>
      <c r="Y41" s="530">
        <f t="shared" si="11"/>
        <v>7.6816615899543494</v>
      </c>
      <c r="AA41" s="533">
        <f t="shared" si="12"/>
        <v>0</v>
      </c>
      <c r="AB41" s="534">
        <f t="shared" si="13"/>
        <v>0</v>
      </c>
      <c r="AN41" s="535"/>
    </row>
    <row r="44" spans="1:40" s="536" customFormat="1">
      <c r="A44" s="536" t="s">
        <v>279</v>
      </c>
      <c r="K44" s="537"/>
      <c r="T44" s="537"/>
      <c r="AC44" s="537"/>
      <c r="AN44" s="537"/>
    </row>
    <row r="45" spans="1:40" ht="13.5" customHeight="1">
      <c r="K45" s="538" t="s">
        <v>236</v>
      </c>
      <c r="L45" s="539"/>
      <c r="M45" s="539"/>
      <c r="N45" s="539"/>
      <c r="O45" s="539"/>
      <c r="P45" s="539"/>
      <c r="Q45" s="540"/>
      <c r="R45" s="540"/>
      <c r="S45" s="539"/>
      <c r="T45" s="503" t="s">
        <v>237</v>
      </c>
      <c r="U45" s="504"/>
      <c r="V45" s="504"/>
      <c r="W45" s="504"/>
      <c r="X45" s="504"/>
      <c r="Y45" s="504"/>
      <c r="Z45" s="505"/>
      <c r="AA45" s="505"/>
      <c r="AB45" s="504"/>
      <c r="AC45" s="503" t="s">
        <v>238</v>
      </c>
      <c r="AD45" s="504"/>
      <c r="AE45" s="504"/>
      <c r="AF45" s="504"/>
      <c r="AG45" s="539"/>
      <c r="AH45" s="539"/>
      <c r="AI45" s="540"/>
      <c r="AJ45" s="540"/>
      <c r="AK45" s="540"/>
      <c r="AL45" s="540"/>
      <c r="AM45" s="539"/>
    </row>
    <row r="46" spans="1:40" s="141" customFormat="1" ht="39.75" customHeight="1">
      <c r="A46" s="138" t="s">
        <v>239</v>
      </c>
      <c r="B46" s="139" t="s">
        <v>240</v>
      </c>
      <c r="C46" s="139" t="s">
        <v>69</v>
      </c>
      <c r="D46" s="139" t="s">
        <v>241</v>
      </c>
      <c r="E46" s="139" t="s">
        <v>242</v>
      </c>
      <c r="F46" s="139" t="s">
        <v>243</v>
      </c>
      <c r="G46" s="139" t="s">
        <v>244</v>
      </c>
      <c r="H46" s="139" t="s">
        <v>245</v>
      </c>
      <c r="I46" s="139" t="s">
        <v>246</v>
      </c>
      <c r="J46" s="501" t="s">
        <v>247</v>
      </c>
      <c r="K46" s="541" t="s">
        <v>280</v>
      </c>
      <c r="L46" s="542"/>
      <c r="M46" s="543"/>
      <c r="N46" s="542"/>
      <c r="O46" s="541" t="s">
        <v>281</v>
      </c>
      <c r="P46" s="542"/>
      <c r="Q46" s="543"/>
      <c r="R46" s="542"/>
      <c r="S46" s="544"/>
      <c r="T46" s="541" t="s">
        <v>280</v>
      </c>
      <c r="U46" s="542"/>
      <c r="V46" s="543"/>
      <c r="W46" s="542"/>
      <c r="X46" s="541" t="s">
        <v>281</v>
      </c>
      <c r="Y46" s="542"/>
      <c r="Z46" s="543"/>
      <c r="AA46" s="542"/>
      <c r="AB46" s="544"/>
      <c r="AC46" s="541" t="s">
        <v>280</v>
      </c>
      <c r="AD46" s="542"/>
      <c r="AE46" s="543"/>
      <c r="AF46" s="542"/>
      <c r="AG46" s="541" t="s">
        <v>281</v>
      </c>
      <c r="AH46" s="542"/>
      <c r="AI46" s="543"/>
      <c r="AJ46" s="542"/>
      <c r="AK46" s="545"/>
      <c r="AL46" s="545"/>
      <c r="AM46" s="544"/>
      <c r="AN46" s="510"/>
    </row>
  </sheetData>
  <conditionalFormatting sqref="R32:S36">
    <cfRule type="cellIs" dxfId="93" priority="5" operator="lessThan">
      <formula>0</formula>
    </cfRule>
    <cfRule type="cellIs" dxfId="92" priority="6" operator="greaterThan">
      <formula>0</formula>
    </cfRule>
  </conditionalFormatting>
  <conditionalFormatting sqref="AA32:AB36">
    <cfRule type="cellIs" dxfId="91" priority="9" operator="lessThan">
      <formula>0</formula>
    </cfRule>
    <cfRule type="cellIs" dxfId="90" priority="10" operator="greaterThan">
      <formula>0</formula>
    </cfRule>
  </conditionalFormatting>
  <conditionalFormatting sqref="AA38:AB38">
    <cfRule type="cellIs" dxfId="89" priority="3" operator="lessThan">
      <formula>0</formula>
    </cfRule>
    <cfRule type="cellIs" dxfId="88" priority="4" operator="greaterThan">
      <formula>0</formula>
    </cfRule>
  </conditionalFormatting>
  <conditionalFormatting sqref="AA40:AB41">
    <cfRule type="cellIs" dxfId="87" priority="1" operator="lessThan">
      <formula>0</formula>
    </cfRule>
    <cfRule type="cellIs" dxfId="86" priority="2" operator="greaterThan">
      <formula>0</formula>
    </cfRule>
  </conditionalFormatting>
  <conditionalFormatting sqref="AJ32:AM33">
    <cfRule type="cellIs" dxfId="85" priority="7" operator="lessThan">
      <formula>0</formula>
    </cfRule>
    <cfRule type="cellIs" dxfId="84" priority="8" operator="greaterThan">
      <formula>0</formula>
    </cfRule>
  </conditionalFormatting>
  <printOptions horizontalCentered="1"/>
  <pageMargins left="0.23622047244094491" right="0" top="0.35433070866141736" bottom="0.19685039370078741" header="0.15748031496062992" footer="0.15748031496062992"/>
  <pageSetup paperSize="8" scale="37" orientation="landscape"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9AC3D-9D5F-4FE2-B368-9682DC439832}">
  <sheetPr>
    <tabColor theme="8"/>
  </sheetPr>
  <dimension ref="A1:Q30"/>
  <sheetViews>
    <sheetView workbookViewId="0"/>
  </sheetViews>
  <sheetFormatPr defaultColWidth="9" defaultRowHeight="11.25"/>
  <cols>
    <col min="1" max="1" width="18.7109375" style="2" customWidth="1"/>
    <col min="2" max="2" width="12" style="2" bestFit="1" customWidth="1"/>
    <col min="3" max="4" width="14" style="2" customWidth="1"/>
    <col min="5" max="5" width="18.42578125" style="2" bestFit="1" customWidth="1"/>
    <col min="6" max="6" width="18.7109375" style="2" customWidth="1"/>
    <col min="7" max="7" width="13.7109375" style="2" customWidth="1"/>
    <col min="8" max="8" width="14" style="2" customWidth="1"/>
    <col min="9" max="9" width="15.28515625" style="2" customWidth="1"/>
    <col min="10" max="10" width="15" style="2" customWidth="1"/>
    <col min="11" max="11" width="21.7109375" style="2" customWidth="1"/>
    <col min="12" max="14" width="14.7109375" style="2" customWidth="1"/>
    <col min="15" max="15" width="13.140625" style="2" customWidth="1"/>
    <col min="16" max="16" width="8.7109375" style="2" customWidth="1"/>
    <col min="17" max="18" width="9" style="2"/>
    <col min="19" max="19" width="11.7109375" style="2" bestFit="1" customWidth="1"/>
    <col min="20" max="16384" width="9" style="2"/>
  </cols>
  <sheetData>
    <row r="1" spans="1:17">
      <c r="A1" s="75" t="s">
        <v>282</v>
      </c>
      <c r="K1" s="635">
        <f>B3</f>
        <v>45657</v>
      </c>
      <c r="L1" s="636"/>
      <c r="M1" s="198" t="s">
        <v>283</v>
      </c>
      <c r="N1" s="199" t="s">
        <v>284</v>
      </c>
    </row>
    <row r="2" spans="1:17" ht="12" thickBot="1">
      <c r="K2" s="172" t="s">
        <v>285</v>
      </c>
      <c r="L2" s="173">
        <f>K26</f>
        <v>-6595876.2599999998</v>
      </c>
      <c r="M2" s="201">
        <v>-6557799</v>
      </c>
      <c r="N2" s="205">
        <f>L2-M2</f>
        <v>-38077.259999999776</v>
      </c>
    </row>
    <row r="3" spans="1:17" ht="12" thickBot="1">
      <c r="A3" s="202" t="s">
        <v>286</v>
      </c>
      <c r="B3" s="272">
        <f>'E15 Fund II'!E1</f>
        <v>45657</v>
      </c>
      <c r="K3" s="172" t="s">
        <v>287</v>
      </c>
      <c r="L3" s="173">
        <f>N26</f>
        <v>24622247.559999999</v>
      </c>
      <c r="M3" s="201">
        <f>29008238+683169</f>
        <v>29691407</v>
      </c>
      <c r="N3" s="205">
        <f>L3-M3</f>
        <v>-5069159.4400000013</v>
      </c>
      <c r="O3" s="2" t="s">
        <v>954</v>
      </c>
    </row>
    <row r="4" spans="1:17">
      <c r="K4" s="175" t="s">
        <v>288</v>
      </c>
      <c r="L4" s="176">
        <f>J30</f>
        <v>2680999.9999999995</v>
      </c>
    </row>
    <row r="5" spans="1:17" s="75" customFormat="1">
      <c r="A5" s="75" t="s">
        <v>289</v>
      </c>
      <c r="B5" s="75" t="s">
        <v>19</v>
      </c>
      <c r="K5" s="172" t="s">
        <v>75</v>
      </c>
      <c r="L5" s="180">
        <f>XIRR(J10:J30,C10:C30)</f>
        <v>4.474093198776246</v>
      </c>
    </row>
    <row r="6" spans="1:17">
      <c r="A6" s="75" t="s">
        <v>291</v>
      </c>
      <c r="B6" s="75" t="s">
        <v>24</v>
      </c>
    </row>
    <row r="7" spans="1:17">
      <c r="A7" s="75" t="s">
        <v>52</v>
      </c>
      <c r="B7" s="181">
        <v>10000000</v>
      </c>
    </row>
    <row r="8" spans="1:17">
      <c r="A8" s="75"/>
      <c r="B8" s="182"/>
    </row>
    <row r="9" spans="1:17" s="186" customFormat="1" ht="33.75">
      <c r="A9" s="183" t="s">
        <v>292</v>
      </c>
      <c r="B9" s="183" t="s">
        <v>0</v>
      </c>
      <c r="C9" s="183" t="s">
        <v>294</v>
      </c>
      <c r="D9" s="183" t="s">
        <v>295</v>
      </c>
      <c r="E9" s="183" t="s">
        <v>176</v>
      </c>
      <c r="F9" s="184" t="s">
        <v>296</v>
      </c>
      <c r="G9" s="185" t="s">
        <v>435</v>
      </c>
      <c r="H9" s="185" t="s">
        <v>436</v>
      </c>
      <c r="I9" s="185" t="s">
        <v>299</v>
      </c>
      <c r="J9" s="185" t="s">
        <v>300</v>
      </c>
      <c r="K9" s="185" t="s">
        <v>301</v>
      </c>
      <c r="L9" s="185" t="s">
        <v>302</v>
      </c>
      <c r="M9" s="185" t="s">
        <v>437</v>
      </c>
      <c r="N9" s="185" t="s">
        <v>438</v>
      </c>
      <c r="O9" s="184" t="s">
        <v>195</v>
      </c>
      <c r="P9" s="183" t="s">
        <v>288</v>
      </c>
    </row>
    <row r="10" spans="1:17">
      <c r="A10" s="2" t="s">
        <v>307</v>
      </c>
      <c r="B10" s="235" t="s">
        <v>308</v>
      </c>
      <c r="C10" s="187">
        <v>44235</v>
      </c>
      <c r="D10" s="2">
        <f t="shared" ref="D10:D30" si="0">YEAR(C10)</f>
        <v>2021</v>
      </c>
      <c r="F10" s="212">
        <v>-4553496.78</v>
      </c>
      <c r="G10" s="212">
        <v>-36666.67</v>
      </c>
      <c r="H10" s="212"/>
      <c r="I10" s="212"/>
      <c r="J10" s="212">
        <f t="shared" ref="J10:J24" si="1">SUM(F10:I10)</f>
        <v>-4590163.45</v>
      </c>
      <c r="K10" s="132">
        <f>J10</f>
        <v>-4590163.45</v>
      </c>
      <c r="L10" s="132">
        <f t="shared" ref="L10:L25" si="2">$B$7+K10</f>
        <v>5409836.5499999998</v>
      </c>
      <c r="M10" s="131">
        <f>IF(J10&gt;0,J10,0)</f>
        <v>0</v>
      </c>
      <c r="N10" s="131">
        <f>M10</f>
        <v>0</v>
      </c>
    </row>
    <row r="11" spans="1:17">
      <c r="A11" s="2" t="s">
        <v>307</v>
      </c>
      <c r="B11" s="235" t="s">
        <v>310</v>
      </c>
      <c r="C11" s="187">
        <v>44295</v>
      </c>
      <c r="D11" s="2">
        <f t="shared" si="0"/>
        <v>2021</v>
      </c>
      <c r="F11" s="212"/>
      <c r="G11" s="212">
        <v>-50000</v>
      </c>
      <c r="H11" s="212"/>
      <c r="I11" s="212"/>
      <c r="J11" s="212">
        <f t="shared" si="1"/>
        <v>-50000</v>
      </c>
      <c r="K11" s="200">
        <f t="shared" ref="K11:K23" si="3">IF(J11&lt;0,J11,0)+K10</f>
        <v>-4640163.45</v>
      </c>
      <c r="L11" s="132">
        <f t="shared" si="2"/>
        <v>5359836.55</v>
      </c>
      <c r="M11" s="131">
        <f>IF(J11&gt;0,J11,0)</f>
        <v>0</v>
      </c>
      <c r="N11" s="131">
        <f>N10+M11</f>
        <v>0</v>
      </c>
      <c r="Q11" s="2" t="s">
        <v>955</v>
      </c>
    </row>
    <row r="12" spans="1:17">
      <c r="A12" s="2" t="s">
        <v>307</v>
      </c>
      <c r="B12" s="235" t="s">
        <v>311</v>
      </c>
      <c r="C12" s="187">
        <v>44378</v>
      </c>
      <c r="D12" s="2">
        <f t="shared" si="0"/>
        <v>2021</v>
      </c>
      <c r="F12" s="212"/>
      <c r="G12" s="212">
        <v>-82113</v>
      </c>
      <c r="H12" s="212"/>
      <c r="I12" s="212"/>
      <c r="J12" s="212">
        <f t="shared" si="1"/>
        <v>-82113</v>
      </c>
      <c r="K12" s="200">
        <f t="shared" si="3"/>
        <v>-4722276.45</v>
      </c>
      <c r="L12" s="132">
        <f t="shared" si="2"/>
        <v>5277723.55</v>
      </c>
      <c r="M12" s="131">
        <f>IF(J12&gt;0,J12,0)</f>
        <v>0</v>
      </c>
      <c r="N12" s="131">
        <f>N11+M12</f>
        <v>0</v>
      </c>
      <c r="Q12" s="2" t="s">
        <v>956</v>
      </c>
    </row>
    <row r="13" spans="1:17">
      <c r="A13" s="2" t="s">
        <v>307</v>
      </c>
      <c r="B13" s="235" t="s">
        <v>316</v>
      </c>
      <c r="C13" s="187">
        <v>44473</v>
      </c>
      <c r="D13" s="2">
        <f t="shared" si="0"/>
        <v>2021</v>
      </c>
      <c r="F13" s="212"/>
      <c r="G13" s="212">
        <v>-50000</v>
      </c>
      <c r="H13" s="212"/>
      <c r="I13" s="212"/>
      <c r="J13" s="212">
        <f t="shared" si="1"/>
        <v>-50000</v>
      </c>
      <c r="K13" s="200">
        <f t="shared" si="3"/>
        <v>-4772276.45</v>
      </c>
      <c r="L13" s="132">
        <f t="shared" si="2"/>
        <v>5227723.55</v>
      </c>
      <c r="M13" s="131">
        <f>IF(J13&gt;0,J13,0)</f>
        <v>0</v>
      </c>
      <c r="N13" s="131">
        <f>N12+M13</f>
        <v>0</v>
      </c>
      <c r="P13" s="242"/>
      <c r="Q13" s="2" t="s">
        <v>957</v>
      </c>
    </row>
    <row r="14" spans="1:17">
      <c r="A14" s="2" t="s">
        <v>49</v>
      </c>
      <c r="B14" s="235" t="s">
        <v>314</v>
      </c>
      <c r="C14" s="187">
        <v>44579</v>
      </c>
      <c r="D14" s="2">
        <f t="shared" si="0"/>
        <v>2022</v>
      </c>
      <c r="E14" s="2" t="s">
        <v>958</v>
      </c>
      <c r="F14" s="212">
        <v>23939079</v>
      </c>
      <c r="G14" s="212">
        <v>0</v>
      </c>
      <c r="H14" s="212"/>
      <c r="I14" s="212"/>
      <c r="J14" s="212">
        <f t="shared" si="1"/>
        <v>23939079</v>
      </c>
      <c r="K14" s="200">
        <f t="shared" si="3"/>
        <v>-4772276.45</v>
      </c>
      <c r="L14" s="132">
        <f t="shared" si="2"/>
        <v>5227723.55</v>
      </c>
      <c r="M14" s="131">
        <f>IF(J14&gt;0,J14,0)</f>
        <v>23939079</v>
      </c>
      <c r="N14" s="131">
        <f t="shared" ref="N14:N23" si="4">N13+M14</f>
        <v>23939079</v>
      </c>
      <c r="O14" s="131">
        <v>5069159</v>
      </c>
      <c r="P14" s="131"/>
    </row>
    <row r="15" spans="1:17" ht="12.75" customHeight="1">
      <c r="A15" s="2" t="s">
        <v>307</v>
      </c>
      <c r="B15" s="235" t="s">
        <v>320</v>
      </c>
      <c r="C15" s="187">
        <v>44564</v>
      </c>
      <c r="D15" s="2">
        <f t="shared" si="0"/>
        <v>2022</v>
      </c>
      <c r="F15" s="212">
        <v>-66056</v>
      </c>
      <c r="G15" s="212"/>
      <c r="H15" s="212"/>
      <c r="I15" s="212"/>
      <c r="J15" s="212">
        <f t="shared" si="1"/>
        <v>-66056</v>
      </c>
      <c r="K15" s="200">
        <f t="shared" si="3"/>
        <v>-4838332.45</v>
      </c>
      <c r="L15" s="132">
        <f t="shared" si="2"/>
        <v>5161667.55</v>
      </c>
      <c r="M15" s="131">
        <f t="shared" ref="M15:M27" si="5">IF(J15&gt;0,J15,0)</f>
        <v>0</v>
      </c>
      <c r="N15" s="131">
        <f t="shared" si="4"/>
        <v>23939079</v>
      </c>
      <c r="Q15" s="2" t="s">
        <v>959</v>
      </c>
    </row>
    <row r="16" spans="1:17">
      <c r="A16" s="2" t="s">
        <v>307</v>
      </c>
      <c r="B16" s="235" t="s">
        <v>325</v>
      </c>
      <c r="C16" s="187">
        <v>44655</v>
      </c>
      <c r="D16" s="2">
        <f t="shared" si="0"/>
        <v>2022</v>
      </c>
      <c r="F16" s="212">
        <v>-914815</v>
      </c>
      <c r="G16" s="212"/>
      <c r="H16" s="212"/>
      <c r="I16" s="212"/>
      <c r="J16" s="212">
        <f t="shared" si="1"/>
        <v>-914815</v>
      </c>
      <c r="K16" s="200">
        <f t="shared" si="3"/>
        <v>-5753147.4500000002</v>
      </c>
      <c r="L16" s="132">
        <f t="shared" si="2"/>
        <v>4246852.55</v>
      </c>
      <c r="M16" s="131">
        <f t="shared" si="5"/>
        <v>0</v>
      </c>
      <c r="N16" s="131">
        <f t="shared" si="4"/>
        <v>23939079</v>
      </c>
      <c r="Q16" s="2" t="s">
        <v>960</v>
      </c>
    </row>
    <row r="17" spans="1:17">
      <c r="A17" s="2" t="s">
        <v>307</v>
      </c>
      <c r="B17" s="235" t="s">
        <v>322</v>
      </c>
      <c r="C17" s="187">
        <v>44755</v>
      </c>
      <c r="D17" s="2">
        <f t="shared" si="0"/>
        <v>2022</v>
      </c>
      <c r="F17" s="212">
        <v>-31688</v>
      </c>
      <c r="G17" s="212"/>
      <c r="H17" s="212"/>
      <c r="I17" s="212"/>
      <c r="J17" s="212">
        <f t="shared" si="1"/>
        <v>-31688</v>
      </c>
      <c r="K17" s="200">
        <f t="shared" si="3"/>
        <v>-5784835.4500000002</v>
      </c>
      <c r="L17" s="132">
        <f t="shared" si="2"/>
        <v>4215164.55</v>
      </c>
      <c r="M17" s="131">
        <f t="shared" si="5"/>
        <v>0</v>
      </c>
      <c r="N17" s="131">
        <f t="shared" si="4"/>
        <v>23939079</v>
      </c>
      <c r="Q17" s="2" t="s">
        <v>961</v>
      </c>
    </row>
    <row r="18" spans="1:17">
      <c r="A18" s="2" t="s">
        <v>307</v>
      </c>
      <c r="B18" s="235" t="s">
        <v>324</v>
      </c>
      <c r="C18" s="187">
        <v>44913</v>
      </c>
      <c r="D18" s="2">
        <f t="shared" si="0"/>
        <v>2022</v>
      </c>
      <c r="F18" s="212">
        <v>-95490</v>
      </c>
      <c r="G18" s="212"/>
      <c r="H18" s="212"/>
      <c r="I18" s="212"/>
      <c r="J18" s="212">
        <f t="shared" si="1"/>
        <v>-95490</v>
      </c>
      <c r="K18" s="200">
        <f t="shared" si="3"/>
        <v>-5880325.4500000002</v>
      </c>
      <c r="L18" s="132">
        <f t="shared" si="2"/>
        <v>4119674.55</v>
      </c>
      <c r="M18" s="131">
        <f t="shared" si="5"/>
        <v>0</v>
      </c>
      <c r="N18" s="131">
        <f t="shared" si="4"/>
        <v>23939079</v>
      </c>
      <c r="Q18" s="2" t="s">
        <v>961</v>
      </c>
    </row>
    <row r="19" spans="1:17">
      <c r="A19" s="2" t="s">
        <v>49</v>
      </c>
      <c r="B19" s="235" t="s">
        <v>330</v>
      </c>
      <c r="C19" s="187">
        <v>44936</v>
      </c>
      <c r="D19" s="2">
        <f t="shared" si="0"/>
        <v>2023</v>
      </c>
      <c r="E19" s="2" t="s">
        <v>962</v>
      </c>
      <c r="F19" s="200">
        <v>683168.56</v>
      </c>
      <c r="G19" s="200"/>
      <c r="H19" s="200"/>
      <c r="I19" s="200"/>
      <c r="J19" s="200">
        <f t="shared" si="1"/>
        <v>683168.56</v>
      </c>
      <c r="K19" s="200">
        <f t="shared" si="3"/>
        <v>-5880325.4500000002</v>
      </c>
      <c r="L19" s="132">
        <f t="shared" si="2"/>
        <v>4119674.55</v>
      </c>
      <c r="M19" s="131">
        <f>IF(J19&gt;0,J19,0)</f>
        <v>683168.56</v>
      </c>
      <c r="N19" s="131">
        <f t="shared" si="4"/>
        <v>24622247.559999999</v>
      </c>
      <c r="Q19" s="2" t="s">
        <v>963</v>
      </c>
    </row>
    <row r="20" spans="1:17">
      <c r="A20" s="2" t="s">
        <v>307</v>
      </c>
      <c r="B20" s="235" t="s">
        <v>327</v>
      </c>
      <c r="C20" s="187">
        <v>45002</v>
      </c>
      <c r="D20" s="2">
        <f t="shared" si="0"/>
        <v>2023</v>
      </c>
      <c r="E20" s="2" t="s">
        <v>964</v>
      </c>
      <c r="F20" s="200">
        <v>-465213.81</v>
      </c>
      <c r="G20" s="200"/>
      <c r="H20" s="200"/>
      <c r="I20" s="200"/>
      <c r="J20" s="200">
        <f t="shared" si="1"/>
        <v>-465213.81</v>
      </c>
      <c r="K20" s="200">
        <f t="shared" si="3"/>
        <v>-6345539.2599999998</v>
      </c>
      <c r="L20" s="132">
        <f t="shared" si="2"/>
        <v>3654460.74</v>
      </c>
      <c r="M20" s="131">
        <f t="shared" si="5"/>
        <v>0</v>
      </c>
      <c r="N20" s="131">
        <f t="shared" si="4"/>
        <v>24622247.559999999</v>
      </c>
      <c r="Q20" s="2" t="s">
        <v>965</v>
      </c>
    </row>
    <row r="21" spans="1:17">
      <c r="A21" s="2" t="s">
        <v>307</v>
      </c>
      <c r="B21" s="235" t="s">
        <v>329</v>
      </c>
      <c r="C21" s="187">
        <v>45134</v>
      </c>
      <c r="D21" s="2">
        <f t="shared" si="0"/>
        <v>2023</v>
      </c>
      <c r="F21" s="200"/>
      <c r="G21" s="200">
        <v>-49687</v>
      </c>
      <c r="H21" s="200"/>
      <c r="I21" s="200"/>
      <c r="J21" s="200">
        <f t="shared" si="1"/>
        <v>-49687</v>
      </c>
      <c r="K21" s="200">
        <f t="shared" si="3"/>
        <v>-6395226.2599999998</v>
      </c>
      <c r="L21" s="132">
        <f t="shared" si="2"/>
        <v>3604773.74</v>
      </c>
      <c r="M21" s="131">
        <f t="shared" si="5"/>
        <v>0</v>
      </c>
      <c r="N21" s="131">
        <f t="shared" si="4"/>
        <v>24622247.559999999</v>
      </c>
      <c r="Q21" s="2" t="s">
        <v>966</v>
      </c>
    </row>
    <row r="22" spans="1:17">
      <c r="A22" s="2" t="s">
        <v>307</v>
      </c>
      <c r="B22" s="235" t="s">
        <v>331</v>
      </c>
      <c r="C22" s="187">
        <v>45195</v>
      </c>
      <c r="D22" s="2">
        <f t="shared" si="0"/>
        <v>2023</v>
      </c>
      <c r="F22" s="200"/>
      <c r="G22" s="200">
        <v>-36301</v>
      </c>
      <c r="H22" s="200"/>
      <c r="I22" s="200"/>
      <c r="J22" s="200">
        <f t="shared" si="1"/>
        <v>-36301</v>
      </c>
      <c r="K22" s="200">
        <f t="shared" si="3"/>
        <v>-6431527.2599999998</v>
      </c>
      <c r="L22" s="132">
        <f t="shared" si="2"/>
        <v>3568472.74</v>
      </c>
      <c r="M22" s="131">
        <f t="shared" si="5"/>
        <v>0</v>
      </c>
      <c r="N22" s="131">
        <f t="shared" si="4"/>
        <v>24622247.559999999</v>
      </c>
    </row>
    <row r="23" spans="1:17">
      <c r="A23" s="2" t="s">
        <v>307</v>
      </c>
      <c r="B23" s="235" t="s">
        <v>333</v>
      </c>
      <c r="C23" s="187">
        <v>45272</v>
      </c>
      <c r="D23" s="2">
        <f t="shared" si="0"/>
        <v>2023</v>
      </c>
      <c r="F23" s="200"/>
      <c r="G23" s="200">
        <v>-38122</v>
      </c>
      <c r="H23" s="200"/>
      <c r="I23" s="200"/>
      <c r="J23" s="200">
        <f t="shared" si="1"/>
        <v>-38122</v>
      </c>
      <c r="K23" s="200">
        <f t="shared" si="3"/>
        <v>-6469649.2599999998</v>
      </c>
      <c r="L23" s="132">
        <f t="shared" si="2"/>
        <v>3530350.74</v>
      </c>
      <c r="M23" s="131">
        <f t="shared" si="5"/>
        <v>0</v>
      </c>
      <c r="N23" s="131">
        <f t="shared" si="4"/>
        <v>24622247.559999999</v>
      </c>
    </row>
    <row r="24" spans="1:17" ht="15">
      <c r="A24" s="2" t="s">
        <v>307</v>
      </c>
      <c r="B24" s="235" t="s">
        <v>335</v>
      </c>
      <c r="C24" s="187">
        <v>45380</v>
      </c>
      <c r="D24" s="2">
        <f t="shared" si="0"/>
        <v>2024</v>
      </c>
      <c r="F24" s="200"/>
      <c r="G24" s="200">
        <v>-51969</v>
      </c>
      <c r="H24" s="200"/>
      <c r="I24" s="200"/>
      <c r="J24" s="404">
        <f t="shared" si="1"/>
        <v>-51969</v>
      </c>
      <c r="K24" s="200">
        <f>IF(J24&lt;0,J24,0)+K23</f>
        <v>-6521618.2599999998</v>
      </c>
      <c r="L24" s="132">
        <f t="shared" si="2"/>
        <v>3478381.74</v>
      </c>
      <c r="M24" s="131">
        <f t="shared" si="5"/>
        <v>0</v>
      </c>
      <c r="N24" s="131">
        <f>N23+M24</f>
        <v>24622247.559999999</v>
      </c>
    </row>
    <row r="25" spans="1:17" ht="15">
      <c r="A25" s="2" t="s">
        <v>307</v>
      </c>
      <c r="B25" s="235" t="s">
        <v>342</v>
      </c>
      <c r="C25" s="187">
        <v>45469</v>
      </c>
      <c r="D25" s="2">
        <f t="shared" si="0"/>
        <v>2024</v>
      </c>
      <c r="F25" s="200"/>
      <c r="G25" s="200">
        <v>-36181</v>
      </c>
      <c r="H25" s="200"/>
      <c r="I25" s="200"/>
      <c r="J25" s="404">
        <v>-36181</v>
      </c>
      <c r="K25" s="200">
        <f>IF(J25&lt;0,J25,0)+K24</f>
        <v>-6557799.2599999998</v>
      </c>
      <c r="L25" s="132">
        <f t="shared" si="2"/>
        <v>3442200.74</v>
      </c>
      <c r="M25" s="131">
        <f t="shared" si="5"/>
        <v>0</v>
      </c>
      <c r="N25" s="131">
        <f>N24+M25</f>
        <v>24622247.559999999</v>
      </c>
      <c r="Q25" s="2" t="s">
        <v>967</v>
      </c>
    </row>
    <row r="26" spans="1:17" ht="15">
      <c r="A26" s="2" t="s">
        <v>307</v>
      </c>
      <c r="B26" s="235" t="s">
        <v>346</v>
      </c>
      <c r="C26" s="187">
        <v>45567</v>
      </c>
      <c r="D26" s="2">
        <f t="shared" si="0"/>
        <v>2024</v>
      </c>
      <c r="F26" s="200"/>
      <c r="G26" s="200">
        <v>-38077</v>
      </c>
      <c r="H26" s="200"/>
      <c r="I26" s="200"/>
      <c r="J26" s="404">
        <v>-38077</v>
      </c>
      <c r="K26" s="200">
        <f>IF(J26&lt;0,J26,0)+K25</f>
        <v>-6595876.2599999998</v>
      </c>
      <c r="L26" s="132">
        <f>$B$7+K26</f>
        <v>3404123.74</v>
      </c>
      <c r="M26" s="131">
        <f t="shared" si="5"/>
        <v>0</v>
      </c>
      <c r="N26" s="131">
        <f>N25+M26</f>
        <v>24622247.559999999</v>
      </c>
    </row>
    <row r="27" spans="1:17" ht="11.25" customHeight="1">
      <c r="A27" s="2" t="s">
        <v>307</v>
      </c>
      <c r="B27" s="235" t="s">
        <v>456</v>
      </c>
      <c r="C27" s="187">
        <v>45659</v>
      </c>
      <c r="D27" s="2">
        <f t="shared" si="0"/>
        <v>2025</v>
      </c>
      <c r="F27" s="200"/>
      <c r="G27" s="200">
        <v>-26669</v>
      </c>
      <c r="H27" s="200"/>
      <c r="I27" s="200"/>
      <c r="J27" s="404">
        <v>-26669</v>
      </c>
      <c r="K27" s="200">
        <f>IF(J27&lt;0,J27,0)+K26</f>
        <v>-6622545.2599999998</v>
      </c>
      <c r="L27" s="132">
        <f>$B$7+K27</f>
        <v>3377454.74</v>
      </c>
      <c r="M27" s="131">
        <f t="shared" si="5"/>
        <v>0</v>
      </c>
      <c r="N27" s="131">
        <f>N26+M27</f>
        <v>24622247.559999999</v>
      </c>
    </row>
    <row r="28" spans="1:17" ht="15">
      <c r="B28" s="235"/>
      <c r="C28" s="187"/>
      <c r="F28" s="200"/>
      <c r="G28" s="200"/>
      <c r="H28" s="200"/>
      <c r="I28" s="200"/>
      <c r="J28" s="413"/>
      <c r="K28" s="200"/>
      <c r="L28" s="132"/>
      <c r="M28" s="131"/>
      <c r="N28" s="131"/>
    </row>
    <row r="29" spans="1:17" ht="11.25" customHeight="1">
      <c r="B29" s="235"/>
      <c r="C29" s="187"/>
      <c r="F29" s="170"/>
      <c r="G29" s="132"/>
      <c r="H29" s="132"/>
      <c r="J29" s="132"/>
      <c r="K29" s="132"/>
      <c r="L29" s="132"/>
      <c r="M29" s="131"/>
      <c r="N29" s="131"/>
    </row>
    <row r="30" spans="1:17" s="191" customFormat="1">
      <c r="A30" s="191" t="s">
        <v>716</v>
      </c>
      <c r="C30" s="192">
        <f>B3</f>
        <v>45657</v>
      </c>
      <c r="D30" s="191">
        <f t="shared" si="0"/>
        <v>2024</v>
      </c>
      <c r="H30" s="191" t="s">
        <v>681</v>
      </c>
      <c r="I30" s="193"/>
      <c r="J30" s="194">
        <v>2680999.9999999995</v>
      </c>
      <c r="K30" s="193"/>
      <c r="L30" s="282"/>
      <c r="M30" s="193"/>
      <c r="N30" s="193"/>
      <c r="O30" s="193"/>
      <c r="P30" s="193"/>
    </row>
  </sheetData>
  <autoFilter ref="A9:S24" xr:uid="{04C9AC3D-9D5F-4FE2-B368-9682DC439832}"/>
  <mergeCells count="1">
    <mergeCell ref="K1:L1"/>
  </mergeCells>
  <phoneticPr fontId="62" type="noConversion"/>
  <hyperlinks>
    <hyperlink ref="J24" r:id="rId1" display="../../../../../../../../../:b:/s/ACH33-ACH33-SGInvestment-CCGBVI/EbcsmuYR3UZJq5ABUltTqykBu679_bI2KG1JgVF4xkRo5g?e=1ANSFw" xr:uid="{AFF44E4C-807D-4652-A94E-6D202BE286CD}"/>
    <hyperlink ref="J25" r:id="rId2" display="36181" xr:uid="{A1EB7930-9723-488E-A723-546A5C99D1B2}"/>
    <hyperlink ref="J26" r:id="rId3" display="-38077" xr:uid="{BE955B15-1947-4640-B19C-361747F77652}"/>
    <hyperlink ref="J27" r:id="rId4" display="../../../../../../../:b:/s/ACH33-ACH33-SGInvestment-CCGBVI/EZkYk_JaKglChJylbb371QUBhcYUwn6P4Viydrg3nDhD2Q?e=hTyxhI" xr:uid="{A2BEE06D-DC49-4A2D-870D-43BB53D4DF4D}"/>
  </hyperlinks>
  <pageMargins left="0.7" right="0.7" top="0.75" bottom="0.75" header="0.3" footer="0.3"/>
  <pageSetup paperSize="9" scale="33" orientation="portrait" r:id="rId5"/>
  <legacyDrawing r:id="rId6"/>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0899A-3F6F-4506-A8E8-9CD98C63B1DF}">
  <sheetPr>
    <tabColor theme="8"/>
    <outlinePr showOutlineSymbols="0"/>
    <pageSetUpPr fitToPage="1"/>
  </sheetPr>
  <dimension ref="A1:AN43"/>
  <sheetViews>
    <sheetView workbookViewId="0"/>
  </sheetViews>
  <sheetFormatPr defaultColWidth="9" defaultRowHeight="11.25" outlineLevelRow="1"/>
  <cols>
    <col min="1" max="1" width="32.140625" style="2" customWidth="1"/>
    <col min="2" max="2" width="79.42578125" style="2" bestFit="1" customWidth="1"/>
    <col min="3" max="3" width="15.7109375" style="2" customWidth="1"/>
    <col min="4" max="4" width="31.140625" style="2" customWidth="1"/>
    <col min="5" max="5" width="14.42578125" style="2" bestFit="1" customWidth="1"/>
    <col min="6" max="7" width="10.7109375" style="2" customWidth="1"/>
    <col min="8" max="8" width="38" style="2" bestFit="1" customWidth="1"/>
    <col min="9" max="9" width="19.28515625" style="2" bestFit="1" customWidth="1"/>
    <col min="10" max="10" width="19.28515625" style="2" customWidth="1"/>
    <col min="11" max="11" width="12.7109375" style="367" customWidth="1"/>
    <col min="12" max="12" width="12.7109375" style="2" customWidth="1"/>
    <col min="13" max="15" width="14.7109375" style="2" customWidth="1"/>
    <col min="16" max="17" width="7.7109375" style="2" customWidth="1"/>
    <col min="18" max="19" width="15.7109375" style="2" customWidth="1"/>
    <col min="20" max="20" width="12.7109375" style="367" customWidth="1"/>
    <col min="21" max="21" width="12.7109375" style="2" customWidth="1"/>
    <col min="22" max="24" width="14.7109375" style="2" customWidth="1"/>
    <col min="25" max="26" width="7.7109375" style="2" customWidth="1"/>
    <col min="27" max="28" width="15.7109375" style="2" customWidth="1"/>
    <col min="29" max="29" width="12.7109375" style="367" customWidth="1"/>
    <col min="30" max="30" width="12.7109375" style="2" customWidth="1"/>
    <col min="31" max="33" width="14.7109375" style="2" customWidth="1"/>
    <col min="34" max="35" width="7.7109375" style="2" customWidth="1"/>
    <col min="36" max="39" width="15.7109375" style="2" customWidth="1"/>
    <col min="40" max="40" width="9" style="367"/>
    <col min="41" max="16384" width="9" style="2"/>
  </cols>
  <sheetData>
    <row r="1" spans="1:20">
      <c r="A1" s="117" t="s">
        <v>179</v>
      </c>
      <c r="B1" s="118"/>
      <c r="C1" s="74"/>
      <c r="D1" s="117" t="s">
        <v>180</v>
      </c>
      <c r="E1" s="219">
        <v>45657</v>
      </c>
      <c r="H1" s="117" t="s">
        <v>404</v>
      </c>
      <c r="I1" s="118"/>
      <c r="J1" s="74"/>
    </row>
    <row r="2" spans="1:20" outlineLevel="1">
      <c r="A2" s="2" t="s">
        <v>182</v>
      </c>
      <c r="B2" s="2" t="s">
        <v>968</v>
      </c>
      <c r="D2" s="2" t="s">
        <v>183</v>
      </c>
      <c r="E2" s="283">
        <f>W35</f>
        <v>2.4</v>
      </c>
      <c r="H2" s="2" t="s">
        <v>184</v>
      </c>
      <c r="I2" s="120" t="s">
        <v>969</v>
      </c>
      <c r="J2" s="120"/>
    </row>
    <row r="3" spans="1:20" outlineLevel="1">
      <c r="A3" s="2" t="s">
        <v>186</v>
      </c>
      <c r="B3" s="297">
        <v>45414</v>
      </c>
      <c r="D3" s="2" t="s">
        <v>187</v>
      </c>
      <c r="E3" s="220">
        <v>2.3258299999999998</v>
      </c>
      <c r="H3" s="2" t="s">
        <v>188</v>
      </c>
      <c r="I3" s="120" t="s">
        <v>969</v>
      </c>
      <c r="J3" s="120"/>
    </row>
    <row r="4" spans="1:20" outlineLevel="1">
      <c r="A4" s="2" t="s">
        <v>190</v>
      </c>
      <c r="B4" s="122">
        <v>45778</v>
      </c>
      <c r="D4" s="2" t="s">
        <v>191</v>
      </c>
      <c r="E4" s="125">
        <f>Y37</f>
        <v>1</v>
      </c>
      <c r="H4" s="2" t="s">
        <v>192</v>
      </c>
      <c r="I4" s="124">
        <v>0.08</v>
      </c>
      <c r="J4" s="320"/>
    </row>
    <row r="5" spans="1:20" outlineLevel="1">
      <c r="A5" s="2" t="s">
        <v>193</v>
      </c>
      <c r="B5" s="120">
        <v>2024</v>
      </c>
      <c r="D5" s="2" t="s">
        <v>194</v>
      </c>
      <c r="E5" s="125" t="s">
        <v>685</v>
      </c>
      <c r="H5" s="2" t="s">
        <v>195</v>
      </c>
      <c r="I5" s="126">
        <v>0.2</v>
      </c>
      <c r="J5" s="126"/>
    </row>
    <row r="6" spans="1:20" outlineLevel="1">
      <c r="A6" s="2" t="s">
        <v>196</v>
      </c>
      <c r="B6" s="120" t="s">
        <v>970</v>
      </c>
      <c r="D6" s="2" t="s">
        <v>198</v>
      </c>
      <c r="E6" s="284" t="s">
        <v>685</v>
      </c>
      <c r="H6" s="117" t="s">
        <v>199</v>
      </c>
      <c r="I6" s="118"/>
      <c r="J6" s="74"/>
    </row>
    <row r="7" spans="1:20" outlineLevel="1">
      <c r="A7" s="2" t="s">
        <v>200</v>
      </c>
      <c r="B7" s="120" t="s">
        <v>971</v>
      </c>
      <c r="D7" s="2" t="s">
        <v>202</v>
      </c>
      <c r="E7" s="284" t="s">
        <v>685</v>
      </c>
      <c r="H7" s="2" t="s">
        <v>972</v>
      </c>
      <c r="I7" s="2" t="s">
        <v>973</v>
      </c>
    </row>
    <row r="8" spans="1:20" outlineLevel="1">
      <c r="A8" s="2" t="s">
        <v>205</v>
      </c>
      <c r="B8" s="120" t="s">
        <v>47</v>
      </c>
      <c r="D8" s="2" t="s">
        <v>620</v>
      </c>
      <c r="E8" s="284" t="s">
        <v>685</v>
      </c>
      <c r="H8" s="120" t="s">
        <v>208</v>
      </c>
      <c r="I8" s="2" t="s">
        <v>209</v>
      </c>
    </row>
    <row r="9" spans="1:20" outlineLevel="1">
      <c r="A9" s="2" t="s">
        <v>65</v>
      </c>
      <c r="B9" s="120" t="s">
        <v>974</v>
      </c>
      <c r="D9" s="128" t="s">
        <v>211</v>
      </c>
      <c r="E9" s="291"/>
    </row>
    <row r="10" spans="1:20" outlineLevel="1">
      <c r="A10" s="2" t="s">
        <v>212</v>
      </c>
      <c r="B10" s="120" t="s">
        <v>975</v>
      </c>
      <c r="D10" s="2" t="s">
        <v>214</v>
      </c>
      <c r="E10" s="292">
        <f>'Genedent Ventures (CF)'!C7/10^6</f>
        <v>37.6</v>
      </c>
    </row>
    <row r="11" spans="1:20" outlineLevel="1">
      <c r="A11" s="2" t="s">
        <v>215</v>
      </c>
      <c r="B11" s="120" t="s">
        <v>574</v>
      </c>
      <c r="D11" s="2" t="s">
        <v>216</v>
      </c>
      <c r="E11" s="546">
        <v>0.94</v>
      </c>
    </row>
    <row r="12" spans="1:20" outlineLevel="1">
      <c r="A12" s="2" t="s">
        <v>217</v>
      </c>
      <c r="B12" s="120" t="s">
        <v>24</v>
      </c>
      <c r="D12" s="2" t="s">
        <v>218</v>
      </c>
      <c r="E12" s="264">
        <f>-'Genedent Ventures (CF)'!M2/10^6</f>
        <v>2.9547330000000001</v>
      </c>
      <c r="T12" s="502"/>
    </row>
    <row r="13" spans="1:20" outlineLevel="1">
      <c r="A13" s="2" t="s">
        <v>219</v>
      </c>
      <c r="B13" s="120" t="s">
        <v>976</v>
      </c>
      <c r="D13" s="2" t="s">
        <v>221</v>
      </c>
      <c r="E13" s="264">
        <f>E10-E12</f>
        <v>34.645267000000004</v>
      </c>
      <c r="N13" s="314"/>
      <c r="T13" s="502"/>
    </row>
    <row r="14" spans="1:20" outlineLevel="1">
      <c r="A14" s="2" t="s">
        <v>222</v>
      </c>
      <c r="B14" s="120" t="s">
        <v>977</v>
      </c>
      <c r="D14" s="2" t="s">
        <v>224</v>
      </c>
      <c r="E14" s="264">
        <f>'Genedent Ventures (CF)'!M3/10^6</f>
        <v>0</v>
      </c>
      <c r="N14" s="314"/>
      <c r="T14" s="502"/>
    </row>
    <row r="15" spans="1:20" outlineLevel="1">
      <c r="A15" s="2" t="s">
        <v>225</v>
      </c>
      <c r="B15" s="2" t="s">
        <v>978</v>
      </c>
      <c r="D15" s="2" t="s">
        <v>227</v>
      </c>
      <c r="E15" s="265">
        <f>'Genedent Ventures (CF)'!L14/10^6</f>
        <v>2.18628</v>
      </c>
      <c r="N15" s="314"/>
    </row>
    <row r="16" spans="1:20" outlineLevel="1">
      <c r="A16" s="2" t="s">
        <v>228</v>
      </c>
      <c r="B16" s="134">
        <v>44196</v>
      </c>
      <c r="D16" s="2" t="s">
        <v>229</v>
      </c>
      <c r="E16" s="225">
        <f>E12/E10</f>
        <v>7.8583324468085108E-2</v>
      </c>
      <c r="N16" s="314"/>
    </row>
    <row r="17" spans="1:40" outlineLevel="1">
      <c r="A17" s="2" t="s">
        <v>230</v>
      </c>
      <c r="B17" s="120" t="s">
        <v>626</v>
      </c>
      <c r="D17" s="2" t="s">
        <v>232</v>
      </c>
      <c r="E17" s="266">
        <f>E14/E12</f>
        <v>0</v>
      </c>
    </row>
    <row r="18" spans="1:40" outlineLevel="1">
      <c r="A18" s="117" t="s">
        <v>233</v>
      </c>
      <c r="B18" s="118"/>
      <c r="D18" s="2" t="s">
        <v>234</v>
      </c>
      <c r="E18" s="416">
        <f>(E15+E14)/E12</f>
        <v>0.7399247241628939</v>
      </c>
    </row>
    <row r="19" spans="1:40" outlineLevel="1">
      <c r="A19" s="2" t="s">
        <v>235</v>
      </c>
      <c r="B19" s="120">
        <v>2</v>
      </c>
      <c r="D19" s="2" t="s">
        <v>627</v>
      </c>
      <c r="E19" s="266">
        <f>'Genedent Ventures (CF)'!M5</f>
        <v>-0.676577963635698</v>
      </c>
    </row>
    <row r="20" spans="1:40" ht="13.5" customHeight="1"/>
    <row r="30" spans="1:40" ht="13.5" customHeight="1">
      <c r="K30" s="503" t="s">
        <v>236</v>
      </c>
      <c r="L30" s="504"/>
      <c r="M30" s="504"/>
      <c r="N30" s="504"/>
      <c r="O30" s="504"/>
      <c r="P30" s="504"/>
      <c r="Q30" s="505"/>
      <c r="R30" s="505"/>
      <c r="S30" s="504"/>
      <c r="T30" s="503" t="s">
        <v>237</v>
      </c>
      <c r="U30" s="504"/>
      <c r="V30" s="504"/>
      <c r="W30" s="504"/>
      <c r="X30" s="504"/>
      <c r="Y30" s="504"/>
      <c r="Z30" s="505"/>
      <c r="AA30" s="505"/>
      <c r="AB30" s="504"/>
      <c r="AC30" s="503" t="s">
        <v>238</v>
      </c>
      <c r="AD30" s="504"/>
      <c r="AE30" s="504"/>
      <c r="AF30" s="504"/>
      <c r="AG30" s="504"/>
      <c r="AH30" s="504"/>
      <c r="AI30" s="505"/>
      <c r="AJ30" s="505"/>
      <c r="AK30" s="505"/>
      <c r="AL30" s="505"/>
      <c r="AM30" s="504"/>
    </row>
    <row r="31" spans="1:40" s="141" customFormat="1" ht="39.75" customHeight="1">
      <c r="A31" s="138" t="s">
        <v>239</v>
      </c>
      <c r="B31" s="139" t="s">
        <v>240</v>
      </c>
      <c r="C31" s="139" t="s">
        <v>69</v>
      </c>
      <c r="D31" s="139" t="s">
        <v>241</v>
      </c>
      <c r="E31" s="139" t="s">
        <v>242</v>
      </c>
      <c r="F31" s="139" t="s">
        <v>243</v>
      </c>
      <c r="G31" s="139" t="s">
        <v>244</v>
      </c>
      <c r="H31" s="139" t="s">
        <v>245</v>
      </c>
      <c r="I31" s="139" t="s">
        <v>246</v>
      </c>
      <c r="J31" s="501" t="s">
        <v>247</v>
      </c>
      <c r="K31" s="506" t="s">
        <v>248</v>
      </c>
      <c r="L31" s="506" t="s">
        <v>249</v>
      </c>
      <c r="M31" s="507" t="s">
        <v>250</v>
      </c>
      <c r="N31" s="506" t="s">
        <v>251</v>
      </c>
      <c r="O31" s="507" t="s">
        <v>252</v>
      </c>
      <c r="P31" s="506" t="s">
        <v>115</v>
      </c>
      <c r="Q31" s="507" t="s">
        <v>253</v>
      </c>
      <c r="R31" s="508" t="s">
        <v>254</v>
      </c>
      <c r="S31" s="509" t="s">
        <v>255</v>
      </c>
      <c r="T31" s="506" t="s">
        <v>248</v>
      </c>
      <c r="U31" s="506" t="s">
        <v>249</v>
      </c>
      <c r="V31" s="507" t="s">
        <v>250</v>
      </c>
      <c r="W31" s="506" t="s">
        <v>251</v>
      </c>
      <c r="X31" s="507" t="s">
        <v>252</v>
      </c>
      <c r="Y31" s="506" t="s">
        <v>115</v>
      </c>
      <c r="Z31" s="507" t="s">
        <v>253</v>
      </c>
      <c r="AA31" s="508" t="s">
        <v>254</v>
      </c>
      <c r="AB31" s="509" t="s">
        <v>255</v>
      </c>
      <c r="AC31" s="506" t="s">
        <v>248</v>
      </c>
      <c r="AD31" s="506" t="s">
        <v>249</v>
      </c>
      <c r="AE31" s="507" t="s">
        <v>250</v>
      </c>
      <c r="AF31" s="506" t="s">
        <v>251</v>
      </c>
      <c r="AG31" s="507" t="s">
        <v>252</v>
      </c>
      <c r="AH31" s="506" t="s">
        <v>115</v>
      </c>
      <c r="AI31" s="507" t="s">
        <v>253</v>
      </c>
      <c r="AJ31" s="508" t="s">
        <v>254</v>
      </c>
      <c r="AK31" s="509" t="s">
        <v>255</v>
      </c>
      <c r="AL31" s="508" t="s">
        <v>256</v>
      </c>
      <c r="AM31" s="509" t="s">
        <v>257</v>
      </c>
      <c r="AN31" s="510"/>
    </row>
    <row r="32" spans="1:40">
      <c r="A32" s="2" t="s">
        <v>979</v>
      </c>
      <c r="B32" s="2" t="s">
        <v>980</v>
      </c>
      <c r="C32" s="235" t="s">
        <v>99</v>
      </c>
      <c r="D32" s="374" t="s">
        <v>584</v>
      </c>
      <c r="E32" s="374">
        <v>45505</v>
      </c>
      <c r="F32" s="374" t="s">
        <v>44</v>
      </c>
      <c r="G32" s="374" t="s">
        <v>44</v>
      </c>
      <c r="H32" s="374" t="s">
        <v>44</v>
      </c>
      <c r="I32" s="235" t="s">
        <v>44</v>
      </c>
      <c r="J32" s="512" t="s">
        <v>44</v>
      </c>
      <c r="K32" s="513" t="s">
        <v>44</v>
      </c>
      <c r="L32" s="514" t="s">
        <v>44</v>
      </c>
      <c r="M32" s="513" t="s">
        <v>44</v>
      </c>
      <c r="N32" s="513" t="s">
        <v>44</v>
      </c>
      <c r="O32" s="513" t="s">
        <v>44</v>
      </c>
      <c r="P32" s="268" t="s">
        <v>44</v>
      </c>
      <c r="Q32" s="513" t="s">
        <v>44</v>
      </c>
      <c r="R32" s="513" t="s">
        <v>44</v>
      </c>
      <c r="S32" s="515" t="s">
        <v>44</v>
      </c>
      <c r="T32" s="516">
        <v>1.4</v>
      </c>
      <c r="U32" s="514" t="s">
        <v>44</v>
      </c>
      <c r="V32" s="513">
        <v>0</v>
      </c>
      <c r="W32" s="513">
        <v>1.4</v>
      </c>
      <c r="X32" s="513">
        <f>V32+W32</f>
        <v>1.4</v>
      </c>
      <c r="Y32" s="268">
        <f>X32/T32</f>
        <v>1</v>
      </c>
      <c r="Z32" s="513">
        <v>0</v>
      </c>
      <c r="AA32" s="513" t="s">
        <v>44</v>
      </c>
      <c r="AB32" s="515" t="s">
        <v>44</v>
      </c>
      <c r="AC32" s="517"/>
      <c r="AD32" s="514"/>
      <c r="AE32" s="513"/>
      <c r="AF32" s="513"/>
      <c r="AG32" s="513"/>
      <c r="AH32" s="268"/>
      <c r="AI32" s="513"/>
      <c r="AJ32" s="513"/>
      <c r="AK32" s="515"/>
      <c r="AL32" s="513"/>
      <c r="AM32" s="515"/>
    </row>
    <row r="33" spans="1:40">
      <c r="A33" s="116" t="s">
        <v>981</v>
      </c>
      <c r="B33" s="2" t="s">
        <v>982</v>
      </c>
      <c r="C33" s="235" t="s">
        <v>273</v>
      </c>
      <c r="D33" s="374" t="s">
        <v>584</v>
      </c>
      <c r="E33" s="374">
        <v>45597</v>
      </c>
      <c r="F33" s="374" t="s">
        <v>44</v>
      </c>
      <c r="G33" s="374" t="s">
        <v>44</v>
      </c>
      <c r="H33" s="374" t="s">
        <v>44</v>
      </c>
      <c r="I33" s="235" t="s">
        <v>44</v>
      </c>
      <c r="J33" s="518" t="s">
        <v>44</v>
      </c>
      <c r="K33" s="513" t="s">
        <v>44</v>
      </c>
      <c r="L33" s="514" t="s">
        <v>44</v>
      </c>
      <c r="M33" s="513" t="s">
        <v>44</v>
      </c>
      <c r="N33" s="513" t="s">
        <v>44</v>
      </c>
      <c r="O33" s="513" t="s">
        <v>44</v>
      </c>
      <c r="P33" s="269" t="s">
        <v>44</v>
      </c>
      <c r="Q33" s="513" t="s">
        <v>44</v>
      </c>
      <c r="R33" s="513" t="s">
        <v>44</v>
      </c>
      <c r="S33" s="515" t="s">
        <v>44</v>
      </c>
      <c r="T33" s="519">
        <v>1</v>
      </c>
      <c r="U33" s="514" t="s">
        <v>44</v>
      </c>
      <c r="V33" s="513">
        <v>0</v>
      </c>
      <c r="W33" s="513">
        <v>1</v>
      </c>
      <c r="X33" s="513">
        <f>W33+V33</f>
        <v>1</v>
      </c>
      <c r="Y33" s="268">
        <f>X33/T33</f>
        <v>1</v>
      </c>
      <c r="Z33" s="513">
        <v>0</v>
      </c>
      <c r="AA33" s="513" t="s">
        <v>44</v>
      </c>
      <c r="AB33" s="515" t="s">
        <v>44</v>
      </c>
      <c r="AC33" s="517"/>
      <c r="AD33" s="514"/>
      <c r="AE33" s="513"/>
      <c r="AF33" s="513"/>
      <c r="AG33" s="513"/>
      <c r="AH33" s="268"/>
      <c r="AI33" s="513"/>
      <c r="AJ33" s="513"/>
      <c r="AK33" s="515"/>
      <c r="AL33" s="513"/>
      <c r="AM33" s="515"/>
    </row>
    <row r="35" spans="1:40" s="520" customFormat="1" ht="12" thickBot="1">
      <c r="A35" s="520" t="s">
        <v>45</v>
      </c>
      <c r="K35" s="521">
        <f>SUM(K32:K33)</f>
        <v>0</v>
      </c>
      <c r="M35" s="522">
        <f>SUM(M32:M33)</f>
        <v>0</v>
      </c>
      <c r="N35" s="522">
        <f>SUM(N32:N33)</f>
        <v>0</v>
      </c>
      <c r="O35" s="522">
        <f>SUM(O32:O33)</f>
        <v>0</v>
      </c>
      <c r="P35" s="523" t="s">
        <v>44</v>
      </c>
      <c r="Q35" s="524" t="s">
        <v>44</v>
      </c>
      <c r="R35" s="524" t="s">
        <v>44</v>
      </c>
      <c r="S35" s="524" t="s">
        <v>44</v>
      </c>
      <c r="T35" s="571">
        <f>SUM(T32:T33)</f>
        <v>2.4</v>
      </c>
      <c r="V35" s="522">
        <f>SUM(V32:V33)</f>
        <v>0</v>
      </c>
      <c r="W35" s="573">
        <f>SUM(W32:W33)</f>
        <v>2.4</v>
      </c>
      <c r="X35" s="522">
        <f>SUM(X32:X33)</f>
        <v>2.4</v>
      </c>
      <c r="Y35" s="523">
        <f t="shared" ref="Y35" si="0">X35/T35</f>
        <v>1</v>
      </c>
      <c r="Z35" s="525" t="s">
        <v>44</v>
      </c>
      <c r="AA35" s="525">
        <f t="shared" ref="AA35" si="1">X35-O35</f>
        <v>2.4</v>
      </c>
      <c r="AB35" s="526" t="s">
        <v>44</v>
      </c>
      <c r="AC35" s="527"/>
      <c r="AN35" s="527"/>
    </row>
    <row r="37" spans="1:40" s="389" customFormat="1">
      <c r="A37" s="388" t="s">
        <v>277</v>
      </c>
      <c r="K37" s="528">
        <f>SUMIF($D$32:$D$33,"Unrealized",K$32:K$33)+SUMIF($D$32:$D$33,"Partial Realized",K$32:K$33)</f>
        <v>0</v>
      </c>
      <c r="M37" s="529">
        <f>SUMIF($D$32:$D$33,"Unrealized",M$32:M$33)+SUMIF($D$32:$D$33,"Partial Realized",M$32:M$33)</f>
        <v>0</v>
      </c>
      <c r="N37" s="529">
        <f>SUMIF($D$32:$D$33,"Unrealized",N$32:N$33)+SUMIF($D$32:$D$33,"Partial Realized",N$32:N$33)</f>
        <v>0</v>
      </c>
      <c r="O37" s="529">
        <f>SUMIF($D$32:$D$33,"Unrealized",O$32:O$33)+SUMIF($D$32:$D$33,"Partial Realized",O$32:O$33)</f>
        <v>0</v>
      </c>
      <c r="P37" s="530" t="s">
        <v>44</v>
      </c>
      <c r="R37" s="531" t="s">
        <v>44</v>
      </c>
      <c r="S37" s="532" t="s">
        <v>44</v>
      </c>
      <c r="T37" s="528">
        <f>SUMIF($D$32:$D$33,"Unrealized",T$32:T$33)+SUMIF($D$32:$D$33,"Partial Realized",T$32:T$33)</f>
        <v>2.4</v>
      </c>
      <c r="V37" s="529">
        <f>SUMIF($D$32:$D$33,"Unrealized",V$32:V$33)+SUMIF($D$32:$D$33,"Partial Realized",V$32:V$33)</f>
        <v>0</v>
      </c>
      <c r="W37" s="529">
        <f>SUMIF($D$32:$D$33,"Unrealized",W$32:W$33)+SUMIF($D$32:$D$33,"Partial Realized",W$32:W$33)</f>
        <v>2.4</v>
      </c>
      <c r="X37" s="529">
        <f>SUMIF($D$32:$D$33,"Unrealized",X$32:X$33)+SUMIF($D$32:$D$33,"Partial Realized",X$32:X$33)</f>
        <v>2.4</v>
      </c>
      <c r="Y37" s="530">
        <f t="shared" ref="Y37" si="2">X37/T37</f>
        <v>1</v>
      </c>
      <c r="AA37" s="533">
        <f t="shared" ref="AA37:AA38" si="3">X37-O37</f>
        <v>2.4</v>
      </c>
      <c r="AB37" s="534" t="s">
        <v>44</v>
      </c>
      <c r="AN37" s="535"/>
    </row>
    <row r="38" spans="1:40" s="389" customFormat="1">
      <c r="A38" s="388" t="s">
        <v>278</v>
      </c>
      <c r="K38" s="528">
        <f>SUMIF($D$32:$D$33,"Realized",K$32:K$33)+SUMIF($D$32:$D$33,"Write-off",K$32:K$33)</f>
        <v>0</v>
      </c>
      <c r="M38" s="529">
        <f>SUMIF($D$32:$D$33,"Realized",M$32:M$33)+SUMIF($D$32:$D$33,"Write-off",M$32:M$33)</f>
        <v>0</v>
      </c>
      <c r="N38" s="529">
        <f>SUMIF($D$32:$D$33,"Realized",N$32:N$33)+SUMIF($D$32:$D$33,"Write-off",N$32:N$33)</f>
        <v>0</v>
      </c>
      <c r="O38" s="529">
        <f>SUMIF($D$32:$D$33,"Realized",O$32:O$33)+SUMIF($D$32:$D$33,"Write-off",O$32:O$33)</f>
        <v>0</v>
      </c>
      <c r="P38" s="530" t="s">
        <v>44</v>
      </c>
      <c r="R38" s="531" t="s">
        <v>44</v>
      </c>
      <c r="S38" s="532" t="s">
        <v>44</v>
      </c>
      <c r="T38" s="528">
        <f>SUMIF($D$32:$D$33,"Realized",T$32:T$33)+SUMIF($D$32:$D$33,"Write-off",T$32:T$33)</f>
        <v>0</v>
      </c>
      <c r="V38" s="529">
        <f>SUMIF($D$32:$D$33,"Realized",V$32:V$33)+SUMIF($D$32:$D$33,"Write-off",V$32:V$33)</f>
        <v>0</v>
      </c>
      <c r="W38" s="529">
        <f>SUMIF($D$32:$D$33,"Realized",W$32:W$33)+SUMIF($D$32:$D$33,"Write-off",W$32:W$33)</f>
        <v>0</v>
      </c>
      <c r="X38" s="529">
        <f>SUMIF($D$32:$D$33,"Realized",X$32:X$33)+SUMIF($D$32:$D$33,"Write-off",X$32:X$33)</f>
        <v>0</v>
      </c>
      <c r="Y38" s="530" t="s">
        <v>44</v>
      </c>
      <c r="AA38" s="533">
        <f t="shared" si="3"/>
        <v>0</v>
      </c>
      <c r="AB38" s="534" t="s">
        <v>44</v>
      </c>
      <c r="AN38" s="535"/>
    </row>
    <row r="41" spans="1:40" s="536" customFormat="1">
      <c r="A41" s="536" t="s">
        <v>279</v>
      </c>
      <c r="K41" s="537"/>
      <c r="T41" s="537"/>
      <c r="AC41" s="537"/>
      <c r="AN41" s="537"/>
    </row>
    <row r="42" spans="1:40" ht="13.5" customHeight="1">
      <c r="K42" s="538" t="s">
        <v>236</v>
      </c>
      <c r="L42" s="539"/>
      <c r="M42" s="539"/>
      <c r="N42" s="539"/>
      <c r="O42" s="539"/>
      <c r="P42" s="539"/>
      <c r="Q42" s="540"/>
      <c r="R42" s="540"/>
      <c r="S42" s="539"/>
      <c r="T42" s="503" t="s">
        <v>237</v>
      </c>
      <c r="U42" s="504"/>
      <c r="V42" s="504"/>
      <c r="W42" s="504"/>
      <c r="X42" s="504"/>
      <c r="Y42" s="504"/>
      <c r="Z42" s="505"/>
      <c r="AA42" s="505"/>
      <c r="AB42" s="504"/>
      <c r="AC42" s="503" t="s">
        <v>238</v>
      </c>
      <c r="AD42" s="504"/>
      <c r="AE42" s="504"/>
      <c r="AF42" s="504"/>
      <c r="AG42" s="539"/>
      <c r="AH42" s="539"/>
      <c r="AI42" s="540"/>
      <c r="AJ42" s="540"/>
      <c r="AK42" s="540"/>
      <c r="AL42" s="540"/>
      <c r="AM42" s="539"/>
    </row>
    <row r="43" spans="1:40" s="141" customFormat="1" ht="39.75" customHeight="1">
      <c r="A43" s="138" t="s">
        <v>239</v>
      </c>
      <c r="B43" s="139" t="s">
        <v>240</v>
      </c>
      <c r="C43" s="139" t="s">
        <v>69</v>
      </c>
      <c r="D43" s="139" t="s">
        <v>241</v>
      </c>
      <c r="E43" s="139" t="s">
        <v>242</v>
      </c>
      <c r="F43" s="139" t="s">
        <v>243</v>
      </c>
      <c r="G43" s="139" t="s">
        <v>244</v>
      </c>
      <c r="H43" s="139" t="s">
        <v>245</v>
      </c>
      <c r="I43" s="139" t="s">
        <v>246</v>
      </c>
      <c r="J43" s="501" t="s">
        <v>247</v>
      </c>
      <c r="K43" s="541" t="s">
        <v>280</v>
      </c>
      <c r="L43" s="542"/>
      <c r="M43" s="543"/>
      <c r="N43" s="542"/>
      <c r="O43" s="541" t="s">
        <v>281</v>
      </c>
      <c r="P43" s="542"/>
      <c r="Q43" s="543"/>
      <c r="R43" s="542"/>
      <c r="S43" s="544"/>
      <c r="T43" s="541" t="s">
        <v>280</v>
      </c>
      <c r="U43" s="542"/>
      <c r="V43" s="543"/>
      <c r="W43" s="542"/>
      <c r="X43" s="541" t="s">
        <v>281</v>
      </c>
      <c r="Y43" s="542"/>
      <c r="Z43" s="543"/>
      <c r="AA43" s="542"/>
      <c r="AB43" s="544"/>
      <c r="AC43" s="541" t="s">
        <v>280</v>
      </c>
      <c r="AD43" s="542"/>
      <c r="AE43" s="543"/>
      <c r="AF43" s="542"/>
      <c r="AG43" s="541" t="s">
        <v>281</v>
      </c>
      <c r="AH43" s="542"/>
      <c r="AI43" s="543"/>
      <c r="AJ43" s="542"/>
      <c r="AK43" s="545"/>
      <c r="AL43" s="545"/>
      <c r="AM43" s="544"/>
      <c r="AN43" s="510"/>
    </row>
  </sheetData>
  <conditionalFormatting sqref="R32:S33">
    <cfRule type="cellIs" dxfId="83" priority="5" operator="lessThan">
      <formula>0</formula>
    </cfRule>
    <cfRule type="cellIs" dxfId="82" priority="6" operator="greaterThan">
      <formula>0</formula>
    </cfRule>
  </conditionalFormatting>
  <conditionalFormatting sqref="AA32:AB33">
    <cfRule type="cellIs" dxfId="81" priority="9" operator="lessThan">
      <formula>0</formula>
    </cfRule>
    <cfRule type="cellIs" dxfId="80" priority="10" operator="greaterThan">
      <formula>0</formula>
    </cfRule>
  </conditionalFormatting>
  <conditionalFormatting sqref="AA35:AB35">
    <cfRule type="cellIs" dxfId="79" priority="3" operator="lessThan">
      <formula>0</formula>
    </cfRule>
    <cfRule type="cellIs" dxfId="78" priority="4" operator="greaterThan">
      <formula>0</formula>
    </cfRule>
  </conditionalFormatting>
  <conditionalFormatting sqref="AA37:AB38">
    <cfRule type="cellIs" dxfId="77" priority="1" operator="lessThan">
      <formula>0</formula>
    </cfRule>
    <cfRule type="cellIs" dxfId="76" priority="2" operator="greaterThan">
      <formula>0</formula>
    </cfRule>
  </conditionalFormatting>
  <conditionalFormatting sqref="AJ32:AM33">
    <cfRule type="cellIs" dxfId="75" priority="7" operator="lessThan">
      <formula>0</formula>
    </cfRule>
    <cfRule type="cellIs" dxfId="74" priority="8" operator="greaterThan">
      <formula>0</formula>
    </cfRule>
  </conditionalFormatting>
  <printOptions horizontalCentered="1"/>
  <pageMargins left="0.23622047244094491" right="0" top="0.35433070866141736" bottom="0.19685039370078741" header="0.15748031496062992" footer="0.15748031496062992"/>
  <pageSetup paperSize="8" scale="37" orientation="landscape"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C9137-0871-4B27-AC2D-6E97672F4CB4}">
  <sheetPr>
    <tabColor theme="8"/>
  </sheetPr>
  <dimension ref="B1:R20"/>
  <sheetViews>
    <sheetView workbookViewId="0"/>
  </sheetViews>
  <sheetFormatPr defaultColWidth="9" defaultRowHeight="11.25"/>
  <cols>
    <col min="1" max="1" width="2.7109375" style="2" customWidth="1"/>
    <col min="2" max="2" width="18.7109375" style="2" customWidth="1"/>
    <col min="3" max="3" width="15.140625" style="2" customWidth="1"/>
    <col min="4" max="4" width="15.28515625" style="2" hidden="1" customWidth="1"/>
    <col min="5" max="5" width="14.7109375" style="2" customWidth="1"/>
    <col min="6" max="6" width="5" style="2" bestFit="1" customWidth="1"/>
    <col min="7" max="7" width="47.140625" style="2" customWidth="1"/>
    <col min="8" max="10" width="14.28515625" style="2" customWidth="1"/>
    <col min="11" max="11" width="8.42578125" style="2" bestFit="1" customWidth="1"/>
    <col min="12" max="12" width="21.7109375" style="2" bestFit="1" customWidth="1"/>
    <col min="13" max="16" width="14.28515625" style="2" customWidth="1"/>
    <col min="17" max="17" width="12.28515625" style="2" customWidth="1"/>
    <col min="18" max="18" width="13.28515625" style="2" customWidth="1"/>
    <col min="19" max="16384" width="9" style="2"/>
  </cols>
  <sheetData>
    <row r="1" spans="2:18">
      <c r="B1" s="75" t="s">
        <v>282</v>
      </c>
      <c r="L1" s="626">
        <f>C3</f>
        <v>45657</v>
      </c>
      <c r="M1" s="626"/>
      <c r="N1" s="333" t="s">
        <v>668</v>
      </c>
      <c r="O1" s="199"/>
    </row>
    <row r="2" spans="2:18" ht="12" thickBot="1">
      <c r="L2" s="172" t="s">
        <v>285</v>
      </c>
      <c r="M2" s="173">
        <f>M11</f>
        <v>-2954733</v>
      </c>
      <c r="N2" s="201">
        <v>2954733</v>
      </c>
      <c r="O2" s="205">
        <f>M2+N2</f>
        <v>0</v>
      </c>
    </row>
    <row r="3" spans="2:18" ht="12" thickBot="1">
      <c r="B3" s="202" t="s">
        <v>286</v>
      </c>
      <c r="C3" s="272">
        <f>'Genedant Ventures'!E1</f>
        <v>45657</v>
      </c>
      <c r="L3" s="172" t="s">
        <v>287</v>
      </c>
      <c r="M3" s="173">
        <f>P11</f>
        <v>0</v>
      </c>
      <c r="N3" s="201">
        <v>0</v>
      </c>
      <c r="O3" s="205">
        <f>M3+N3</f>
        <v>0</v>
      </c>
    </row>
    <row r="4" spans="2:18">
      <c r="H4" s="273"/>
      <c r="L4" s="175" t="s">
        <v>288</v>
      </c>
      <c r="M4" s="176">
        <f>L14</f>
        <v>2186280</v>
      </c>
    </row>
    <row r="5" spans="2:18" s="75" customFormat="1">
      <c r="B5" s="75" t="s">
        <v>289</v>
      </c>
      <c r="C5" s="75" t="s">
        <v>14</v>
      </c>
      <c r="L5" s="172" t="s">
        <v>75</v>
      </c>
      <c r="M5" s="180">
        <f>XIRR(L10:L14,E10:E14,0)</f>
        <v>-0.676577963635698</v>
      </c>
    </row>
    <row r="6" spans="2:18">
      <c r="B6" s="75" t="s">
        <v>291</v>
      </c>
      <c r="C6" s="75" t="s">
        <v>24</v>
      </c>
    </row>
    <row r="7" spans="2:18">
      <c r="B7" s="75" t="s">
        <v>52</v>
      </c>
      <c r="C7" s="257">
        <v>37600000</v>
      </c>
    </row>
    <row r="9" spans="2:18" s="186" customFormat="1" ht="22.5">
      <c r="B9" s="280" t="s">
        <v>292</v>
      </c>
      <c r="C9" s="183" t="s">
        <v>0</v>
      </c>
      <c r="D9" s="183" t="s">
        <v>293</v>
      </c>
      <c r="E9" s="183" t="s">
        <v>294</v>
      </c>
      <c r="F9" s="183" t="s">
        <v>295</v>
      </c>
      <c r="G9" s="183" t="s">
        <v>176</v>
      </c>
      <c r="H9" s="184" t="s">
        <v>296</v>
      </c>
      <c r="I9" s="185" t="s">
        <v>435</v>
      </c>
      <c r="J9" s="185" t="s">
        <v>436</v>
      </c>
      <c r="K9" s="185" t="s">
        <v>299</v>
      </c>
      <c r="L9" s="185" t="s">
        <v>300</v>
      </c>
      <c r="M9" s="185" t="s">
        <v>301</v>
      </c>
      <c r="N9" s="185" t="s">
        <v>302</v>
      </c>
      <c r="O9" s="185" t="s">
        <v>708</v>
      </c>
      <c r="P9" s="185" t="s">
        <v>438</v>
      </c>
      <c r="Q9" s="184" t="s">
        <v>195</v>
      </c>
      <c r="R9" s="184" t="s">
        <v>709</v>
      </c>
    </row>
    <row r="10" spans="2:18" s="186" customFormat="1" ht="15">
      <c r="B10" s="2" t="s">
        <v>307</v>
      </c>
      <c r="C10" s="2" t="s">
        <v>308</v>
      </c>
      <c r="D10" s="183"/>
      <c r="E10" s="187">
        <v>45519</v>
      </c>
      <c r="F10" s="2">
        <f>YEAR(E10)</f>
        <v>2024</v>
      </c>
      <c r="G10" s="397" t="s">
        <v>983</v>
      </c>
      <c r="H10" s="108">
        <v>-1316000</v>
      </c>
      <c r="I10" s="108">
        <v>-311279</v>
      </c>
      <c r="J10" s="108">
        <v>-56400</v>
      </c>
      <c r="K10" s="108">
        <v>-141000</v>
      </c>
      <c r="L10" s="425">
        <f>SUM(H10:K10)</f>
        <v>-1824679</v>
      </c>
      <c r="M10" s="170">
        <f>IF(L10&lt;0,L10,0)</f>
        <v>-1824679</v>
      </c>
      <c r="N10" s="170">
        <f>M10+$C$7</f>
        <v>35775321</v>
      </c>
      <c r="O10" s="170">
        <f>SUMIF(H10:K10,"&gt;0", H10:K10)</f>
        <v>0</v>
      </c>
      <c r="P10" s="170">
        <f>O10</f>
        <v>0</v>
      </c>
      <c r="Q10" s="184"/>
      <c r="R10" s="184"/>
    </row>
    <row r="11" spans="2:18" s="186" customFormat="1" ht="15">
      <c r="B11" s="2" t="s">
        <v>307</v>
      </c>
      <c r="C11" s="2" t="s">
        <v>310</v>
      </c>
      <c r="D11" s="183"/>
      <c r="E11" s="187">
        <v>45616</v>
      </c>
      <c r="F11" s="2">
        <f>YEAR(E11)</f>
        <v>2024</v>
      </c>
      <c r="G11" s="397" t="s">
        <v>984</v>
      </c>
      <c r="H11" s="425">
        <v>-940000</v>
      </c>
      <c r="I11" s="425">
        <v>-190054</v>
      </c>
      <c r="J11" s="108"/>
      <c r="K11" s="108"/>
      <c r="L11" s="108">
        <f>SUM(H11:K11)</f>
        <v>-1130054</v>
      </c>
      <c r="M11" s="170">
        <f>IF(L11&lt;0,L11,0)+M10</f>
        <v>-2954733</v>
      </c>
      <c r="N11" s="170">
        <f>M11+$C$7</f>
        <v>34645267</v>
      </c>
      <c r="O11" s="170">
        <f>SUMIF(H11:K11,"&gt;0", H11:K11)</f>
        <v>0</v>
      </c>
      <c r="P11" s="170">
        <f>O11</f>
        <v>0</v>
      </c>
      <c r="Q11" s="184"/>
      <c r="R11" s="184"/>
    </row>
    <row r="12" spans="2:18">
      <c r="D12" s="187"/>
      <c r="E12" s="187"/>
      <c r="G12" s="211"/>
      <c r="H12" s="108"/>
      <c r="I12" s="108"/>
      <c r="J12" s="108"/>
      <c r="K12" s="108"/>
      <c r="L12" s="108"/>
      <c r="M12" s="170"/>
      <c r="N12" s="170"/>
      <c r="O12" s="170"/>
      <c r="P12" s="170"/>
    </row>
    <row r="13" spans="2:18">
      <c r="E13" s="187"/>
      <c r="G13" s="132"/>
      <c r="H13" s="132"/>
      <c r="I13" s="132"/>
      <c r="J13" s="281"/>
      <c r="K13" s="281"/>
      <c r="L13" s="170"/>
      <c r="M13" s="170"/>
      <c r="N13" s="170"/>
      <c r="O13" s="170"/>
      <c r="P13" s="170"/>
    </row>
    <row r="14" spans="2:18" s="191" customFormat="1">
      <c r="C14" s="191" t="s">
        <v>716</v>
      </c>
      <c r="D14" s="192"/>
      <c r="E14" s="192">
        <f>C3</f>
        <v>45657</v>
      </c>
      <c r="F14" s="191">
        <f>YEAR(E14)</f>
        <v>2024</v>
      </c>
      <c r="G14" s="191" t="s">
        <v>681</v>
      </c>
      <c r="H14" s="193"/>
      <c r="I14" s="193"/>
      <c r="J14" s="193"/>
      <c r="K14" s="193"/>
      <c r="L14" s="282">
        <f>2186280</f>
        <v>2186280</v>
      </c>
      <c r="M14" s="193"/>
      <c r="N14" s="193"/>
      <c r="O14" s="193"/>
      <c r="P14" s="193"/>
    </row>
    <row r="18" spans="2:13">
      <c r="B18" s="2" t="s">
        <v>880</v>
      </c>
    </row>
    <row r="20" spans="2:13">
      <c r="M20" s="572"/>
    </row>
  </sheetData>
  <mergeCells count="1">
    <mergeCell ref="L1:M1"/>
  </mergeCells>
  <hyperlinks>
    <hyperlink ref="L10" r:id="rId1" display="file://C:\Users\XingQiNeo\ACH\ACH33 - ACH33 - SG Investment - CCGBVI - Documents\ACH33 - SG Investment - CCGBVI\1. Private Equity\1 - Funds\1 - USD Funds\Genedant Ventures Fund 1\3. Capital Call\20240725 GENEDANT VENTURES I Capital Call Notice 1.pdf" xr:uid="{2CEC1602-FFAF-4750-989B-E8BDD2DF852E}"/>
    <hyperlink ref="I11" r:id="rId2" display="file://C:\Users\XingQiNeo\ACH\ACH33 - ACH33 - SG Investment - CCGBVI - Documents\ACH33 - SG Investment - CCGBVI\1. Private Equity\1 - Funds\1 - USD Funds\Genedant Ventures Fund 1\3. Capital Call\20240725 GENEDANT VENTURES I Capital Call Notice 2A.pdf" xr:uid="{98313683-80BF-4695-819B-ACF9466EB157}"/>
    <hyperlink ref="H11" r:id="rId3" display="file://C:\Users\XingQiNeo\ACH\ACH33 - ACH33 - SG Investment - CCGBVI - Documents\ACH33 - SG Investment - CCGBVI\1. Private Equity\1 - Funds\1 - USD Funds\Genedant Ventures Fund 1\3. Capital Call\20240725 GENEDANT VENTURES I Capital Call Notice 2B.pdf" xr:uid="{F0C469D0-9482-414A-9832-43DB069ACAE1}"/>
  </hyperlinks>
  <pageMargins left="0.7" right="0.7" top="0.75" bottom="0.75" header="0.3" footer="0.3"/>
  <pageSetup paperSize="9" orientation="portrait" r:id="rId4"/>
  <legacyDrawing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E12D6-8567-4AD0-A249-F862690BB1E8}">
  <sheetPr>
    <tabColor theme="8"/>
    <outlinePr showOutlineSymbols="0"/>
    <pageSetUpPr fitToPage="1"/>
  </sheetPr>
  <dimension ref="A1:AN47"/>
  <sheetViews>
    <sheetView workbookViewId="0">
      <selection activeCell="A23" sqref="A23"/>
    </sheetView>
  </sheetViews>
  <sheetFormatPr defaultColWidth="9" defaultRowHeight="11.25" outlineLevelRow="1" outlineLevelCol="1"/>
  <cols>
    <col min="1" max="1" width="32.140625" style="2" customWidth="1"/>
    <col min="2" max="2" width="79.42578125" style="2" bestFit="1" customWidth="1"/>
    <col min="3" max="3" width="15.7109375" style="2" customWidth="1"/>
    <col min="4" max="4" width="31.140625" style="2" customWidth="1"/>
    <col min="5" max="5" width="14.42578125" style="2" bestFit="1" customWidth="1"/>
    <col min="6" max="7" width="10.7109375" style="2" customWidth="1"/>
    <col min="8" max="8" width="38" style="2" bestFit="1" customWidth="1"/>
    <col min="9" max="9" width="19.28515625" style="2" bestFit="1" customWidth="1"/>
    <col min="10" max="10" width="19.28515625" style="2" customWidth="1"/>
    <col min="11" max="11" width="12.7109375" style="367" customWidth="1" outlineLevel="1"/>
    <col min="12" max="12" width="12.7109375" style="2" customWidth="1" outlineLevel="1"/>
    <col min="13" max="15" width="14.7109375" style="2" customWidth="1" outlineLevel="1"/>
    <col min="16" max="17" width="7.7109375" style="2" customWidth="1" outlineLevel="1"/>
    <col min="18" max="19" width="15.7109375" style="2" customWidth="1" outlineLevel="1"/>
    <col min="20" max="20" width="12.7109375" style="367" customWidth="1"/>
    <col min="21" max="21" width="12.7109375" style="2" customWidth="1"/>
    <col min="22" max="24" width="14.7109375" style="2" customWidth="1"/>
    <col min="25" max="26" width="7.7109375" style="2" customWidth="1"/>
    <col min="27" max="28" width="15.7109375" style="2" customWidth="1"/>
    <col min="29" max="29" width="12.7109375" style="367" customWidth="1"/>
    <col min="30" max="30" width="12.7109375" style="2" customWidth="1"/>
    <col min="31" max="33" width="14.7109375" style="2" customWidth="1"/>
    <col min="34" max="35" width="7.7109375" style="2" customWidth="1"/>
    <col min="36" max="39" width="15.7109375" style="2" customWidth="1"/>
    <col min="40" max="40" width="9" style="367"/>
    <col min="41" max="16384" width="9" style="2"/>
  </cols>
  <sheetData>
    <row r="1" spans="1:20">
      <c r="A1" s="117" t="s">
        <v>179</v>
      </c>
      <c r="B1" s="118"/>
      <c r="C1" s="74"/>
      <c r="D1" s="117" t="s">
        <v>180</v>
      </c>
      <c r="E1" s="219">
        <v>45657</v>
      </c>
      <c r="H1" s="117" t="s">
        <v>404</v>
      </c>
      <c r="I1" s="118"/>
      <c r="J1" s="74"/>
    </row>
    <row r="2" spans="1:20" outlineLevel="1">
      <c r="A2" s="2" t="s">
        <v>182</v>
      </c>
      <c r="B2" s="2" t="s">
        <v>22</v>
      </c>
      <c r="D2" s="2" t="s">
        <v>183</v>
      </c>
      <c r="E2" s="577">
        <f>W39</f>
        <v>2738</v>
      </c>
      <c r="H2" s="2" t="s">
        <v>184</v>
      </c>
      <c r="I2" s="120" t="s">
        <v>985</v>
      </c>
      <c r="J2" s="120"/>
    </row>
    <row r="3" spans="1:20" outlineLevel="1">
      <c r="A3" s="2" t="s">
        <v>186</v>
      </c>
      <c r="B3" s="297" t="s">
        <v>683</v>
      </c>
      <c r="D3" s="2" t="s">
        <v>187</v>
      </c>
      <c r="E3" s="220">
        <v>36.934604999999998</v>
      </c>
      <c r="H3" s="2" t="s">
        <v>188</v>
      </c>
      <c r="I3" s="120" t="s">
        <v>986</v>
      </c>
      <c r="J3" s="120"/>
    </row>
    <row r="4" spans="1:20" outlineLevel="1">
      <c r="A4" s="2" t="s">
        <v>190</v>
      </c>
      <c r="B4" s="428"/>
      <c r="D4" s="2" t="s">
        <v>191</v>
      </c>
      <c r="E4" s="125" t="s">
        <v>685</v>
      </c>
      <c r="H4" s="2" t="s">
        <v>192</v>
      </c>
      <c r="I4" s="124" t="s">
        <v>97</v>
      </c>
      <c r="J4" s="320"/>
    </row>
    <row r="5" spans="1:20" outlineLevel="1">
      <c r="A5" s="2" t="s">
        <v>193</v>
      </c>
      <c r="B5" s="120">
        <v>2024</v>
      </c>
      <c r="D5" s="2" t="s">
        <v>194</v>
      </c>
      <c r="E5" s="125" t="s">
        <v>685</v>
      </c>
      <c r="H5" s="2" t="s">
        <v>195</v>
      </c>
      <c r="I5" s="126">
        <v>0.2</v>
      </c>
      <c r="J5" s="126"/>
    </row>
    <row r="6" spans="1:20" outlineLevel="1">
      <c r="A6" s="2" t="s">
        <v>196</v>
      </c>
      <c r="B6" s="120" t="s">
        <v>987</v>
      </c>
      <c r="D6" s="2" t="s">
        <v>198</v>
      </c>
      <c r="E6" s="284" t="s">
        <v>685</v>
      </c>
      <c r="H6" s="117" t="s">
        <v>199</v>
      </c>
      <c r="I6" s="118"/>
      <c r="J6" s="74"/>
    </row>
    <row r="7" spans="1:20" outlineLevel="1">
      <c r="A7" s="2" t="s">
        <v>200</v>
      </c>
      <c r="B7" s="120" t="s">
        <v>988</v>
      </c>
      <c r="D7" s="2" t="s">
        <v>202</v>
      </c>
      <c r="E7" s="284" t="s">
        <v>685</v>
      </c>
      <c r="H7" s="2" t="s">
        <v>203</v>
      </c>
      <c r="I7" s="2" t="s">
        <v>973</v>
      </c>
    </row>
    <row r="8" spans="1:20" outlineLevel="1">
      <c r="A8" s="2" t="s">
        <v>205</v>
      </c>
      <c r="B8" s="120" t="s">
        <v>989</v>
      </c>
      <c r="D8" s="2" t="s">
        <v>620</v>
      </c>
      <c r="E8" s="284" t="s">
        <v>685</v>
      </c>
      <c r="H8" s="120" t="s">
        <v>208</v>
      </c>
      <c r="I8" s="2" t="s">
        <v>408</v>
      </c>
    </row>
    <row r="9" spans="1:20" outlineLevel="1">
      <c r="A9" s="2" t="s">
        <v>65</v>
      </c>
      <c r="B9" s="120" t="s">
        <v>990</v>
      </c>
      <c r="D9" s="128" t="s">
        <v>211</v>
      </c>
      <c r="E9" s="291"/>
    </row>
    <row r="10" spans="1:20" outlineLevel="1">
      <c r="A10" s="2" t="s">
        <v>212</v>
      </c>
      <c r="B10" s="120" t="s">
        <v>689</v>
      </c>
      <c r="D10" s="2" t="s">
        <v>214</v>
      </c>
      <c r="E10" s="292">
        <v>16.940000000000001</v>
      </c>
    </row>
    <row r="11" spans="1:20" outlineLevel="1">
      <c r="A11" s="2" t="s">
        <v>215</v>
      </c>
      <c r="B11" s="120" t="s">
        <v>991</v>
      </c>
      <c r="D11" s="2" t="s">
        <v>216</v>
      </c>
      <c r="E11" s="264">
        <v>0</v>
      </c>
    </row>
    <row r="12" spans="1:20" outlineLevel="1">
      <c r="A12" s="2" t="s">
        <v>217</v>
      </c>
      <c r="B12" s="120" t="s">
        <v>24</v>
      </c>
      <c r="D12" s="2" t="s">
        <v>218</v>
      </c>
      <c r="E12" s="264">
        <f>-'GTCR (CF)'!M2/10^6</f>
        <v>1.75606405</v>
      </c>
      <c r="T12" s="502"/>
    </row>
    <row r="13" spans="1:20" outlineLevel="1">
      <c r="A13" s="2" t="s">
        <v>219</v>
      </c>
      <c r="B13" s="120" t="s">
        <v>992</v>
      </c>
      <c r="D13" s="2" t="s">
        <v>221</v>
      </c>
      <c r="E13" s="264">
        <f>E10-E12</f>
        <v>15.183935950000002</v>
      </c>
      <c r="N13" s="314"/>
      <c r="T13" s="502"/>
    </row>
    <row r="14" spans="1:20" outlineLevel="1">
      <c r="A14" s="2" t="s">
        <v>222</v>
      </c>
      <c r="B14" s="120" t="s">
        <v>685</v>
      </c>
      <c r="D14" s="2" t="s">
        <v>224</v>
      </c>
      <c r="E14" s="264">
        <f>'GTCR (CF)'!M3/10^6</f>
        <v>0</v>
      </c>
      <c r="N14" s="314"/>
      <c r="T14" s="502"/>
    </row>
    <row r="15" spans="1:20" outlineLevel="1">
      <c r="A15" s="2" t="s">
        <v>225</v>
      </c>
      <c r="B15" s="2" t="s">
        <v>993</v>
      </c>
      <c r="D15" s="2" t="s">
        <v>227</v>
      </c>
      <c r="E15" s="265">
        <f>'GTCR (CF)'!L14/10^6</f>
        <v>2.0933890000000002</v>
      </c>
      <c r="N15" s="314"/>
    </row>
    <row r="16" spans="1:20" outlineLevel="1">
      <c r="A16" s="2" t="s">
        <v>228</v>
      </c>
      <c r="B16" s="134">
        <v>44196</v>
      </c>
      <c r="D16" s="2" t="s">
        <v>229</v>
      </c>
      <c r="E16" s="225">
        <f>E12/E10</f>
        <v>0.10366375737898464</v>
      </c>
      <c r="N16" s="314"/>
    </row>
    <row r="17" spans="1:40" outlineLevel="1">
      <c r="A17" s="2" t="s">
        <v>230</v>
      </c>
      <c r="B17" s="120" t="s">
        <v>231</v>
      </c>
      <c r="D17" s="2" t="s">
        <v>232</v>
      </c>
      <c r="E17" s="266">
        <f>E14/E12</f>
        <v>0</v>
      </c>
    </row>
    <row r="18" spans="1:40" outlineLevel="1">
      <c r="A18" s="117" t="s">
        <v>233</v>
      </c>
      <c r="B18" s="118"/>
      <c r="D18" s="2" t="s">
        <v>234</v>
      </c>
      <c r="E18" s="416">
        <f>(E15+E14)/E12</f>
        <v>1.1920914843624297</v>
      </c>
    </row>
    <row r="19" spans="1:40" outlineLevel="1">
      <c r="A19" s="2" t="s">
        <v>235</v>
      </c>
      <c r="B19" s="120">
        <v>5</v>
      </c>
      <c r="D19" s="2" t="s">
        <v>627</v>
      </c>
      <c r="E19" s="266">
        <f>'GTCR (CF)'!M5</f>
        <v>1.5680467382812502</v>
      </c>
    </row>
    <row r="20" spans="1:40" ht="13.5" customHeight="1"/>
    <row r="21" spans="1:40">
      <c r="C21" s="296"/>
      <c r="D21" s="235"/>
    </row>
    <row r="22" spans="1:40">
      <c r="C22" s="296"/>
      <c r="E22" s="392"/>
      <c r="F22" s="234"/>
    </row>
    <row r="23" spans="1:40">
      <c r="C23" s="296"/>
      <c r="D23" s="296"/>
      <c r="E23" s="392"/>
      <c r="F23" s="371"/>
    </row>
    <row r="24" spans="1:40">
      <c r="C24" s="296"/>
      <c r="D24" s="296"/>
      <c r="E24" s="392"/>
      <c r="F24" s="371"/>
    </row>
    <row r="25" spans="1:40">
      <c r="D25" s="296"/>
      <c r="E25" s="578"/>
      <c r="F25" s="578"/>
    </row>
    <row r="26" spans="1:40">
      <c r="D26" s="296"/>
      <c r="F26" s="242"/>
    </row>
    <row r="30" spans="1:40" ht="13.5" customHeight="1">
      <c r="K30" s="503" t="s">
        <v>236</v>
      </c>
      <c r="L30" s="504"/>
      <c r="M30" s="504"/>
      <c r="N30" s="504"/>
      <c r="O30" s="504"/>
      <c r="P30" s="504"/>
      <c r="Q30" s="505"/>
      <c r="R30" s="505"/>
      <c r="S30" s="504"/>
      <c r="T30" s="503" t="s">
        <v>237</v>
      </c>
      <c r="U30" s="504"/>
      <c r="V30" s="504"/>
      <c r="W30" s="504"/>
      <c r="X30" s="504"/>
      <c r="Y30" s="504"/>
      <c r="Z30" s="505"/>
      <c r="AA30" s="505"/>
      <c r="AB30" s="504"/>
      <c r="AC30" s="503" t="s">
        <v>238</v>
      </c>
      <c r="AD30" s="504"/>
      <c r="AE30" s="504"/>
      <c r="AF30" s="504"/>
      <c r="AG30" s="504"/>
      <c r="AH30" s="504"/>
      <c r="AI30" s="505"/>
      <c r="AJ30" s="505"/>
      <c r="AK30" s="505"/>
      <c r="AL30" s="505"/>
      <c r="AM30" s="504"/>
    </row>
    <row r="31" spans="1:40" s="141" customFormat="1" ht="39.75" customHeight="1">
      <c r="A31" s="138" t="s">
        <v>239</v>
      </c>
      <c r="B31" s="139" t="s">
        <v>240</v>
      </c>
      <c r="C31" s="139" t="s">
        <v>69</v>
      </c>
      <c r="D31" s="139" t="s">
        <v>241</v>
      </c>
      <c r="E31" s="139" t="s">
        <v>242</v>
      </c>
      <c r="F31" s="139" t="s">
        <v>243</v>
      </c>
      <c r="G31" s="139" t="s">
        <v>244</v>
      </c>
      <c r="H31" s="139" t="s">
        <v>245</v>
      </c>
      <c r="I31" s="139" t="s">
        <v>246</v>
      </c>
      <c r="J31" s="501" t="s">
        <v>247</v>
      </c>
      <c r="K31" s="506" t="s">
        <v>248</v>
      </c>
      <c r="L31" s="506" t="s">
        <v>249</v>
      </c>
      <c r="M31" s="507" t="s">
        <v>250</v>
      </c>
      <c r="N31" s="506" t="s">
        <v>251</v>
      </c>
      <c r="O31" s="507" t="s">
        <v>252</v>
      </c>
      <c r="P31" s="506" t="s">
        <v>115</v>
      </c>
      <c r="Q31" s="507" t="s">
        <v>253</v>
      </c>
      <c r="R31" s="508" t="s">
        <v>254</v>
      </c>
      <c r="S31" s="509" t="s">
        <v>255</v>
      </c>
      <c r="T31" s="506" t="s">
        <v>248</v>
      </c>
      <c r="U31" s="506" t="s">
        <v>249</v>
      </c>
      <c r="V31" s="507" t="s">
        <v>250</v>
      </c>
      <c r="W31" s="506" t="s">
        <v>251</v>
      </c>
      <c r="X31" s="507" t="s">
        <v>252</v>
      </c>
      <c r="Y31" s="506" t="s">
        <v>115</v>
      </c>
      <c r="Z31" s="507" t="s">
        <v>253</v>
      </c>
      <c r="AA31" s="508" t="s">
        <v>254</v>
      </c>
      <c r="AB31" s="509" t="s">
        <v>255</v>
      </c>
      <c r="AC31" s="506" t="s">
        <v>248</v>
      </c>
      <c r="AD31" s="506" t="s">
        <v>249</v>
      </c>
      <c r="AE31" s="507" t="s">
        <v>250</v>
      </c>
      <c r="AF31" s="506" t="s">
        <v>251</v>
      </c>
      <c r="AG31" s="507" t="s">
        <v>252</v>
      </c>
      <c r="AH31" s="506" t="s">
        <v>115</v>
      </c>
      <c r="AI31" s="507" t="s">
        <v>253</v>
      </c>
      <c r="AJ31" s="508" t="s">
        <v>254</v>
      </c>
      <c r="AK31" s="509" t="s">
        <v>255</v>
      </c>
      <c r="AL31" s="508" t="s">
        <v>256</v>
      </c>
      <c r="AM31" s="509" t="s">
        <v>257</v>
      </c>
      <c r="AN31" s="510"/>
    </row>
    <row r="32" spans="1:40">
      <c r="A32" s="2" t="s">
        <v>994</v>
      </c>
      <c r="B32" s="2" t="s">
        <v>995</v>
      </c>
      <c r="C32" s="235" t="s">
        <v>113</v>
      </c>
      <c r="D32" s="374" t="s">
        <v>584</v>
      </c>
      <c r="E32" s="374">
        <v>45536</v>
      </c>
      <c r="F32" s="374" t="s">
        <v>44</v>
      </c>
      <c r="G32" s="374" t="s">
        <v>44</v>
      </c>
      <c r="H32" s="374" t="s">
        <v>44</v>
      </c>
      <c r="I32" s="235" t="s">
        <v>44</v>
      </c>
      <c r="J32" s="512" t="s">
        <v>44</v>
      </c>
      <c r="K32" s="513" t="s">
        <v>44</v>
      </c>
      <c r="L32" s="514" t="s">
        <v>44</v>
      </c>
      <c r="M32" s="513" t="s">
        <v>44</v>
      </c>
      <c r="N32" s="513" t="s">
        <v>44</v>
      </c>
      <c r="O32" s="513" t="s">
        <v>44</v>
      </c>
      <c r="P32" s="268" t="s">
        <v>44</v>
      </c>
      <c r="Q32" s="513">
        <v>0</v>
      </c>
      <c r="R32" s="513">
        <v>0</v>
      </c>
      <c r="S32" s="515" t="s">
        <v>44</v>
      </c>
      <c r="T32" s="516">
        <v>787.1</v>
      </c>
      <c r="U32" s="514" t="s">
        <v>44</v>
      </c>
      <c r="V32" s="513">
        <v>0</v>
      </c>
      <c r="W32" s="513">
        <v>1129.2</v>
      </c>
      <c r="X32" s="513">
        <f>V32+W32</f>
        <v>1129.2</v>
      </c>
      <c r="Y32" s="268">
        <f>X32/T32</f>
        <v>1.4346334646169483</v>
      </c>
      <c r="Z32" s="513">
        <v>0</v>
      </c>
      <c r="AA32" s="513" t="s">
        <v>44</v>
      </c>
      <c r="AB32" s="515" t="s">
        <v>44</v>
      </c>
      <c r="AC32" s="517"/>
      <c r="AD32" s="514"/>
      <c r="AE32" s="513"/>
      <c r="AF32" s="513"/>
      <c r="AG32" s="513"/>
      <c r="AH32" s="268"/>
      <c r="AI32" s="513"/>
      <c r="AJ32" s="513">
        <f t="shared" ref="AJ32:AJ37" si="0">AG32-X32</f>
        <v>-1129.2</v>
      </c>
      <c r="AK32" s="515">
        <f t="shared" ref="AK32:AK37" si="1">IFERROR(AG32/X32-1,0)</f>
        <v>-1</v>
      </c>
      <c r="AL32" s="513"/>
      <c r="AM32" s="515"/>
    </row>
    <row r="33" spans="1:40">
      <c r="A33" s="2" t="s">
        <v>996</v>
      </c>
      <c r="B33" s="2" t="s">
        <v>997</v>
      </c>
      <c r="C33" s="235" t="s">
        <v>260</v>
      </c>
      <c r="D33" s="374" t="s">
        <v>584</v>
      </c>
      <c r="E33" s="374">
        <v>45292</v>
      </c>
      <c r="F33" s="374" t="s">
        <v>44</v>
      </c>
      <c r="G33" s="374" t="s">
        <v>44</v>
      </c>
      <c r="H33" s="374" t="s">
        <v>44</v>
      </c>
      <c r="I33" s="235" t="s">
        <v>44</v>
      </c>
      <c r="J33" s="518" t="s">
        <v>44</v>
      </c>
      <c r="K33" s="513" t="s">
        <v>44</v>
      </c>
      <c r="L33" s="514" t="s">
        <v>44</v>
      </c>
      <c r="M33" s="513" t="s">
        <v>44</v>
      </c>
      <c r="N33" s="513" t="s">
        <v>44</v>
      </c>
      <c r="O33" s="513" t="s">
        <v>44</v>
      </c>
      <c r="P33" s="269" t="s">
        <v>44</v>
      </c>
      <c r="Q33" s="513">
        <v>0</v>
      </c>
      <c r="R33" s="513">
        <v>0</v>
      </c>
      <c r="S33" s="515" t="s">
        <v>44</v>
      </c>
      <c r="T33" s="519">
        <v>5</v>
      </c>
      <c r="U33" s="514" t="s">
        <v>44</v>
      </c>
      <c r="V33" s="513">
        <v>0</v>
      </c>
      <c r="W33" s="513">
        <v>5</v>
      </c>
      <c r="X33" s="513">
        <f>W33+V33</f>
        <v>5</v>
      </c>
      <c r="Y33" s="268">
        <f>X33/T33</f>
        <v>1</v>
      </c>
      <c r="Z33" s="513">
        <v>0</v>
      </c>
      <c r="AA33" s="513" t="s">
        <v>44</v>
      </c>
      <c r="AB33" s="515" t="s">
        <v>44</v>
      </c>
      <c r="AC33" s="517"/>
      <c r="AD33" s="514"/>
      <c r="AE33" s="513"/>
      <c r="AF33" s="513"/>
      <c r="AG33" s="513"/>
      <c r="AH33" s="268"/>
      <c r="AI33" s="513"/>
      <c r="AJ33" s="513">
        <f t="shared" si="0"/>
        <v>-5</v>
      </c>
      <c r="AK33" s="515">
        <f t="shared" si="1"/>
        <v>-1</v>
      </c>
      <c r="AL33" s="513"/>
      <c r="AM33" s="515"/>
    </row>
    <row r="34" spans="1:40">
      <c r="A34" s="2" t="s">
        <v>998</v>
      </c>
      <c r="B34" s="2" t="s">
        <v>999</v>
      </c>
      <c r="C34" s="235" t="s">
        <v>44</v>
      </c>
      <c r="D34" s="374" t="s">
        <v>584</v>
      </c>
      <c r="E34" s="374">
        <v>45292</v>
      </c>
      <c r="F34" s="374" t="s">
        <v>44</v>
      </c>
      <c r="G34" s="374" t="s">
        <v>44</v>
      </c>
      <c r="H34" s="374" t="s">
        <v>44</v>
      </c>
      <c r="I34" s="235" t="s">
        <v>44</v>
      </c>
      <c r="J34" s="518" t="s">
        <v>44</v>
      </c>
      <c r="K34" s="513" t="s">
        <v>44</v>
      </c>
      <c r="L34" s="514" t="s">
        <v>44</v>
      </c>
      <c r="M34" s="513" t="s">
        <v>44</v>
      </c>
      <c r="N34" s="513" t="s">
        <v>44</v>
      </c>
      <c r="O34" s="513" t="s">
        <v>44</v>
      </c>
      <c r="P34" s="269" t="s">
        <v>44</v>
      </c>
      <c r="Q34" s="513">
        <v>0</v>
      </c>
      <c r="R34" s="513">
        <v>0</v>
      </c>
      <c r="S34" s="515" t="s">
        <v>44</v>
      </c>
      <c r="T34" s="519">
        <v>12.4</v>
      </c>
      <c r="U34" s="514" t="s">
        <v>44</v>
      </c>
      <c r="V34" s="513">
        <v>0</v>
      </c>
      <c r="W34" s="513">
        <v>12.4</v>
      </c>
      <c r="X34" s="513">
        <f t="shared" ref="X34:X37" si="2">W34+V34</f>
        <v>12.4</v>
      </c>
      <c r="Y34" s="268">
        <f t="shared" ref="Y34:Y37" si="3">X34/T34</f>
        <v>1</v>
      </c>
      <c r="Z34" s="513">
        <v>0</v>
      </c>
      <c r="AA34" s="513" t="s">
        <v>44</v>
      </c>
      <c r="AB34" s="515" t="s">
        <v>44</v>
      </c>
      <c r="AC34" s="517"/>
      <c r="AD34" s="514"/>
      <c r="AE34" s="513"/>
      <c r="AF34" s="513"/>
      <c r="AG34" s="513"/>
      <c r="AH34" s="268"/>
      <c r="AI34" s="513"/>
      <c r="AJ34" s="513">
        <f t="shared" si="0"/>
        <v>-12.4</v>
      </c>
      <c r="AK34" s="515">
        <f t="shared" si="1"/>
        <v>-1</v>
      </c>
      <c r="AL34" s="513"/>
      <c r="AM34" s="515"/>
    </row>
    <row r="35" spans="1:40">
      <c r="A35" s="2" t="s">
        <v>1000</v>
      </c>
      <c r="B35" s="2" t="s">
        <v>1001</v>
      </c>
      <c r="C35" s="235" t="s">
        <v>728</v>
      </c>
      <c r="D35" s="374" t="s">
        <v>584</v>
      </c>
      <c r="E35" s="374">
        <v>45627</v>
      </c>
      <c r="F35" s="374" t="s">
        <v>44</v>
      </c>
      <c r="G35" s="374" t="s">
        <v>44</v>
      </c>
      <c r="H35" s="374" t="s">
        <v>44</v>
      </c>
      <c r="I35" s="235" t="s">
        <v>44</v>
      </c>
      <c r="J35" s="518" t="s">
        <v>44</v>
      </c>
      <c r="K35" s="513" t="s">
        <v>44</v>
      </c>
      <c r="L35" s="514" t="s">
        <v>44</v>
      </c>
      <c r="M35" s="513" t="s">
        <v>44</v>
      </c>
      <c r="N35" s="513" t="s">
        <v>44</v>
      </c>
      <c r="O35" s="513" t="s">
        <v>44</v>
      </c>
      <c r="P35" s="269" t="s">
        <v>44</v>
      </c>
      <c r="Q35" s="513">
        <v>0</v>
      </c>
      <c r="R35" s="513">
        <v>0</v>
      </c>
      <c r="S35" s="515" t="s">
        <v>44</v>
      </c>
      <c r="T35" s="519">
        <v>264.3</v>
      </c>
      <c r="U35" s="514" t="s">
        <v>44</v>
      </c>
      <c r="V35" s="513">
        <v>0</v>
      </c>
      <c r="W35" s="513">
        <v>289.8</v>
      </c>
      <c r="X35" s="513">
        <f t="shared" si="2"/>
        <v>289.8</v>
      </c>
      <c r="Y35" s="268">
        <f t="shared" si="3"/>
        <v>1.0964812712826333</v>
      </c>
      <c r="Z35" s="513">
        <v>0</v>
      </c>
      <c r="AA35" s="513" t="s">
        <v>44</v>
      </c>
      <c r="AB35" s="515" t="s">
        <v>44</v>
      </c>
      <c r="AC35" s="517"/>
      <c r="AD35" s="514"/>
      <c r="AE35" s="513"/>
      <c r="AF35" s="513"/>
      <c r="AG35" s="513"/>
      <c r="AH35" s="268"/>
      <c r="AI35" s="513"/>
      <c r="AJ35" s="513">
        <f t="shared" si="0"/>
        <v>-289.8</v>
      </c>
      <c r="AK35" s="515">
        <f t="shared" si="1"/>
        <v>-1</v>
      </c>
      <c r="AL35" s="513"/>
      <c r="AM35" s="515"/>
    </row>
    <row r="36" spans="1:40">
      <c r="A36" s="2" t="s">
        <v>1002</v>
      </c>
      <c r="B36" s="2" t="s">
        <v>1003</v>
      </c>
      <c r="C36" s="235" t="s">
        <v>113</v>
      </c>
      <c r="D36" s="374" t="s">
        <v>584</v>
      </c>
      <c r="E36" s="374">
        <v>45292</v>
      </c>
      <c r="F36" s="374" t="s">
        <v>44</v>
      </c>
      <c r="G36" s="374" t="s">
        <v>44</v>
      </c>
      <c r="H36" s="374" t="s">
        <v>44</v>
      </c>
      <c r="I36" s="235" t="s">
        <v>44</v>
      </c>
      <c r="J36" s="518" t="s">
        <v>44</v>
      </c>
      <c r="K36" s="513" t="s">
        <v>44</v>
      </c>
      <c r="L36" s="514" t="s">
        <v>44</v>
      </c>
      <c r="M36" s="513" t="s">
        <v>44</v>
      </c>
      <c r="N36" s="513" t="s">
        <v>44</v>
      </c>
      <c r="O36" s="513" t="s">
        <v>44</v>
      </c>
      <c r="P36" s="269" t="s">
        <v>44</v>
      </c>
      <c r="Q36" s="513">
        <v>0</v>
      </c>
      <c r="R36" s="513">
        <v>0</v>
      </c>
      <c r="S36" s="515" t="s">
        <v>44</v>
      </c>
      <c r="T36" s="519">
        <v>1043.3</v>
      </c>
      <c r="U36" s="514" t="s">
        <v>44</v>
      </c>
      <c r="V36" s="513">
        <v>7.4</v>
      </c>
      <c r="W36" s="513">
        <v>1301.5999999999999</v>
      </c>
      <c r="X36" s="513">
        <f t="shared" si="2"/>
        <v>1309</v>
      </c>
      <c r="Y36" s="268">
        <f t="shared" si="3"/>
        <v>1.2546726732483466</v>
      </c>
      <c r="Z36" s="513">
        <v>0</v>
      </c>
      <c r="AA36" s="513" t="s">
        <v>44</v>
      </c>
      <c r="AB36" s="515" t="s">
        <v>44</v>
      </c>
      <c r="AC36" s="517"/>
      <c r="AD36" s="514"/>
      <c r="AE36" s="513"/>
      <c r="AF36" s="513"/>
      <c r="AG36" s="513"/>
      <c r="AH36" s="268"/>
      <c r="AI36" s="513"/>
      <c r="AJ36" s="513">
        <f t="shared" si="0"/>
        <v>-1309</v>
      </c>
      <c r="AK36" s="515">
        <f t="shared" si="1"/>
        <v>-1</v>
      </c>
      <c r="AL36" s="513"/>
      <c r="AM36" s="515"/>
    </row>
    <row r="37" spans="1:40">
      <c r="A37" s="2" t="s">
        <v>1004</v>
      </c>
      <c r="B37" s="2" t="s">
        <v>44</v>
      </c>
      <c r="C37" s="235" t="s">
        <v>44</v>
      </c>
      <c r="D37" s="374" t="s">
        <v>44</v>
      </c>
      <c r="E37" s="374" t="s">
        <v>44</v>
      </c>
      <c r="F37" s="374" t="s">
        <v>44</v>
      </c>
      <c r="G37" s="374" t="s">
        <v>44</v>
      </c>
      <c r="H37" s="374" t="s">
        <v>44</v>
      </c>
      <c r="I37" s="235" t="s">
        <v>44</v>
      </c>
      <c r="J37" s="518" t="s">
        <v>44</v>
      </c>
      <c r="K37" s="513" t="s">
        <v>44</v>
      </c>
      <c r="L37" s="514" t="s">
        <v>44</v>
      </c>
      <c r="M37" s="513" t="s">
        <v>44</v>
      </c>
      <c r="N37" s="513" t="s">
        <v>44</v>
      </c>
      <c r="O37" s="513" t="s">
        <v>44</v>
      </c>
      <c r="P37" s="269" t="s">
        <v>44</v>
      </c>
      <c r="Q37" s="513">
        <v>0</v>
      </c>
      <c r="R37" s="513">
        <v>0</v>
      </c>
      <c r="S37" s="515" t="s">
        <v>44</v>
      </c>
      <c r="T37" s="519">
        <v>48.4</v>
      </c>
      <c r="U37" s="514" t="s">
        <v>44</v>
      </c>
      <c r="V37" s="513">
        <v>107.9</v>
      </c>
      <c r="W37" s="513">
        <v>0</v>
      </c>
      <c r="X37" s="513">
        <f t="shared" si="2"/>
        <v>107.9</v>
      </c>
      <c r="Y37" s="268">
        <f t="shared" si="3"/>
        <v>2.2293388429752068</v>
      </c>
      <c r="Z37" s="513">
        <v>0</v>
      </c>
      <c r="AA37" s="513" t="s">
        <v>44</v>
      </c>
      <c r="AB37" s="515" t="s">
        <v>44</v>
      </c>
      <c r="AC37" s="517"/>
      <c r="AD37" s="514"/>
      <c r="AE37" s="513"/>
      <c r="AF37" s="513"/>
      <c r="AG37" s="513"/>
      <c r="AH37" s="268"/>
      <c r="AI37" s="513"/>
      <c r="AJ37" s="513">
        <f t="shared" si="0"/>
        <v>-107.9</v>
      </c>
      <c r="AK37" s="515">
        <f t="shared" si="1"/>
        <v>-1</v>
      </c>
      <c r="AL37" s="513"/>
      <c r="AM37" s="515"/>
    </row>
    <row r="39" spans="1:40" s="520" customFormat="1" ht="12" thickBot="1">
      <c r="A39" s="520" t="s">
        <v>45</v>
      </c>
      <c r="K39" s="521">
        <f>SUM(K32:K37)</f>
        <v>0</v>
      </c>
      <c r="M39" s="522">
        <f>SUM(M32:M37)</f>
        <v>0</v>
      </c>
      <c r="N39" s="522">
        <f>SUM(N32:N37)</f>
        <v>0</v>
      </c>
      <c r="O39" s="522">
        <f>SUM(O32:O37)</f>
        <v>0</v>
      </c>
      <c r="P39" s="523" t="s">
        <v>44</v>
      </c>
      <c r="Q39" s="524" t="s">
        <v>44</v>
      </c>
      <c r="R39" s="524" t="s">
        <v>44</v>
      </c>
      <c r="S39" s="524" t="s">
        <v>44</v>
      </c>
      <c r="T39" s="521">
        <f>SUM(T32:T37)</f>
        <v>2160.5</v>
      </c>
      <c r="V39" s="522">
        <f>SUM(V32:V37)</f>
        <v>115.30000000000001</v>
      </c>
      <c r="W39" s="522">
        <f>SUM(W32:W37)</f>
        <v>2738</v>
      </c>
      <c r="X39" s="522">
        <f>SUM(X32:X37)</f>
        <v>2853.3</v>
      </c>
      <c r="Y39" s="523">
        <f t="shared" ref="Y39" si="4">X39/T39</f>
        <v>1.3206665123813932</v>
      </c>
      <c r="Z39" s="525" t="s">
        <v>44</v>
      </c>
      <c r="AA39" s="525" t="s">
        <v>44</v>
      </c>
      <c r="AB39" s="526" t="s">
        <v>44</v>
      </c>
      <c r="AC39" s="527"/>
      <c r="AJ39" s="525">
        <f t="shared" ref="AJ39" si="5">AG39-X39</f>
        <v>-2853.3</v>
      </c>
      <c r="AK39" s="547">
        <f t="shared" ref="AK39" si="6">IFERROR(AG39/X39-1,0)</f>
        <v>-1</v>
      </c>
      <c r="AN39" s="527"/>
    </row>
    <row r="41" spans="1:40" s="389" customFormat="1">
      <c r="A41" s="388" t="s">
        <v>277</v>
      </c>
      <c r="K41" s="528">
        <f>SUMIF($D$32:$D$37,"Unrealized",K$32:K$37)+SUMIF($D$32:$D$37,"Partial Realized",K$32:K$37)</f>
        <v>0</v>
      </c>
      <c r="M41" s="529">
        <f>SUMIF($D$32:$D$37,"Unrealized",M$32:M$37)+SUMIF($D$32:$D$37,"Partial Realized",M$32:M$37)</f>
        <v>0</v>
      </c>
      <c r="N41" s="529">
        <f>SUMIF($D$32:$D$37,"Unrealized",N$32:N$37)+SUMIF($D$32:$D$37,"Partial Realized",N$32:N$37)</f>
        <v>0</v>
      </c>
      <c r="O41" s="529">
        <f>SUMIF($D$32:$D$37,"Unrealized",O$32:O$37)+SUMIF($D$32:$D$37,"Partial Realized",O$32:O$37)</f>
        <v>0</v>
      </c>
      <c r="P41" s="530" t="s">
        <v>44</v>
      </c>
      <c r="R41" s="531" t="s">
        <v>44</v>
      </c>
      <c r="S41" s="532" t="s">
        <v>44</v>
      </c>
      <c r="T41" s="528">
        <f>SUMIF($D$32:$D$37,"Unrealized",T$32:T$37)+SUMIF($D$32:$D$37,"Partial Realized",T$32:T$37)</f>
        <v>2112.1</v>
      </c>
      <c r="V41" s="529">
        <f>SUMIF($D$32:$D$37,"Unrealized",V$32:V$37)+SUMIF($D$32:$D$37,"Partial Realized",V$32:V$37)</f>
        <v>7.4</v>
      </c>
      <c r="W41" s="529">
        <f>SUMIF($D$32:$D$37,"Unrealized",W$32:W$37)+SUMIF($D$32:$D$37,"Partial Realized",W$32:W$37)</f>
        <v>2738</v>
      </c>
      <c r="X41" s="529">
        <f>SUMIF($D$32:$D$37,"Unrealized",X$32:X$37)+SUMIF($D$32:$D$37,"Partial Realized",X$32:X$37)</f>
        <v>2745.4</v>
      </c>
      <c r="Y41" s="530">
        <f t="shared" ref="Y41" si="7">X41/T41</f>
        <v>1.2998437573978505</v>
      </c>
      <c r="AA41" s="533" t="s">
        <v>44</v>
      </c>
      <c r="AB41" s="534" t="s">
        <v>44</v>
      </c>
      <c r="AJ41" s="533">
        <f t="shared" ref="AJ41:AJ42" si="8">AG41-X41</f>
        <v>-2745.4</v>
      </c>
      <c r="AK41" s="548">
        <f t="shared" ref="AK41:AK42" si="9">IFERROR(AG41/X41-1,0)</f>
        <v>-1</v>
      </c>
      <c r="AN41" s="535"/>
    </row>
    <row r="42" spans="1:40" s="389" customFormat="1">
      <c r="A42" s="388" t="s">
        <v>278</v>
      </c>
      <c r="K42" s="528">
        <f>SUMIF($D$32:$D$37,"Realized",K$32:K$37)+SUMIF($D$32:$D$37,"Write-off",K$32:K$37)</f>
        <v>0</v>
      </c>
      <c r="M42" s="529">
        <f>SUMIF($D$32:$D$37,"Realized",M$32:M$37)+SUMIF($D$32:$D$37,"Write-off",M$32:M$37)</f>
        <v>0</v>
      </c>
      <c r="N42" s="529">
        <f>SUMIF($D$32:$D$37,"Realized",N$32:N$37)+SUMIF($D$32:$D$37,"Write-off",N$32:N$37)</f>
        <v>0</v>
      </c>
      <c r="O42" s="529">
        <f>SUMIF($D$32:$D$37,"Realized",O$32:O$37)+SUMIF($D$32:$D$37,"Write-off",O$32:O$37)</f>
        <v>0</v>
      </c>
      <c r="P42" s="530" t="s">
        <v>44</v>
      </c>
      <c r="R42" s="531" t="s">
        <v>44</v>
      </c>
      <c r="S42" s="532" t="s">
        <v>44</v>
      </c>
      <c r="T42" s="528">
        <f>SUMIF($D$32:$D$37,"Realized",T$32:T$37)+SUMIF($D$32:$D$37,"Write-off",T$32:T$37)</f>
        <v>0</v>
      </c>
      <c r="V42" s="529">
        <f>SUMIF($D$32:$D$37,"Realized",V$32:V$37)+SUMIF($D$32:$D$37,"Write-off",V$32:V$37)</f>
        <v>0</v>
      </c>
      <c r="W42" s="529">
        <f>SUMIF($D$32:$D$37,"Realized",W$32:W$37)+SUMIF($D$32:$D$37,"Write-off",W$32:W$37)</f>
        <v>0</v>
      </c>
      <c r="X42" s="529">
        <f>SUMIF($D$32:$D$37,"Realized",X$32:X$37)+SUMIF($D$32:$D$37,"Write-off",X$32:X$37)</f>
        <v>0</v>
      </c>
      <c r="Y42" s="530" t="s">
        <v>44</v>
      </c>
      <c r="AA42" s="533" t="s">
        <v>44</v>
      </c>
      <c r="AB42" s="534" t="s">
        <v>44</v>
      </c>
      <c r="AJ42" s="533">
        <f t="shared" si="8"/>
        <v>0</v>
      </c>
      <c r="AK42" s="548">
        <f t="shared" si="9"/>
        <v>0</v>
      </c>
      <c r="AN42" s="535"/>
    </row>
    <row r="45" spans="1:40" s="536" customFormat="1">
      <c r="A45" s="536" t="s">
        <v>279</v>
      </c>
      <c r="K45" s="537"/>
      <c r="T45" s="537"/>
      <c r="AC45" s="537"/>
      <c r="AN45" s="537"/>
    </row>
    <row r="46" spans="1:40" ht="13.5" customHeight="1">
      <c r="K46" s="538" t="s">
        <v>236</v>
      </c>
      <c r="L46" s="539"/>
      <c r="M46" s="539"/>
      <c r="N46" s="539"/>
      <c r="O46" s="539"/>
      <c r="P46" s="539"/>
      <c r="Q46" s="540"/>
      <c r="R46" s="540"/>
      <c r="S46" s="539"/>
      <c r="T46" s="503" t="s">
        <v>237</v>
      </c>
      <c r="U46" s="504"/>
      <c r="V46" s="504"/>
      <c r="W46" s="504"/>
      <c r="X46" s="504"/>
      <c r="Y46" s="504"/>
      <c r="Z46" s="505"/>
      <c r="AA46" s="505"/>
      <c r="AB46" s="504"/>
      <c r="AC46" s="503" t="s">
        <v>238</v>
      </c>
      <c r="AD46" s="504"/>
      <c r="AE46" s="504"/>
      <c r="AF46" s="504"/>
      <c r="AG46" s="539"/>
      <c r="AH46" s="539"/>
      <c r="AI46" s="540"/>
      <c r="AJ46" s="540"/>
      <c r="AK46" s="540"/>
      <c r="AL46" s="540"/>
      <c r="AM46" s="539"/>
    </row>
    <row r="47" spans="1:40" s="141" customFormat="1" ht="39.75" customHeight="1">
      <c r="A47" s="138" t="s">
        <v>239</v>
      </c>
      <c r="B47" s="139" t="s">
        <v>240</v>
      </c>
      <c r="C47" s="139" t="s">
        <v>69</v>
      </c>
      <c r="D47" s="139" t="s">
        <v>241</v>
      </c>
      <c r="E47" s="139" t="s">
        <v>242</v>
      </c>
      <c r="F47" s="139" t="s">
        <v>243</v>
      </c>
      <c r="G47" s="139" t="s">
        <v>244</v>
      </c>
      <c r="H47" s="139" t="s">
        <v>245</v>
      </c>
      <c r="I47" s="139" t="s">
        <v>246</v>
      </c>
      <c r="J47" s="501" t="s">
        <v>247</v>
      </c>
      <c r="K47" s="541" t="s">
        <v>280</v>
      </c>
      <c r="L47" s="542"/>
      <c r="M47" s="543"/>
      <c r="N47" s="542"/>
      <c r="O47" s="541" t="s">
        <v>281</v>
      </c>
      <c r="P47" s="542"/>
      <c r="Q47" s="543"/>
      <c r="R47" s="542"/>
      <c r="S47" s="544"/>
      <c r="T47" s="541" t="s">
        <v>280</v>
      </c>
      <c r="U47" s="542"/>
      <c r="V47" s="543"/>
      <c r="W47" s="542"/>
      <c r="X47" s="541" t="s">
        <v>281</v>
      </c>
      <c r="Y47" s="542"/>
      <c r="Z47" s="543"/>
      <c r="AA47" s="542"/>
      <c r="AB47" s="544"/>
      <c r="AC47" s="541" t="s">
        <v>280</v>
      </c>
      <c r="AD47" s="542"/>
      <c r="AE47" s="543"/>
      <c r="AF47" s="542"/>
      <c r="AG47" s="541" t="s">
        <v>281</v>
      </c>
      <c r="AH47" s="542"/>
      <c r="AI47" s="543"/>
      <c r="AJ47" s="542"/>
      <c r="AK47" s="545"/>
      <c r="AL47" s="545"/>
      <c r="AM47" s="544"/>
      <c r="AN47" s="510"/>
    </row>
  </sheetData>
  <conditionalFormatting sqref="R32:S37">
    <cfRule type="cellIs" dxfId="73" priority="11" operator="lessThan">
      <formula>0</formula>
    </cfRule>
    <cfRule type="cellIs" dxfId="72" priority="12" operator="greaterThan">
      <formula>0</formula>
    </cfRule>
  </conditionalFormatting>
  <conditionalFormatting sqref="AA32:AB37">
    <cfRule type="cellIs" dxfId="71" priority="15" operator="lessThan">
      <formula>0</formula>
    </cfRule>
    <cfRule type="cellIs" dxfId="70" priority="16" operator="greaterThan">
      <formula>0</formula>
    </cfRule>
  </conditionalFormatting>
  <conditionalFormatting sqref="AA39:AB39">
    <cfRule type="cellIs" dxfId="69" priority="9" operator="lessThan">
      <formula>0</formula>
    </cfRule>
    <cfRule type="cellIs" dxfId="68" priority="10" operator="greaterThan">
      <formula>0</formula>
    </cfRule>
  </conditionalFormatting>
  <conditionalFormatting sqref="AA41:AB42">
    <cfRule type="cellIs" dxfId="67" priority="7" operator="lessThan">
      <formula>0</formula>
    </cfRule>
    <cfRule type="cellIs" dxfId="66" priority="8" operator="greaterThan">
      <formula>0</formula>
    </cfRule>
  </conditionalFormatting>
  <conditionalFormatting sqref="AJ32:AK37">
    <cfRule type="cellIs" dxfId="65" priority="5" operator="lessThan">
      <formula>0</formula>
    </cfRule>
    <cfRule type="cellIs" dxfId="64" priority="6" operator="greaterThan">
      <formula>0</formula>
    </cfRule>
  </conditionalFormatting>
  <conditionalFormatting sqref="AJ39:AK39">
    <cfRule type="cellIs" dxfId="63" priority="3" operator="lessThan">
      <formula>0</formula>
    </cfRule>
    <cfRule type="cellIs" dxfId="62" priority="4" operator="greaterThan">
      <formula>0</formula>
    </cfRule>
  </conditionalFormatting>
  <conditionalFormatting sqref="AJ41:AK42">
    <cfRule type="cellIs" dxfId="61" priority="1" operator="lessThan">
      <formula>0</formula>
    </cfRule>
    <cfRule type="cellIs" dxfId="60" priority="2" operator="greaterThan">
      <formula>0</formula>
    </cfRule>
  </conditionalFormatting>
  <conditionalFormatting sqref="AL32:AM33">
    <cfRule type="cellIs" dxfId="59" priority="13" operator="lessThan">
      <formula>0</formula>
    </cfRule>
    <cfRule type="cellIs" dxfId="58" priority="14" operator="greaterThan">
      <formula>0</formula>
    </cfRule>
  </conditionalFormatting>
  <printOptions horizontalCentered="1"/>
  <pageMargins left="0.23622047244094491" right="0" top="0.35433070866141736" bottom="0.19685039370078741" header="0.15748031496062992" footer="0.15748031496062992"/>
  <pageSetup paperSize="8" scale="37"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62CF0-FB17-4069-A532-899120DD0C0A}">
  <sheetPr>
    <tabColor theme="8"/>
  </sheetPr>
  <dimension ref="B1:S18"/>
  <sheetViews>
    <sheetView workbookViewId="0"/>
  </sheetViews>
  <sheetFormatPr defaultColWidth="9" defaultRowHeight="11.25"/>
  <cols>
    <col min="1" max="1" width="2.7109375" style="2" customWidth="1"/>
    <col min="2" max="2" width="18.7109375" style="2" customWidth="1"/>
    <col min="3" max="3" width="15.140625" style="2" customWidth="1"/>
    <col min="4" max="4" width="15.28515625" style="2" hidden="1" customWidth="1"/>
    <col min="5" max="5" width="14.7109375" style="2" customWidth="1"/>
    <col min="6" max="6" width="5" style="2" bestFit="1" customWidth="1"/>
    <col min="7" max="7" width="47.140625" style="2" customWidth="1"/>
    <col min="8" max="10" width="14.28515625" style="2" customWidth="1"/>
    <col min="11" max="11" width="8.42578125" style="2" bestFit="1" customWidth="1"/>
    <col min="12" max="12" width="21.7109375" style="2" bestFit="1" customWidth="1"/>
    <col min="13" max="16" width="14.28515625" style="2" customWidth="1"/>
    <col min="17" max="17" width="12.28515625" style="2" customWidth="1"/>
    <col min="18" max="18" width="13.28515625" style="2" customWidth="1"/>
    <col min="19" max="16384" width="9" style="2"/>
  </cols>
  <sheetData>
    <row r="1" spans="2:19">
      <c r="B1" s="75" t="s">
        <v>282</v>
      </c>
      <c r="L1" s="626">
        <f>C3</f>
        <v>45657</v>
      </c>
      <c r="M1" s="626"/>
      <c r="N1" s="333" t="s">
        <v>668</v>
      </c>
      <c r="O1" s="199"/>
    </row>
    <row r="2" spans="2:19" ht="12" thickBot="1">
      <c r="L2" s="172" t="s">
        <v>285</v>
      </c>
      <c r="M2" s="173">
        <f>M10</f>
        <v>-1756064.05</v>
      </c>
      <c r="N2" s="201">
        <v>1756064</v>
      </c>
      <c r="O2" s="205">
        <f>M2+N2</f>
        <v>-5.0000000046566129E-2</v>
      </c>
    </row>
    <row r="3" spans="2:19" ht="12" thickBot="1">
      <c r="B3" s="202" t="s">
        <v>286</v>
      </c>
      <c r="C3" s="272">
        <f>GTCR!E1</f>
        <v>45657</v>
      </c>
      <c r="L3" s="172" t="s">
        <v>287</v>
      </c>
      <c r="M3" s="173">
        <f>P10</f>
        <v>0</v>
      </c>
      <c r="N3" s="201">
        <v>0</v>
      </c>
      <c r="O3" s="205">
        <f>M3+N3</f>
        <v>0</v>
      </c>
    </row>
    <row r="4" spans="2:19">
      <c r="H4" s="273"/>
      <c r="L4" s="175" t="s">
        <v>288</v>
      </c>
      <c r="M4" s="176">
        <f>L14</f>
        <v>2093389</v>
      </c>
    </row>
    <row r="5" spans="2:19" s="75" customFormat="1">
      <c r="B5" s="75" t="s">
        <v>289</v>
      </c>
      <c r="C5" s="75" t="s">
        <v>22</v>
      </c>
      <c r="L5" s="172" t="s">
        <v>75</v>
      </c>
      <c r="M5" s="180">
        <f>XIRR(L10:L14,E10:E14,0)</f>
        <v>1.5680467382812502</v>
      </c>
    </row>
    <row r="6" spans="2:19">
      <c r="B6" s="75" t="s">
        <v>291</v>
      </c>
      <c r="C6" s="75" t="s">
        <v>24</v>
      </c>
    </row>
    <row r="7" spans="2:19">
      <c r="B7" s="75" t="s">
        <v>52</v>
      </c>
      <c r="C7" s="257">
        <v>16940000</v>
      </c>
    </row>
    <row r="9" spans="2:19" s="186" customFormat="1" ht="22.5">
      <c r="B9" s="280" t="s">
        <v>292</v>
      </c>
      <c r="C9" s="183" t="s">
        <v>0</v>
      </c>
      <c r="D9" s="183" t="s">
        <v>293</v>
      </c>
      <c r="E9" s="183" t="s">
        <v>294</v>
      </c>
      <c r="F9" s="183" t="s">
        <v>295</v>
      </c>
      <c r="G9" s="183" t="s">
        <v>176</v>
      </c>
      <c r="H9" s="184" t="s">
        <v>296</v>
      </c>
      <c r="I9" s="185" t="s">
        <v>435</v>
      </c>
      <c r="J9" s="185" t="s">
        <v>436</v>
      </c>
      <c r="K9" s="185" t="s">
        <v>299</v>
      </c>
      <c r="L9" s="185" t="s">
        <v>300</v>
      </c>
      <c r="M9" s="185" t="s">
        <v>301</v>
      </c>
      <c r="N9" s="185" t="s">
        <v>302</v>
      </c>
      <c r="O9" s="185" t="s">
        <v>708</v>
      </c>
      <c r="P9" s="185" t="s">
        <v>438</v>
      </c>
      <c r="Q9" s="184" t="s">
        <v>195</v>
      </c>
      <c r="R9" s="184" t="s">
        <v>709</v>
      </c>
    </row>
    <row r="10" spans="2:19" s="186" customFormat="1">
      <c r="B10" s="2" t="s">
        <v>307</v>
      </c>
      <c r="C10" s="2" t="s">
        <v>308</v>
      </c>
      <c r="D10" s="183"/>
      <c r="E10" s="187">
        <v>45589</v>
      </c>
      <c r="F10" s="2">
        <f>YEAR(E10)</f>
        <v>2024</v>
      </c>
      <c r="G10" s="397"/>
      <c r="H10" s="108">
        <v>-1756064.05</v>
      </c>
      <c r="I10" s="108"/>
      <c r="J10" s="108"/>
      <c r="K10" s="108"/>
      <c r="L10" s="108">
        <f>SUM(H10:K10)</f>
        <v>-1756064.05</v>
      </c>
      <c r="M10" s="170">
        <f>IF(L10&lt;0,L10,0)</f>
        <v>-1756064.05</v>
      </c>
      <c r="N10" s="170">
        <f>M10+$C$7</f>
        <v>15183935.949999999</v>
      </c>
      <c r="O10" s="170">
        <f>SUMIF(H10:K10,"&gt;0", H10:K10)</f>
        <v>0</v>
      </c>
      <c r="P10" s="170">
        <f>O10</f>
        <v>0</v>
      </c>
      <c r="Q10" s="184"/>
      <c r="R10" s="184"/>
      <c r="S10" s="120" t="s">
        <v>1005</v>
      </c>
    </row>
    <row r="11" spans="2:19" s="186" customFormat="1">
      <c r="B11" s="2"/>
      <c r="C11" s="2"/>
      <c r="D11" s="183"/>
      <c r="E11" s="187"/>
      <c r="F11" s="2"/>
      <c r="G11" s="183"/>
      <c r="H11" s="108"/>
      <c r="I11" s="108"/>
      <c r="J11" s="108"/>
      <c r="K11" s="108"/>
      <c r="L11" s="108"/>
      <c r="M11" s="170"/>
      <c r="N11" s="170"/>
      <c r="O11" s="170"/>
      <c r="P11" s="170"/>
      <c r="Q11" s="184"/>
      <c r="R11" s="184"/>
    </row>
    <row r="12" spans="2:19">
      <c r="D12" s="187"/>
      <c r="E12" s="187"/>
      <c r="G12" s="211"/>
      <c r="H12" s="108"/>
      <c r="I12" s="108"/>
      <c r="J12" s="108"/>
      <c r="K12" s="108"/>
      <c r="L12" s="108"/>
      <c r="M12" s="170"/>
      <c r="N12" s="170"/>
      <c r="O12" s="170"/>
      <c r="P12" s="170"/>
    </row>
    <row r="13" spans="2:19">
      <c r="E13" s="187"/>
      <c r="G13" s="132"/>
      <c r="H13" s="132"/>
      <c r="I13" s="132"/>
      <c r="J13" s="281"/>
      <c r="K13" s="281"/>
      <c r="L13" s="170"/>
      <c r="M13" s="170"/>
      <c r="N13" s="170"/>
      <c r="O13" s="170"/>
      <c r="P13" s="170"/>
    </row>
    <row r="14" spans="2:19" s="191" customFormat="1">
      <c r="C14" s="191" t="s">
        <v>716</v>
      </c>
      <c r="D14" s="192"/>
      <c r="E14" s="192">
        <f>C3</f>
        <v>45657</v>
      </c>
      <c r="F14" s="191">
        <f>YEAR(E14)</f>
        <v>2024</v>
      </c>
      <c r="G14" s="191" t="s">
        <v>681</v>
      </c>
      <c r="H14" s="193"/>
      <c r="I14" s="193"/>
      <c r="J14" s="193"/>
      <c r="K14" s="193"/>
      <c r="L14" s="282">
        <v>2093389</v>
      </c>
      <c r="M14" s="193"/>
      <c r="N14" s="193"/>
      <c r="O14" s="193"/>
      <c r="P14" s="193"/>
    </row>
    <row r="18" spans="2:2">
      <c r="B18" s="2" t="s">
        <v>880</v>
      </c>
    </row>
  </sheetData>
  <mergeCells count="1">
    <mergeCell ref="L1:M1"/>
  </mergeCells>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2F5E-B35C-438A-9430-E490ED872835}">
  <sheetPr>
    <tabColor theme="8"/>
    <outlinePr showOutlineSymbols="0"/>
    <pageSetUpPr fitToPage="1"/>
  </sheetPr>
  <dimension ref="A1:AN44"/>
  <sheetViews>
    <sheetView workbookViewId="0"/>
  </sheetViews>
  <sheetFormatPr defaultColWidth="9" defaultRowHeight="11.25" outlineLevelRow="1" outlineLevelCol="1"/>
  <cols>
    <col min="1" max="1" width="32.140625" style="2" customWidth="1"/>
    <col min="2" max="2" width="79.42578125" style="2" bestFit="1" customWidth="1"/>
    <col min="3" max="3" width="15.7109375" style="2" customWidth="1"/>
    <col min="4" max="4" width="31.140625" style="2" customWidth="1"/>
    <col min="5" max="5" width="14.42578125" style="2" bestFit="1" customWidth="1"/>
    <col min="6" max="7" width="10.7109375" style="2" customWidth="1"/>
    <col min="8" max="8" width="38" style="2" bestFit="1" customWidth="1"/>
    <col min="9" max="9" width="19.28515625" style="2" bestFit="1" customWidth="1"/>
    <col min="10" max="10" width="19.28515625" style="2" customWidth="1"/>
    <col min="11" max="11" width="12.7109375" style="367" customWidth="1" outlineLevel="1"/>
    <col min="12" max="12" width="12.7109375" style="2" customWidth="1" outlineLevel="1"/>
    <col min="13" max="15" width="14.7109375" style="2" customWidth="1" outlineLevel="1"/>
    <col min="16" max="17" width="7.7109375" style="2" customWidth="1" outlineLevel="1"/>
    <col min="18" max="19" width="15.7109375" style="2" customWidth="1" outlineLevel="1"/>
    <col min="20" max="20" width="12.7109375" style="367" customWidth="1"/>
    <col min="21" max="21" width="12.7109375" style="2" customWidth="1"/>
    <col min="22" max="24" width="14.7109375" style="2" customWidth="1"/>
    <col min="25" max="26" width="7.7109375" style="2" customWidth="1"/>
    <col min="27" max="28" width="15.7109375" style="2" customWidth="1"/>
    <col min="29" max="29" width="12.7109375" style="367" customWidth="1"/>
    <col min="30" max="30" width="12.7109375" style="2" customWidth="1"/>
    <col min="31" max="33" width="14.7109375" style="2" customWidth="1"/>
    <col min="34" max="35" width="7.7109375" style="2" customWidth="1"/>
    <col min="36" max="39" width="15.7109375" style="2" customWidth="1"/>
    <col min="40" max="40" width="9" style="367"/>
    <col min="41" max="16384" width="9" style="2"/>
  </cols>
  <sheetData>
    <row r="1" spans="1:20">
      <c r="A1" s="117" t="s">
        <v>179</v>
      </c>
      <c r="B1" s="118"/>
      <c r="C1" s="74"/>
      <c r="D1" s="117" t="s">
        <v>180</v>
      </c>
      <c r="E1" s="219">
        <v>45657</v>
      </c>
      <c r="H1" s="117" t="s">
        <v>404</v>
      </c>
      <c r="I1" s="118"/>
      <c r="J1" s="74"/>
    </row>
    <row r="2" spans="1:20" outlineLevel="1">
      <c r="A2" s="2" t="s">
        <v>182</v>
      </c>
      <c r="B2" s="120" t="s">
        <v>1006</v>
      </c>
      <c r="D2" s="2" t="s">
        <v>183</v>
      </c>
      <c r="E2" s="310">
        <f>W36</f>
        <v>373.91412700000001</v>
      </c>
      <c r="H2" s="2" t="s">
        <v>184</v>
      </c>
      <c r="I2" s="124">
        <v>0</v>
      </c>
      <c r="J2" s="120"/>
    </row>
    <row r="3" spans="1:20" outlineLevel="1">
      <c r="A3" s="2" t="s">
        <v>186</v>
      </c>
      <c r="B3" s="306" t="s">
        <v>570</v>
      </c>
      <c r="D3" s="2" t="s">
        <v>187</v>
      </c>
      <c r="E3" s="381">
        <v>405.91000700000001</v>
      </c>
      <c r="H3" s="2" t="s">
        <v>188</v>
      </c>
      <c r="I3" s="124">
        <v>0</v>
      </c>
      <c r="J3" s="120"/>
    </row>
    <row r="4" spans="1:20" outlineLevel="1">
      <c r="A4" s="2" t="s">
        <v>190</v>
      </c>
      <c r="B4" s="306" t="s">
        <v>570</v>
      </c>
      <c r="D4" s="2" t="s">
        <v>191</v>
      </c>
      <c r="E4" s="125">
        <v>1.2</v>
      </c>
      <c r="H4" s="2" t="s">
        <v>192</v>
      </c>
      <c r="I4" s="124">
        <v>0</v>
      </c>
      <c r="J4" s="320"/>
    </row>
    <row r="5" spans="1:20" outlineLevel="1">
      <c r="A5" s="2" t="s">
        <v>193</v>
      </c>
      <c r="B5" s="306" t="s">
        <v>570</v>
      </c>
      <c r="D5" s="2" t="s">
        <v>194</v>
      </c>
      <c r="E5" s="125" t="s">
        <v>718</v>
      </c>
      <c r="H5" s="2" t="s">
        <v>195</v>
      </c>
      <c r="I5" s="126">
        <v>0.15</v>
      </c>
      <c r="J5" s="126"/>
    </row>
    <row r="6" spans="1:20" outlineLevel="1">
      <c r="A6" s="2" t="s">
        <v>196</v>
      </c>
      <c r="B6" s="120" t="s">
        <v>1007</v>
      </c>
      <c r="D6" s="2" t="s">
        <v>198</v>
      </c>
      <c r="E6" s="125" t="s">
        <v>718</v>
      </c>
      <c r="H6" s="117" t="s">
        <v>199</v>
      </c>
      <c r="I6" s="118"/>
      <c r="J6" s="74"/>
    </row>
    <row r="7" spans="1:20" outlineLevel="1">
      <c r="A7" s="2" t="s">
        <v>200</v>
      </c>
      <c r="B7" s="306" t="s">
        <v>570</v>
      </c>
      <c r="D7" s="2" t="s">
        <v>202</v>
      </c>
      <c r="E7" s="302" t="s">
        <v>718</v>
      </c>
      <c r="H7" s="2" t="s">
        <v>203</v>
      </c>
      <c r="I7" s="2" t="s">
        <v>204</v>
      </c>
    </row>
    <row r="8" spans="1:20" outlineLevel="1">
      <c r="A8" s="2" t="s">
        <v>205</v>
      </c>
      <c r="B8" s="120" t="s">
        <v>206</v>
      </c>
      <c r="D8" s="2" t="s">
        <v>207</v>
      </c>
      <c r="E8" s="302" t="s">
        <v>718</v>
      </c>
      <c r="H8" s="2" t="s">
        <v>208</v>
      </c>
      <c r="I8" s="2" t="s">
        <v>408</v>
      </c>
    </row>
    <row r="9" spans="1:20" outlineLevel="1">
      <c r="A9" s="2" t="s">
        <v>65</v>
      </c>
      <c r="B9" s="306" t="s">
        <v>570</v>
      </c>
      <c r="D9" s="128" t="s">
        <v>211</v>
      </c>
      <c r="E9" s="291"/>
      <c r="H9" s="2" t="s">
        <v>1008</v>
      </c>
      <c r="I9" s="2" t="s">
        <v>1009</v>
      </c>
    </row>
    <row r="10" spans="1:20" outlineLevel="1">
      <c r="A10" s="2" t="s">
        <v>212</v>
      </c>
      <c r="B10" s="306" t="s">
        <v>570</v>
      </c>
      <c r="D10" s="2" t="s">
        <v>214</v>
      </c>
      <c r="E10" s="316">
        <v>15.75</v>
      </c>
    </row>
    <row r="11" spans="1:20" outlineLevel="1">
      <c r="A11" s="2" t="s">
        <v>215</v>
      </c>
      <c r="B11" s="306" t="s">
        <v>570</v>
      </c>
      <c r="D11" s="2" t="s">
        <v>216</v>
      </c>
      <c r="E11" s="309">
        <f>15750000/346398204</f>
        <v>4.5467903176541875E-2</v>
      </c>
    </row>
    <row r="12" spans="1:20" outlineLevel="1">
      <c r="A12" s="2" t="s">
        <v>217</v>
      </c>
      <c r="B12" s="120" t="s">
        <v>24</v>
      </c>
      <c r="D12" s="2" t="s">
        <v>218</v>
      </c>
      <c r="E12" s="264">
        <f>-'HSG Growth VI (CF) '!L2/10^6</f>
        <v>15.75</v>
      </c>
      <c r="T12" s="502"/>
    </row>
    <row r="13" spans="1:20" outlineLevel="1">
      <c r="A13" s="2" t="s">
        <v>219</v>
      </c>
      <c r="B13" s="120" t="s">
        <v>1010</v>
      </c>
      <c r="D13" s="2" t="s">
        <v>221</v>
      </c>
      <c r="E13" s="316">
        <f>E10-E12</f>
        <v>0</v>
      </c>
      <c r="N13" s="314"/>
      <c r="T13" s="502"/>
    </row>
    <row r="14" spans="1:20" outlineLevel="1">
      <c r="A14" s="2" t="s">
        <v>222</v>
      </c>
      <c r="B14" s="120" t="s">
        <v>570</v>
      </c>
      <c r="D14" s="2" t="s">
        <v>224</v>
      </c>
      <c r="E14" s="301" cm="1">
        <f t="array" ref="E14">LOOKUP(2,1/('HSG Growth VI (CF) '!O:O&lt;&gt;""),'HSG Growth VI (CF) '!O:O)/10^6</f>
        <v>0.121791</v>
      </c>
      <c r="N14" s="314"/>
      <c r="T14" s="502"/>
    </row>
    <row r="15" spans="1:20" outlineLevel="1">
      <c r="A15" s="2" t="s">
        <v>225</v>
      </c>
      <c r="B15" s="126">
        <v>0.01</v>
      </c>
      <c r="D15" s="2" t="s">
        <v>227</v>
      </c>
      <c r="E15" s="362">
        <f>'HSG Growth VI (CF) '!$K$22/10^6</f>
        <v>18.019138000000002</v>
      </c>
      <c r="N15" s="314"/>
    </row>
    <row r="16" spans="1:20" outlineLevel="1">
      <c r="A16" s="2" t="s">
        <v>228</v>
      </c>
      <c r="B16" s="134">
        <v>44561</v>
      </c>
      <c r="D16" s="2" t="s">
        <v>229</v>
      </c>
      <c r="E16" s="299">
        <f>E12/E10</f>
        <v>1</v>
      </c>
      <c r="N16" s="314"/>
    </row>
    <row r="17" spans="1:40" outlineLevel="1">
      <c r="A17" s="2" t="s">
        <v>230</v>
      </c>
      <c r="B17" s="120" t="s">
        <v>231</v>
      </c>
      <c r="D17" s="2" t="s">
        <v>232</v>
      </c>
      <c r="E17" s="317">
        <f>E14/E12</f>
        <v>7.7327619047619046E-3</v>
      </c>
    </row>
    <row r="18" spans="1:40" outlineLevel="1">
      <c r="A18" s="117" t="s">
        <v>233</v>
      </c>
      <c r="B18" s="118"/>
      <c r="D18" s="2" t="s">
        <v>234</v>
      </c>
      <c r="E18" s="313">
        <f>(E15+E14)/E12</f>
        <v>1.151805015873016</v>
      </c>
    </row>
    <row r="19" spans="1:40" outlineLevel="1">
      <c r="A19" s="2" t="s">
        <v>235</v>
      </c>
      <c r="B19" s="120">
        <v>100</v>
      </c>
      <c r="D19" s="2" t="s">
        <v>177</v>
      </c>
      <c r="E19" s="318">
        <f>'HSG Growth VI (CF) '!L5</f>
        <v>4.0418961644172677E-2</v>
      </c>
    </row>
    <row r="20" spans="1:40" ht="13.5" customHeight="1"/>
    <row r="30" spans="1:40" ht="13.5" customHeight="1">
      <c r="K30" s="503" t="s">
        <v>236</v>
      </c>
      <c r="L30" s="504"/>
      <c r="M30" s="504"/>
      <c r="N30" s="504"/>
      <c r="O30" s="504"/>
      <c r="P30" s="504"/>
      <c r="Q30" s="505"/>
      <c r="R30" s="505"/>
      <c r="S30" s="504"/>
      <c r="T30" s="503" t="s">
        <v>237</v>
      </c>
      <c r="U30" s="504"/>
      <c r="V30" s="504"/>
      <c r="W30" s="504"/>
      <c r="X30" s="504"/>
      <c r="Y30" s="504"/>
      <c r="Z30" s="505"/>
      <c r="AA30" s="505"/>
      <c r="AB30" s="504"/>
      <c r="AC30" s="503" t="s">
        <v>238</v>
      </c>
      <c r="AD30" s="504"/>
      <c r="AE30" s="504"/>
      <c r="AF30" s="504"/>
      <c r="AG30" s="504"/>
      <c r="AH30" s="504"/>
      <c r="AI30" s="505"/>
      <c r="AJ30" s="505"/>
      <c r="AK30" s="505"/>
      <c r="AL30" s="505"/>
      <c r="AM30" s="504"/>
    </row>
    <row r="31" spans="1:40" s="141" customFormat="1" ht="39.75" customHeight="1">
      <c r="A31" s="138" t="s">
        <v>239</v>
      </c>
      <c r="B31" s="139" t="s">
        <v>240</v>
      </c>
      <c r="C31" s="139" t="s">
        <v>69</v>
      </c>
      <c r="D31" s="139" t="s">
        <v>241</v>
      </c>
      <c r="E31" s="139" t="s">
        <v>242</v>
      </c>
      <c r="F31" s="139" t="s">
        <v>243</v>
      </c>
      <c r="G31" s="139" t="s">
        <v>244</v>
      </c>
      <c r="H31" s="139" t="s">
        <v>245</v>
      </c>
      <c r="I31" s="139" t="s">
        <v>246</v>
      </c>
      <c r="J31" s="501" t="s">
        <v>247</v>
      </c>
      <c r="K31" s="506" t="s">
        <v>248</v>
      </c>
      <c r="L31" s="506" t="s">
        <v>249</v>
      </c>
      <c r="M31" s="507" t="s">
        <v>250</v>
      </c>
      <c r="N31" s="506" t="s">
        <v>251</v>
      </c>
      <c r="O31" s="507" t="s">
        <v>252</v>
      </c>
      <c r="P31" s="506" t="s">
        <v>115</v>
      </c>
      <c r="Q31" s="507" t="s">
        <v>253</v>
      </c>
      <c r="R31" s="508" t="s">
        <v>254</v>
      </c>
      <c r="S31" s="509" t="s">
        <v>255</v>
      </c>
      <c r="T31" s="506" t="s">
        <v>248</v>
      </c>
      <c r="U31" s="506" t="s">
        <v>249</v>
      </c>
      <c r="V31" s="507" t="s">
        <v>250</v>
      </c>
      <c r="W31" s="506" t="s">
        <v>251</v>
      </c>
      <c r="X31" s="507" t="s">
        <v>252</v>
      </c>
      <c r="Y31" s="506" t="s">
        <v>115</v>
      </c>
      <c r="Z31" s="507" t="s">
        <v>253</v>
      </c>
      <c r="AA31" s="508" t="s">
        <v>254</v>
      </c>
      <c r="AB31" s="509" t="s">
        <v>255</v>
      </c>
      <c r="AC31" s="506" t="s">
        <v>248</v>
      </c>
      <c r="AD31" s="506" t="s">
        <v>249</v>
      </c>
      <c r="AE31" s="507" t="s">
        <v>250</v>
      </c>
      <c r="AF31" s="506" t="s">
        <v>251</v>
      </c>
      <c r="AG31" s="507" t="s">
        <v>252</v>
      </c>
      <c r="AH31" s="506" t="s">
        <v>115</v>
      </c>
      <c r="AI31" s="507" t="s">
        <v>253</v>
      </c>
      <c r="AJ31" s="508" t="s">
        <v>254</v>
      </c>
      <c r="AK31" s="509" t="s">
        <v>255</v>
      </c>
      <c r="AL31" s="508" t="s">
        <v>256</v>
      </c>
      <c r="AM31" s="509" t="s">
        <v>257</v>
      </c>
      <c r="AN31" s="510"/>
    </row>
    <row r="32" spans="1:40">
      <c r="A32" s="2" t="s">
        <v>1011</v>
      </c>
      <c r="B32" s="2" t="s">
        <v>570</v>
      </c>
      <c r="C32" s="235" t="s">
        <v>44</v>
      </c>
      <c r="D32" s="374" t="s">
        <v>44</v>
      </c>
      <c r="E32" s="374" t="s">
        <v>44</v>
      </c>
      <c r="F32" s="374" t="s">
        <v>44</v>
      </c>
      <c r="G32" s="374" t="s">
        <v>44</v>
      </c>
      <c r="H32" s="374" t="s">
        <v>44</v>
      </c>
      <c r="I32" s="235" t="s">
        <v>44</v>
      </c>
      <c r="J32" s="512" t="s">
        <v>44</v>
      </c>
      <c r="K32" s="513">
        <f>10^-6*(291158884+2934000+684600)</f>
        <v>294.77748399999996</v>
      </c>
      <c r="L32" s="514" t="s">
        <v>44</v>
      </c>
      <c r="M32" s="513">
        <f>10^-6*(3027325+684600+2186493)</f>
        <v>5.8984179999999995</v>
      </c>
      <c r="N32" s="513">
        <f>10^-6*314319167</f>
        <v>314.31916699999999</v>
      </c>
      <c r="O32" s="513">
        <f>M32+N32</f>
        <v>320.21758499999999</v>
      </c>
      <c r="P32" s="268">
        <f>O32/K32</f>
        <v>1.0863027279247692</v>
      </c>
      <c r="Q32" s="513">
        <v>0</v>
      </c>
      <c r="R32" s="513">
        <v>0</v>
      </c>
      <c r="S32" s="515" t="s">
        <v>44</v>
      </c>
      <c r="T32" s="516">
        <f>10^-6*(283197008+2934000+684600)</f>
        <v>286.815608</v>
      </c>
      <c r="U32" s="514" t="s">
        <v>44</v>
      </c>
      <c r="V32" s="513">
        <f>10^-6*(684600+3027325+2186493)</f>
        <v>5.8984179999999995</v>
      </c>
      <c r="W32" s="513">
        <f>10^-6*335109190</f>
        <v>335.10919000000001</v>
      </c>
      <c r="X32" s="513">
        <f>V32+W32</f>
        <v>341.007608</v>
      </c>
      <c r="Y32" s="268">
        <f>X32/T32</f>
        <v>1.1889436923530325</v>
      </c>
      <c r="Z32" s="513">
        <v>0</v>
      </c>
      <c r="AA32" s="513">
        <f>X32-O32</f>
        <v>20.790023000000019</v>
      </c>
      <c r="AB32" s="515">
        <f>IFERROR(X32/O32-1,0)</f>
        <v>6.4924676138570003E-2</v>
      </c>
      <c r="AC32" s="517"/>
      <c r="AD32" s="514"/>
      <c r="AE32" s="513"/>
      <c r="AF32" s="513"/>
      <c r="AG32" s="513"/>
      <c r="AH32" s="268"/>
      <c r="AI32" s="513"/>
      <c r="AJ32" s="513"/>
      <c r="AK32" s="515"/>
      <c r="AL32" s="513"/>
      <c r="AM32" s="515"/>
    </row>
    <row r="33" spans="1:40">
      <c r="A33" s="2" t="s">
        <v>1012</v>
      </c>
      <c r="B33" s="2" t="s">
        <v>570</v>
      </c>
      <c r="C33" s="235" t="s">
        <v>44</v>
      </c>
      <c r="D33" s="374" t="s">
        <v>44</v>
      </c>
      <c r="E33" s="374" t="s">
        <v>44</v>
      </c>
      <c r="F33" s="374" t="s">
        <v>44</v>
      </c>
      <c r="G33" s="374" t="s">
        <v>44</v>
      </c>
      <c r="H33" s="374" t="s">
        <v>44</v>
      </c>
      <c r="I33" s="235" t="s">
        <v>44</v>
      </c>
      <c r="J33" s="518" t="s">
        <v>44</v>
      </c>
      <c r="K33" s="513">
        <f>10^-6*(70822394+(30700553-(684600+2934000)))</f>
        <v>97.904347000000001</v>
      </c>
      <c r="L33" s="514" t="s">
        <v>44</v>
      </c>
      <c r="M33" s="513">
        <f>10^-6*(60257318+7506829-(684600+3027325))</f>
        <v>64.052222</v>
      </c>
      <c r="N33" s="513">
        <f>10^-6*57480146</f>
        <v>57.480145999999998</v>
      </c>
      <c r="O33" s="513">
        <f>N33+M33</f>
        <v>121.53236799999999</v>
      </c>
      <c r="P33" s="269">
        <f>O33/K33</f>
        <v>1.2413378131208004</v>
      </c>
      <c r="Q33" s="513">
        <v>0</v>
      </c>
      <c r="R33" s="513">
        <v>0</v>
      </c>
      <c r="S33" s="515" t="s">
        <v>44</v>
      </c>
      <c r="T33" s="519">
        <f>10^-6*(66470331+(44396618-(2934000+684600)))</f>
        <v>107.24834899999999</v>
      </c>
      <c r="U33" s="514" t="s">
        <v>44</v>
      </c>
      <c r="V33" s="513">
        <f>10^-6*(72396756+11594399-(3027325+684600))</f>
        <v>80.279229999999998</v>
      </c>
      <c r="W33" s="513">
        <f>10^-6*34156944</f>
        <v>34.156943999999996</v>
      </c>
      <c r="X33" s="513">
        <f>W33+V33</f>
        <v>114.43617399999999</v>
      </c>
      <c r="Y33" s="268">
        <f>X33/T33</f>
        <v>1.0670203790270003</v>
      </c>
      <c r="Z33" s="513">
        <v>0</v>
      </c>
      <c r="AA33" s="513">
        <f t="shared" ref="AA33:AA34" si="0">X33-O33</f>
        <v>-7.096193999999997</v>
      </c>
      <c r="AB33" s="515">
        <f t="shared" ref="AB33:AB34" si="1">IFERROR(X33/O33-1,0)</f>
        <v>-5.838933377814215E-2</v>
      </c>
      <c r="AC33" s="517"/>
      <c r="AD33" s="514"/>
      <c r="AE33" s="513"/>
      <c r="AF33" s="513"/>
      <c r="AG33" s="513"/>
      <c r="AH33" s="268"/>
      <c r="AI33" s="513"/>
      <c r="AJ33" s="513"/>
      <c r="AK33" s="515"/>
      <c r="AL33" s="513"/>
      <c r="AM33" s="515"/>
    </row>
    <row r="34" spans="1:40">
      <c r="A34" s="2" t="s">
        <v>1013</v>
      </c>
      <c r="B34" s="2" t="s">
        <v>570</v>
      </c>
      <c r="C34" s="235" t="s">
        <v>44</v>
      </c>
      <c r="D34" s="374" t="s">
        <v>44</v>
      </c>
      <c r="E34" s="374" t="s">
        <v>44</v>
      </c>
      <c r="F34" s="374" t="s">
        <v>44</v>
      </c>
      <c r="G34" s="374" t="s">
        <v>44</v>
      </c>
      <c r="H34" s="374" t="s">
        <v>44</v>
      </c>
      <c r="I34" s="235" t="s">
        <v>44</v>
      </c>
      <c r="J34" s="518" t="s">
        <v>44</v>
      </c>
      <c r="K34" s="513">
        <f>10^-6*195796</f>
        <v>0.195796</v>
      </c>
      <c r="L34" s="514" t="s">
        <v>44</v>
      </c>
      <c r="M34" s="513">
        <v>0</v>
      </c>
      <c r="N34" s="513">
        <f>10^-6*195796</f>
        <v>0.195796</v>
      </c>
      <c r="O34" s="513">
        <f t="shared" ref="O34" si="2">N34+M34</f>
        <v>0.195796</v>
      </c>
      <c r="P34" s="269">
        <f t="shared" ref="P34:P36" si="3">O34/K34</f>
        <v>1</v>
      </c>
      <c r="Q34" s="513">
        <v>0</v>
      </c>
      <c r="R34" s="513">
        <v>0</v>
      </c>
      <c r="S34" s="515" t="s">
        <v>44</v>
      </c>
      <c r="T34" s="519">
        <f>10^-6*(195796+1760400+1173600)</f>
        <v>3.1297959999999998</v>
      </c>
      <c r="U34" s="514" t="s">
        <v>44</v>
      </c>
      <c r="V34" s="513">
        <v>0</v>
      </c>
      <c r="W34" s="513">
        <f>10^-6*4647993</f>
        <v>4.6479929999999996</v>
      </c>
      <c r="X34" s="513">
        <f t="shared" ref="X34" si="4">W34+V34</f>
        <v>4.6479929999999996</v>
      </c>
      <c r="Y34" s="268">
        <f t="shared" ref="Y34" si="5">X34/T34</f>
        <v>1.4850785802013933</v>
      </c>
      <c r="Z34" s="513">
        <v>0</v>
      </c>
      <c r="AA34" s="513">
        <f t="shared" si="0"/>
        <v>4.452197</v>
      </c>
      <c r="AB34" s="515">
        <f t="shared" si="1"/>
        <v>22.738957894951888</v>
      </c>
      <c r="AC34" s="517"/>
      <c r="AD34" s="514"/>
      <c r="AE34" s="513"/>
      <c r="AF34" s="513"/>
      <c r="AG34" s="513"/>
      <c r="AH34" s="268"/>
      <c r="AI34" s="513"/>
      <c r="AJ34" s="513"/>
      <c r="AK34" s="515"/>
      <c r="AL34" s="513"/>
      <c r="AM34" s="515"/>
    </row>
    <row r="36" spans="1:40" s="520" customFormat="1" ht="12" thickBot="1">
      <c r="A36" s="520" t="s">
        <v>45</v>
      </c>
      <c r="K36" s="521">
        <f>SUM(K32:K34)</f>
        <v>392.87762699999996</v>
      </c>
      <c r="M36" s="522">
        <f>SUM(M32:M34)</f>
        <v>69.950639999999993</v>
      </c>
      <c r="N36" s="522">
        <f>SUM(N32:N34)</f>
        <v>371.99510899999996</v>
      </c>
      <c r="O36" s="522">
        <f>SUM(O32:O34)</f>
        <v>441.94574899999998</v>
      </c>
      <c r="P36" s="523">
        <f t="shared" si="3"/>
        <v>1.1248941620185464</v>
      </c>
      <c r="Q36" s="524" t="s">
        <v>44</v>
      </c>
      <c r="R36" s="524" t="s">
        <v>44</v>
      </c>
      <c r="S36" s="524" t="s">
        <v>44</v>
      </c>
      <c r="T36" s="571">
        <f>SUM(T32:T34)</f>
        <v>397.19375299999996</v>
      </c>
      <c r="V36" s="522">
        <f>SUM(V32:V34)</f>
        <v>86.177648000000005</v>
      </c>
      <c r="W36" s="522">
        <f>SUM(W32:W34)</f>
        <v>373.91412700000001</v>
      </c>
      <c r="X36" s="522">
        <f>SUM(X32:X34)</f>
        <v>460.09177499999998</v>
      </c>
      <c r="Y36" s="523">
        <f t="shared" ref="Y36" si="6">X36/T36</f>
        <v>1.1583560202670158</v>
      </c>
      <c r="Z36" s="525" t="s">
        <v>44</v>
      </c>
      <c r="AA36" s="525">
        <f t="shared" ref="AA36" si="7">X36-O36</f>
        <v>18.146026000000006</v>
      </c>
      <c r="AB36" s="526">
        <f t="shared" ref="AB36" si="8">IFERROR(X36/O36-1,0)</f>
        <v>4.1059397089030503E-2</v>
      </c>
      <c r="AC36" s="527"/>
      <c r="AN36" s="527"/>
    </row>
    <row r="38" spans="1:40" s="389" customFormat="1">
      <c r="A38" s="388" t="s">
        <v>277</v>
      </c>
      <c r="K38" s="528">
        <f>SUMIF($D$32:$D$34,"Unrealized",K$32:K$34)+SUMIF($D$32:$D$34,"Partial Realized",K$32:K$34)</f>
        <v>0</v>
      </c>
      <c r="M38" s="529">
        <f>SUMIF($D$32:$D$34,"Unrealized",M$32:M$34)+SUMIF($D$32:$D$34,"Partial Realized",M$32:M$34)</f>
        <v>0</v>
      </c>
      <c r="N38" s="529">
        <f>SUMIF($D$32:$D$34,"Unrealized",N$32:N$34)+SUMIF($D$32:$D$34,"Partial Realized",N$32:N$34)</f>
        <v>0</v>
      </c>
      <c r="O38" s="529">
        <f>SUMIF($D$32:$D$34,"Unrealized",O$32:O$34)+SUMIF($D$32:$D$34,"Partial Realized",O$32:O$34)</f>
        <v>0</v>
      </c>
      <c r="P38" s="530" t="s">
        <v>44</v>
      </c>
      <c r="R38" s="531" t="s">
        <v>44</v>
      </c>
      <c r="S38" s="532" t="s">
        <v>44</v>
      </c>
      <c r="T38" s="528">
        <f>SUMIF($D$32:$D$34,"Unrealized",T$32:T$34)+SUMIF($D$32:$D$34,"Partial Realized",T$32:T$34)</f>
        <v>0</v>
      </c>
      <c r="V38" s="529">
        <f>SUMIF($D$32:$D$34,"Unrealized",V$32:V$34)+SUMIF($D$32:$D$34,"Partial Realized",V$32:V$34)</f>
        <v>0</v>
      </c>
      <c r="W38" s="529">
        <f>SUMIF($D$32:$D$34,"Unrealized",W$32:W$34)+SUMIF($D$32:$D$34,"Partial Realized",W$32:W$34)</f>
        <v>0</v>
      </c>
      <c r="X38" s="529">
        <f>SUMIF($D$32:$D$34,"Unrealized",X$32:X$34)+SUMIF($D$32:$D$34,"Partial Realized",X$32:X$34)</f>
        <v>0</v>
      </c>
      <c r="Y38" s="530" t="s">
        <v>44</v>
      </c>
      <c r="AA38" s="533">
        <f t="shared" ref="AA38:AA39" si="9">X38-O38</f>
        <v>0</v>
      </c>
      <c r="AB38" s="534">
        <f t="shared" ref="AB38:AB39" si="10">IFERROR(X38/O38-1,0)</f>
        <v>0</v>
      </c>
      <c r="AN38" s="535"/>
    </row>
    <row r="39" spans="1:40" s="389" customFormat="1">
      <c r="A39" s="388" t="s">
        <v>278</v>
      </c>
      <c r="K39" s="528">
        <f>SUMIF($D$32:$D$34,"Realized",K$32:K$34)+SUMIF($D$32:$D$34,"Write-off",K$32:K$34)</f>
        <v>0</v>
      </c>
      <c r="M39" s="529">
        <f>SUMIF($D$32:$D$34,"Realized",M$32:M$34)+SUMIF($D$32:$D$34,"Write-off",M$32:M$34)</f>
        <v>0</v>
      </c>
      <c r="N39" s="529">
        <f>SUMIF($D$32:$D$34,"Realized",N$32:N$34)+SUMIF($D$32:$D$34,"Write-off",N$32:N$34)</f>
        <v>0</v>
      </c>
      <c r="O39" s="529">
        <f>SUMIF($D$32:$D$34,"Realized",O$32:O$34)+SUMIF($D$32:$D$34,"Write-off",O$32:O$34)</f>
        <v>0</v>
      </c>
      <c r="P39" s="530" t="s">
        <v>44</v>
      </c>
      <c r="R39" s="531" t="s">
        <v>44</v>
      </c>
      <c r="S39" s="532" t="s">
        <v>44</v>
      </c>
      <c r="T39" s="528">
        <f>SUMIF($D$32:$D$34,"Realized",T$32:T$34)+SUMIF($D$32:$D$34,"Write-off",T$32:T$34)</f>
        <v>0</v>
      </c>
      <c r="V39" s="529">
        <f>SUMIF($D$32:$D$34,"Realized",V$32:V$34)+SUMIF($D$32:$D$34,"Write-off",V$32:V$34)</f>
        <v>0</v>
      </c>
      <c r="W39" s="529">
        <f>SUMIF($D$32:$D$34,"Realized",W$32:W$34)+SUMIF($D$32:$D$34,"Write-off",W$32:W$34)</f>
        <v>0</v>
      </c>
      <c r="X39" s="529">
        <f>SUMIF($D$32:$D$34,"Realized",X$32:X$34)+SUMIF($D$32:$D$34,"Write-off",X$32:X$34)</f>
        <v>0</v>
      </c>
      <c r="Y39" s="530" t="s">
        <v>44</v>
      </c>
      <c r="AA39" s="533">
        <f t="shared" si="9"/>
        <v>0</v>
      </c>
      <c r="AB39" s="534">
        <f t="shared" si="10"/>
        <v>0</v>
      </c>
      <c r="AN39" s="535"/>
    </row>
    <row r="42" spans="1:40" s="536" customFormat="1">
      <c r="A42" s="536" t="s">
        <v>279</v>
      </c>
      <c r="K42" s="537"/>
      <c r="T42" s="537"/>
      <c r="AC42" s="537"/>
      <c r="AN42" s="537"/>
    </row>
    <row r="43" spans="1:40" ht="13.5" customHeight="1">
      <c r="K43" s="538" t="s">
        <v>236</v>
      </c>
      <c r="L43" s="539"/>
      <c r="M43" s="539"/>
      <c r="N43" s="539"/>
      <c r="O43" s="539"/>
      <c r="P43" s="539"/>
      <c r="Q43" s="540"/>
      <c r="R43" s="540"/>
      <c r="S43" s="539"/>
      <c r="T43" s="503" t="s">
        <v>237</v>
      </c>
      <c r="U43" s="504"/>
      <c r="V43" s="504"/>
      <c r="W43" s="504"/>
      <c r="X43" s="504"/>
      <c r="Y43" s="504"/>
      <c r="Z43" s="505"/>
      <c r="AA43" s="505"/>
      <c r="AB43" s="504"/>
      <c r="AC43" s="503" t="s">
        <v>238</v>
      </c>
      <c r="AD43" s="504"/>
      <c r="AE43" s="504"/>
      <c r="AF43" s="504"/>
      <c r="AG43" s="539"/>
      <c r="AH43" s="539"/>
      <c r="AI43" s="540"/>
      <c r="AJ43" s="540"/>
      <c r="AK43" s="540"/>
      <c r="AL43" s="540"/>
      <c r="AM43" s="539"/>
    </row>
    <row r="44" spans="1:40" s="141" customFormat="1" ht="39.75" customHeight="1">
      <c r="A44" s="138" t="s">
        <v>239</v>
      </c>
      <c r="B44" s="139" t="s">
        <v>240</v>
      </c>
      <c r="C44" s="139" t="s">
        <v>69</v>
      </c>
      <c r="D44" s="139" t="s">
        <v>241</v>
      </c>
      <c r="E44" s="139" t="s">
        <v>242</v>
      </c>
      <c r="F44" s="139" t="s">
        <v>243</v>
      </c>
      <c r="G44" s="139" t="s">
        <v>244</v>
      </c>
      <c r="H44" s="139" t="s">
        <v>245</v>
      </c>
      <c r="I44" s="139" t="s">
        <v>246</v>
      </c>
      <c r="J44" s="501" t="s">
        <v>247</v>
      </c>
      <c r="K44" s="541" t="s">
        <v>280</v>
      </c>
      <c r="L44" s="542"/>
      <c r="M44" s="543"/>
      <c r="N44" s="542"/>
      <c r="O44" s="541" t="s">
        <v>281</v>
      </c>
      <c r="P44" s="542"/>
      <c r="Q44" s="543"/>
      <c r="R44" s="542"/>
      <c r="S44" s="544"/>
      <c r="T44" s="541" t="s">
        <v>280</v>
      </c>
      <c r="U44" s="542"/>
      <c r="V44" s="543"/>
      <c r="W44" s="542"/>
      <c r="X44" s="541" t="s">
        <v>281</v>
      </c>
      <c r="Y44" s="542"/>
      <c r="Z44" s="543"/>
      <c r="AA44" s="542"/>
      <c r="AB44" s="544"/>
      <c r="AC44" s="541" t="s">
        <v>280</v>
      </c>
      <c r="AD44" s="542"/>
      <c r="AE44" s="543"/>
      <c r="AF44" s="542"/>
      <c r="AG44" s="541" t="s">
        <v>281</v>
      </c>
      <c r="AH44" s="542"/>
      <c r="AI44" s="543"/>
      <c r="AJ44" s="542"/>
      <c r="AK44" s="545"/>
      <c r="AL44" s="545"/>
      <c r="AM44" s="544"/>
      <c r="AN44" s="510"/>
    </row>
  </sheetData>
  <conditionalFormatting sqref="R32:S34">
    <cfRule type="cellIs" dxfId="57" priority="5" operator="lessThan">
      <formula>0</formula>
    </cfRule>
    <cfRule type="cellIs" dxfId="56" priority="6" operator="greaterThan">
      <formula>0</formula>
    </cfRule>
  </conditionalFormatting>
  <conditionalFormatting sqref="AA32:AB34">
    <cfRule type="cellIs" dxfId="55" priority="9" operator="lessThan">
      <formula>0</formula>
    </cfRule>
    <cfRule type="cellIs" dxfId="54" priority="10" operator="greaterThan">
      <formula>0</formula>
    </cfRule>
  </conditionalFormatting>
  <conditionalFormatting sqref="AA36:AB36">
    <cfRule type="cellIs" dxfId="53" priority="3" operator="lessThan">
      <formula>0</formula>
    </cfRule>
    <cfRule type="cellIs" dxfId="52" priority="4" operator="greaterThan">
      <formula>0</formula>
    </cfRule>
  </conditionalFormatting>
  <conditionalFormatting sqref="AA38:AB39">
    <cfRule type="cellIs" dxfId="51" priority="1" operator="lessThan">
      <formula>0</formula>
    </cfRule>
    <cfRule type="cellIs" dxfId="50" priority="2" operator="greaterThan">
      <formula>0</formula>
    </cfRule>
  </conditionalFormatting>
  <conditionalFormatting sqref="AJ32:AM33">
    <cfRule type="cellIs" dxfId="49" priority="7" operator="lessThan">
      <formula>0</formula>
    </cfRule>
    <cfRule type="cellIs" dxfId="48" priority="8" operator="greaterThan">
      <formula>0</formula>
    </cfRule>
  </conditionalFormatting>
  <printOptions horizontalCentered="1"/>
  <pageMargins left="0.23622047244094491" right="0" top="0.35433070866141736" bottom="0.19685039370078741" header="0.15748031496062992" footer="0.15748031496062992"/>
  <pageSetup paperSize="8" scale="37" orientation="landscape"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58780-2A8B-4103-884D-DEC287D0D963}">
  <sheetPr>
    <tabColor theme="8"/>
  </sheetPr>
  <dimension ref="B1:R22"/>
  <sheetViews>
    <sheetView workbookViewId="0">
      <selection activeCell="H47" sqref="H47"/>
    </sheetView>
  </sheetViews>
  <sheetFormatPr defaultColWidth="9" defaultRowHeight="11.25"/>
  <cols>
    <col min="1" max="1" width="2.7109375" style="2" customWidth="1"/>
    <col min="2" max="2" width="21.7109375" style="2" customWidth="1"/>
    <col min="3" max="3" width="15.28515625" style="2" customWidth="1"/>
    <col min="4" max="4" width="17" style="2" hidden="1" customWidth="1"/>
    <col min="5" max="5" width="18.140625" style="2" bestFit="1" customWidth="1"/>
    <col min="6" max="6" width="17" style="2" bestFit="1" customWidth="1"/>
    <col min="7" max="10" width="14.28515625" style="2" customWidth="1"/>
    <col min="11" max="11" width="22.42578125" style="2" bestFit="1" customWidth="1"/>
    <col min="12" max="12" width="15.7109375" style="2" customWidth="1"/>
    <col min="13" max="13" width="18.140625" style="2" customWidth="1"/>
    <col min="14" max="15" width="14.28515625" style="2" customWidth="1"/>
    <col min="16" max="16" width="3" style="2" customWidth="1"/>
    <col min="17" max="17" width="9.42578125" style="2" bestFit="1" customWidth="1"/>
    <col min="18" max="16384" width="9" style="2"/>
  </cols>
  <sheetData>
    <row r="1" spans="2:17">
      <c r="B1" s="75" t="s">
        <v>282</v>
      </c>
      <c r="K1" s="635">
        <f>C3</f>
        <v>45657</v>
      </c>
      <c r="L1" s="636"/>
      <c r="M1" s="198" t="s">
        <v>283</v>
      </c>
      <c r="N1" s="199" t="s">
        <v>284</v>
      </c>
    </row>
    <row r="2" spans="2:17" ht="12" thickBot="1">
      <c r="K2" s="172" t="s">
        <v>285</v>
      </c>
      <c r="L2" s="173">
        <f>L20</f>
        <v>-15750000</v>
      </c>
      <c r="M2" s="201">
        <v>-15750000</v>
      </c>
      <c r="N2" s="205">
        <f>L2-M2</f>
        <v>0</v>
      </c>
    </row>
    <row r="3" spans="2:17" ht="12" thickBot="1">
      <c r="B3" s="202" t="s">
        <v>286</v>
      </c>
      <c r="C3" s="272">
        <f>'[5]HSG Growth VI'!E1</f>
        <v>45657</v>
      </c>
      <c r="K3" s="172" t="s">
        <v>287</v>
      </c>
      <c r="L3" s="173">
        <f>O20</f>
        <v>121791</v>
      </c>
      <c r="M3" s="201">
        <v>121791</v>
      </c>
      <c r="N3" s="205">
        <f>L3-M3</f>
        <v>0</v>
      </c>
    </row>
    <row r="4" spans="2:17">
      <c r="K4" s="175" t="s">
        <v>288</v>
      </c>
      <c r="L4" s="176">
        <f>K22</f>
        <v>18019138</v>
      </c>
    </row>
    <row r="5" spans="2:17" s="75" customFormat="1">
      <c r="B5" s="75" t="s">
        <v>289</v>
      </c>
      <c r="C5" s="76" t="s">
        <v>1006</v>
      </c>
      <c r="K5" s="172" t="s">
        <v>75</v>
      </c>
      <c r="L5" s="180">
        <f>XIRR(K10:K22,E10:E22)</f>
        <v>4.0418961644172677E-2</v>
      </c>
    </row>
    <row r="6" spans="2:17">
      <c r="B6" s="75" t="s">
        <v>291</v>
      </c>
      <c r="C6" s="75" t="s">
        <v>24</v>
      </c>
    </row>
    <row r="7" spans="2:17">
      <c r="B7" s="75" t="s">
        <v>52</v>
      </c>
      <c r="C7" s="178">
        <v>15750000</v>
      </c>
    </row>
    <row r="9" spans="2:17" s="186" customFormat="1" ht="22.5">
      <c r="B9" s="183" t="s">
        <v>919</v>
      </c>
      <c r="C9" s="183" t="s">
        <v>0</v>
      </c>
      <c r="D9" s="183" t="s">
        <v>293</v>
      </c>
      <c r="E9" s="183" t="s">
        <v>294</v>
      </c>
      <c r="F9" s="183" t="s">
        <v>176</v>
      </c>
      <c r="G9" s="208" t="s">
        <v>296</v>
      </c>
      <c r="H9" s="183" t="s">
        <v>435</v>
      </c>
      <c r="I9" s="183" t="s">
        <v>436</v>
      </c>
      <c r="J9" s="183" t="s">
        <v>299</v>
      </c>
      <c r="K9" s="183" t="s">
        <v>300</v>
      </c>
      <c r="L9" s="183" t="s">
        <v>301</v>
      </c>
      <c r="M9" s="183" t="s">
        <v>302</v>
      </c>
      <c r="N9" s="183" t="s">
        <v>437</v>
      </c>
      <c r="O9" s="183" t="s">
        <v>438</v>
      </c>
      <c r="P9" s="183"/>
      <c r="Q9" s="208" t="s">
        <v>195</v>
      </c>
    </row>
    <row r="10" spans="2:17">
      <c r="B10" s="2" t="s">
        <v>307</v>
      </c>
      <c r="C10" s="2" t="s">
        <v>308</v>
      </c>
      <c r="D10" s="187">
        <v>44102</v>
      </c>
      <c r="E10" s="187">
        <v>44102</v>
      </c>
      <c r="F10" s="211"/>
      <c r="G10" s="91">
        <v>-3150000</v>
      </c>
      <c r="H10" s="91"/>
      <c r="I10" s="91"/>
      <c r="J10" s="91"/>
      <c r="K10" s="91">
        <f t="shared" ref="K10:K19" si="0">SUM(G10:J10)</f>
        <v>-3150000</v>
      </c>
      <c r="L10" s="91">
        <f>K10</f>
        <v>-3150000</v>
      </c>
      <c r="M10" s="91">
        <f>$C$7+L10</f>
        <v>12600000</v>
      </c>
      <c r="N10" s="91">
        <f>SUMIF(K10,"&gt;0", K10)</f>
        <v>0</v>
      </c>
      <c r="O10" s="91">
        <f>N10</f>
        <v>0</v>
      </c>
      <c r="Q10" s="189"/>
    </row>
    <row r="11" spans="2:17">
      <c r="B11" s="2" t="s">
        <v>307</v>
      </c>
      <c r="C11" s="2" t="s">
        <v>310</v>
      </c>
      <c r="D11" s="187">
        <v>44186</v>
      </c>
      <c r="E11" s="187">
        <v>44200</v>
      </c>
      <c r="F11" s="211"/>
      <c r="G11" s="91">
        <v>-1575000</v>
      </c>
      <c r="H11" s="91"/>
      <c r="I11" s="91"/>
      <c r="J11" s="91"/>
      <c r="K11" s="91">
        <f t="shared" si="0"/>
        <v>-1575000</v>
      </c>
      <c r="L11" s="91">
        <f t="shared" ref="L11:L17" si="1">IF(K11&lt;0,K11,0)+L10</f>
        <v>-4725000</v>
      </c>
      <c r="M11" s="91">
        <f>$C$7+L11</f>
        <v>11025000</v>
      </c>
      <c r="N11" s="91">
        <f>SUMIF(K11,"&gt;0", K11)</f>
        <v>0</v>
      </c>
      <c r="O11" s="91">
        <f t="shared" ref="O11:O20" si="2">O10+N11</f>
        <v>0</v>
      </c>
    </row>
    <row r="12" spans="2:17">
      <c r="B12" s="2" t="s">
        <v>307</v>
      </c>
      <c r="C12" s="2" t="s">
        <v>311</v>
      </c>
      <c r="D12" s="187">
        <v>44223</v>
      </c>
      <c r="E12" s="187">
        <v>44232</v>
      </c>
      <c r="F12" s="211"/>
      <c r="G12" s="91">
        <v>-3937500</v>
      </c>
      <c r="H12" s="91"/>
      <c r="I12" s="91"/>
      <c r="J12" s="91"/>
      <c r="K12" s="91">
        <f t="shared" si="0"/>
        <v>-3937500</v>
      </c>
      <c r="L12" s="91">
        <f t="shared" si="1"/>
        <v>-8662500</v>
      </c>
      <c r="M12" s="91">
        <f>$C$7+L12</f>
        <v>7087500</v>
      </c>
      <c r="N12" s="91">
        <f>SUMIF(K12,"&gt;0", K12)</f>
        <v>0</v>
      </c>
      <c r="O12" s="91">
        <f t="shared" si="2"/>
        <v>0</v>
      </c>
    </row>
    <row r="13" spans="2:17">
      <c r="B13" s="2" t="s">
        <v>307</v>
      </c>
      <c r="C13" s="2" t="s">
        <v>316</v>
      </c>
      <c r="D13" s="187">
        <v>44330</v>
      </c>
      <c r="E13" s="187">
        <v>44351</v>
      </c>
      <c r="F13" s="211"/>
      <c r="G13" s="91">
        <v>-1575000</v>
      </c>
      <c r="H13" s="91"/>
      <c r="I13" s="91"/>
      <c r="J13" s="91"/>
      <c r="K13" s="91">
        <f t="shared" si="0"/>
        <v>-1575000</v>
      </c>
      <c r="L13" s="91">
        <f t="shared" si="1"/>
        <v>-10237500</v>
      </c>
      <c r="M13" s="91">
        <f t="shared" ref="M13:M19" si="3">$C$7+L13</f>
        <v>5512500</v>
      </c>
      <c r="N13" s="91">
        <f t="shared" ref="N13:N19" si="4">SUMIF(K13,"&gt;0", K13)</f>
        <v>0</v>
      </c>
      <c r="O13" s="91">
        <f t="shared" si="2"/>
        <v>0</v>
      </c>
    </row>
    <row r="14" spans="2:17">
      <c r="B14" s="2" t="s">
        <v>307</v>
      </c>
      <c r="C14" s="2" t="s">
        <v>320</v>
      </c>
      <c r="D14" s="187">
        <v>44375</v>
      </c>
      <c r="E14" s="187">
        <v>44375</v>
      </c>
      <c r="F14" s="211"/>
      <c r="G14" s="91">
        <v>-1575000</v>
      </c>
      <c r="H14" s="91"/>
      <c r="I14" s="91"/>
      <c r="J14" s="91"/>
      <c r="K14" s="91">
        <f t="shared" si="0"/>
        <v>-1575000</v>
      </c>
      <c r="L14" s="91">
        <f t="shared" si="1"/>
        <v>-11812500</v>
      </c>
      <c r="M14" s="91">
        <f t="shared" si="3"/>
        <v>3937500</v>
      </c>
      <c r="N14" s="91">
        <f t="shared" si="4"/>
        <v>0</v>
      </c>
      <c r="O14" s="91">
        <f t="shared" si="2"/>
        <v>0</v>
      </c>
    </row>
    <row r="15" spans="2:17">
      <c r="B15" s="2" t="s">
        <v>49</v>
      </c>
      <c r="C15" s="2" t="s">
        <v>314</v>
      </c>
      <c r="D15" s="187">
        <v>44369</v>
      </c>
      <c r="E15" s="187">
        <v>44369</v>
      </c>
      <c r="F15" s="211"/>
      <c r="G15" s="91">
        <f>121791</f>
        <v>121791</v>
      </c>
      <c r="H15" s="91"/>
      <c r="I15" s="91"/>
      <c r="J15" s="91"/>
      <c r="K15" s="91">
        <f t="shared" si="0"/>
        <v>121791</v>
      </c>
      <c r="L15" s="91">
        <f t="shared" si="1"/>
        <v>-11812500</v>
      </c>
      <c r="M15" s="91">
        <f t="shared" si="3"/>
        <v>3937500</v>
      </c>
      <c r="N15" s="91">
        <f t="shared" si="4"/>
        <v>121791</v>
      </c>
      <c r="O15" s="91">
        <f t="shared" si="2"/>
        <v>121791</v>
      </c>
    </row>
    <row r="16" spans="2:17">
      <c r="B16" s="2" t="s">
        <v>307</v>
      </c>
      <c r="C16" s="2" t="s">
        <v>325</v>
      </c>
      <c r="D16" s="187"/>
      <c r="E16" s="187">
        <v>44557</v>
      </c>
      <c r="F16" s="211"/>
      <c r="G16" s="91">
        <v>-373909</v>
      </c>
      <c r="H16" s="91"/>
      <c r="I16" s="91"/>
      <c r="J16" s="91"/>
      <c r="K16" s="91">
        <f t="shared" si="0"/>
        <v>-373909</v>
      </c>
      <c r="L16" s="91">
        <f t="shared" si="1"/>
        <v>-12186409</v>
      </c>
      <c r="M16" s="91">
        <f t="shared" si="3"/>
        <v>3563591</v>
      </c>
      <c r="N16" s="91">
        <f t="shared" si="4"/>
        <v>0</v>
      </c>
      <c r="O16" s="91">
        <f t="shared" si="2"/>
        <v>121791</v>
      </c>
      <c r="Q16" s="189"/>
    </row>
    <row r="17" spans="2:18">
      <c r="B17" s="2" t="s">
        <v>307</v>
      </c>
      <c r="C17" s="2" t="s">
        <v>322</v>
      </c>
      <c r="D17" s="187"/>
      <c r="E17" s="187">
        <v>44651</v>
      </c>
      <c r="F17" s="211"/>
      <c r="G17" s="91">
        <v>-1575000</v>
      </c>
      <c r="H17" s="91"/>
      <c r="I17" s="91"/>
      <c r="J17" s="91"/>
      <c r="K17" s="91">
        <f t="shared" si="0"/>
        <v>-1575000</v>
      </c>
      <c r="L17" s="255">
        <f t="shared" si="1"/>
        <v>-13761409</v>
      </c>
      <c r="M17" s="255">
        <f t="shared" si="3"/>
        <v>1988591</v>
      </c>
      <c r="N17" s="255">
        <f t="shared" si="4"/>
        <v>0</v>
      </c>
      <c r="O17" s="255">
        <f t="shared" si="2"/>
        <v>121791</v>
      </c>
    </row>
    <row r="18" spans="2:18">
      <c r="D18" s="187"/>
      <c r="E18" s="187">
        <v>44797</v>
      </c>
      <c r="F18" s="211"/>
      <c r="G18" s="91">
        <v>-43291.37</v>
      </c>
      <c r="H18" s="91"/>
      <c r="I18" s="91"/>
      <c r="J18" s="91"/>
      <c r="K18" s="91">
        <f t="shared" si="0"/>
        <v>-43291.37</v>
      </c>
      <c r="L18" s="255">
        <f>L17</f>
        <v>-13761409</v>
      </c>
      <c r="M18" s="255">
        <f t="shared" si="3"/>
        <v>1988591</v>
      </c>
      <c r="N18" s="255">
        <f t="shared" si="4"/>
        <v>0</v>
      </c>
      <c r="O18" s="255">
        <f t="shared" si="2"/>
        <v>121791</v>
      </c>
    </row>
    <row r="19" spans="2:18">
      <c r="B19" s="2" t="s">
        <v>307</v>
      </c>
      <c r="C19" s="2" t="s">
        <v>324</v>
      </c>
      <c r="D19" s="187"/>
      <c r="E19" s="187">
        <v>44918</v>
      </c>
      <c r="F19" s="211"/>
      <c r="G19" s="91">
        <v>-414225</v>
      </c>
      <c r="H19" s="91"/>
      <c r="I19" s="91"/>
      <c r="J19" s="91"/>
      <c r="K19" s="91">
        <f t="shared" si="0"/>
        <v>-414225</v>
      </c>
      <c r="L19" s="255">
        <f>IF(K19&lt;0,K19,0)+L18</f>
        <v>-14175634</v>
      </c>
      <c r="M19" s="255">
        <f t="shared" si="3"/>
        <v>1574366</v>
      </c>
      <c r="N19" s="255">
        <f t="shared" si="4"/>
        <v>0</v>
      </c>
      <c r="O19" s="255">
        <f t="shared" si="2"/>
        <v>121791</v>
      </c>
      <c r="Q19" s="189"/>
    </row>
    <row r="20" spans="2:18">
      <c r="B20" s="2" t="s">
        <v>307</v>
      </c>
      <c r="C20" s="2" t="s">
        <v>327</v>
      </c>
      <c r="D20" s="187"/>
      <c r="E20" s="187">
        <v>45008</v>
      </c>
      <c r="F20" s="132"/>
      <c r="G20" s="91">
        <v>-1574366</v>
      </c>
      <c r="H20" s="255"/>
      <c r="I20" s="255"/>
      <c r="J20" s="255"/>
      <c r="K20" s="255">
        <f>SUM(G20:J20)</f>
        <v>-1574366</v>
      </c>
      <c r="L20" s="255">
        <f>IF(K20&lt;0,K20,0)+L19</f>
        <v>-15750000</v>
      </c>
      <c r="M20" s="255">
        <f>$C$7+L20</f>
        <v>0</v>
      </c>
      <c r="N20" s="255">
        <f>SUMIF(K20,"&gt;0", K20)</f>
        <v>0</v>
      </c>
      <c r="O20" s="255">
        <f t="shared" si="2"/>
        <v>121791</v>
      </c>
      <c r="Q20" s="189"/>
      <c r="R20" s="2" t="s">
        <v>403</v>
      </c>
    </row>
    <row r="21" spans="2:18">
      <c r="D21" s="187"/>
      <c r="E21" s="187"/>
      <c r="F21" s="132"/>
      <c r="G21" s="255"/>
      <c r="H21" s="255"/>
      <c r="I21" s="255"/>
      <c r="J21" s="255"/>
      <c r="K21" s="255"/>
      <c r="L21" s="255"/>
      <c r="M21" s="255"/>
      <c r="N21" s="255"/>
      <c r="O21" s="255"/>
    </row>
    <row r="22" spans="2:18" s="75" customFormat="1">
      <c r="B22" s="191" t="s">
        <v>936</v>
      </c>
      <c r="C22" s="191"/>
      <c r="D22" s="192"/>
      <c r="E22" s="192">
        <f>C3</f>
        <v>45657</v>
      </c>
      <c r="F22" s="191"/>
      <c r="G22" s="194"/>
      <c r="H22" s="194"/>
      <c r="I22" s="194"/>
      <c r="J22" s="303"/>
      <c r="K22" s="315">
        <v>18019138</v>
      </c>
      <c r="L22" s="303"/>
      <c r="M22" s="303"/>
      <c r="N22" s="303"/>
      <c r="O22" s="303"/>
      <c r="R22" s="2"/>
    </row>
  </sheetData>
  <mergeCells count="1">
    <mergeCell ref="K1:L1"/>
  </mergeCells>
  <phoneticPr fontId="10" type="noConversion"/>
  <pageMargins left="0.7" right="0.7" top="0.75" bottom="0.75" header="0.3" footer="0.3"/>
  <pageSetup paperSize="9" scale="39"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48F2E-91F4-43A5-8D96-C8024C34162D}">
  <sheetPr>
    <tabColor theme="8"/>
    <outlinePr showOutlineSymbols="0"/>
    <pageSetUpPr fitToPage="1"/>
  </sheetPr>
  <dimension ref="A1:AN44"/>
  <sheetViews>
    <sheetView workbookViewId="0"/>
  </sheetViews>
  <sheetFormatPr defaultColWidth="9" defaultRowHeight="11.25" outlineLevelRow="1" outlineLevelCol="1"/>
  <cols>
    <col min="1" max="1" width="32.140625" style="2" customWidth="1"/>
    <col min="2" max="2" width="79.42578125" style="2" bestFit="1" customWidth="1"/>
    <col min="3" max="3" width="15.7109375" style="2" customWidth="1"/>
    <col min="4" max="4" width="31.140625" style="2" customWidth="1"/>
    <col min="5" max="5" width="14.42578125" style="2" bestFit="1" customWidth="1"/>
    <col min="6" max="7" width="10.7109375" style="2" customWidth="1"/>
    <col min="8" max="8" width="38" style="2" bestFit="1" customWidth="1"/>
    <col min="9" max="9" width="19.28515625" style="2" bestFit="1" customWidth="1"/>
    <col min="10" max="10" width="19.28515625" style="2" customWidth="1"/>
    <col min="11" max="11" width="12.7109375" style="367" customWidth="1" outlineLevel="1"/>
    <col min="12" max="12" width="12.7109375" style="2" customWidth="1" outlineLevel="1"/>
    <col min="13" max="15" width="14.7109375" style="2" customWidth="1" outlineLevel="1"/>
    <col min="16" max="17" width="7.7109375" style="2" customWidth="1" outlineLevel="1"/>
    <col min="18" max="19" width="15.7109375" style="2" customWidth="1" outlineLevel="1"/>
    <col min="20" max="20" width="12.7109375" style="367" customWidth="1"/>
    <col min="21" max="21" width="12.7109375" style="2" customWidth="1"/>
    <col min="22" max="24" width="14.7109375" style="2" customWidth="1"/>
    <col min="25" max="26" width="7.7109375" style="2" customWidth="1"/>
    <col min="27" max="28" width="15.7109375" style="2" customWidth="1"/>
    <col min="29" max="29" width="12.7109375" style="367" customWidth="1"/>
    <col min="30" max="30" width="12.7109375" style="2" customWidth="1"/>
    <col min="31" max="33" width="14.7109375" style="2" customWidth="1"/>
    <col min="34" max="35" width="7.7109375" style="2" customWidth="1"/>
    <col min="36" max="39" width="15.7109375" style="2" customWidth="1"/>
    <col min="40" max="40" width="9" style="367"/>
    <col min="41" max="16384" width="9" style="2"/>
  </cols>
  <sheetData>
    <row r="1" spans="1:20">
      <c r="A1" s="117" t="s">
        <v>179</v>
      </c>
      <c r="B1" s="118"/>
      <c r="C1" s="74"/>
      <c r="D1" s="117" t="s">
        <v>180</v>
      </c>
      <c r="E1" s="219">
        <v>45657</v>
      </c>
      <c r="H1" s="117" t="s">
        <v>404</v>
      </c>
      <c r="I1" s="118"/>
      <c r="J1" s="74"/>
    </row>
    <row r="2" spans="1:20" outlineLevel="1">
      <c r="A2" s="2" t="s">
        <v>182</v>
      </c>
      <c r="B2" s="120" t="s">
        <v>1014</v>
      </c>
      <c r="D2" s="2" t="s">
        <v>183</v>
      </c>
      <c r="E2" s="305">
        <f>W36</f>
        <v>79.252450999999994</v>
      </c>
      <c r="H2" s="2" t="s">
        <v>184</v>
      </c>
      <c r="I2" s="124">
        <v>0</v>
      </c>
      <c r="J2" s="120"/>
    </row>
    <row r="3" spans="1:20" outlineLevel="1">
      <c r="A3" s="2" t="s">
        <v>186</v>
      </c>
      <c r="B3" s="306" t="s">
        <v>570</v>
      </c>
      <c r="D3" s="2" t="s">
        <v>187</v>
      </c>
      <c r="E3" s="380">
        <f>85.554449</f>
        <v>85.554449000000005</v>
      </c>
      <c r="H3" s="2" t="s">
        <v>188</v>
      </c>
      <c r="I3" s="124">
        <v>0</v>
      </c>
      <c r="J3" s="120"/>
    </row>
    <row r="4" spans="1:20" outlineLevel="1">
      <c r="A4" s="2" t="s">
        <v>190</v>
      </c>
      <c r="B4" s="306" t="s">
        <v>570</v>
      </c>
      <c r="D4" s="2" t="s">
        <v>191</v>
      </c>
      <c r="E4" s="125">
        <v>1.1000000000000001</v>
      </c>
      <c r="H4" s="2" t="s">
        <v>192</v>
      </c>
      <c r="I4" s="124">
        <v>0</v>
      </c>
      <c r="J4" s="320"/>
    </row>
    <row r="5" spans="1:20" outlineLevel="1">
      <c r="A5" s="2" t="s">
        <v>193</v>
      </c>
      <c r="B5" s="306" t="s">
        <v>570</v>
      </c>
      <c r="D5" s="2" t="s">
        <v>194</v>
      </c>
      <c r="E5" s="125" t="s">
        <v>718</v>
      </c>
      <c r="H5" s="2" t="s">
        <v>195</v>
      </c>
      <c r="I5" s="126">
        <v>0.15</v>
      </c>
      <c r="J5" s="126"/>
    </row>
    <row r="6" spans="1:20" outlineLevel="1">
      <c r="A6" s="2" t="s">
        <v>196</v>
      </c>
      <c r="B6" s="307" t="s">
        <v>1015</v>
      </c>
      <c r="D6" s="2" t="s">
        <v>198</v>
      </c>
      <c r="E6" s="125" t="s">
        <v>718</v>
      </c>
      <c r="H6" s="117" t="s">
        <v>199</v>
      </c>
      <c r="I6" s="118"/>
      <c r="J6" s="74"/>
    </row>
    <row r="7" spans="1:20" outlineLevel="1">
      <c r="A7" s="2" t="s">
        <v>200</v>
      </c>
      <c r="B7" s="306" t="s">
        <v>570</v>
      </c>
      <c r="D7" s="2" t="s">
        <v>202</v>
      </c>
      <c r="E7" s="125" t="s">
        <v>718</v>
      </c>
      <c r="H7" s="2" t="s">
        <v>203</v>
      </c>
      <c r="I7" s="2" t="s">
        <v>204</v>
      </c>
    </row>
    <row r="8" spans="1:20" outlineLevel="1">
      <c r="A8" s="2" t="s">
        <v>205</v>
      </c>
      <c r="B8" s="307" t="s">
        <v>206</v>
      </c>
      <c r="D8" s="2" t="s">
        <v>207</v>
      </c>
      <c r="E8" s="125" t="s">
        <v>718</v>
      </c>
      <c r="H8" s="2" t="s">
        <v>208</v>
      </c>
      <c r="I8" s="2" t="s">
        <v>408</v>
      </c>
    </row>
    <row r="9" spans="1:20" outlineLevel="1">
      <c r="A9" s="2" t="s">
        <v>65</v>
      </c>
      <c r="B9" s="306" t="s">
        <v>570</v>
      </c>
      <c r="D9" s="128" t="s">
        <v>211</v>
      </c>
      <c r="E9" s="291"/>
      <c r="H9" s="2" t="s">
        <v>1008</v>
      </c>
      <c r="I9" s="2" t="s">
        <v>1009</v>
      </c>
    </row>
    <row r="10" spans="1:20" outlineLevel="1">
      <c r="A10" s="2" t="s">
        <v>212</v>
      </c>
      <c r="B10" s="306" t="s">
        <v>570</v>
      </c>
      <c r="D10" s="2" t="s">
        <v>214</v>
      </c>
      <c r="E10" s="308">
        <v>4.5</v>
      </c>
    </row>
    <row r="11" spans="1:20" outlineLevel="1">
      <c r="A11" s="2" t="s">
        <v>215</v>
      </c>
      <c r="B11" s="306" t="s">
        <v>570</v>
      </c>
      <c r="D11" s="2" t="s">
        <v>216</v>
      </c>
      <c r="E11" s="309">
        <f>4500000/82666662</f>
        <v>5.443548694393878E-2</v>
      </c>
    </row>
    <row r="12" spans="1:20" outlineLevel="1">
      <c r="A12" s="2" t="s">
        <v>217</v>
      </c>
      <c r="B12" s="307" t="s">
        <v>24</v>
      </c>
      <c r="D12" s="2" t="s">
        <v>218</v>
      </c>
      <c r="E12" s="310">
        <f>-'HSG Growth VIII (CF)'!L2/10^6</f>
        <v>4.5</v>
      </c>
      <c r="T12" s="502"/>
    </row>
    <row r="13" spans="1:20" outlineLevel="1">
      <c r="A13" s="2" t="s">
        <v>219</v>
      </c>
      <c r="B13" s="307" t="s">
        <v>1016</v>
      </c>
      <c r="D13" s="2" t="s">
        <v>221</v>
      </c>
      <c r="E13" s="308">
        <f>E10-E12</f>
        <v>0</v>
      </c>
      <c r="N13" s="314"/>
      <c r="T13" s="502"/>
    </row>
    <row r="14" spans="1:20" outlineLevel="1">
      <c r="A14" s="2" t="s">
        <v>222</v>
      </c>
      <c r="B14" s="307" t="s">
        <v>570</v>
      </c>
      <c r="D14" s="2" t="s">
        <v>224</v>
      </c>
      <c r="E14" s="311">
        <f>'HSG Growth VIII (CF)'!L3</f>
        <v>0</v>
      </c>
      <c r="N14" s="314"/>
      <c r="T14" s="502"/>
    </row>
    <row r="15" spans="1:20" outlineLevel="1">
      <c r="A15" s="2" t="s">
        <v>225</v>
      </c>
      <c r="B15" s="126">
        <v>0.01</v>
      </c>
      <c r="D15" s="2" t="s">
        <v>227</v>
      </c>
      <c r="E15" s="312">
        <f>'HSG Growth VIII (CF)'!L4/10^6</f>
        <v>4.6238000000000001</v>
      </c>
      <c r="N15" s="314"/>
    </row>
    <row r="16" spans="1:20" outlineLevel="1">
      <c r="A16" s="2" t="s">
        <v>228</v>
      </c>
      <c r="B16" s="134">
        <v>44561</v>
      </c>
      <c r="D16" s="2" t="s">
        <v>229</v>
      </c>
      <c r="E16" s="299">
        <f>E12/E10</f>
        <v>1</v>
      </c>
      <c r="N16" s="314"/>
    </row>
    <row r="17" spans="1:40" outlineLevel="1">
      <c r="A17" s="2" t="s">
        <v>230</v>
      </c>
      <c r="B17" s="120" t="s">
        <v>231</v>
      </c>
      <c r="D17" s="2" t="s">
        <v>232</v>
      </c>
      <c r="E17" s="131">
        <f>E14/E12</f>
        <v>0</v>
      </c>
    </row>
    <row r="18" spans="1:40" outlineLevel="1">
      <c r="A18" s="117" t="s">
        <v>233</v>
      </c>
      <c r="B18" s="118"/>
      <c r="D18" s="2" t="s">
        <v>234</v>
      </c>
      <c r="E18" s="313">
        <f>(E15+E14)/E12</f>
        <v>1.027511111111111</v>
      </c>
    </row>
    <row r="19" spans="1:40" outlineLevel="1">
      <c r="A19" s="2" t="s">
        <v>235</v>
      </c>
      <c r="B19" s="120">
        <v>91</v>
      </c>
      <c r="D19" s="2" t="s">
        <v>177</v>
      </c>
      <c r="E19" s="294">
        <f>'HSG Growth VIII (CF)'!L5</f>
        <v>8.0131024122238152E-3</v>
      </c>
    </row>
    <row r="20" spans="1:40" ht="13.5" customHeight="1"/>
    <row r="30" spans="1:40" ht="13.5" customHeight="1">
      <c r="K30" s="503" t="s">
        <v>236</v>
      </c>
      <c r="L30" s="504"/>
      <c r="M30" s="504"/>
      <c r="N30" s="504"/>
      <c r="O30" s="504"/>
      <c r="P30" s="504"/>
      <c r="Q30" s="505"/>
      <c r="R30" s="505"/>
      <c r="S30" s="504"/>
      <c r="T30" s="503" t="s">
        <v>237</v>
      </c>
      <c r="U30" s="504"/>
      <c r="V30" s="504"/>
      <c r="W30" s="504"/>
      <c r="X30" s="504"/>
      <c r="Y30" s="504"/>
      <c r="Z30" s="505"/>
      <c r="AA30" s="505"/>
      <c r="AB30" s="504"/>
      <c r="AC30" s="503" t="s">
        <v>238</v>
      </c>
      <c r="AD30" s="504"/>
      <c r="AE30" s="504"/>
      <c r="AF30" s="504"/>
      <c r="AG30" s="504"/>
      <c r="AH30" s="504"/>
      <c r="AI30" s="505"/>
      <c r="AJ30" s="505"/>
      <c r="AK30" s="505"/>
      <c r="AL30" s="505"/>
      <c r="AM30" s="504"/>
    </row>
    <row r="31" spans="1:40" s="141" customFormat="1" ht="39.75" customHeight="1">
      <c r="A31" s="138" t="s">
        <v>239</v>
      </c>
      <c r="B31" s="139" t="s">
        <v>240</v>
      </c>
      <c r="C31" s="139" t="s">
        <v>69</v>
      </c>
      <c r="D31" s="139" t="s">
        <v>241</v>
      </c>
      <c r="E31" s="139" t="s">
        <v>242</v>
      </c>
      <c r="F31" s="139" t="s">
        <v>243</v>
      </c>
      <c r="G31" s="139" t="s">
        <v>244</v>
      </c>
      <c r="H31" s="139" t="s">
        <v>245</v>
      </c>
      <c r="I31" s="139" t="s">
        <v>246</v>
      </c>
      <c r="J31" s="501" t="s">
        <v>247</v>
      </c>
      <c r="K31" s="506" t="s">
        <v>248</v>
      </c>
      <c r="L31" s="506" t="s">
        <v>249</v>
      </c>
      <c r="M31" s="507" t="s">
        <v>250</v>
      </c>
      <c r="N31" s="506" t="s">
        <v>251</v>
      </c>
      <c r="O31" s="507" t="s">
        <v>252</v>
      </c>
      <c r="P31" s="506" t="s">
        <v>115</v>
      </c>
      <c r="Q31" s="507" t="s">
        <v>253</v>
      </c>
      <c r="R31" s="508" t="s">
        <v>254</v>
      </c>
      <c r="S31" s="509" t="s">
        <v>255</v>
      </c>
      <c r="T31" s="506" t="s">
        <v>248</v>
      </c>
      <c r="U31" s="506" t="s">
        <v>249</v>
      </c>
      <c r="V31" s="507" t="s">
        <v>250</v>
      </c>
      <c r="W31" s="506" t="s">
        <v>251</v>
      </c>
      <c r="X31" s="507" t="s">
        <v>252</v>
      </c>
      <c r="Y31" s="506" t="s">
        <v>115</v>
      </c>
      <c r="Z31" s="507" t="s">
        <v>253</v>
      </c>
      <c r="AA31" s="508" t="s">
        <v>254</v>
      </c>
      <c r="AB31" s="509" t="s">
        <v>255</v>
      </c>
      <c r="AC31" s="506" t="s">
        <v>248</v>
      </c>
      <c r="AD31" s="506" t="s">
        <v>249</v>
      </c>
      <c r="AE31" s="507" t="s">
        <v>250</v>
      </c>
      <c r="AF31" s="506" t="s">
        <v>251</v>
      </c>
      <c r="AG31" s="507" t="s">
        <v>252</v>
      </c>
      <c r="AH31" s="506" t="s">
        <v>115</v>
      </c>
      <c r="AI31" s="507" t="s">
        <v>253</v>
      </c>
      <c r="AJ31" s="508" t="s">
        <v>254</v>
      </c>
      <c r="AK31" s="509" t="s">
        <v>255</v>
      </c>
      <c r="AL31" s="508" t="s">
        <v>256</v>
      </c>
      <c r="AM31" s="509" t="s">
        <v>257</v>
      </c>
      <c r="AN31" s="510"/>
    </row>
    <row r="32" spans="1:40">
      <c r="A32" s="2" t="s">
        <v>1011</v>
      </c>
      <c r="B32" s="2" t="s">
        <v>570</v>
      </c>
      <c r="C32" s="235" t="s">
        <v>44</v>
      </c>
      <c r="D32" s="374" t="s">
        <v>44</v>
      </c>
      <c r="E32" s="374" t="s">
        <v>44</v>
      </c>
      <c r="F32" s="374" t="s">
        <v>44</v>
      </c>
      <c r="G32" s="374" t="s">
        <v>44</v>
      </c>
      <c r="H32" s="374" t="s">
        <v>44</v>
      </c>
      <c r="I32" s="235" t="s">
        <v>44</v>
      </c>
      <c r="J32" s="512" t="s">
        <v>44</v>
      </c>
      <c r="K32" s="513">
        <v>76.845322999999993</v>
      </c>
      <c r="L32" s="514" t="s">
        <v>44</v>
      </c>
      <c r="M32" s="513">
        <v>2.7293810000000001</v>
      </c>
      <c r="N32" s="513">
        <v>83.576255000000003</v>
      </c>
      <c r="O32" s="513">
        <f>M32+N32</f>
        <v>86.305636000000007</v>
      </c>
      <c r="P32" s="268">
        <f>O32/K32</f>
        <v>1.1231085072021887</v>
      </c>
      <c r="Q32" s="513">
        <v>0</v>
      </c>
      <c r="R32" s="513">
        <v>0</v>
      </c>
      <c r="S32" s="515" t="s">
        <v>44</v>
      </c>
      <c r="T32" s="516">
        <v>76.704060999999996</v>
      </c>
      <c r="U32" s="514" t="s">
        <v>44</v>
      </c>
      <c r="V32" s="513">
        <f>2.729381+2.586436+0.039427</f>
        <v>5.3552439999999999</v>
      </c>
      <c r="W32" s="513">
        <v>77.624973999999995</v>
      </c>
      <c r="X32" s="513">
        <f>V32+W32</f>
        <v>82.980217999999994</v>
      </c>
      <c r="Y32" s="268">
        <f>X32/T32</f>
        <v>1.0818230080412561</v>
      </c>
      <c r="Z32" s="513">
        <v>0</v>
      </c>
      <c r="AA32" s="513">
        <f>X32-O32</f>
        <v>-3.3254180000000133</v>
      </c>
      <c r="AB32" s="515">
        <f>IFERROR(X32/O32-1,0)</f>
        <v>-3.8530716580317148E-2</v>
      </c>
      <c r="AC32" s="517"/>
      <c r="AD32" s="514"/>
      <c r="AE32" s="513"/>
      <c r="AF32" s="513"/>
      <c r="AG32" s="513"/>
      <c r="AH32" s="268"/>
      <c r="AI32" s="513"/>
      <c r="AJ32" s="513"/>
      <c r="AK32" s="515"/>
      <c r="AL32" s="513"/>
      <c r="AM32" s="515"/>
    </row>
    <row r="33" spans="1:40">
      <c r="A33" s="2" t="s">
        <v>1012</v>
      </c>
      <c r="B33" s="2" t="s">
        <v>570</v>
      </c>
      <c r="C33" s="235" t="s">
        <v>44</v>
      </c>
      <c r="D33" s="374" t="s">
        <v>44</v>
      </c>
      <c r="E33" s="374" t="s">
        <v>44</v>
      </c>
      <c r="F33" s="374" t="s">
        <v>44</v>
      </c>
      <c r="G33" s="374" t="s">
        <v>44</v>
      </c>
      <c r="H33" s="374" t="s">
        <v>44</v>
      </c>
      <c r="I33" s="235" t="s">
        <v>44</v>
      </c>
      <c r="J33" s="518" t="s">
        <v>44</v>
      </c>
      <c r="K33" s="513">
        <v>0</v>
      </c>
      <c r="L33" s="514" t="s">
        <v>44</v>
      </c>
      <c r="M33" s="513">
        <v>0</v>
      </c>
      <c r="N33" s="513">
        <v>0</v>
      </c>
      <c r="O33" s="513">
        <f>N33+M33</f>
        <v>0</v>
      </c>
      <c r="P33" s="269" t="s">
        <v>44</v>
      </c>
      <c r="Q33" s="513">
        <v>0</v>
      </c>
      <c r="R33" s="513">
        <v>0</v>
      </c>
      <c r="S33" s="515" t="s">
        <v>44</v>
      </c>
      <c r="T33" s="519">
        <v>0.52449999999999997</v>
      </c>
      <c r="U33" s="514" t="s">
        <v>44</v>
      </c>
      <c r="V33" s="513">
        <v>0</v>
      </c>
      <c r="W33" s="513">
        <v>1.0742959999999999</v>
      </c>
      <c r="X33" s="513">
        <f>W33+V33</f>
        <v>1.0742959999999999</v>
      </c>
      <c r="Y33" s="268">
        <f>X33/T33</f>
        <v>2.048228789323165</v>
      </c>
      <c r="Z33" s="513">
        <v>0</v>
      </c>
      <c r="AA33" s="513">
        <f t="shared" ref="AA33:AA34" si="0">X33-O33</f>
        <v>1.0742959999999999</v>
      </c>
      <c r="AB33" s="515">
        <f t="shared" ref="AB33:AB34" si="1">IFERROR(X33/O33-1,0)</f>
        <v>0</v>
      </c>
      <c r="AC33" s="517"/>
      <c r="AD33" s="514"/>
      <c r="AE33" s="513"/>
      <c r="AF33" s="513"/>
      <c r="AG33" s="513"/>
      <c r="AH33" s="268"/>
      <c r="AI33" s="513"/>
      <c r="AJ33" s="513"/>
      <c r="AK33" s="515"/>
      <c r="AL33" s="513"/>
      <c r="AM33" s="515"/>
    </row>
    <row r="34" spans="1:40">
      <c r="A34" s="2" t="s">
        <v>1013</v>
      </c>
      <c r="B34" s="2" t="s">
        <v>570</v>
      </c>
      <c r="C34" s="235" t="s">
        <v>44</v>
      </c>
      <c r="D34" s="374" t="s">
        <v>44</v>
      </c>
      <c r="E34" s="374" t="s">
        <v>44</v>
      </c>
      <c r="F34" s="374" t="s">
        <v>44</v>
      </c>
      <c r="G34" s="374" t="s">
        <v>44</v>
      </c>
      <c r="H34" s="374" t="s">
        <v>44</v>
      </c>
      <c r="I34" s="235" t="s">
        <v>44</v>
      </c>
      <c r="J34" s="518" t="s">
        <v>44</v>
      </c>
      <c r="K34" s="513">
        <v>2.388055</v>
      </c>
      <c r="L34" s="514" t="s">
        <v>44</v>
      </c>
      <c r="M34" s="513">
        <v>0.29720299999999999</v>
      </c>
      <c r="N34" s="513">
        <v>0.73658000000000001</v>
      </c>
      <c r="O34" s="513">
        <f t="shared" ref="O34" si="2">N34+M34</f>
        <v>1.0337830000000001</v>
      </c>
      <c r="P34" s="269">
        <f t="shared" ref="P34:P36" si="3">O34/K34</f>
        <v>0.4328974835169207</v>
      </c>
      <c r="Q34" s="513">
        <v>0</v>
      </c>
      <c r="R34" s="513">
        <v>0</v>
      </c>
      <c r="S34" s="515" t="s">
        <v>44</v>
      </c>
      <c r="T34" s="519">
        <v>0.70803000000000005</v>
      </c>
      <c r="U34" s="514" t="s">
        <v>44</v>
      </c>
      <c r="V34" s="513">
        <f>0.212952+0.141405</f>
        <v>0.35435700000000003</v>
      </c>
      <c r="W34" s="513">
        <v>0.55318100000000003</v>
      </c>
      <c r="X34" s="513">
        <f t="shared" ref="X34" si="4">W34+V34</f>
        <v>0.90753800000000007</v>
      </c>
      <c r="Y34" s="268">
        <f t="shared" ref="Y34" si="5">X34/T34</f>
        <v>1.2817790206629662</v>
      </c>
      <c r="Z34" s="513">
        <v>0</v>
      </c>
      <c r="AA34" s="513">
        <f t="shared" si="0"/>
        <v>-0.12624500000000005</v>
      </c>
      <c r="AB34" s="515">
        <f t="shared" si="1"/>
        <v>-0.12211943899251587</v>
      </c>
      <c r="AC34" s="517"/>
      <c r="AD34" s="514"/>
      <c r="AE34" s="513"/>
      <c r="AF34" s="513"/>
      <c r="AG34" s="513"/>
      <c r="AH34" s="268"/>
      <c r="AI34" s="513"/>
      <c r="AJ34" s="513"/>
      <c r="AK34" s="515"/>
      <c r="AL34" s="513"/>
      <c r="AM34" s="515"/>
    </row>
    <row r="36" spans="1:40" s="520" customFormat="1" ht="12" thickBot="1">
      <c r="A36" s="520" t="s">
        <v>45</v>
      </c>
      <c r="K36" s="521">
        <f>SUM(K32:K34)</f>
        <v>79.233377999999988</v>
      </c>
      <c r="M36" s="522">
        <f>SUM(M32:M34)</f>
        <v>3.0265840000000002</v>
      </c>
      <c r="N36" s="522">
        <f>SUM(N32:N34)</f>
        <v>84.312835000000007</v>
      </c>
      <c r="O36" s="522">
        <f>SUM(O32:O34)</f>
        <v>87.339419000000007</v>
      </c>
      <c r="P36" s="523">
        <f t="shared" si="3"/>
        <v>1.1023058867943258</v>
      </c>
      <c r="Q36" s="524" t="s">
        <v>44</v>
      </c>
      <c r="R36" s="524" t="s">
        <v>44</v>
      </c>
      <c r="S36" s="524" t="s">
        <v>44</v>
      </c>
      <c r="T36" s="571">
        <f>SUM(T32:T34)</f>
        <v>77.936590999999993</v>
      </c>
      <c r="V36" s="522">
        <f>SUM(V32:V34)</f>
        <v>5.7096010000000001</v>
      </c>
      <c r="W36" s="522">
        <f>SUM(W32:W34)</f>
        <v>79.252450999999994</v>
      </c>
      <c r="X36" s="522">
        <f>SUM(X32:X34)</f>
        <v>84.962052</v>
      </c>
      <c r="Y36" s="523">
        <f t="shared" ref="Y36" si="6">X36/T36</f>
        <v>1.0901432935397444</v>
      </c>
      <c r="Z36" s="525" t="s">
        <v>44</v>
      </c>
      <c r="AA36" s="525">
        <f t="shared" ref="AA36" si="7">X36-O36</f>
        <v>-2.3773670000000067</v>
      </c>
      <c r="AB36" s="526">
        <f t="shared" ref="AB36" si="8">IFERROR(X36/O36-1,0)</f>
        <v>-2.7219862774676917E-2</v>
      </c>
      <c r="AC36" s="527"/>
      <c r="AN36" s="527"/>
    </row>
    <row r="38" spans="1:40" s="389" customFormat="1">
      <c r="A38" s="388" t="s">
        <v>277</v>
      </c>
      <c r="K38" s="528">
        <f>SUMIF($D$32:$D$34,"Unrealized",K$32:K$34)+SUMIF($D$32:$D$34,"Partial Realized",K$32:K$34)</f>
        <v>0</v>
      </c>
      <c r="M38" s="529">
        <f>SUMIF($D$32:$D$34,"Unrealized",M$32:M$34)+SUMIF($D$32:$D$34,"Partial Realized",M$32:M$34)</f>
        <v>0</v>
      </c>
      <c r="N38" s="529">
        <f>SUMIF($D$32:$D$34,"Unrealized",N$32:N$34)+SUMIF($D$32:$D$34,"Partial Realized",N$32:N$34)</f>
        <v>0</v>
      </c>
      <c r="O38" s="529">
        <f>SUMIF($D$32:$D$34,"Unrealized",O$32:O$34)+SUMIF($D$32:$D$34,"Partial Realized",O$32:O$34)</f>
        <v>0</v>
      </c>
      <c r="P38" s="530" t="s">
        <v>44</v>
      </c>
      <c r="R38" s="531" t="s">
        <v>44</v>
      </c>
      <c r="S38" s="532" t="s">
        <v>44</v>
      </c>
      <c r="T38" s="528">
        <f>SUMIF($D$32:$D$34,"Unrealized",T$32:T$34)+SUMIF($D$32:$D$34,"Partial Realized",T$32:T$34)</f>
        <v>0</v>
      </c>
      <c r="V38" s="529">
        <f>SUMIF($D$32:$D$34,"Unrealized",V$32:V$34)+SUMIF($D$32:$D$34,"Partial Realized",V$32:V$34)</f>
        <v>0</v>
      </c>
      <c r="W38" s="529">
        <f>SUMIF($D$32:$D$34,"Unrealized",W$32:W$34)+SUMIF($D$32:$D$34,"Partial Realized",W$32:W$34)</f>
        <v>0</v>
      </c>
      <c r="X38" s="529">
        <f>SUMIF($D$32:$D$34,"Unrealized",X$32:X$34)+SUMIF($D$32:$D$34,"Partial Realized",X$32:X$34)</f>
        <v>0</v>
      </c>
      <c r="Y38" s="530" t="s">
        <v>44</v>
      </c>
      <c r="AA38" s="533">
        <f t="shared" ref="AA38:AA39" si="9">X38-O38</f>
        <v>0</v>
      </c>
      <c r="AB38" s="534">
        <f t="shared" ref="AB38:AB39" si="10">IFERROR(X38/O38-1,0)</f>
        <v>0</v>
      </c>
      <c r="AN38" s="535"/>
    </row>
    <row r="39" spans="1:40" s="389" customFormat="1">
      <c r="A39" s="388" t="s">
        <v>278</v>
      </c>
      <c r="K39" s="528">
        <f>SUMIF($D$32:$D$34,"Realized",K$32:K$34)+SUMIF($D$32:$D$34,"Write-off",K$32:K$34)</f>
        <v>0</v>
      </c>
      <c r="M39" s="529">
        <f>SUMIF($D$32:$D$34,"Realized",M$32:M$34)+SUMIF($D$32:$D$34,"Write-off",M$32:M$34)</f>
        <v>0</v>
      </c>
      <c r="N39" s="529">
        <f>SUMIF($D$32:$D$34,"Realized",N$32:N$34)+SUMIF($D$32:$D$34,"Write-off",N$32:N$34)</f>
        <v>0</v>
      </c>
      <c r="O39" s="529">
        <f>SUMIF($D$32:$D$34,"Realized",O$32:O$34)+SUMIF($D$32:$D$34,"Write-off",O$32:O$34)</f>
        <v>0</v>
      </c>
      <c r="P39" s="530" t="s">
        <v>44</v>
      </c>
      <c r="R39" s="531" t="s">
        <v>44</v>
      </c>
      <c r="S39" s="532" t="s">
        <v>44</v>
      </c>
      <c r="T39" s="528">
        <f>SUMIF($D$32:$D$34,"Realized",T$32:T$34)+SUMIF($D$32:$D$34,"Write-off",T$32:T$34)</f>
        <v>0</v>
      </c>
      <c r="V39" s="529">
        <f>SUMIF($D$32:$D$34,"Realized",V$32:V$34)+SUMIF($D$32:$D$34,"Write-off",V$32:V$34)</f>
        <v>0</v>
      </c>
      <c r="W39" s="529">
        <f>SUMIF($D$32:$D$34,"Realized",W$32:W$34)+SUMIF($D$32:$D$34,"Write-off",W$32:W$34)</f>
        <v>0</v>
      </c>
      <c r="X39" s="529">
        <f>SUMIF($D$32:$D$34,"Realized",X$32:X$34)+SUMIF($D$32:$D$34,"Write-off",X$32:X$34)</f>
        <v>0</v>
      </c>
      <c r="Y39" s="530" t="s">
        <v>44</v>
      </c>
      <c r="AA39" s="533">
        <f t="shared" si="9"/>
        <v>0</v>
      </c>
      <c r="AB39" s="534">
        <f t="shared" si="10"/>
        <v>0</v>
      </c>
      <c r="AN39" s="535"/>
    </row>
    <row r="42" spans="1:40" s="536" customFormat="1">
      <c r="A42" s="536" t="s">
        <v>279</v>
      </c>
      <c r="K42" s="537"/>
      <c r="T42" s="537"/>
      <c r="AC42" s="537"/>
      <c r="AN42" s="537"/>
    </row>
    <row r="43" spans="1:40" ht="13.5" customHeight="1">
      <c r="K43" s="538" t="s">
        <v>236</v>
      </c>
      <c r="L43" s="539"/>
      <c r="M43" s="539"/>
      <c r="N43" s="539"/>
      <c r="O43" s="539"/>
      <c r="P43" s="539"/>
      <c r="Q43" s="540"/>
      <c r="R43" s="540"/>
      <c r="S43" s="539"/>
      <c r="T43" s="503" t="s">
        <v>237</v>
      </c>
      <c r="U43" s="504"/>
      <c r="V43" s="504"/>
      <c r="W43" s="504"/>
      <c r="X43" s="504"/>
      <c r="Y43" s="504"/>
      <c r="Z43" s="505"/>
      <c r="AA43" s="505"/>
      <c r="AB43" s="504"/>
      <c r="AC43" s="503" t="s">
        <v>238</v>
      </c>
      <c r="AD43" s="504"/>
      <c r="AE43" s="504"/>
      <c r="AF43" s="504"/>
      <c r="AG43" s="539"/>
      <c r="AH43" s="539"/>
      <c r="AI43" s="540"/>
      <c r="AJ43" s="540"/>
      <c r="AK43" s="540"/>
      <c r="AL43" s="540"/>
      <c r="AM43" s="539"/>
    </row>
    <row r="44" spans="1:40" s="141" customFormat="1" ht="39.75" customHeight="1">
      <c r="A44" s="138" t="s">
        <v>239</v>
      </c>
      <c r="B44" s="139" t="s">
        <v>240</v>
      </c>
      <c r="C44" s="139" t="s">
        <v>69</v>
      </c>
      <c r="D44" s="139" t="s">
        <v>241</v>
      </c>
      <c r="E44" s="139" t="s">
        <v>242</v>
      </c>
      <c r="F44" s="139" t="s">
        <v>243</v>
      </c>
      <c r="G44" s="139" t="s">
        <v>244</v>
      </c>
      <c r="H44" s="139" t="s">
        <v>245</v>
      </c>
      <c r="I44" s="139" t="s">
        <v>246</v>
      </c>
      <c r="J44" s="501" t="s">
        <v>247</v>
      </c>
      <c r="K44" s="541" t="s">
        <v>280</v>
      </c>
      <c r="L44" s="542"/>
      <c r="M44" s="543"/>
      <c r="N44" s="542"/>
      <c r="O44" s="541" t="s">
        <v>281</v>
      </c>
      <c r="P44" s="542"/>
      <c r="Q44" s="543"/>
      <c r="R44" s="542"/>
      <c r="S44" s="544"/>
      <c r="T44" s="541" t="s">
        <v>280</v>
      </c>
      <c r="U44" s="542"/>
      <c r="V44" s="543"/>
      <c r="W44" s="542"/>
      <c r="X44" s="541" t="s">
        <v>281</v>
      </c>
      <c r="Y44" s="542"/>
      <c r="Z44" s="543"/>
      <c r="AA44" s="542"/>
      <c r="AB44" s="544"/>
      <c r="AC44" s="541" t="s">
        <v>280</v>
      </c>
      <c r="AD44" s="542"/>
      <c r="AE44" s="543"/>
      <c r="AF44" s="542"/>
      <c r="AG44" s="541" t="s">
        <v>281</v>
      </c>
      <c r="AH44" s="542"/>
      <c r="AI44" s="543"/>
      <c r="AJ44" s="542"/>
      <c r="AK44" s="545"/>
      <c r="AL44" s="545"/>
      <c r="AM44" s="544"/>
      <c r="AN44" s="510"/>
    </row>
  </sheetData>
  <conditionalFormatting sqref="R32:S34">
    <cfRule type="cellIs" dxfId="47" priority="5" operator="lessThan">
      <formula>0</formula>
    </cfRule>
    <cfRule type="cellIs" dxfId="46" priority="6" operator="greaterThan">
      <formula>0</formula>
    </cfRule>
  </conditionalFormatting>
  <conditionalFormatting sqref="AA32:AB34">
    <cfRule type="cellIs" dxfId="45" priority="9" operator="lessThan">
      <formula>0</formula>
    </cfRule>
    <cfRule type="cellIs" dxfId="44" priority="10" operator="greaterThan">
      <formula>0</formula>
    </cfRule>
  </conditionalFormatting>
  <conditionalFormatting sqref="AA36:AB36">
    <cfRule type="cellIs" dxfId="43" priority="3" operator="lessThan">
      <formula>0</formula>
    </cfRule>
    <cfRule type="cellIs" dxfId="42" priority="4" operator="greaterThan">
      <formula>0</formula>
    </cfRule>
  </conditionalFormatting>
  <conditionalFormatting sqref="AA38:AB39">
    <cfRule type="cellIs" dxfId="41" priority="1" operator="lessThan">
      <formula>0</formula>
    </cfRule>
    <cfRule type="cellIs" dxfId="40" priority="2" operator="greaterThan">
      <formula>0</formula>
    </cfRule>
  </conditionalFormatting>
  <conditionalFormatting sqref="AJ32:AM33">
    <cfRule type="cellIs" dxfId="39" priority="7" operator="lessThan">
      <formula>0</formula>
    </cfRule>
    <cfRule type="cellIs" dxfId="38" priority="8" operator="greaterThan">
      <formula>0</formula>
    </cfRule>
  </conditionalFormatting>
  <printOptions horizontalCentered="1"/>
  <pageMargins left="0.23622047244094491" right="0" top="0.35433070866141736" bottom="0.19685039370078741" header="0.15748031496062992" footer="0.15748031496062992"/>
  <pageSetup paperSize="8" orientation="landscape"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13695-45CC-4026-8330-56E063E9C4FB}">
  <sheetPr>
    <tabColor theme="8"/>
  </sheetPr>
  <dimension ref="B1:Q20"/>
  <sheetViews>
    <sheetView workbookViewId="0"/>
  </sheetViews>
  <sheetFormatPr defaultColWidth="9" defaultRowHeight="11.25"/>
  <cols>
    <col min="1" max="1" width="2.7109375" style="2" customWidth="1"/>
    <col min="2" max="2" width="18.140625" style="2" customWidth="1"/>
    <col min="3" max="3" width="12" style="2" customWidth="1"/>
    <col min="4" max="4" width="17" style="2" hidden="1" customWidth="1"/>
    <col min="5" max="5" width="12.28515625" style="2" customWidth="1"/>
    <col min="6" max="10" width="14.28515625" style="2" customWidth="1"/>
    <col min="11" max="11" width="21.140625" style="2" customWidth="1"/>
    <col min="12" max="15" width="14.28515625" style="2" customWidth="1"/>
    <col min="16" max="16" width="12.28515625" style="2" customWidth="1"/>
    <col min="17" max="17" width="9" style="2"/>
    <col min="18" max="18" width="11.140625" style="2" bestFit="1" customWidth="1"/>
    <col min="19" max="16384" width="9" style="2"/>
  </cols>
  <sheetData>
    <row r="1" spans="2:16">
      <c r="B1" s="75" t="s">
        <v>282</v>
      </c>
      <c r="K1" s="635">
        <f>C3</f>
        <v>45657</v>
      </c>
      <c r="L1" s="636"/>
      <c r="M1" s="198" t="s">
        <v>283</v>
      </c>
      <c r="N1" s="199" t="s">
        <v>284</v>
      </c>
    </row>
    <row r="2" spans="2:16" ht="12" thickBot="1">
      <c r="K2" s="172" t="s">
        <v>285</v>
      </c>
      <c r="L2" s="173">
        <f>L18</f>
        <v>-4500000</v>
      </c>
      <c r="M2" s="201">
        <v>-4500000</v>
      </c>
      <c r="N2" s="205">
        <f>L2-M2</f>
        <v>0</v>
      </c>
    </row>
    <row r="3" spans="2:16" ht="12" thickBot="1">
      <c r="B3" s="202" t="s">
        <v>286</v>
      </c>
      <c r="C3" s="272">
        <f>'HSG Growth VIII'!E1</f>
        <v>45657</v>
      </c>
      <c r="K3" s="172" t="s">
        <v>287</v>
      </c>
      <c r="L3" s="173">
        <f>O18</f>
        <v>0</v>
      </c>
      <c r="M3" s="201">
        <v>0</v>
      </c>
      <c r="N3" s="205">
        <f>L3-M3</f>
        <v>0</v>
      </c>
    </row>
    <row r="4" spans="2:16">
      <c r="K4" s="175" t="s">
        <v>288</v>
      </c>
      <c r="L4" s="176">
        <f>K20</f>
        <v>4623800</v>
      </c>
    </row>
    <row r="5" spans="2:16" s="75" customFormat="1">
      <c r="B5" s="75" t="s">
        <v>289</v>
      </c>
      <c r="C5" s="177" t="s">
        <v>1014</v>
      </c>
      <c r="K5" s="172" t="s">
        <v>75</v>
      </c>
      <c r="L5" s="180">
        <f>XIRR(K10:K20,E10:E20)</f>
        <v>8.0131024122238152E-3</v>
      </c>
    </row>
    <row r="6" spans="2:16">
      <c r="B6" s="75" t="s">
        <v>291</v>
      </c>
      <c r="C6" s="75" t="s">
        <v>24</v>
      </c>
    </row>
    <row r="7" spans="2:16">
      <c r="B7" s="75" t="s">
        <v>52</v>
      </c>
      <c r="C7" s="178">
        <v>4500000</v>
      </c>
    </row>
    <row r="9" spans="2:16" s="186" customFormat="1" ht="22.5">
      <c r="B9" s="183" t="s">
        <v>292</v>
      </c>
      <c r="C9" s="183" t="s">
        <v>0</v>
      </c>
      <c r="D9" s="183" t="s">
        <v>293</v>
      </c>
      <c r="E9" s="183" t="s">
        <v>294</v>
      </c>
      <c r="F9" s="183" t="s">
        <v>176</v>
      </c>
      <c r="G9" s="184" t="s">
        <v>296</v>
      </c>
      <c r="H9" s="185" t="s">
        <v>435</v>
      </c>
      <c r="I9" s="185" t="s">
        <v>436</v>
      </c>
      <c r="J9" s="185" t="s">
        <v>299</v>
      </c>
      <c r="K9" s="185" t="s">
        <v>300</v>
      </c>
      <c r="L9" s="185" t="s">
        <v>301</v>
      </c>
      <c r="M9" s="185" t="s">
        <v>302</v>
      </c>
      <c r="N9" s="185" t="s">
        <v>437</v>
      </c>
      <c r="O9" s="185" t="s">
        <v>438</v>
      </c>
      <c r="P9" s="184" t="s">
        <v>195</v>
      </c>
    </row>
    <row r="10" spans="2:16">
      <c r="B10" s="2" t="s">
        <v>307</v>
      </c>
      <c r="C10" s="235" t="s">
        <v>308</v>
      </c>
      <c r="D10" s="187">
        <v>44102</v>
      </c>
      <c r="E10" s="187">
        <v>44102</v>
      </c>
      <c r="F10" s="211"/>
      <c r="G10" s="211">
        <v>-450000</v>
      </c>
      <c r="H10" s="211"/>
      <c r="I10" s="211"/>
      <c r="J10" s="211"/>
      <c r="K10" s="211">
        <f t="shared" ref="K10:K17" si="0">SUM(G10:J10)</f>
        <v>-450000</v>
      </c>
      <c r="L10" s="170">
        <f>K10</f>
        <v>-450000</v>
      </c>
      <c r="M10" s="132">
        <f t="shared" ref="M10:M18" si="1">$C$7+L10</f>
        <v>4050000</v>
      </c>
      <c r="N10" s="170">
        <f t="shared" ref="N10:N18" si="2">SUMIF(K10,"&gt;0", K10)</f>
        <v>0</v>
      </c>
      <c r="O10" s="132">
        <f>N10</f>
        <v>0</v>
      </c>
    </row>
    <row r="11" spans="2:16">
      <c r="B11" s="2" t="s">
        <v>307</v>
      </c>
      <c r="C11" s="235" t="s">
        <v>310</v>
      </c>
      <c r="D11" s="187">
        <v>44174</v>
      </c>
      <c r="E11" s="187">
        <v>44183</v>
      </c>
      <c r="F11" s="211"/>
      <c r="G11" s="211">
        <v>-450000</v>
      </c>
      <c r="H11" s="211"/>
      <c r="I11" s="211"/>
      <c r="J11" s="211"/>
      <c r="K11" s="211">
        <f t="shared" si="0"/>
        <v>-450000</v>
      </c>
      <c r="L11" s="170">
        <f t="shared" ref="L11:L18" si="3">IF(K11&lt;0,K11,0)+L10</f>
        <v>-900000</v>
      </c>
      <c r="M11" s="132">
        <f t="shared" si="1"/>
        <v>3600000</v>
      </c>
      <c r="N11" s="170">
        <f t="shared" si="2"/>
        <v>0</v>
      </c>
      <c r="O11" s="132">
        <f>O10+N11</f>
        <v>0</v>
      </c>
    </row>
    <row r="12" spans="2:16">
      <c r="B12" s="2" t="s">
        <v>307</v>
      </c>
      <c r="C12" s="235" t="s">
        <v>311</v>
      </c>
      <c r="D12" s="187">
        <v>44284</v>
      </c>
      <c r="E12" s="187">
        <v>44295</v>
      </c>
      <c r="F12" s="211"/>
      <c r="G12" s="211">
        <v>-900000</v>
      </c>
      <c r="H12" s="211"/>
      <c r="I12" s="211"/>
      <c r="J12" s="211"/>
      <c r="K12" s="211">
        <f t="shared" si="0"/>
        <v>-900000</v>
      </c>
      <c r="L12" s="170">
        <f t="shared" si="3"/>
        <v>-1800000</v>
      </c>
      <c r="M12" s="132">
        <f t="shared" si="1"/>
        <v>2700000</v>
      </c>
      <c r="N12" s="170">
        <f t="shared" si="2"/>
        <v>0</v>
      </c>
      <c r="O12" s="132">
        <f>O11+N12</f>
        <v>0</v>
      </c>
    </row>
    <row r="13" spans="2:16">
      <c r="B13" s="2" t="s">
        <v>307</v>
      </c>
      <c r="C13" s="235" t="s">
        <v>316</v>
      </c>
      <c r="D13" s="187">
        <v>44330</v>
      </c>
      <c r="E13" s="187">
        <v>44377</v>
      </c>
      <c r="F13" s="211"/>
      <c r="G13" s="211">
        <v>-675000</v>
      </c>
      <c r="H13" s="211"/>
      <c r="I13" s="211"/>
      <c r="J13" s="211"/>
      <c r="K13" s="211">
        <f t="shared" si="0"/>
        <v>-675000</v>
      </c>
      <c r="L13" s="170">
        <f t="shared" si="3"/>
        <v>-2475000</v>
      </c>
      <c r="M13" s="132">
        <f t="shared" si="1"/>
        <v>2025000</v>
      </c>
      <c r="N13" s="170">
        <f t="shared" si="2"/>
        <v>0</v>
      </c>
      <c r="O13" s="132">
        <f>O12+N13</f>
        <v>0</v>
      </c>
    </row>
    <row r="14" spans="2:16">
      <c r="B14" s="2" t="s">
        <v>307</v>
      </c>
      <c r="C14" s="235" t="s">
        <v>320</v>
      </c>
      <c r="D14" s="187"/>
      <c r="E14" s="187">
        <v>44466</v>
      </c>
      <c r="F14" s="211"/>
      <c r="G14" s="211">
        <v>-900000</v>
      </c>
      <c r="H14" s="211"/>
      <c r="I14" s="211"/>
      <c r="J14" s="211"/>
      <c r="K14" s="211">
        <f t="shared" si="0"/>
        <v>-900000</v>
      </c>
      <c r="L14" s="170">
        <f t="shared" si="3"/>
        <v>-3375000</v>
      </c>
      <c r="M14" s="132">
        <f t="shared" si="1"/>
        <v>1125000</v>
      </c>
      <c r="N14" s="170">
        <f t="shared" si="2"/>
        <v>0</v>
      </c>
      <c r="O14" s="132"/>
    </row>
    <row r="15" spans="2:16">
      <c r="B15" s="2" t="s">
        <v>307</v>
      </c>
      <c r="C15" s="235" t="s">
        <v>325</v>
      </c>
      <c r="D15" s="187"/>
      <c r="E15" s="187">
        <v>44557</v>
      </c>
      <c r="F15" s="211"/>
      <c r="G15" s="211">
        <v>-450000</v>
      </c>
      <c r="H15" s="211"/>
      <c r="I15" s="211"/>
      <c r="J15" s="211"/>
      <c r="K15" s="211">
        <f t="shared" si="0"/>
        <v>-450000</v>
      </c>
      <c r="L15" s="170">
        <f t="shared" si="3"/>
        <v>-3825000</v>
      </c>
      <c r="M15" s="132">
        <f t="shared" si="1"/>
        <v>675000</v>
      </c>
      <c r="N15" s="170">
        <f t="shared" si="2"/>
        <v>0</v>
      </c>
      <c r="O15" s="132">
        <f>O13+N15</f>
        <v>0</v>
      </c>
    </row>
    <row r="16" spans="2:16">
      <c r="B16" s="2" t="s">
        <v>307</v>
      </c>
      <c r="C16" s="235" t="s">
        <v>322</v>
      </c>
      <c r="D16" s="187"/>
      <c r="E16" s="187">
        <v>44641</v>
      </c>
      <c r="F16" s="211"/>
      <c r="G16" s="211">
        <v>-225000</v>
      </c>
      <c r="H16" s="211"/>
      <c r="I16" s="211"/>
      <c r="J16" s="211"/>
      <c r="K16" s="211">
        <f t="shared" si="0"/>
        <v>-225000</v>
      </c>
      <c r="L16" s="170">
        <f t="shared" si="3"/>
        <v>-4050000</v>
      </c>
      <c r="M16" s="132">
        <f t="shared" si="1"/>
        <v>450000</v>
      </c>
      <c r="N16" s="170">
        <f t="shared" si="2"/>
        <v>0</v>
      </c>
      <c r="O16" s="132">
        <f>O14+N16</f>
        <v>0</v>
      </c>
    </row>
    <row r="17" spans="2:17">
      <c r="B17" s="2" t="s">
        <v>307</v>
      </c>
      <c r="C17" s="235" t="s">
        <v>324</v>
      </c>
      <c r="D17" s="187"/>
      <c r="E17" s="187">
        <v>44739</v>
      </c>
      <c r="F17" s="211"/>
      <c r="G17" s="211">
        <v>-225000</v>
      </c>
      <c r="H17" s="211"/>
      <c r="I17" s="211"/>
      <c r="J17" s="211"/>
      <c r="K17" s="211">
        <f t="shared" si="0"/>
        <v>-225000</v>
      </c>
      <c r="L17" s="170">
        <f t="shared" si="3"/>
        <v>-4275000</v>
      </c>
      <c r="M17" s="132">
        <f t="shared" si="1"/>
        <v>225000</v>
      </c>
      <c r="N17" s="170">
        <f t="shared" si="2"/>
        <v>0</v>
      </c>
      <c r="O17" s="132">
        <f>O15+N17</f>
        <v>0</v>
      </c>
    </row>
    <row r="18" spans="2:17">
      <c r="B18" s="2" t="s">
        <v>307</v>
      </c>
      <c r="C18" s="235" t="s">
        <v>327</v>
      </c>
      <c r="D18" s="187"/>
      <c r="E18" s="187">
        <v>45089</v>
      </c>
      <c r="F18" s="132"/>
      <c r="G18" s="132">
        <v>-225000</v>
      </c>
      <c r="H18" s="132"/>
      <c r="I18" s="132"/>
      <c r="J18" s="132"/>
      <c r="K18" s="132">
        <f>SUM(G18:J18)</f>
        <v>-225000</v>
      </c>
      <c r="L18" s="170">
        <f t="shared" si="3"/>
        <v>-4500000</v>
      </c>
      <c r="M18" s="132">
        <f t="shared" si="1"/>
        <v>0</v>
      </c>
      <c r="N18" s="170">
        <f t="shared" si="2"/>
        <v>0</v>
      </c>
      <c r="O18" s="132">
        <f>O16+N18</f>
        <v>0</v>
      </c>
      <c r="Q18" s="2" t="s">
        <v>403</v>
      </c>
    </row>
    <row r="19" spans="2:17">
      <c r="C19" s="235"/>
      <c r="D19" s="187"/>
      <c r="E19" s="187"/>
      <c r="F19" s="132"/>
      <c r="G19" s="132"/>
      <c r="H19" s="132"/>
      <c r="I19" s="132"/>
      <c r="J19" s="132"/>
      <c r="K19" s="132"/>
      <c r="L19" s="170"/>
      <c r="M19" s="132"/>
      <c r="N19" s="170"/>
      <c r="O19" s="132"/>
    </row>
    <row r="20" spans="2:17" s="75" customFormat="1">
      <c r="B20" s="191" t="s">
        <v>288</v>
      </c>
      <c r="C20" s="192"/>
      <c r="D20" s="192"/>
      <c r="E20" s="192">
        <f>C3</f>
        <v>45657</v>
      </c>
      <c r="F20" s="191"/>
      <c r="G20" s="194"/>
      <c r="H20" s="194"/>
      <c r="I20" s="194"/>
      <c r="J20" s="303"/>
      <c r="K20" s="315">
        <v>4623800</v>
      </c>
      <c r="L20" s="303"/>
      <c r="M20" s="303"/>
      <c r="N20" s="303"/>
      <c r="O20" s="303"/>
      <c r="P20" s="303"/>
      <c r="Q20" s="2" t="s">
        <v>403</v>
      </c>
    </row>
  </sheetData>
  <mergeCells count="1">
    <mergeCell ref="K1:L1"/>
  </mergeCells>
  <phoneticPr fontId="10" type="noConversion"/>
  <pageMargins left="0.7" right="0.7" top="0.75" bottom="0.75" header="0.3" footer="0.3"/>
  <pageSetup paperSize="9" scale="39" orientation="portrait"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2668B-227D-44C6-AE9B-4E56D9678999}">
  <sheetPr>
    <tabColor theme="8"/>
    <outlinePr showOutlineSymbols="0"/>
    <pageSetUpPr fitToPage="1"/>
  </sheetPr>
  <dimension ref="A1:AN122"/>
  <sheetViews>
    <sheetView workbookViewId="0">
      <selection activeCell="B38" sqref="B38"/>
    </sheetView>
  </sheetViews>
  <sheetFormatPr defaultColWidth="9" defaultRowHeight="11.25" outlineLevelRow="1" outlineLevelCol="1"/>
  <cols>
    <col min="1" max="1" width="32.140625" style="2" customWidth="1"/>
    <col min="2" max="2" width="79.42578125" style="2" customWidth="1"/>
    <col min="3" max="3" width="15.7109375" style="2" customWidth="1"/>
    <col min="4" max="4" width="31.140625" style="2" customWidth="1"/>
    <col min="5" max="5" width="14.42578125" style="2" customWidth="1"/>
    <col min="6" max="7" width="10.7109375" style="2" customWidth="1"/>
    <col min="8" max="8" width="38" style="2" bestFit="1" customWidth="1"/>
    <col min="9" max="9" width="19.28515625" style="2" bestFit="1" customWidth="1"/>
    <col min="10" max="10" width="19.28515625" style="2" customWidth="1"/>
    <col min="11" max="11" width="12.7109375" style="367" customWidth="1" outlineLevel="1"/>
    <col min="12" max="12" width="12.7109375" style="2" customWidth="1" outlineLevel="1"/>
    <col min="13" max="15" width="14.7109375" style="2" customWidth="1" outlineLevel="1"/>
    <col min="16" max="17" width="7.7109375" style="2" customWidth="1" outlineLevel="1"/>
    <col min="18" max="19" width="15.7109375" style="2" customWidth="1" outlineLevel="1"/>
    <col min="20" max="20" width="12.7109375" style="367" customWidth="1"/>
    <col min="21" max="21" width="12.7109375" style="2" customWidth="1"/>
    <col min="22" max="24" width="14.7109375" style="2" customWidth="1"/>
    <col min="25" max="26" width="7.7109375" style="2" customWidth="1"/>
    <col min="27" max="28" width="15.7109375" style="2" customWidth="1"/>
    <col min="29" max="29" width="12.7109375" style="367" customWidth="1"/>
    <col min="30" max="30" width="12.7109375" style="2" customWidth="1"/>
    <col min="31" max="33" width="14.7109375" style="2" customWidth="1"/>
    <col min="34" max="35" width="7.7109375" style="2" customWidth="1"/>
    <col min="36" max="39" width="15.7109375" style="2" customWidth="1"/>
    <col min="40" max="40" width="9" style="367"/>
    <col min="41" max="16384" width="9" style="2"/>
  </cols>
  <sheetData>
    <row r="1" spans="1:20">
      <c r="A1" s="117" t="s">
        <v>179</v>
      </c>
      <c r="B1" s="118"/>
      <c r="C1" s="74"/>
      <c r="D1" s="117" t="s">
        <v>180</v>
      </c>
      <c r="E1" s="219">
        <v>45657</v>
      </c>
      <c r="H1" s="117" t="s">
        <v>404</v>
      </c>
      <c r="I1" s="118"/>
      <c r="J1" s="74"/>
    </row>
    <row r="2" spans="1:20" outlineLevel="1">
      <c r="A2" s="2" t="s">
        <v>182</v>
      </c>
      <c r="B2" s="2" t="s">
        <v>1017</v>
      </c>
      <c r="D2" s="2" t="s">
        <v>183</v>
      </c>
      <c r="E2" s="121">
        <f>W81</f>
        <v>926.55971099999999</v>
      </c>
      <c r="H2" s="2" t="s">
        <v>184</v>
      </c>
      <c r="I2" s="120" t="s">
        <v>185</v>
      </c>
      <c r="J2" s="120"/>
    </row>
    <row r="3" spans="1:20" outlineLevel="1">
      <c r="A3" s="2" t="s">
        <v>186</v>
      </c>
      <c r="B3" s="122">
        <v>44013</v>
      </c>
      <c r="D3" s="2" t="s">
        <v>187</v>
      </c>
      <c r="E3" s="121">
        <v>1023.5755370000001</v>
      </c>
      <c r="H3" s="2" t="s">
        <v>188</v>
      </c>
      <c r="I3" s="307" t="s">
        <v>1018</v>
      </c>
      <c r="J3" s="120"/>
    </row>
    <row r="4" spans="1:20" outlineLevel="1">
      <c r="A4" s="2" t="s">
        <v>190</v>
      </c>
      <c r="B4" s="122">
        <v>44336</v>
      </c>
      <c r="D4" s="2" t="s">
        <v>191</v>
      </c>
      <c r="E4" s="125">
        <v>0.9</v>
      </c>
      <c r="H4" s="2" t="s">
        <v>192</v>
      </c>
      <c r="I4" s="320">
        <v>0.08</v>
      </c>
      <c r="J4" s="320"/>
    </row>
    <row r="5" spans="1:20" outlineLevel="1">
      <c r="A5" s="2" t="s">
        <v>193</v>
      </c>
      <c r="B5" s="120">
        <v>2020</v>
      </c>
      <c r="D5" s="2" t="s">
        <v>194</v>
      </c>
      <c r="E5" s="364" t="s">
        <v>685</v>
      </c>
      <c r="H5" s="2" t="s">
        <v>195</v>
      </c>
      <c r="I5" s="126">
        <v>0.2</v>
      </c>
      <c r="J5" s="126"/>
    </row>
    <row r="6" spans="1:20" outlineLevel="1">
      <c r="A6" s="2" t="s">
        <v>196</v>
      </c>
      <c r="B6" s="2" t="s">
        <v>1019</v>
      </c>
      <c r="D6" s="2" t="s">
        <v>198</v>
      </c>
      <c r="E6" s="364" t="s">
        <v>685</v>
      </c>
      <c r="H6" s="117" t="s">
        <v>199</v>
      </c>
      <c r="I6" s="118"/>
      <c r="J6" s="74"/>
    </row>
    <row r="7" spans="1:20" outlineLevel="1">
      <c r="A7" s="2" t="s">
        <v>200</v>
      </c>
      <c r="D7" s="2" t="s">
        <v>202</v>
      </c>
      <c r="E7" s="364" t="s">
        <v>685</v>
      </c>
      <c r="H7" s="2" t="s">
        <v>203</v>
      </c>
      <c r="I7" s="2" t="s">
        <v>204</v>
      </c>
    </row>
    <row r="8" spans="1:20" outlineLevel="1">
      <c r="A8" s="2" t="s">
        <v>205</v>
      </c>
      <c r="B8" s="120" t="s">
        <v>206</v>
      </c>
      <c r="D8" s="2" t="s">
        <v>207</v>
      </c>
      <c r="E8" s="364" t="s">
        <v>685</v>
      </c>
      <c r="H8" s="2" t="s">
        <v>208</v>
      </c>
      <c r="I8" s="2" t="s">
        <v>1020</v>
      </c>
    </row>
    <row r="9" spans="1:20" outlineLevel="1">
      <c r="A9" s="2" t="s">
        <v>65</v>
      </c>
      <c r="B9" s="2" t="s">
        <v>1021</v>
      </c>
      <c r="D9" s="128" t="s">
        <v>211</v>
      </c>
      <c r="E9" s="291"/>
    </row>
    <row r="10" spans="1:20" outlineLevel="1">
      <c r="A10" s="2" t="s">
        <v>212</v>
      </c>
      <c r="B10" s="120" t="s">
        <v>1022</v>
      </c>
      <c r="D10" s="2" t="s">
        <v>214</v>
      </c>
      <c r="E10" s="298">
        <f>'Lionet Fund CF'!C7/10^6</f>
        <v>15</v>
      </c>
    </row>
    <row r="11" spans="1:20" outlineLevel="1">
      <c r="A11" s="2" t="s">
        <v>215</v>
      </c>
      <c r="B11" s="120" t="s">
        <v>1023</v>
      </c>
      <c r="D11" s="2" t="s">
        <v>216</v>
      </c>
      <c r="E11" s="299">
        <f>E10/1392.79</f>
        <v>1.0769749926406709E-2</v>
      </c>
    </row>
    <row r="12" spans="1:20" outlineLevel="1">
      <c r="A12" s="2" t="s">
        <v>217</v>
      </c>
      <c r="B12" s="120" t="s">
        <v>24</v>
      </c>
      <c r="D12" s="2" t="s">
        <v>218</v>
      </c>
      <c r="E12" s="298">
        <f>-'Lionet Fund CF'!M2/10^6</f>
        <v>15.728508330000002</v>
      </c>
      <c r="T12" s="502"/>
    </row>
    <row r="13" spans="1:20" outlineLevel="1">
      <c r="A13" s="2" t="s">
        <v>219</v>
      </c>
      <c r="B13" s="120" t="s">
        <v>1024</v>
      </c>
      <c r="D13" s="2" t="s">
        <v>221</v>
      </c>
      <c r="E13" s="301">
        <v>0</v>
      </c>
      <c r="N13" s="314"/>
      <c r="T13" s="502"/>
    </row>
    <row r="14" spans="1:20" outlineLevel="1">
      <c r="A14" s="2" t="s">
        <v>222</v>
      </c>
      <c r="B14" s="120" t="s">
        <v>1025</v>
      </c>
      <c r="D14" s="2" t="s">
        <v>224</v>
      </c>
      <c r="E14" s="301">
        <f>'Lionet Fund CF'!M3/10^6</f>
        <v>2.1976071200000002</v>
      </c>
      <c r="N14" s="314"/>
      <c r="T14" s="502"/>
    </row>
    <row r="15" spans="1:20" outlineLevel="1">
      <c r="A15" s="2" t="s">
        <v>225</v>
      </c>
      <c r="B15" s="120" t="s">
        <v>1025</v>
      </c>
      <c r="D15" s="2" t="s">
        <v>227</v>
      </c>
      <c r="E15" s="298">
        <f>'Lionet Fund CF'!M4/10^6</f>
        <v>11.059808720000001</v>
      </c>
      <c r="N15" s="314"/>
    </row>
    <row r="16" spans="1:20" outlineLevel="1">
      <c r="A16" s="2" t="s">
        <v>228</v>
      </c>
      <c r="B16" s="134">
        <v>44196</v>
      </c>
      <c r="D16" s="2" t="s">
        <v>229</v>
      </c>
      <c r="E16" s="300">
        <f>E12/E10</f>
        <v>1.0485672220000002</v>
      </c>
      <c r="N16" s="314"/>
    </row>
    <row r="17" spans="1:40" outlineLevel="1">
      <c r="A17" s="2" t="s">
        <v>230</v>
      </c>
      <c r="B17" s="120" t="s">
        <v>626</v>
      </c>
      <c r="D17" s="2" t="s">
        <v>232</v>
      </c>
      <c r="E17" s="294">
        <f>E14/E12</f>
        <v>0.13972126751577338</v>
      </c>
    </row>
    <row r="18" spans="1:40" outlineLevel="1">
      <c r="A18" s="117" t="s">
        <v>233</v>
      </c>
      <c r="B18" s="118"/>
      <c r="D18" s="2" t="s">
        <v>234</v>
      </c>
      <c r="E18" s="137">
        <f>(E15+E14)/E12</f>
        <v>0.84289085537204278</v>
      </c>
    </row>
    <row r="19" spans="1:40" outlineLevel="1">
      <c r="A19" s="2" t="s">
        <v>235</v>
      </c>
      <c r="B19" s="120">
        <v>47</v>
      </c>
      <c r="D19" s="2" t="s">
        <v>627</v>
      </c>
      <c r="E19" s="294">
        <f>'Lionet Fund CF'!M5</f>
        <v>-4.6108850836753854E-2</v>
      </c>
    </row>
    <row r="20" spans="1:40" ht="13.5" customHeight="1"/>
    <row r="30" spans="1:40" ht="13.5" customHeight="1">
      <c r="K30" s="503" t="s">
        <v>236</v>
      </c>
      <c r="L30" s="504"/>
      <c r="M30" s="504"/>
      <c r="N30" s="504"/>
      <c r="O30" s="504"/>
      <c r="P30" s="504"/>
      <c r="Q30" s="505"/>
      <c r="R30" s="505"/>
      <c r="S30" s="504"/>
      <c r="T30" s="503" t="s">
        <v>237</v>
      </c>
      <c r="U30" s="504"/>
      <c r="V30" s="504"/>
      <c r="W30" s="504"/>
      <c r="X30" s="504"/>
      <c r="Y30" s="504"/>
      <c r="Z30" s="505"/>
      <c r="AA30" s="505"/>
      <c r="AB30" s="504"/>
      <c r="AC30" s="503" t="s">
        <v>238</v>
      </c>
      <c r="AD30" s="504"/>
      <c r="AE30" s="504"/>
      <c r="AF30" s="504"/>
      <c r="AG30" s="504"/>
      <c r="AH30" s="504"/>
      <c r="AI30" s="505"/>
      <c r="AJ30" s="505"/>
      <c r="AK30" s="505"/>
      <c r="AL30" s="505"/>
      <c r="AM30" s="504"/>
    </row>
    <row r="31" spans="1:40" s="141" customFormat="1" ht="39.75" customHeight="1">
      <c r="A31" s="138" t="s">
        <v>239</v>
      </c>
      <c r="B31" s="139" t="s">
        <v>240</v>
      </c>
      <c r="C31" s="139" t="s">
        <v>69</v>
      </c>
      <c r="D31" s="139" t="s">
        <v>241</v>
      </c>
      <c r="E31" s="139" t="s">
        <v>242</v>
      </c>
      <c r="F31" s="139" t="s">
        <v>243</v>
      </c>
      <c r="G31" s="139" t="s">
        <v>244</v>
      </c>
      <c r="H31" s="139" t="s">
        <v>245</v>
      </c>
      <c r="I31" s="139" t="s">
        <v>246</v>
      </c>
      <c r="J31" s="501" t="s">
        <v>247</v>
      </c>
      <c r="K31" s="506" t="s">
        <v>248</v>
      </c>
      <c r="L31" s="506" t="s">
        <v>249</v>
      </c>
      <c r="M31" s="507" t="s">
        <v>250</v>
      </c>
      <c r="N31" s="506" t="s">
        <v>251</v>
      </c>
      <c r="O31" s="507" t="s">
        <v>252</v>
      </c>
      <c r="P31" s="506" t="s">
        <v>115</v>
      </c>
      <c r="Q31" s="507" t="s">
        <v>253</v>
      </c>
      <c r="R31" s="508" t="s">
        <v>254</v>
      </c>
      <c r="S31" s="509" t="s">
        <v>255</v>
      </c>
      <c r="T31" s="506" t="s">
        <v>248</v>
      </c>
      <c r="U31" s="506" t="s">
        <v>249</v>
      </c>
      <c r="V31" s="507" t="s">
        <v>250</v>
      </c>
      <c r="W31" s="506" t="s">
        <v>251</v>
      </c>
      <c r="X31" s="507" t="s">
        <v>252</v>
      </c>
      <c r="Y31" s="506" t="s">
        <v>115</v>
      </c>
      <c r="Z31" s="507" t="s">
        <v>253</v>
      </c>
      <c r="AA31" s="508" t="s">
        <v>254</v>
      </c>
      <c r="AB31" s="509" t="s">
        <v>255</v>
      </c>
      <c r="AC31" s="506" t="s">
        <v>248</v>
      </c>
      <c r="AD31" s="506" t="s">
        <v>249</v>
      </c>
      <c r="AE31" s="507" t="s">
        <v>250</v>
      </c>
      <c r="AF31" s="506" t="s">
        <v>251</v>
      </c>
      <c r="AG31" s="507" t="s">
        <v>252</v>
      </c>
      <c r="AH31" s="506" t="s">
        <v>115</v>
      </c>
      <c r="AI31" s="507" t="s">
        <v>253</v>
      </c>
      <c r="AJ31" s="508" t="s">
        <v>254</v>
      </c>
      <c r="AK31" s="509" t="s">
        <v>255</v>
      </c>
      <c r="AL31" s="508" t="s">
        <v>256</v>
      </c>
      <c r="AM31" s="509" t="s">
        <v>257</v>
      </c>
      <c r="AN31" s="510"/>
    </row>
    <row r="32" spans="1:40">
      <c r="A32" s="2" t="s">
        <v>1026</v>
      </c>
      <c r="B32" s="2" t="s">
        <v>1027</v>
      </c>
      <c r="C32" s="235" t="s">
        <v>273</v>
      </c>
      <c r="D32" s="374" t="s">
        <v>276</v>
      </c>
      <c r="E32" s="374">
        <v>44013</v>
      </c>
      <c r="F32" s="374" t="s">
        <v>44</v>
      </c>
      <c r="G32" s="374" t="s">
        <v>44</v>
      </c>
      <c r="H32" s="374" t="s">
        <v>44</v>
      </c>
      <c r="I32" s="235" t="s">
        <v>44</v>
      </c>
      <c r="J32" s="512" t="s">
        <v>44</v>
      </c>
      <c r="K32" s="513">
        <v>47.100647000000002</v>
      </c>
      <c r="L32" s="514" t="s">
        <v>44</v>
      </c>
      <c r="M32" s="513">
        <v>0</v>
      </c>
      <c r="N32" s="513">
        <v>20.954066000000001</v>
      </c>
      <c r="O32" s="513">
        <f>M32+N32</f>
        <v>20.954066000000001</v>
      </c>
      <c r="P32" s="268">
        <f>O32/K32</f>
        <v>0.44487851727387101</v>
      </c>
      <c r="Q32" s="515">
        <v>-0.21</v>
      </c>
      <c r="R32" s="513">
        <v>0</v>
      </c>
      <c r="S32" s="515" t="s">
        <v>44</v>
      </c>
      <c r="T32" s="516">
        <v>47.100647000000002</v>
      </c>
      <c r="U32" s="514" t="s">
        <v>44</v>
      </c>
      <c r="V32" s="513">
        <v>0.27190399999999998</v>
      </c>
      <c r="W32" s="513">
        <v>3.4834450000000001</v>
      </c>
      <c r="X32" s="513">
        <f>V32+W32</f>
        <v>3.7553490000000003</v>
      </c>
      <c r="Y32" s="268">
        <f>X32/T32</f>
        <v>7.9730306040169688E-2</v>
      </c>
      <c r="Z32" s="515">
        <v>-0.44</v>
      </c>
      <c r="AA32" s="513">
        <f>X32-O32</f>
        <v>-17.198717000000002</v>
      </c>
      <c r="AB32" s="515">
        <f>IFERROR(X32/O32-1,0)</f>
        <v>-0.82078184730352577</v>
      </c>
      <c r="AC32" s="517"/>
      <c r="AD32" s="514"/>
      <c r="AE32" s="513"/>
      <c r="AF32" s="513"/>
      <c r="AG32" s="513"/>
      <c r="AH32" s="268"/>
      <c r="AI32" s="513"/>
      <c r="AJ32" s="513"/>
      <c r="AK32" s="515"/>
      <c r="AL32" s="513"/>
      <c r="AM32" s="515"/>
    </row>
    <row r="33" spans="1:39">
      <c r="A33" s="2" t="s">
        <v>1028</v>
      </c>
      <c r="B33" s="2" t="s">
        <v>1029</v>
      </c>
      <c r="C33" s="235" t="s">
        <v>260</v>
      </c>
      <c r="D33" s="374" t="s">
        <v>584</v>
      </c>
      <c r="E33" s="374">
        <v>44013</v>
      </c>
      <c r="F33" s="374" t="s">
        <v>44</v>
      </c>
      <c r="G33" s="374" t="s">
        <v>44</v>
      </c>
      <c r="H33" s="374" t="s">
        <v>44</v>
      </c>
      <c r="I33" s="235" t="s">
        <v>44</v>
      </c>
      <c r="J33" s="518" t="s">
        <v>44</v>
      </c>
      <c r="K33" s="513">
        <v>13.749998</v>
      </c>
      <c r="L33" s="514" t="s">
        <v>44</v>
      </c>
      <c r="M33" s="513">
        <v>0</v>
      </c>
      <c r="N33" s="513">
        <v>12.817743</v>
      </c>
      <c r="O33" s="513">
        <f>N33+M33</f>
        <v>12.817743</v>
      </c>
      <c r="P33" s="269">
        <f>O33/K33</f>
        <v>0.93219962650176391</v>
      </c>
      <c r="Q33" s="515">
        <v>-0.02</v>
      </c>
      <c r="R33" s="513">
        <v>0</v>
      </c>
      <c r="S33" s="515" t="s">
        <v>44</v>
      </c>
      <c r="T33" s="519">
        <v>13.749998</v>
      </c>
      <c r="U33" s="514" t="s">
        <v>44</v>
      </c>
      <c r="V33" s="513">
        <v>0</v>
      </c>
      <c r="W33" s="513">
        <v>12.817743</v>
      </c>
      <c r="X33" s="513">
        <f>W33+V33</f>
        <v>12.817743</v>
      </c>
      <c r="Y33" s="268">
        <f>X33/T33</f>
        <v>0.93219962650176391</v>
      </c>
      <c r="Z33" s="515">
        <v>-0.02</v>
      </c>
      <c r="AA33" s="513">
        <f t="shared" ref="AA33:AA79" si="0">X33-O33</f>
        <v>0</v>
      </c>
      <c r="AB33" s="515">
        <f t="shared" ref="AB33:AB79" si="1">IFERROR(X33/O33-1,0)</f>
        <v>0</v>
      </c>
      <c r="AC33" s="517"/>
      <c r="AD33" s="514"/>
      <c r="AE33" s="513"/>
      <c r="AF33" s="513"/>
      <c r="AG33" s="513"/>
      <c r="AH33" s="268"/>
      <c r="AI33" s="513"/>
      <c r="AJ33" s="513"/>
      <c r="AK33" s="515"/>
      <c r="AL33" s="513"/>
      <c r="AM33" s="515"/>
    </row>
    <row r="34" spans="1:39">
      <c r="A34" s="2" t="s">
        <v>1030</v>
      </c>
      <c r="B34" s="2" t="s">
        <v>1031</v>
      </c>
      <c r="C34" s="235" t="s">
        <v>260</v>
      </c>
      <c r="D34" s="374" t="s">
        <v>584</v>
      </c>
      <c r="E34" s="374">
        <v>44105</v>
      </c>
      <c r="F34" s="374" t="s">
        <v>44</v>
      </c>
      <c r="G34" s="374" t="s">
        <v>44</v>
      </c>
      <c r="H34" s="374" t="s">
        <v>44</v>
      </c>
      <c r="I34" s="235" t="s">
        <v>44</v>
      </c>
      <c r="J34" s="518" t="s">
        <v>44</v>
      </c>
      <c r="K34" s="513">
        <v>48.703879000000001</v>
      </c>
      <c r="L34" s="514" t="s">
        <v>44</v>
      </c>
      <c r="M34" s="513">
        <v>0</v>
      </c>
      <c r="N34" s="513">
        <v>26.976341000000001</v>
      </c>
      <c r="O34" s="513">
        <f t="shared" ref="O34:O79" si="2">N34+M34</f>
        <v>26.976341000000001</v>
      </c>
      <c r="P34" s="269">
        <f t="shared" ref="P34:P84" si="3">O34/K34</f>
        <v>0.55388485586538194</v>
      </c>
      <c r="Q34" s="515">
        <v>-0.17</v>
      </c>
      <c r="R34" s="513">
        <v>0</v>
      </c>
      <c r="S34" s="515" t="s">
        <v>44</v>
      </c>
      <c r="T34" s="519">
        <v>48.703879000000001</v>
      </c>
      <c r="U34" s="514" t="s">
        <v>44</v>
      </c>
      <c r="V34" s="513">
        <v>0</v>
      </c>
      <c r="W34" s="513">
        <v>26.976341000000001</v>
      </c>
      <c r="X34" s="513">
        <f t="shared" ref="X34:X79" si="4">W34+V34</f>
        <v>26.976341000000001</v>
      </c>
      <c r="Y34" s="268">
        <f t="shared" ref="Y34:Y79" si="5">X34/T34</f>
        <v>0.55388485586538194</v>
      </c>
      <c r="Z34" s="515">
        <v>-0.13</v>
      </c>
      <c r="AA34" s="513">
        <f t="shared" si="0"/>
        <v>0</v>
      </c>
      <c r="AB34" s="515">
        <f t="shared" si="1"/>
        <v>0</v>
      </c>
      <c r="AC34" s="517"/>
      <c r="AD34" s="514"/>
      <c r="AE34" s="513"/>
      <c r="AF34" s="513"/>
      <c r="AG34" s="513"/>
      <c r="AH34" s="268"/>
      <c r="AI34" s="513"/>
      <c r="AJ34" s="513"/>
      <c r="AK34" s="515"/>
      <c r="AL34" s="513"/>
      <c r="AM34" s="515"/>
    </row>
    <row r="35" spans="1:39">
      <c r="A35" s="2" t="s">
        <v>1032</v>
      </c>
      <c r="B35" s="2" t="s">
        <v>1033</v>
      </c>
      <c r="C35" s="235" t="s">
        <v>273</v>
      </c>
      <c r="D35" s="374" t="s">
        <v>276</v>
      </c>
      <c r="E35" s="374">
        <v>44105</v>
      </c>
      <c r="F35" s="374" t="s">
        <v>44</v>
      </c>
      <c r="G35" s="374" t="s">
        <v>44</v>
      </c>
      <c r="H35" s="374" t="s">
        <v>44</v>
      </c>
      <c r="I35" s="235" t="s">
        <v>44</v>
      </c>
      <c r="J35" s="518" t="s">
        <v>44</v>
      </c>
      <c r="K35" s="513">
        <v>42</v>
      </c>
      <c r="L35" s="514" t="s">
        <v>44</v>
      </c>
      <c r="M35" s="513">
        <v>0</v>
      </c>
      <c r="N35" s="513">
        <v>60.793878999999997</v>
      </c>
      <c r="O35" s="513">
        <f t="shared" si="2"/>
        <v>60.793878999999997</v>
      </c>
      <c r="P35" s="269">
        <f t="shared" si="3"/>
        <v>1.4474733095238095</v>
      </c>
      <c r="Q35" s="515">
        <v>0.13</v>
      </c>
      <c r="R35" s="513">
        <v>0</v>
      </c>
      <c r="S35" s="515" t="s">
        <v>44</v>
      </c>
      <c r="T35" s="519">
        <v>42</v>
      </c>
      <c r="U35" s="514" t="s">
        <v>44</v>
      </c>
      <c r="V35" s="513">
        <v>4.7406769999999998</v>
      </c>
      <c r="W35" s="513">
        <v>68.378795999999994</v>
      </c>
      <c r="X35" s="513">
        <f t="shared" si="4"/>
        <v>73.119472999999999</v>
      </c>
      <c r="Y35" s="268">
        <f t="shared" si="5"/>
        <v>1.7409398333333332</v>
      </c>
      <c r="Z35" s="515">
        <v>0.15</v>
      </c>
      <c r="AA35" s="513">
        <f t="shared" si="0"/>
        <v>12.325594000000002</v>
      </c>
      <c r="AB35" s="515">
        <f t="shared" si="1"/>
        <v>0.20274399664479392</v>
      </c>
      <c r="AC35" s="517"/>
      <c r="AD35" s="514"/>
      <c r="AE35" s="513"/>
      <c r="AF35" s="513"/>
      <c r="AG35" s="513"/>
      <c r="AH35" s="268"/>
      <c r="AI35" s="513"/>
      <c r="AJ35" s="513"/>
      <c r="AK35" s="515"/>
      <c r="AL35" s="513"/>
      <c r="AM35" s="515"/>
    </row>
    <row r="36" spans="1:39">
      <c r="A36" s="2" t="s">
        <v>1034</v>
      </c>
      <c r="B36" s="2" t="s">
        <v>1035</v>
      </c>
      <c r="C36" s="235" t="s">
        <v>112</v>
      </c>
      <c r="D36" s="374" t="s">
        <v>276</v>
      </c>
      <c r="E36" s="374">
        <v>44166</v>
      </c>
      <c r="F36" s="374" t="s">
        <v>44</v>
      </c>
      <c r="G36" s="374" t="s">
        <v>44</v>
      </c>
      <c r="H36" s="374" t="s">
        <v>44</v>
      </c>
      <c r="I36" s="235" t="s">
        <v>44</v>
      </c>
      <c r="J36" s="518" t="s">
        <v>44</v>
      </c>
      <c r="K36" s="513">
        <v>30</v>
      </c>
      <c r="L36" s="514" t="s">
        <v>44</v>
      </c>
      <c r="M36" s="513">
        <v>2.2208869999999998</v>
      </c>
      <c r="N36" s="513">
        <v>64.459875999999994</v>
      </c>
      <c r="O36" s="513">
        <f t="shared" si="2"/>
        <v>66.680762999999999</v>
      </c>
      <c r="P36" s="269">
        <f t="shared" si="3"/>
        <v>2.2226921000000002</v>
      </c>
      <c r="Q36" s="515">
        <v>0.31</v>
      </c>
      <c r="R36" s="513">
        <v>0</v>
      </c>
      <c r="S36" s="515" t="s">
        <v>44</v>
      </c>
      <c r="T36" s="519">
        <v>30</v>
      </c>
      <c r="U36" s="514" t="s">
        <v>44</v>
      </c>
      <c r="V36" s="513">
        <v>2.2208869999999998</v>
      </c>
      <c r="W36" s="513">
        <v>64.459875999999994</v>
      </c>
      <c r="X36" s="513">
        <f t="shared" si="4"/>
        <v>66.680762999999999</v>
      </c>
      <c r="Y36" s="268">
        <f t="shared" si="5"/>
        <v>2.2226921000000002</v>
      </c>
      <c r="Z36" s="515">
        <v>0.22</v>
      </c>
      <c r="AA36" s="513">
        <f t="shared" si="0"/>
        <v>0</v>
      </c>
      <c r="AB36" s="515">
        <f t="shared" si="1"/>
        <v>0</v>
      </c>
      <c r="AC36" s="517"/>
      <c r="AD36" s="514"/>
      <c r="AE36" s="513"/>
      <c r="AF36" s="513"/>
      <c r="AG36" s="513"/>
      <c r="AH36" s="268"/>
      <c r="AI36" s="513"/>
      <c r="AJ36" s="513"/>
      <c r="AK36" s="515"/>
      <c r="AL36" s="513"/>
      <c r="AM36" s="515"/>
    </row>
    <row r="37" spans="1:39">
      <c r="A37" s="2" t="s">
        <v>1036</v>
      </c>
      <c r="B37" s="2" t="s">
        <v>1037</v>
      </c>
      <c r="C37" s="235" t="s">
        <v>112</v>
      </c>
      <c r="D37" s="374" t="s">
        <v>276</v>
      </c>
      <c r="E37" s="374">
        <v>44197</v>
      </c>
      <c r="F37" s="374" t="s">
        <v>44</v>
      </c>
      <c r="G37" s="374" t="s">
        <v>44</v>
      </c>
      <c r="H37" s="374" t="s">
        <v>44</v>
      </c>
      <c r="I37" s="235" t="s">
        <v>44</v>
      </c>
      <c r="J37" s="518" t="s">
        <v>44</v>
      </c>
      <c r="K37" s="513">
        <v>20</v>
      </c>
      <c r="L37" s="514" t="s">
        <v>44</v>
      </c>
      <c r="M37" s="513">
        <v>8.1105009999999993</v>
      </c>
      <c r="N37" s="513">
        <v>0</v>
      </c>
      <c r="O37" s="513">
        <f t="shared" si="2"/>
        <v>8.1105009999999993</v>
      </c>
      <c r="P37" s="269">
        <f t="shared" si="3"/>
        <v>0.40552504999999994</v>
      </c>
      <c r="Q37" s="515" t="s">
        <v>44</v>
      </c>
      <c r="R37" s="513">
        <v>0</v>
      </c>
      <c r="S37" s="515" t="s">
        <v>44</v>
      </c>
      <c r="T37" s="519">
        <v>20</v>
      </c>
      <c r="U37" s="514" t="s">
        <v>44</v>
      </c>
      <c r="V37" s="513">
        <v>8.1105009999999993</v>
      </c>
      <c r="W37" s="513">
        <v>0</v>
      </c>
      <c r="X37" s="513">
        <f t="shared" si="4"/>
        <v>8.1105009999999993</v>
      </c>
      <c r="Y37" s="268">
        <f t="shared" si="5"/>
        <v>0.40552504999999994</v>
      </c>
      <c r="Z37" s="515" t="s">
        <v>44</v>
      </c>
      <c r="AA37" s="513">
        <f t="shared" si="0"/>
        <v>0</v>
      </c>
      <c r="AB37" s="515">
        <f t="shared" si="1"/>
        <v>0</v>
      </c>
      <c r="AC37" s="517"/>
      <c r="AD37" s="514"/>
      <c r="AE37" s="513"/>
      <c r="AF37" s="513"/>
      <c r="AG37" s="513"/>
      <c r="AH37" s="268"/>
      <c r="AI37" s="513"/>
      <c r="AJ37" s="513"/>
      <c r="AK37" s="515"/>
      <c r="AL37" s="513"/>
      <c r="AM37" s="515"/>
    </row>
    <row r="38" spans="1:39">
      <c r="A38" s="2" t="s">
        <v>1038</v>
      </c>
      <c r="B38" s="2" t="s">
        <v>1039</v>
      </c>
      <c r="C38" s="235" t="s">
        <v>112</v>
      </c>
      <c r="D38" s="374" t="s">
        <v>584</v>
      </c>
      <c r="E38" s="374">
        <v>44197</v>
      </c>
      <c r="F38" s="374" t="s">
        <v>44</v>
      </c>
      <c r="G38" s="374" t="s">
        <v>44</v>
      </c>
      <c r="H38" s="374" t="s">
        <v>44</v>
      </c>
      <c r="I38" s="235" t="s">
        <v>44</v>
      </c>
      <c r="J38" s="518" t="s">
        <v>44</v>
      </c>
      <c r="K38" s="513">
        <v>40</v>
      </c>
      <c r="L38" s="514" t="s">
        <v>44</v>
      </c>
      <c r="M38" s="513">
        <v>0</v>
      </c>
      <c r="N38" s="513">
        <v>72.331442999999993</v>
      </c>
      <c r="O38" s="513">
        <f t="shared" si="2"/>
        <v>72.331442999999993</v>
      </c>
      <c r="P38" s="269">
        <f t="shared" si="3"/>
        <v>1.8082860749999998</v>
      </c>
      <c r="Q38" s="515">
        <v>0.24</v>
      </c>
      <c r="R38" s="513">
        <v>0</v>
      </c>
      <c r="S38" s="515" t="s">
        <v>44</v>
      </c>
      <c r="T38" s="519">
        <v>40</v>
      </c>
      <c r="U38" s="514" t="s">
        <v>44</v>
      </c>
      <c r="V38" s="513">
        <v>0</v>
      </c>
      <c r="W38" s="513">
        <v>72.331442999999993</v>
      </c>
      <c r="X38" s="513">
        <f t="shared" si="4"/>
        <v>72.331442999999993</v>
      </c>
      <c r="Y38" s="268">
        <f t="shared" si="5"/>
        <v>1.8082860749999998</v>
      </c>
      <c r="Z38" s="515">
        <v>0.17</v>
      </c>
      <c r="AA38" s="513">
        <f t="shared" si="0"/>
        <v>0</v>
      </c>
      <c r="AB38" s="515">
        <f t="shared" si="1"/>
        <v>0</v>
      </c>
    </row>
    <row r="39" spans="1:39">
      <c r="A39" s="2" t="s">
        <v>1040</v>
      </c>
      <c r="B39" s="2" t="s">
        <v>1041</v>
      </c>
      <c r="C39" s="235" t="s">
        <v>260</v>
      </c>
      <c r="D39" s="374" t="s">
        <v>584</v>
      </c>
      <c r="E39" s="374">
        <v>44228</v>
      </c>
      <c r="F39" s="374" t="s">
        <v>44</v>
      </c>
      <c r="G39" s="374" t="s">
        <v>44</v>
      </c>
      <c r="H39" s="374" t="s">
        <v>44</v>
      </c>
      <c r="I39" s="235" t="s">
        <v>44</v>
      </c>
      <c r="J39" s="518" t="s">
        <v>44</v>
      </c>
      <c r="K39" s="513">
        <v>18.551148000000001</v>
      </c>
      <c r="L39" s="514" t="s">
        <v>44</v>
      </c>
      <c r="M39" s="513">
        <v>0</v>
      </c>
      <c r="N39" s="513">
        <v>21.40307</v>
      </c>
      <c r="O39" s="513">
        <f t="shared" si="2"/>
        <v>21.40307</v>
      </c>
      <c r="P39" s="269">
        <f t="shared" si="3"/>
        <v>1.1537329118392026</v>
      </c>
      <c r="Q39" s="515">
        <v>0.05</v>
      </c>
      <c r="R39" s="513">
        <v>0</v>
      </c>
      <c r="S39" s="515" t="s">
        <v>44</v>
      </c>
      <c r="T39" s="519">
        <v>18.551148000000001</v>
      </c>
      <c r="U39" s="514" t="s">
        <v>44</v>
      </c>
      <c r="V39" s="513">
        <v>0</v>
      </c>
      <c r="W39" s="513">
        <v>21.40307</v>
      </c>
      <c r="X39" s="513">
        <f t="shared" si="4"/>
        <v>21.40307</v>
      </c>
      <c r="Y39" s="268">
        <f t="shared" si="5"/>
        <v>1.1537329118392026</v>
      </c>
      <c r="Z39" s="515">
        <v>0.04</v>
      </c>
      <c r="AA39" s="513">
        <f t="shared" si="0"/>
        <v>0</v>
      </c>
      <c r="AB39" s="515">
        <f t="shared" si="1"/>
        <v>0</v>
      </c>
    </row>
    <row r="40" spans="1:39">
      <c r="A40" s="2" t="s">
        <v>1042</v>
      </c>
      <c r="B40" s="2" t="s">
        <v>1043</v>
      </c>
      <c r="C40" s="235" t="s">
        <v>273</v>
      </c>
      <c r="D40" s="374" t="s">
        <v>584</v>
      </c>
      <c r="E40" s="374">
        <v>44228</v>
      </c>
      <c r="F40" s="374" t="s">
        <v>44</v>
      </c>
      <c r="G40" s="374" t="s">
        <v>44</v>
      </c>
      <c r="H40" s="374" t="s">
        <v>44</v>
      </c>
      <c r="I40" s="235" t="s">
        <v>44</v>
      </c>
      <c r="J40" s="518" t="s">
        <v>44</v>
      </c>
      <c r="K40" s="513">
        <v>20</v>
      </c>
      <c r="L40" s="514" t="s">
        <v>44</v>
      </c>
      <c r="M40" s="513">
        <v>0</v>
      </c>
      <c r="N40" s="513">
        <v>6.6699489999999999</v>
      </c>
      <c r="O40" s="513">
        <f t="shared" si="2"/>
        <v>6.6699489999999999</v>
      </c>
      <c r="P40" s="269">
        <f t="shared" si="3"/>
        <v>0.33349744999999997</v>
      </c>
      <c r="Q40" s="515">
        <v>-0.32</v>
      </c>
      <c r="R40" s="513">
        <v>0</v>
      </c>
      <c r="S40" s="515" t="s">
        <v>44</v>
      </c>
      <c r="T40" s="519">
        <v>20</v>
      </c>
      <c r="U40" s="514" t="s">
        <v>44</v>
      </c>
      <c r="V40" s="513">
        <v>0</v>
      </c>
      <c r="W40" s="513">
        <v>6.6699489999999999</v>
      </c>
      <c r="X40" s="513">
        <f t="shared" si="4"/>
        <v>6.6699489999999999</v>
      </c>
      <c r="Y40" s="268">
        <f t="shared" si="5"/>
        <v>0.33349744999999997</v>
      </c>
      <c r="Z40" s="515">
        <v>-0.25</v>
      </c>
      <c r="AA40" s="513">
        <f t="shared" si="0"/>
        <v>0</v>
      </c>
      <c r="AB40" s="515">
        <f t="shared" si="1"/>
        <v>0</v>
      </c>
    </row>
    <row r="41" spans="1:39">
      <c r="A41" s="2" t="s">
        <v>1044</v>
      </c>
      <c r="B41" s="2" t="s">
        <v>1045</v>
      </c>
      <c r="C41" s="235" t="s">
        <v>636</v>
      </c>
      <c r="D41" s="374" t="s">
        <v>584</v>
      </c>
      <c r="E41" s="374">
        <v>44228</v>
      </c>
      <c r="F41" s="374" t="s">
        <v>44</v>
      </c>
      <c r="G41" s="374" t="s">
        <v>44</v>
      </c>
      <c r="H41" s="374" t="s">
        <v>44</v>
      </c>
      <c r="I41" s="235" t="s">
        <v>44</v>
      </c>
      <c r="J41" s="518" t="s">
        <v>44</v>
      </c>
      <c r="K41" s="513">
        <v>25</v>
      </c>
      <c r="L41" s="514" t="s">
        <v>44</v>
      </c>
      <c r="M41" s="513">
        <v>0</v>
      </c>
      <c r="N41" s="513">
        <v>17.947931000000001</v>
      </c>
      <c r="O41" s="513">
        <f t="shared" si="2"/>
        <v>17.947931000000001</v>
      </c>
      <c r="P41" s="269">
        <f t="shared" si="3"/>
        <v>0.71791724000000001</v>
      </c>
      <c r="Q41" s="515">
        <v>-0.11</v>
      </c>
      <c r="R41" s="513">
        <v>0</v>
      </c>
      <c r="S41" s="515" t="s">
        <v>44</v>
      </c>
      <c r="T41" s="519">
        <v>25</v>
      </c>
      <c r="U41" s="514" t="s">
        <v>44</v>
      </c>
      <c r="V41" s="513">
        <v>0</v>
      </c>
      <c r="W41" s="513">
        <v>11.575594000000001</v>
      </c>
      <c r="X41" s="513">
        <f t="shared" si="4"/>
        <v>11.575594000000001</v>
      </c>
      <c r="Y41" s="268">
        <f t="shared" si="5"/>
        <v>0.46302376000000001</v>
      </c>
      <c r="Z41" s="515">
        <v>-0.19</v>
      </c>
      <c r="AA41" s="513">
        <f t="shared" si="0"/>
        <v>-6.3723369999999999</v>
      </c>
      <c r="AB41" s="515">
        <f t="shared" si="1"/>
        <v>-0.3550457710139403</v>
      </c>
    </row>
    <row r="42" spans="1:39" s="367" customFormat="1">
      <c r="A42" s="2" t="s">
        <v>1046</v>
      </c>
      <c r="B42" s="2" t="s">
        <v>1047</v>
      </c>
      <c r="C42" s="235" t="s">
        <v>636</v>
      </c>
      <c r="D42" s="374" t="s">
        <v>276</v>
      </c>
      <c r="E42" s="374">
        <v>44228</v>
      </c>
      <c r="F42" s="374" t="s">
        <v>44</v>
      </c>
      <c r="G42" s="374" t="s">
        <v>44</v>
      </c>
      <c r="H42" s="374" t="s">
        <v>44</v>
      </c>
      <c r="I42" s="235" t="s">
        <v>44</v>
      </c>
      <c r="J42" s="518" t="s">
        <v>44</v>
      </c>
      <c r="K42" s="513">
        <v>50.090291999999998</v>
      </c>
      <c r="L42" s="514" t="s">
        <v>44</v>
      </c>
      <c r="M42" s="513">
        <v>0</v>
      </c>
      <c r="N42" s="513">
        <v>75.795580000000001</v>
      </c>
      <c r="O42" s="513">
        <f t="shared" si="2"/>
        <v>75.795580000000001</v>
      </c>
      <c r="P42" s="269">
        <f t="shared" si="3"/>
        <v>1.5131790407610322</v>
      </c>
      <c r="Q42" s="515">
        <v>0.15</v>
      </c>
      <c r="R42" s="513">
        <v>0</v>
      </c>
      <c r="S42" s="515" t="s">
        <v>44</v>
      </c>
      <c r="T42" s="519">
        <v>60.760312999999996</v>
      </c>
      <c r="U42" s="514" t="s">
        <v>44</v>
      </c>
      <c r="V42" s="513">
        <v>3.7332719999999999</v>
      </c>
      <c r="W42" s="513">
        <v>27.423947999999999</v>
      </c>
      <c r="X42" s="513">
        <f t="shared" si="4"/>
        <v>31.157219999999999</v>
      </c>
      <c r="Y42" s="268">
        <f t="shared" si="5"/>
        <v>0.51278899764719776</v>
      </c>
      <c r="Z42" s="515">
        <v>-0.17</v>
      </c>
      <c r="AA42" s="513">
        <f t="shared" si="0"/>
        <v>-44.638360000000006</v>
      </c>
      <c r="AB42" s="515">
        <f t="shared" si="1"/>
        <v>-0.58893091127477359</v>
      </c>
      <c r="AC42" s="580"/>
      <c r="AD42" s="2"/>
      <c r="AE42" s="2"/>
      <c r="AF42" s="2"/>
      <c r="AG42" s="2"/>
      <c r="AH42" s="2"/>
      <c r="AI42" s="2"/>
      <c r="AJ42" s="2"/>
      <c r="AK42" s="2"/>
      <c r="AL42" s="2"/>
      <c r="AM42" s="2"/>
    </row>
    <row r="43" spans="1:39" s="367" customFormat="1">
      <c r="A43" s="2" t="s">
        <v>1048</v>
      </c>
      <c r="B43" s="2" t="s">
        <v>1049</v>
      </c>
      <c r="C43" s="235" t="s">
        <v>636</v>
      </c>
      <c r="D43" s="374" t="s">
        <v>584</v>
      </c>
      <c r="E43" s="374">
        <v>44228</v>
      </c>
      <c r="F43" s="374" t="s">
        <v>44</v>
      </c>
      <c r="G43" s="374" t="s">
        <v>44</v>
      </c>
      <c r="H43" s="374" t="s">
        <v>44</v>
      </c>
      <c r="I43" s="235" t="s">
        <v>44</v>
      </c>
      <c r="J43" s="518" t="s">
        <v>44</v>
      </c>
      <c r="K43" s="554"/>
      <c r="L43" s="555"/>
      <c r="M43" s="554"/>
      <c r="N43" s="554"/>
      <c r="O43" s="554"/>
      <c r="P43" s="556"/>
      <c r="Q43" s="555"/>
      <c r="R43" s="554"/>
      <c r="S43" s="555"/>
      <c r="T43" s="519">
        <v>4.4003220000000001</v>
      </c>
      <c r="U43" s="514" t="s">
        <v>44</v>
      </c>
      <c r="V43" s="513">
        <v>0</v>
      </c>
      <c r="W43" s="513">
        <v>9.6499790000000001</v>
      </c>
      <c r="X43" s="513">
        <f t="shared" si="4"/>
        <v>9.6499790000000001</v>
      </c>
      <c r="Y43" s="268">
        <f t="shared" si="5"/>
        <v>2.1930165565156368</v>
      </c>
      <c r="Z43" s="515">
        <v>0.22</v>
      </c>
      <c r="AA43" s="513">
        <f t="shared" si="0"/>
        <v>9.6499790000000001</v>
      </c>
      <c r="AB43" s="515">
        <f t="shared" si="1"/>
        <v>0</v>
      </c>
      <c r="AC43" s="580"/>
      <c r="AD43" s="2"/>
      <c r="AE43" s="2"/>
      <c r="AF43" s="2"/>
      <c r="AG43" s="2"/>
      <c r="AH43" s="2"/>
      <c r="AI43" s="2"/>
      <c r="AJ43" s="2"/>
      <c r="AK43" s="2"/>
      <c r="AL43" s="2"/>
      <c r="AM43" s="2"/>
    </row>
    <row r="44" spans="1:39" s="367" customFormat="1">
      <c r="A44" s="2" t="s">
        <v>1050</v>
      </c>
      <c r="B44" s="2" t="s">
        <v>1051</v>
      </c>
      <c r="C44" s="235" t="s">
        <v>636</v>
      </c>
      <c r="D44" s="374" t="s">
        <v>584</v>
      </c>
      <c r="E44" s="374">
        <v>44531</v>
      </c>
      <c r="F44" s="374" t="s">
        <v>44</v>
      </c>
      <c r="G44" s="374" t="s">
        <v>44</v>
      </c>
      <c r="H44" s="374" t="s">
        <v>44</v>
      </c>
      <c r="I44" s="235" t="s">
        <v>44</v>
      </c>
      <c r="J44" s="518" t="s">
        <v>44</v>
      </c>
      <c r="K44" s="513">
        <v>15.037678</v>
      </c>
      <c r="L44" s="514" t="s">
        <v>44</v>
      </c>
      <c r="M44" s="513">
        <v>0</v>
      </c>
      <c r="N44" s="513">
        <v>15.022504</v>
      </c>
      <c r="O44" s="513">
        <f t="shared" si="2"/>
        <v>15.022504</v>
      </c>
      <c r="P44" s="269">
        <f t="shared" si="3"/>
        <v>0.99899093463764821</v>
      </c>
      <c r="Q44" s="515" t="s">
        <v>44</v>
      </c>
      <c r="R44" s="513">
        <v>0</v>
      </c>
      <c r="S44" s="515" t="s">
        <v>44</v>
      </c>
      <c r="T44" s="557">
        <v>6.3765000000000002E-2</v>
      </c>
      <c r="U44" s="555" t="s">
        <v>44</v>
      </c>
      <c r="V44" s="554">
        <v>0</v>
      </c>
      <c r="W44" s="554">
        <v>0</v>
      </c>
      <c r="X44" s="554">
        <f t="shared" si="4"/>
        <v>0</v>
      </c>
      <c r="Y44" s="558">
        <f t="shared" si="5"/>
        <v>0</v>
      </c>
      <c r="Z44" s="555" t="s">
        <v>44</v>
      </c>
      <c r="AA44" s="554">
        <f t="shared" si="0"/>
        <v>-15.022504</v>
      </c>
      <c r="AB44" s="555">
        <f t="shared" si="1"/>
        <v>-1</v>
      </c>
      <c r="AC44" s="580"/>
      <c r="AD44" s="2"/>
      <c r="AE44" s="2"/>
      <c r="AF44" s="2"/>
      <c r="AG44" s="2"/>
      <c r="AH44" s="2"/>
      <c r="AI44" s="2"/>
      <c r="AJ44" s="2"/>
      <c r="AK44" s="2"/>
      <c r="AL44" s="2"/>
      <c r="AM44" s="2"/>
    </row>
    <row r="45" spans="1:39" s="367" customFormat="1">
      <c r="A45" s="2" t="s">
        <v>1052</v>
      </c>
      <c r="B45" s="2" t="s">
        <v>1053</v>
      </c>
      <c r="C45" s="235" t="s">
        <v>636</v>
      </c>
      <c r="D45" s="374" t="s">
        <v>276</v>
      </c>
      <c r="E45" s="374">
        <v>44228</v>
      </c>
      <c r="F45" s="374" t="s">
        <v>44</v>
      </c>
      <c r="G45" s="374" t="s">
        <v>44</v>
      </c>
      <c r="H45" s="374" t="s">
        <v>44</v>
      </c>
      <c r="I45" s="235" t="s">
        <v>44</v>
      </c>
      <c r="J45" s="518" t="s">
        <v>44</v>
      </c>
      <c r="K45" s="513">
        <v>40</v>
      </c>
      <c r="L45" s="514" t="s">
        <v>44</v>
      </c>
      <c r="M45" s="513">
        <v>0</v>
      </c>
      <c r="N45" s="513">
        <v>40</v>
      </c>
      <c r="O45" s="513">
        <f t="shared" si="2"/>
        <v>40</v>
      </c>
      <c r="P45" s="269">
        <f t="shared" si="3"/>
        <v>1</v>
      </c>
      <c r="Q45" s="515" t="s">
        <v>44</v>
      </c>
      <c r="R45" s="513">
        <v>0</v>
      </c>
      <c r="S45" s="515" t="s">
        <v>44</v>
      </c>
      <c r="T45" s="519">
        <v>40</v>
      </c>
      <c r="U45" s="514" t="s">
        <v>44</v>
      </c>
      <c r="V45" s="513">
        <v>15.2</v>
      </c>
      <c r="W45" s="513">
        <v>28.941120000000002</v>
      </c>
      <c r="X45" s="513">
        <f t="shared" si="4"/>
        <v>44.141120000000001</v>
      </c>
      <c r="Y45" s="268">
        <f t="shared" si="5"/>
        <v>1.1035280000000001</v>
      </c>
      <c r="Z45" s="515">
        <v>0.03</v>
      </c>
      <c r="AA45" s="513">
        <f t="shared" si="0"/>
        <v>4.1411200000000008</v>
      </c>
      <c r="AB45" s="515">
        <f t="shared" si="1"/>
        <v>0.10352800000000006</v>
      </c>
      <c r="AD45" s="2"/>
      <c r="AE45" s="2"/>
      <c r="AF45" s="2"/>
      <c r="AG45" s="2"/>
      <c r="AH45" s="2"/>
      <c r="AI45" s="2"/>
      <c r="AJ45" s="2"/>
      <c r="AK45" s="2"/>
      <c r="AL45" s="2"/>
      <c r="AM45" s="2"/>
    </row>
    <row r="46" spans="1:39" s="367" customFormat="1">
      <c r="A46" s="2" t="s">
        <v>1054</v>
      </c>
      <c r="B46" s="2" t="s">
        <v>1055</v>
      </c>
      <c r="C46" s="235" t="s">
        <v>112</v>
      </c>
      <c r="D46" s="374" t="s">
        <v>584</v>
      </c>
      <c r="E46" s="374">
        <v>44228</v>
      </c>
      <c r="F46" s="374" t="s">
        <v>44</v>
      </c>
      <c r="G46" s="374" t="s">
        <v>44</v>
      </c>
      <c r="H46" s="374" t="s">
        <v>44</v>
      </c>
      <c r="I46" s="235" t="s">
        <v>44</v>
      </c>
      <c r="J46" s="518" t="s">
        <v>44</v>
      </c>
      <c r="K46" s="513">
        <v>5.1845030000000003</v>
      </c>
      <c r="L46" s="514" t="s">
        <v>44</v>
      </c>
      <c r="M46" s="513">
        <v>0</v>
      </c>
      <c r="N46" s="513">
        <v>0</v>
      </c>
      <c r="O46" s="513">
        <f t="shared" si="2"/>
        <v>0</v>
      </c>
      <c r="P46" s="269">
        <f t="shared" si="3"/>
        <v>0</v>
      </c>
      <c r="Q46" s="515" t="s">
        <v>44</v>
      </c>
      <c r="R46" s="513">
        <v>0</v>
      </c>
      <c r="S46" s="515" t="s">
        <v>44</v>
      </c>
      <c r="T46" s="519">
        <v>5.1845030000000003</v>
      </c>
      <c r="U46" s="514" t="s">
        <v>44</v>
      </c>
      <c r="V46" s="513">
        <v>0</v>
      </c>
      <c r="W46" s="513">
        <v>0</v>
      </c>
      <c r="X46" s="513">
        <f t="shared" si="4"/>
        <v>0</v>
      </c>
      <c r="Y46" s="268">
        <f t="shared" si="5"/>
        <v>0</v>
      </c>
      <c r="Z46" s="515" t="s">
        <v>44</v>
      </c>
      <c r="AA46" s="513">
        <f t="shared" si="0"/>
        <v>0</v>
      </c>
      <c r="AB46" s="515">
        <f t="shared" si="1"/>
        <v>0</v>
      </c>
      <c r="AD46" s="2"/>
      <c r="AE46" s="2"/>
      <c r="AF46" s="2"/>
      <c r="AG46" s="2"/>
      <c r="AH46" s="2"/>
      <c r="AI46" s="2"/>
      <c r="AJ46" s="2"/>
      <c r="AK46" s="2"/>
      <c r="AL46" s="2"/>
      <c r="AM46" s="2"/>
    </row>
    <row r="47" spans="1:39" s="367" customFormat="1">
      <c r="A47" s="2" t="s">
        <v>1056</v>
      </c>
      <c r="B47" s="2" t="s">
        <v>1057</v>
      </c>
      <c r="C47" s="235" t="s">
        <v>636</v>
      </c>
      <c r="D47" s="374" t="s">
        <v>584</v>
      </c>
      <c r="E47" s="374">
        <v>44256</v>
      </c>
      <c r="F47" s="374" t="s">
        <v>44</v>
      </c>
      <c r="G47" s="374" t="s">
        <v>44</v>
      </c>
      <c r="H47" s="374" t="s">
        <v>44</v>
      </c>
      <c r="I47" s="235" t="s">
        <v>44</v>
      </c>
      <c r="J47" s="518" t="s">
        <v>44</v>
      </c>
      <c r="K47" s="513">
        <v>35.09892</v>
      </c>
      <c r="L47" s="514" t="s">
        <v>44</v>
      </c>
      <c r="M47" s="513">
        <v>0</v>
      </c>
      <c r="N47" s="513">
        <v>17.131633999999998</v>
      </c>
      <c r="O47" s="513">
        <f t="shared" si="2"/>
        <v>17.131633999999998</v>
      </c>
      <c r="P47" s="269">
        <f t="shared" si="3"/>
        <v>0.48809575907178904</v>
      </c>
      <c r="Q47" s="515">
        <v>-0.15</v>
      </c>
      <c r="R47" s="513">
        <v>0</v>
      </c>
      <c r="S47" s="515" t="s">
        <v>44</v>
      </c>
      <c r="T47" s="519">
        <v>35.09892</v>
      </c>
      <c r="U47" s="514" t="s">
        <v>44</v>
      </c>
      <c r="V47" s="513">
        <v>0</v>
      </c>
      <c r="W47" s="513">
        <v>20.294647999999999</v>
      </c>
      <c r="X47" s="513">
        <f t="shared" si="4"/>
        <v>20.294647999999999</v>
      </c>
      <c r="Y47" s="268">
        <f t="shared" si="5"/>
        <v>0.57821289088097294</v>
      </c>
      <c r="Z47" s="515">
        <v>-0.14000000000000001</v>
      </c>
      <c r="AA47" s="513">
        <f t="shared" si="0"/>
        <v>3.1630140000000004</v>
      </c>
      <c r="AB47" s="515">
        <f t="shared" si="1"/>
        <v>0.18463002419967656</v>
      </c>
      <c r="AD47" s="2"/>
      <c r="AE47" s="2"/>
      <c r="AF47" s="2"/>
      <c r="AG47" s="2"/>
      <c r="AH47" s="2"/>
      <c r="AI47" s="2"/>
      <c r="AJ47" s="2"/>
      <c r="AK47" s="2"/>
      <c r="AL47" s="2"/>
      <c r="AM47" s="2"/>
    </row>
    <row r="48" spans="1:39" s="367" customFormat="1">
      <c r="A48" s="2" t="s">
        <v>1058</v>
      </c>
      <c r="B48" s="2" t="s">
        <v>1059</v>
      </c>
      <c r="C48" s="235" t="s">
        <v>260</v>
      </c>
      <c r="D48" s="374" t="s">
        <v>276</v>
      </c>
      <c r="E48" s="374">
        <v>44105</v>
      </c>
      <c r="F48" s="374" t="s">
        <v>44</v>
      </c>
      <c r="G48" s="374" t="s">
        <v>44</v>
      </c>
      <c r="H48" s="374" t="s">
        <v>44</v>
      </c>
      <c r="I48" s="235" t="s">
        <v>44</v>
      </c>
      <c r="J48" s="518" t="s">
        <v>44</v>
      </c>
      <c r="K48" s="513">
        <v>31.295506</v>
      </c>
      <c r="L48" s="514" t="s">
        <v>44</v>
      </c>
      <c r="M48" s="513">
        <v>0</v>
      </c>
      <c r="N48" s="513">
        <v>17.131633999999998</v>
      </c>
      <c r="O48" s="513">
        <f t="shared" si="2"/>
        <v>17.131633999999998</v>
      </c>
      <c r="P48" s="269">
        <f t="shared" si="3"/>
        <v>0.54741514644307077</v>
      </c>
      <c r="Q48" s="515">
        <v>-0.19</v>
      </c>
      <c r="R48" s="513">
        <v>0</v>
      </c>
      <c r="S48" s="515" t="s">
        <v>44</v>
      </c>
      <c r="T48" s="519">
        <v>31.295506</v>
      </c>
      <c r="U48" s="514" t="s">
        <v>44</v>
      </c>
      <c r="V48" s="513">
        <v>0.173098</v>
      </c>
      <c r="W48" s="513">
        <v>9.4812969999999996</v>
      </c>
      <c r="X48" s="513">
        <f t="shared" si="4"/>
        <v>9.6543949999999992</v>
      </c>
      <c r="Y48" s="268">
        <f t="shared" si="5"/>
        <v>0.3084914172661084</v>
      </c>
      <c r="Z48" s="515">
        <v>-0.26</v>
      </c>
      <c r="AA48" s="513">
        <f t="shared" si="0"/>
        <v>-7.4772389999999991</v>
      </c>
      <c r="AB48" s="515">
        <f t="shared" si="1"/>
        <v>-0.43645801678929164</v>
      </c>
      <c r="AD48" s="2"/>
      <c r="AE48" s="2"/>
      <c r="AF48" s="2"/>
      <c r="AG48" s="2"/>
      <c r="AH48" s="2"/>
      <c r="AI48" s="2"/>
      <c r="AJ48" s="2"/>
      <c r="AK48" s="2"/>
      <c r="AL48" s="2"/>
      <c r="AM48" s="2"/>
    </row>
    <row r="49" spans="1:39" s="367" customFormat="1">
      <c r="A49" s="2" t="s">
        <v>1060</v>
      </c>
      <c r="B49" s="2" t="s">
        <v>1061</v>
      </c>
      <c r="C49" s="235" t="s">
        <v>636</v>
      </c>
      <c r="D49" s="374" t="s">
        <v>276</v>
      </c>
      <c r="E49" s="374">
        <v>44256</v>
      </c>
      <c r="F49" s="374" t="s">
        <v>44</v>
      </c>
      <c r="G49" s="374" t="s">
        <v>44</v>
      </c>
      <c r="H49" s="374" t="s">
        <v>44</v>
      </c>
      <c r="I49" s="235" t="s">
        <v>44</v>
      </c>
      <c r="J49" s="518" t="s">
        <v>44</v>
      </c>
      <c r="K49" s="513">
        <v>36.889127000000002</v>
      </c>
      <c r="L49" s="514" t="s">
        <v>44</v>
      </c>
      <c r="M49" s="513">
        <v>0</v>
      </c>
      <c r="N49" s="513">
        <v>43.334350999999998</v>
      </c>
      <c r="O49" s="513">
        <f t="shared" si="2"/>
        <v>43.334350999999998</v>
      </c>
      <c r="P49" s="269">
        <f t="shared" si="3"/>
        <v>1.1747187999325654</v>
      </c>
      <c r="Q49" s="515">
        <v>0.06</v>
      </c>
      <c r="R49" s="513">
        <v>0</v>
      </c>
      <c r="S49" s="515" t="s">
        <v>44</v>
      </c>
      <c r="T49" s="519">
        <v>36.889127000000002</v>
      </c>
      <c r="U49" s="514" t="s">
        <v>44</v>
      </c>
      <c r="V49" s="513">
        <v>7.1263160000000001</v>
      </c>
      <c r="W49" s="513">
        <v>7.7698549999999997</v>
      </c>
      <c r="X49" s="513">
        <f t="shared" si="4"/>
        <v>14.896170999999999</v>
      </c>
      <c r="Y49" s="268">
        <f t="shared" si="5"/>
        <v>0.40380925794204886</v>
      </c>
      <c r="Z49" s="515">
        <v>0.01</v>
      </c>
      <c r="AA49" s="513">
        <f t="shared" si="0"/>
        <v>-28.438179999999999</v>
      </c>
      <c r="AB49" s="515">
        <f t="shared" si="1"/>
        <v>-0.6562502805222582</v>
      </c>
      <c r="AD49" s="2"/>
      <c r="AE49" s="2"/>
      <c r="AF49" s="2"/>
      <c r="AG49" s="2"/>
      <c r="AH49" s="2"/>
      <c r="AI49" s="2"/>
      <c r="AJ49" s="2"/>
      <c r="AK49" s="2"/>
      <c r="AL49" s="2"/>
      <c r="AM49" s="2"/>
    </row>
    <row r="50" spans="1:39" s="367" customFormat="1">
      <c r="A50" s="2" t="s">
        <v>1062</v>
      </c>
      <c r="B50" s="2" t="s">
        <v>1063</v>
      </c>
      <c r="C50" s="235" t="s">
        <v>112</v>
      </c>
      <c r="D50" s="374" t="s">
        <v>276</v>
      </c>
      <c r="E50" s="374">
        <v>44256</v>
      </c>
      <c r="F50" s="374">
        <v>44348</v>
      </c>
      <c r="G50" s="374" t="s">
        <v>1064</v>
      </c>
      <c r="H50" s="374" t="s">
        <v>44</v>
      </c>
      <c r="I50" s="235" t="s">
        <v>44</v>
      </c>
      <c r="J50" s="518" t="s">
        <v>44</v>
      </c>
      <c r="K50" s="513">
        <v>10</v>
      </c>
      <c r="L50" s="514" t="s">
        <v>44</v>
      </c>
      <c r="M50" s="513">
        <v>0.150117</v>
      </c>
      <c r="N50" s="513">
        <v>15.58405</v>
      </c>
      <c r="O50" s="513">
        <f t="shared" si="2"/>
        <v>15.734166999999999</v>
      </c>
      <c r="P50" s="269">
        <f t="shared" si="3"/>
        <v>1.5734166999999999</v>
      </c>
      <c r="Q50" s="515">
        <v>0.17</v>
      </c>
      <c r="R50" s="513">
        <v>0</v>
      </c>
      <c r="S50" s="515" t="s">
        <v>44</v>
      </c>
      <c r="T50" s="519">
        <v>10</v>
      </c>
      <c r="U50" s="514" t="s">
        <v>44</v>
      </c>
      <c r="V50" s="513">
        <v>7.1263160000000001</v>
      </c>
      <c r="W50" s="513">
        <v>7.7698549999999997</v>
      </c>
      <c r="X50" s="513">
        <f t="shared" si="4"/>
        <v>14.896170999999999</v>
      </c>
      <c r="Y50" s="268">
        <f t="shared" si="5"/>
        <v>1.4896170999999998</v>
      </c>
      <c r="Z50" s="515">
        <v>0.11</v>
      </c>
      <c r="AA50" s="513">
        <f t="shared" si="0"/>
        <v>-0.83799600000000041</v>
      </c>
      <c r="AB50" s="515">
        <f t="shared" si="1"/>
        <v>-5.3259635543464134E-2</v>
      </c>
      <c r="AD50" s="2"/>
      <c r="AE50" s="2"/>
      <c r="AF50" s="2"/>
      <c r="AG50" s="2"/>
      <c r="AH50" s="2"/>
      <c r="AI50" s="2"/>
      <c r="AJ50" s="2"/>
      <c r="AK50" s="2"/>
      <c r="AL50" s="2"/>
      <c r="AM50" s="2"/>
    </row>
    <row r="51" spans="1:39" s="367" customFormat="1">
      <c r="A51" s="2" t="s">
        <v>1065</v>
      </c>
      <c r="B51" s="2" t="s">
        <v>1066</v>
      </c>
      <c r="C51" s="235" t="s">
        <v>273</v>
      </c>
      <c r="D51" s="374" t="s">
        <v>584</v>
      </c>
      <c r="E51" s="374">
        <v>44256</v>
      </c>
      <c r="F51" s="374" t="s">
        <v>44</v>
      </c>
      <c r="G51" s="374" t="s">
        <v>44</v>
      </c>
      <c r="H51" s="374" t="s">
        <v>44</v>
      </c>
      <c r="I51" s="235" t="s">
        <v>44</v>
      </c>
      <c r="J51" s="518" t="s">
        <v>44</v>
      </c>
      <c r="K51" s="513">
        <v>11.472099999999999</v>
      </c>
      <c r="L51" s="514" t="s">
        <v>44</v>
      </c>
      <c r="M51" s="513">
        <v>0</v>
      </c>
      <c r="N51" s="513">
        <v>0</v>
      </c>
      <c r="O51" s="513">
        <f t="shared" si="2"/>
        <v>0</v>
      </c>
      <c r="P51" s="269">
        <f t="shared" si="3"/>
        <v>0</v>
      </c>
      <c r="Q51" s="515" t="s">
        <v>44</v>
      </c>
      <c r="R51" s="513">
        <v>0</v>
      </c>
      <c r="S51" s="515" t="s">
        <v>44</v>
      </c>
      <c r="T51" s="519">
        <v>11.472099999999999</v>
      </c>
      <c r="U51" s="514" t="s">
        <v>44</v>
      </c>
      <c r="V51" s="513">
        <v>0</v>
      </c>
      <c r="W51" s="513">
        <v>0</v>
      </c>
      <c r="X51" s="513">
        <f t="shared" si="4"/>
        <v>0</v>
      </c>
      <c r="Y51" s="268">
        <f t="shared" si="5"/>
        <v>0</v>
      </c>
      <c r="Z51" s="515" t="s">
        <v>44</v>
      </c>
      <c r="AA51" s="513">
        <f t="shared" si="0"/>
        <v>0</v>
      </c>
      <c r="AB51" s="515">
        <f t="shared" si="1"/>
        <v>0</v>
      </c>
      <c r="AD51" s="2"/>
      <c r="AE51" s="2"/>
      <c r="AF51" s="2"/>
      <c r="AG51" s="2"/>
      <c r="AH51" s="2"/>
      <c r="AI51" s="2"/>
      <c r="AJ51" s="2"/>
      <c r="AK51" s="2"/>
      <c r="AL51" s="2"/>
      <c r="AM51" s="2"/>
    </row>
    <row r="52" spans="1:39" s="367" customFormat="1">
      <c r="A52" s="2" t="s">
        <v>1067</v>
      </c>
      <c r="B52" s="2" t="s">
        <v>1068</v>
      </c>
      <c r="C52" s="235" t="s">
        <v>636</v>
      </c>
      <c r="D52" s="374" t="s">
        <v>584</v>
      </c>
      <c r="E52" s="374">
        <v>44256</v>
      </c>
      <c r="F52" s="374" t="s">
        <v>44</v>
      </c>
      <c r="G52" s="374" t="s">
        <v>44</v>
      </c>
      <c r="H52" s="374" t="s">
        <v>44</v>
      </c>
      <c r="I52" s="235" t="s">
        <v>44</v>
      </c>
      <c r="J52" s="518" t="s">
        <v>44</v>
      </c>
      <c r="K52" s="513">
        <v>18.482296000000002</v>
      </c>
      <c r="L52" s="514" t="s">
        <v>44</v>
      </c>
      <c r="M52" s="513">
        <v>0</v>
      </c>
      <c r="N52" s="513">
        <v>0</v>
      </c>
      <c r="O52" s="513">
        <f t="shared" si="2"/>
        <v>0</v>
      </c>
      <c r="P52" s="269">
        <f t="shared" si="3"/>
        <v>0</v>
      </c>
      <c r="Q52" s="515" t="s">
        <v>44</v>
      </c>
      <c r="R52" s="513">
        <v>0</v>
      </c>
      <c r="S52" s="515" t="s">
        <v>44</v>
      </c>
      <c r="T52" s="519">
        <v>18.482296000000002</v>
      </c>
      <c r="U52" s="514" t="s">
        <v>44</v>
      </c>
      <c r="V52" s="513">
        <v>0</v>
      </c>
      <c r="W52" s="513">
        <v>0</v>
      </c>
      <c r="X52" s="513">
        <f t="shared" si="4"/>
        <v>0</v>
      </c>
      <c r="Y52" s="268">
        <f t="shared" si="5"/>
        <v>0</v>
      </c>
      <c r="Z52" s="515" t="s">
        <v>44</v>
      </c>
      <c r="AA52" s="513">
        <f t="shared" si="0"/>
        <v>0</v>
      </c>
      <c r="AB52" s="515">
        <f t="shared" si="1"/>
        <v>0</v>
      </c>
      <c r="AD52" s="2"/>
      <c r="AE52" s="2"/>
      <c r="AF52" s="2"/>
      <c r="AG52" s="2"/>
      <c r="AH52" s="2"/>
      <c r="AI52" s="2"/>
      <c r="AJ52" s="2"/>
      <c r="AK52" s="2"/>
      <c r="AL52" s="2"/>
      <c r="AM52" s="2"/>
    </row>
    <row r="53" spans="1:39" s="367" customFormat="1">
      <c r="A53" s="2" t="s">
        <v>1069</v>
      </c>
      <c r="B53" s="2" t="s">
        <v>1070</v>
      </c>
      <c r="C53" s="235" t="s">
        <v>260</v>
      </c>
      <c r="D53" s="374" t="s">
        <v>276</v>
      </c>
      <c r="E53" s="374">
        <v>44287</v>
      </c>
      <c r="F53" s="374" t="s">
        <v>44</v>
      </c>
      <c r="G53" s="374" t="s">
        <v>44</v>
      </c>
      <c r="H53" s="374" t="s">
        <v>44</v>
      </c>
      <c r="I53" s="235" t="s">
        <v>44</v>
      </c>
      <c r="J53" s="518" t="s">
        <v>44</v>
      </c>
      <c r="K53" s="513">
        <v>27.000064999999999</v>
      </c>
      <c r="L53" s="514" t="s">
        <v>44</v>
      </c>
      <c r="M53" s="513">
        <v>0.62288200000000005</v>
      </c>
      <c r="N53" s="513">
        <v>11.337334999999999</v>
      </c>
      <c r="O53" s="513">
        <f t="shared" si="2"/>
        <v>11.960217</v>
      </c>
      <c r="P53" s="269">
        <f t="shared" si="3"/>
        <v>0.44296993359090064</v>
      </c>
      <c r="Q53" s="515">
        <v>-0.26</v>
      </c>
      <c r="R53" s="513">
        <v>0</v>
      </c>
      <c r="S53" s="515" t="s">
        <v>44</v>
      </c>
      <c r="T53" s="519">
        <v>27.000064999999999</v>
      </c>
      <c r="U53" s="514" t="s">
        <v>44</v>
      </c>
      <c r="V53" s="513">
        <v>4.6674129999999998</v>
      </c>
      <c r="W53" s="513">
        <v>8.2504179999999998</v>
      </c>
      <c r="X53" s="513">
        <f t="shared" si="4"/>
        <v>12.917831</v>
      </c>
      <c r="Y53" s="268">
        <f t="shared" si="5"/>
        <v>0.47843703339232702</v>
      </c>
      <c r="Z53" s="515">
        <v>-0.18</v>
      </c>
      <c r="AA53" s="513">
        <f t="shared" si="0"/>
        <v>0.95761399999999952</v>
      </c>
      <c r="AB53" s="515">
        <f t="shared" si="1"/>
        <v>8.0066607487138342E-2</v>
      </c>
      <c r="AD53" s="2"/>
      <c r="AE53" s="2"/>
      <c r="AF53" s="2"/>
      <c r="AG53" s="2"/>
      <c r="AH53" s="2"/>
      <c r="AI53" s="2"/>
      <c r="AJ53" s="2"/>
      <c r="AK53" s="2"/>
      <c r="AL53" s="2"/>
      <c r="AM53" s="2"/>
    </row>
    <row r="54" spans="1:39" s="367" customFormat="1">
      <c r="A54" s="2" t="s">
        <v>1071</v>
      </c>
      <c r="B54" s="2" t="s">
        <v>1072</v>
      </c>
      <c r="C54" s="235" t="s">
        <v>273</v>
      </c>
      <c r="D54" s="374" t="s">
        <v>276</v>
      </c>
      <c r="E54" s="374">
        <v>44317</v>
      </c>
      <c r="F54" s="374" t="s">
        <v>44</v>
      </c>
      <c r="G54" s="374" t="s">
        <v>44</v>
      </c>
      <c r="H54" s="374" t="s">
        <v>44</v>
      </c>
      <c r="I54" s="235" t="s">
        <v>44</v>
      </c>
      <c r="J54" s="518" t="s">
        <v>44</v>
      </c>
      <c r="K54" s="513">
        <v>18.136299999999999</v>
      </c>
      <c r="L54" s="514" t="s">
        <v>44</v>
      </c>
      <c r="M54" s="513">
        <v>1.637691</v>
      </c>
      <c r="N54" s="513">
        <v>13.987220000000001</v>
      </c>
      <c r="O54" s="513">
        <f t="shared" si="2"/>
        <v>15.624911000000001</v>
      </c>
      <c r="P54" s="269">
        <f t="shared" si="3"/>
        <v>0.8615269376885033</v>
      </c>
      <c r="Q54" s="515">
        <v>-0.05</v>
      </c>
      <c r="R54" s="513">
        <v>0</v>
      </c>
      <c r="S54" s="515" t="s">
        <v>44</v>
      </c>
      <c r="T54" s="519">
        <v>18.136299999999999</v>
      </c>
      <c r="U54" s="514" t="s">
        <v>44</v>
      </c>
      <c r="V54" s="513">
        <v>1.637691</v>
      </c>
      <c r="W54" s="513">
        <v>2.0743830000000001</v>
      </c>
      <c r="X54" s="513">
        <f t="shared" si="4"/>
        <v>3.7120740000000003</v>
      </c>
      <c r="Y54" s="268">
        <f t="shared" si="5"/>
        <v>0.20467647756157545</v>
      </c>
      <c r="Z54" s="515">
        <v>-0.39</v>
      </c>
      <c r="AA54" s="513">
        <f t="shared" si="0"/>
        <v>-11.912837</v>
      </c>
      <c r="AB54" s="515">
        <f t="shared" si="1"/>
        <v>-0.76242591077798783</v>
      </c>
      <c r="AD54" s="2"/>
      <c r="AE54" s="2"/>
      <c r="AF54" s="2"/>
      <c r="AG54" s="2"/>
      <c r="AH54" s="2"/>
      <c r="AI54" s="2"/>
      <c r="AJ54" s="2"/>
      <c r="AK54" s="2"/>
      <c r="AL54" s="2"/>
      <c r="AM54" s="2"/>
    </row>
    <row r="55" spans="1:39" s="367" customFormat="1">
      <c r="A55" s="2" t="s">
        <v>1073</v>
      </c>
      <c r="B55" s="2" t="s">
        <v>1074</v>
      </c>
      <c r="C55" s="235" t="s">
        <v>112</v>
      </c>
      <c r="D55" s="374" t="s">
        <v>276</v>
      </c>
      <c r="E55" s="374">
        <v>44348</v>
      </c>
      <c r="F55" s="374" t="s">
        <v>44</v>
      </c>
      <c r="G55" s="374" t="s">
        <v>44</v>
      </c>
      <c r="H55" s="374" t="s">
        <v>44</v>
      </c>
      <c r="I55" s="235" t="s">
        <v>44</v>
      </c>
      <c r="J55" s="518" t="s">
        <v>44</v>
      </c>
      <c r="K55" s="513">
        <v>20</v>
      </c>
      <c r="L55" s="514" t="s">
        <v>44</v>
      </c>
      <c r="M55" s="513">
        <v>0</v>
      </c>
      <c r="N55" s="513">
        <v>20</v>
      </c>
      <c r="O55" s="513">
        <f t="shared" si="2"/>
        <v>20</v>
      </c>
      <c r="P55" s="269">
        <f t="shared" si="3"/>
        <v>1</v>
      </c>
      <c r="Q55" s="515" t="s">
        <v>44</v>
      </c>
      <c r="R55" s="513">
        <v>0</v>
      </c>
      <c r="S55" s="515" t="s">
        <v>44</v>
      </c>
      <c r="T55" s="519">
        <v>20</v>
      </c>
      <c r="U55" s="514" t="s">
        <v>44</v>
      </c>
      <c r="V55" s="513">
        <v>4.0353009999999996</v>
      </c>
      <c r="W55" s="513">
        <v>15.964699</v>
      </c>
      <c r="X55" s="513">
        <f t="shared" si="4"/>
        <v>20</v>
      </c>
      <c r="Y55" s="268">
        <f t="shared" si="5"/>
        <v>1</v>
      </c>
      <c r="Z55" s="515" t="s">
        <v>44</v>
      </c>
      <c r="AA55" s="513">
        <f t="shared" si="0"/>
        <v>0</v>
      </c>
      <c r="AB55" s="515">
        <f t="shared" si="1"/>
        <v>0</v>
      </c>
      <c r="AD55" s="2"/>
      <c r="AE55" s="2"/>
      <c r="AF55" s="2"/>
      <c r="AG55" s="2"/>
      <c r="AH55" s="2"/>
      <c r="AI55" s="2"/>
      <c r="AJ55" s="2"/>
      <c r="AK55" s="2"/>
      <c r="AL55" s="2"/>
      <c r="AM55" s="2"/>
    </row>
    <row r="56" spans="1:39" s="367" customFormat="1">
      <c r="A56" s="2" t="s">
        <v>1075</v>
      </c>
      <c r="B56" s="2" t="s">
        <v>1076</v>
      </c>
      <c r="C56" s="235" t="s">
        <v>1077</v>
      </c>
      <c r="D56" s="374" t="s">
        <v>584</v>
      </c>
      <c r="E56" s="374">
        <v>44317</v>
      </c>
      <c r="F56" s="374" t="s">
        <v>44</v>
      </c>
      <c r="G56" s="374" t="s">
        <v>44</v>
      </c>
      <c r="H56" s="374" t="s">
        <v>44</v>
      </c>
      <c r="I56" s="235" t="s">
        <v>44</v>
      </c>
      <c r="J56" s="518" t="s">
        <v>44</v>
      </c>
      <c r="K56" s="513">
        <v>30</v>
      </c>
      <c r="L56" s="514" t="s">
        <v>44</v>
      </c>
      <c r="M56" s="513">
        <v>0</v>
      </c>
      <c r="N56" s="513">
        <v>47.564835000000002</v>
      </c>
      <c r="O56" s="513">
        <f t="shared" si="2"/>
        <v>47.564835000000002</v>
      </c>
      <c r="P56" s="269">
        <f t="shared" si="3"/>
        <v>1.5854945</v>
      </c>
      <c r="Q56" s="515">
        <v>0.19</v>
      </c>
      <c r="R56" s="513">
        <v>0</v>
      </c>
      <c r="S56" s="515" t="s">
        <v>44</v>
      </c>
      <c r="T56" s="519">
        <v>30</v>
      </c>
      <c r="U56" s="514" t="s">
        <v>44</v>
      </c>
      <c r="V56" s="513">
        <v>0</v>
      </c>
      <c r="W56" s="513">
        <v>39.747864</v>
      </c>
      <c r="X56" s="513">
        <f t="shared" si="4"/>
        <v>39.747864</v>
      </c>
      <c r="Y56" s="268">
        <f t="shared" si="5"/>
        <v>1.3249287999999999</v>
      </c>
      <c r="Z56" s="515" t="s">
        <v>44</v>
      </c>
      <c r="AA56" s="513">
        <f t="shared" si="0"/>
        <v>-7.8169710000000023</v>
      </c>
      <c r="AB56" s="515">
        <f t="shared" si="1"/>
        <v>-0.1643434903116977</v>
      </c>
      <c r="AD56" s="2"/>
      <c r="AE56" s="2"/>
      <c r="AF56" s="2"/>
      <c r="AG56" s="2"/>
      <c r="AH56" s="2"/>
      <c r="AI56" s="2"/>
      <c r="AJ56" s="2"/>
      <c r="AK56" s="2"/>
      <c r="AL56" s="2"/>
      <c r="AM56" s="2"/>
    </row>
    <row r="57" spans="1:39" s="367" customFormat="1">
      <c r="A57" s="2" t="s">
        <v>1078</v>
      </c>
      <c r="B57" s="2" t="s">
        <v>1079</v>
      </c>
      <c r="C57" s="235" t="s">
        <v>260</v>
      </c>
      <c r="D57" s="374" t="s">
        <v>261</v>
      </c>
      <c r="E57" s="374">
        <v>44409</v>
      </c>
      <c r="F57" s="374" t="s">
        <v>44</v>
      </c>
      <c r="G57" s="374" t="s">
        <v>44</v>
      </c>
      <c r="H57" s="511"/>
      <c r="I57" s="235"/>
      <c r="J57" s="518">
        <f>YEAR(H57)-YEAR(E57)</f>
        <v>-121</v>
      </c>
      <c r="K57" s="513">
        <v>60</v>
      </c>
      <c r="L57" s="514" t="s">
        <v>44</v>
      </c>
      <c r="M57" s="513">
        <v>0</v>
      </c>
      <c r="N57" s="513">
        <v>70.319342000000006</v>
      </c>
      <c r="O57" s="513">
        <f t="shared" si="2"/>
        <v>70.319342000000006</v>
      </c>
      <c r="P57" s="269">
        <f t="shared" si="3"/>
        <v>1.1719890333333334</v>
      </c>
      <c r="Q57" s="515">
        <v>7.0000000000000007E-2</v>
      </c>
      <c r="R57" s="513">
        <v>0</v>
      </c>
      <c r="S57" s="515" t="s">
        <v>44</v>
      </c>
      <c r="T57" s="519">
        <v>60</v>
      </c>
      <c r="U57" s="514" t="s">
        <v>44</v>
      </c>
      <c r="V57" s="513">
        <v>70.319342000000006</v>
      </c>
      <c r="W57" s="513">
        <v>0</v>
      </c>
      <c r="X57" s="582">
        <f t="shared" si="4"/>
        <v>70.319342000000006</v>
      </c>
      <c r="Y57" s="268">
        <f t="shared" si="5"/>
        <v>1.1719890333333334</v>
      </c>
      <c r="Z57" s="581">
        <v>0.06</v>
      </c>
      <c r="AA57" s="513">
        <f t="shared" si="0"/>
        <v>0</v>
      </c>
      <c r="AB57" s="515">
        <f t="shared" si="1"/>
        <v>0</v>
      </c>
      <c r="AD57" s="2"/>
      <c r="AE57" s="2"/>
      <c r="AF57" s="2"/>
      <c r="AG57" s="2"/>
      <c r="AH57" s="2"/>
      <c r="AI57" s="2"/>
      <c r="AJ57" s="2"/>
      <c r="AK57" s="2"/>
      <c r="AL57" s="2"/>
      <c r="AM57" s="2"/>
    </row>
    <row r="58" spans="1:39" s="367" customFormat="1">
      <c r="A58" s="2" t="s">
        <v>1080</v>
      </c>
      <c r="B58" s="2" t="s">
        <v>1081</v>
      </c>
      <c r="C58" s="235" t="s">
        <v>273</v>
      </c>
      <c r="D58" s="374" t="s">
        <v>584</v>
      </c>
      <c r="E58" s="374">
        <v>44409</v>
      </c>
      <c r="F58" s="374" t="s">
        <v>44</v>
      </c>
      <c r="G58" s="374" t="s">
        <v>44</v>
      </c>
      <c r="H58" s="374" t="s">
        <v>44</v>
      </c>
      <c r="I58" s="235" t="s">
        <v>44</v>
      </c>
      <c r="J58" s="518" t="s">
        <v>44</v>
      </c>
      <c r="K58" s="513">
        <v>10</v>
      </c>
      <c r="L58" s="514" t="s">
        <v>44</v>
      </c>
      <c r="M58" s="513">
        <v>0</v>
      </c>
      <c r="N58" s="513">
        <v>10</v>
      </c>
      <c r="O58" s="513">
        <f t="shared" si="2"/>
        <v>10</v>
      </c>
      <c r="P58" s="269">
        <f t="shared" si="3"/>
        <v>1</v>
      </c>
      <c r="Q58" s="515" t="s">
        <v>44</v>
      </c>
      <c r="R58" s="513">
        <v>0</v>
      </c>
      <c r="S58" s="515" t="s">
        <v>44</v>
      </c>
      <c r="T58" s="519">
        <v>10</v>
      </c>
      <c r="U58" s="514" t="s">
        <v>44</v>
      </c>
      <c r="V58" s="513">
        <v>0</v>
      </c>
      <c r="W58" s="513">
        <v>10</v>
      </c>
      <c r="X58" s="513">
        <f t="shared" si="4"/>
        <v>10</v>
      </c>
      <c r="Y58" s="268">
        <f t="shared" si="5"/>
        <v>1</v>
      </c>
      <c r="Z58" s="515" t="s">
        <v>44</v>
      </c>
      <c r="AA58" s="513">
        <f t="shared" si="0"/>
        <v>0</v>
      </c>
      <c r="AB58" s="515">
        <f t="shared" si="1"/>
        <v>0</v>
      </c>
      <c r="AD58" s="2"/>
      <c r="AE58" s="2"/>
      <c r="AF58" s="2"/>
      <c r="AG58" s="2"/>
      <c r="AH58" s="2"/>
      <c r="AI58" s="2"/>
      <c r="AJ58" s="2"/>
      <c r="AK58" s="2"/>
      <c r="AL58" s="2"/>
      <c r="AM58" s="2"/>
    </row>
    <row r="59" spans="1:39" s="367" customFormat="1">
      <c r="A59" s="2" t="s">
        <v>1082</v>
      </c>
      <c r="B59" s="2" t="s">
        <v>1083</v>
      </c>
      <c r="C59" s="235" t="s">
        <v>636</v>
      </c>
      <c r="D59" s="374" t="s">
        <v>276</v>
      </c>
      <c r="E59" s="374">
        <v>44378</v>
      </c>
      <c r="F59" s="374" t="s">
        <v>44</v>
      </c>
      <c r="G59" s="374" t="s">
        <v>44</v>
      </c>
      <c r="H59" s="374" t="s">
        <v>44</v>
      </c>
      <c r="I59" s="235" t="s">
        <v>44</v>
      </c>
      <c r="J59" s="518" t="s">
        <v>44</v>
      </c>
      <c r="K59" s="513">
        <v>40</v>
      </c>
      <c r="L59" s="514" t="s">
        <v>44</v>
      </c>
      <c r="M59" s="513">
        <v>0</v>
      </c>
      <c r="N59" s="513">
        <v>40</v>
      </c>
      <c r="O59" s="513">
        <f t="shared" si="2"/>
        <v>40</v>
      </c>
      <c r="P59" s="269">
        <f t="shared" si="3"/>
        <v>1</v>
      </c>
      <c r="Q59" s="515" t="s">
        <v>44</v>
      </c>
      <c r="R59" s="513">
        <v>0</v>
      </c>
      <c r="S59" s="515" t="s">
        <v>44</v>
      </c>
      <c r="T59" s="519">
        <v>40</v>
      </c>
      <c r="U59" s="514" t="s">
        <v>44</v>
      </c>
      <c r="V59" s="513">
        <v>8</v>
      </c>
      <c r="W59" s="513">
        <v>32</v>
      </c>
      <c r="X59" s="513">
        <f t="shared" si="4"/>
        <v>40</v>
      </c>
      <c r="Y59" s="268">
        <f t="shared" si="5"/>
        <v>1</v>
      </c>
      <c r="Z59" s="515" t="s">
        <v>44</v>
      </c>
      <c r="AA59" s="513">
        <f t="shared" si="0"/>
        <v>0</v>
      </c>
      <c r="AB59" s="515">
        <f t="shared" si="1"/>
        <v>0</v>
      </c>
      <c r="AD59" s="2"/>
      <c r="AE59" s="2"/>
      <c r="AF59" s="2"/>
      <c r="AG59" s="2"/>
      <c r="AH59" s="2"/>
      <c r="AI59" s="2"/>
      <c r="AJ59" s="2"/>
      <c r="AK59" s="2"/>
      <c r="AL59" s="2"/>
      <c r="AM59" s="2"/>
    </row>
    <row r="60" spans="1:39" s="367" customFormat="1">
      <c r="A60" s="2" t="s">
        <v>1084</v>
      </c>
      <c r="B60" s="2" t="s">
        <v>1085</v>
      </c>
      <c r="C60" s="235" t="s">
        <v>1086</v>
      </c>
      <c r="D60" s="374" t="s">
        <v>584</v>
      </c>
      <c r="E60" s="374">
        <v>44378</v>
      </c>
      <c r="F60" s="374" t="s">
        <v>44</v>
      </c>
      <c r="G60" s="374" t="s">
        <v>44</v>
      </c>
      <c r="H60" s="374" t="s">
        <v>44</v>
      </c>
      <c r="I60" s="235" t="s">
        <v>44</v>
      </c>
      <c r="J60" s="518" t="s">
        <v>44</v>
      </c>
      <c r="K60" s="513">
        <v>27.710004000000001</v>
      </c>
      <c r="L60" s="514" t="s">
        <v>44</v>
      </c>
      <c r="M60" s="513">
        <v>0</v>
      </c>
      <c r="N60" s="513">
        <v>29.500005999999999</v>
      </c>
      <c r="O60" s="513">
        <f t="shared" si="2"/>
        <v>29.500005999999999</v>
      </c>
      <c r="P60" s="269">
        <f t="shared" si="3"/>
        <v>1.0645976810396707</v>
      </c>
      <c r="Q60" s="515">
        <v>0.03</v>
      </c>
      <c r="R60" s="513">
        <v>0</v>
      </c>
      <c r="S60" s="515" t="s">
        <v>44</v>
      </c>
      <c r="T60" s="519">
        <v>27.710004000000001</v>
      </c>
      <c r="U60" s="514" t="s">
        <v>44</v>
      </c>
      <c r="V60" s="513">
        <v>0</v>
      </c>
      <c r="W60" s="513">
        <v>29.500005999999999</v>
      </c>
      <c r="X60" s="513">
        <f t="shared" si="4"/>
        <v>29.500005999999999</v>
      </c>
      <c r="Y60" s="268">
        <f t="shared" si="5"/>
        <v>1.0645976810396707</v>
      </c>
      <c r="Z60" s="515">
        <v>0.02</v>
      </c>
      <c r="AA60" s="513">
        <f t="shared" si="0"/>
        <v>0</v>
      </c>
      <c r="AB60" s="515">
        <f t="shared" si="1"/>
        <v>0</v>
      </c>
      <c r="AD60" s="2"/>
      <c r="AE60" s="2"/>
      <c r="AF60" s="2"/>
      <c r="AG60" s="2"/>
      <c r="AH60" s="2"/>
      <c r="AI60" s="2"/>
      <c r="AJ60" s="2"/>
      <c r="AK60" s="2"/>
      <c r="AL60" s="2"/>
      <c r="AM60" s="2"/>
    </row>
    <row r="61" spans="1:39" s="367" customFormat="1">
      <c r="A61" s="2" t="s">
        <v>1087</v>
      </c>
      <c r="B61" s="2" t="s">
        <v>1088</v>
      </c>
      <c r="C61" s="235" t="s">
        <v>260</v>
      </c>
      <c r="D61" s="374" t="s">
        <v>276</v>
      </c>
      <c r="E61" s="374">
        <v>44378</v>
      </c>
      <c r="F61" s="374" t="s">
        <v>44</v>
      </c>
      <c r="G61" s="374" t="s">
        <v>44</v>
      </c>
      <c r="H61" s="374" t="s">
        <v>44</v>
      </c>
      <c r="I61" s="235" t="s">
        <v>44</v>
      </c>
      <c r="J61" s="518" t="s">
        <v>44</v>
      </c>
      <c r="K61" s="513">
        <v>16</v>
      </c>
      <c r="L61" s="514" t="s">
        <v>44</v>
      </c>
      <c r="M61" s="513">
        <v>0</v>
      </c>
      <c r="N61" s="513">
        <v>16</v>
      </c>
      <c r="O61" s="513">
        <f t="shared" si="2"/>
        <v>16</v>
      </c>
      <c r="P61" s="269">
        <f t="shared" si="3"/>
        <v>1</v>
      </c>
      <c r="Q61" s="515" t="s">
        <v>44</v>
      </c>
      <c r="R61" s="513">
        <v>0</v>
      </c>
      <c r="S61" s="515" t="s">
        <v>44</v>
      </c>
      <c r="T61" s="519">
        <v>16</v>
      </c>
      <c r="U61" s="514" t="s">
        <v>44</v>
      </c>
      <c r="V61" s="513">
        <v>7.6655000000000001E-2</v>
      </c>
      <c r="W61" s="513">
        <v>16</v>
      </c>
      <c r="X61" s="513">
        <f t="shared" si="4"/>
        <v>16.076654999999999</v>
      </c>
      <c r="Y61" s="268">
        <f t="shared" si="5"/>
        <v>1.0047909374999999</v>
      </c>
      <c r="Z61" s="515" t="s">
        <v>44</v>
      </c>
      <c r="AA61" s="513">
        <f t="shared" si="0"/>
        <v>7.6654999999998807E-2</v>
      </c>
      <c r="AB61" s="515">
        <f t="shared" si="1"/>
        <v>4.7909374999999255E-3</v>
      </c>
      <c r="AD61" s="2"/>
      <c r="AE61" s="2"/>
      <c r="AF61" s="2"/>
      <c r="AG61" s="2"/>
      <c r="AH61" s="2"/>
      <c r="AI61" s="2"/>
      <c r="AJ61" s="2"/>
      <c r="AK61" s="2"/>
      <c r="AL61" s="2"/>
      <c r="AM61" s="2"/>
    </row>
    <row r="62" spans="1:39" s="367" customFormat="1">
      <c r="A62" s="2" t="s">
        <v>1089</v>
      </c>
      <c r="B62" s="2" t="s">
        <v>1090</v>
      </c>
      <c r="C62" s="235" t="s">
        <v>260</v>
      </c>
      <c r="D62" s="374" t="s">
        <v>584</v>
      </c>
      <c r="E62" s="374">
        <v>44378</v>
      </c>
      <c r="F62" s="374" t="s">
        <v>44</v>
      </c>
      <c r="G62" s="374" t="s">
        <v>44</v>
      </c>
      <c r="H62" s="374" t="s">
        <v>44</v>
      </c>
      <c r="I62" s="235" t="s">
        <v>44</v>
      </c>
      <c r="J62" s="518" t="s">
        <v>44</v>
      </c>
      <c r="K62" s="513">
        <v>9.0596440000000005</v>
      </c>
      <c r="L62" s="514" t="s">
        <v>44</v>
      </c>
      <c r="M62" s="513">
        <v>0</v>
      </c>
      <c r="N62" s="513">
        <v>9.0596440000000005</v>
      </c>
      <c r="O62" s="513">
        <f t="shared" si="2"/>
        <v>9.0596440000000005</v>
      </c>
      <c r="P62" s="269">
        <f t="shared" si="3"/>
        <v>1</v>
      </c>
      <c r="Q62" s="515" t="s">
        <v>44</v>
      </c>
      <c r="R62" s="513">
        <v>0</v>
      </c>
      <c r="S62" s="515" t="s">
        <v>44</v>
      </c>
      <c r="T62" s="519">
        <v>9.0596440000000005</v>
      </c>
      <c r="U62" s="514" t="s">
        <v>44</v>
      </c>
      <c r="V62" s="513">
        <v>0</v>
      </c>
      <c r="W62" s="513">
        <v>9.0596440000000005</v>
      </c>
      <c r="X62" s="513">
        <f t="shared" si="4"/>
        <v>9.0596440000000005</v>
      </c>
      <c r="Y62" s="268">
        <f t="shared" si="5"/>
        <v>1</v>
      </c>
      <c r="Z62" s="515" t="s">
        <v>44</v>
      </c>
      <c r="AA62" s="513">
        <f t="shared" si="0"/>
        <v>0</v>
      </c>
      <c r="AB62" s="515">
        <f t="shared" si="1"/>
        <v>0</v>
      </c>
      <c r="AD62" s="2"/>
      <c r="AE62" s="2"/>
      <c r="AF62" s="2"/>
      <c r="AG62" s="2"/>
      <c r="AH62" s="2"/>
      <c r="AI62" s="2"/>
      <c r="AJ62" s="2"/>
      <c r="AK62" s="2"/>
      <c r="AL62" s="2"/>
      <c r="AM62" s="2"/>
    </row>
    <row r="63" spans="1:39" s="367" customFormat="1">
      <c r="A63" s="2" t="s">
        <v>1091</v>
      </c>
      <c r="B63" s="2" t="s">
        <v>1092</v>
      </c>
      <c r="C63" s="235" t="s">
        <v>260</v>
      </c>
      <c r="D63" s="374" t="s">
        <v>584</v>
      </c>
      <c r="E63" s="374">
        <v>44470</v>
      </c>
      <c r="F63" s="374" t="s">
        <v>44</v>
      </c>
      <c r="G63" s="374" t="s">
        <v>44</v>
      </c>
      <c r="H63" s="374" t="s">
        <v>44</v>
      </c>
      <c r="I63" s="235" t="s">
        <v>44</v>
      </c>
      <c r="J63" s="518" t="s">
        <v>44</v>
      </c>
      <c r="K63" s="513">
        <v>30</v>
      </c>
      <c r="L63" s="514" t="s">
        <v>44</v>
      </c>
      <c r="M63" s="513">
        <v>0</v>
      </c>
      <c r="N63" s="513">
        <v>0</v>
      </c>
      <c r="O63" s="513">
        <f t="shared" si="2"/>
        <v>0</v>
      </c>
      <c r="P63" s="269">
        <f t="shared" si="3"/>
        <v>0</v>
      </c>
      <c r="Q63" s="515" t="s">
        <v>44</v>
      </c>
      <c r="R63" s="513">
        <v>0</v>
      </c>
      <c r="S63" s="515" t="s">
        <v>44</v>
      </c>
      <c r="T63" s="519">
        <v>30</v>
      </c>
      <c r="U63" s="514" t="s">
        <v>44</v>
      </c>
      <c r="V63" s="513">
        <v>0</v>
      </c>
      <c r="W63" s="513">
        <v>0</v>
      </c>
      <c r="X63" s="513">
        <f t="shared" si="4"/>
        <v>0</v>
      </c>
      <c r="Y63" s="268">
        <f t="shared" si="5"/>
        <v>0</v>
      </c>
      <c r="Z63" s="515" t="s">
        <v>44</v>
      </c>
      <c r="AA63" s="513">
        <f t="shared" si="0"/>
        <v>0</v>
      </c>
      <c r="AB63" s="515">
        <f t="shared" si="1"/>
        <v>0</v>
      </c>
      <c r="AD63" s="2"/>
      <c r="AE63" s="2"/>
      <c r="AF63" s="2"/>
      <c r="AG63" s="2"/>
      <c r="AH63" s="2"/>
      <c r="AI63" s="2"/>
      <c r="AJ63" s="2"/>
      <c r="AK63" s="2"/>
      <c r="AL63" s="2"/>
      <c r="AM63" s="2"/>
    </row>
    <row r="64" spans="1:39" s="367" customFormat="1">
      <c r="A64" s="2" t="s">
        <v>1093</v>
      </c>
      <c r="B64" s="2" t="s">
        <v>1094</v>
      </c>
      <c r="C64" s="235" t="s">
        <v>273</v>
      </c>
      <c r="D64" s="374" t="s">
        <v>584</v>
      </c>
      <c r="E64" s="374">
        <v>44470</v>
      </c>
      <c r="F64" s="374" t="s">
        <v>44</v>
      </c>
      <c r="G64" s="374" t="s">
        <v>44</v>
      </c>
      <c r="H64" s="374" t="s">
        <v>44</v>
      </c>
      <c r="I64" s="235" t="s">
        <v>44</v>
      </c>
      <c r="J64" s="518" t="s">
        <v>44</v>
      </c>
      <c r="K64" s="513">
        <v>4</v>
      </c>
      <c r="L64" s="514" t="s">
        <v>44</v>
      </c>
      <c r="M64" s="513">
        <v>0</v>
      </c>
      <c r="N64" s="513">
        <v>4</v>
      </c>
      <c r="O64" s="513">
        <f t="shared" si="2"/>
        <v>4</v>
      </c>
      <c r="P64" s="269">
        <f t="shared" si="3"/>
        <v>1</v>
      </c>
      <c r="Q64" s="515" t="s">
        <v>44</v>
      </c>
      <c r="R64" s="513">
        <v>0</v>
      </c>
      <c r="S64" s="515" t="s">
        <v>44</v>
      </c>
      <c r="T64" s="519">
        <v>4</v>
      </c>
      <c r="U64" s="514" t="s">
        <v>44</v>
      </c>
      <c r="V64" s="513">
        <v>0</v>
      </c>
      <c r="W64" s="513">
        <v>4</v>
      </c>
      <c r="X64" s="513">
        <f t="shared" si="4"/>
        <v>4</v>
      </c>
      <c r="Y64" s="268">
        <f t="shared" si="5"/>
        <v>1</v>
      </c>
      <c r="Z64" s="515" t="s">
        <v>44</v>
      </c>
      <c r="AA64" s="513">
        <f t="shared" si="0"/>
        <v>0</v>
      </c>
      <c r="AB64" s="515">
        <f t="shared" si="1"/>
        <v>0</v>
      </c>
      <c r="AD64" s="2"/>
      <c r="AE64" s="2"/>
      <c r="AF64" s="2"/>
      <c r="AG64" s="2"/>
      <c r="AH64" s="2"/>
      <c r="AI64" s="2"/>
      <c r="AJ64" s="2"/>
      <c r="AK64" s="2"/>
      <c r="AL64" s="2"/>
      <c r="AM64" s="2"/>
    </row>
    <row r="65" spans="1:39" s="367" customFormat="1">
      <c r="A65" s="2" t="s">
        <v>1095</v>
      </c>
      <c r="B65" s="2" t="s">
        <v>1096</v>
      </c>
      <c r="C65" s="235" t="s">
        <v>112</v>
      </c>
      <c r="D65" s="374" t="s">
        <v>584</v>
      </c>
      <c r="E65" s="374">
        <v>44470</v>
      </c>
      <c r="F65" s="374" t="s">
        <v>44</v>
      </c>
      <c r="G65" s="374" t="s">
        <v>44</v>
      </c>
      <c r="H65" s="374" t="s">
        <v>44</v>
      </c>
      <c r="I65" s="235" t="s">
        <v>44</v>
      </c>
      <c r="J65" s="518" t="s">
        <v>44</v>
      </c>
      <c r="K65" s="513">
        <v>2.3173180000000002</v>
      </c>
      <c r="L65" s="514" t="s">
        <v>44</v>
      </c>
      <c r="M65" s="513">
        <v>0</v>
      </c>
      <c r="N65" s="513">
        <v>2.3173180000000002</v>
      </c>
      <c r="O65" s="513">
        <f t="shared" si="2"/>
        <v>2.3173180000000002</v>
      </c>
      <c r="P65" s="269">
        <f t="shared" si="3"/>
        <v>1</v>
      </c>
      <c r="Q65" s="515" t="s">
        <v>44</v>
      </c>
      <c r="R65" s="513">
        <v>0</v>
      </c>
      <c r="S65" s="515" t="s">
        <v>44</v>
      </c>
      <c r="T65" s="519">
        <v>2.3173180000000002</v>
      </c>
      <c r="U65" s="514" t="s">
        <v>44</v>
      </c>
      <c r="V65" s="513">
        <v>0</v>
      </c>
      <c r="W65" s="513">
        <v>2.3173180000000002</v>
      </c>
      <c r="X65" s="513">
        <f t="shared" si="4"/>
        <v>2.3173180000000002</v>
      </c>
      <c r="Y65" s="268">
        <f t="shared" si="5"/>
        <v>1</v>
      </c>
      <c r="Z65" s="515" t="s">
        <v>44</v>
      </c>
      <c r="AA65" s="513">
        <f t="shared" si="0"/>
        <v>0</v>
      </c>
      <c r="AB65" s="515">
        <f t="shared" si="1"/>
        <v>0</v>
      </c>
      <c r="AD65" s="2"/>
      <c r="AE65" s="2"/>
      <c r="AF65" s="2"/>
      <c r="AG65" s="2"/>
      <c r="AH65" s="2"/>
      <c r="AI65" s="2"/>
      <c r="AJ65" s="2"/>
      <c r="AK65" s="2"/>
      <c r="AL65" s="2"/>
      <c r="AM65" s="2"/>
    </row>
    <row r="66" spans="1:39" s="367" customFormat="1">
      <c r="A66" s="2" t="s">
        <v>1097</v>
      </c>
      <c r="B66" s="2" t="s">
        <v>1098</v>
      </c>
      <c r="C66" s="235" t="s">
        <v>273</v>
      </c>
      <c r="D66" s="374" t="s">
        <v>584</v>
      </c>
      <c r="E66" s="374">
        <v>44501</v>
      </c>
      <c r="F66" s="374" t="s">
        <v>44</v>
      </c>
      <c r="G66" s="374" t="s">
        <v>44</v>
      </c>
      <c r="H66" s="374" t="s">
        <v>44</v>
      </c>
      <c r="I66" s="235" t="s">
        <v>44</v>
      </c>
      <c r="J66" s="518" t="s">
        <v>44</v>
      </c>
      <c r="K66" s="513">
        <v>10</v>
      </c>
      <c r="L66" s="514" t="s">
        <v>44</v>
      </c>
      <c r="M66" s="513">
        <v>0</v>
      </c>
      <c r="N66" s="513">
        <v>10</v>
      </c>
      <c r="O66" s="513">
        <f t="shared" si="2"/>
        <v>10</v>
      </c>
      <c r="P66" s="269">
        <f t="shared" si="3"/>
        <v>1</v>
      </c>
      <c r="Q66" s="515" t="s">
        <v>44</v>
      </c>
      <c r="R66" s="513">
        <v>0</v>
      </c>
      <c r="S66" s="515" t="s">
        <v>44</v>
      </c>
      <c r="T66" s="519">
        <v>10</v>
      </c>
      <c r="U66" s="514" t="s">
        <v>44</v>
      </c>
      <c r="V66" s="513">
        <v>0</v>
      </c>
      <c r="W66" s="513">
        <v>10</v>
      </c>
      <c r="X66" s="513">
        <f t="shared" si="4"/>
        <v>10</v>
      </c>
      <c r="Y66" s="268">
        <f t="shared" si="5"/>
        <v>1</v>
      </c>
      <c r="Z66" s="515" t="s">
        <v>44</v>
      </c>
      <c r="AA66" s="513">
        <f t="shared" si="0"/>
        <v>0</v>
      </c>
      <c r="AB66" s="515">
        <f t="shared" si="1"/>
        <v>0</v>
      </c>
      <c r="AD66" s="2"/>
      <c r="AE66" s="2"/>
      <c r="AF66" s="2"/>
      <c r="AG66" s="2"/>
      <c r="AH66" s="2"/>
      <c r="AI66" s="2"/>
      <c r="AJ66" s="2"/>
      <c r="AK66" s="2"/>
      <c r="AL66" s="2"/>
      <c r="AM66" s="2"/>
    </row>
    <row r="67" spans="1:39" s="367" customFormat="1">
      <c r="A67" s="2" t="s">
        <v>1099</v>
      </c>
      <c r="B67" s="2" t="s">
        <v>1100</v>
      </c>
      <c r="C67" s="235" t="s">
        <v>1101</v>
      </c>
      <c r="D67" s="374" t="s">
        <v>584</v>
      </c>
      <c r="E67" s="374">
        <v>44501</v>
      </c>
      <c r="F67" s="374" t="s">
        <v>44</v>
      </c>
      <c r="G67" s="374" t="s">
        <v>44</v>
      </c>
      <c r="H67" s="374" t="s">
        <v>44</v>
      </c>
      <c r="I67" s="235" t="s">
        <v>44</v>
      </c>
      <c r="J67" s="518" t="s">
        <v>44</v>
      </c>
      <c r="K67" s="513">
        <v>15</v>
      </c>
      <c r="L67" s="514" t="s">
        <v>44</v>
      </c>
      <c r="M67" s="513">
        <v>0</v>
      </c>
      <c r="N67" s="513">
        <v>15</v>
      </c>
      <c r="O67" s="513">
        <f t="shared" si="2"/>
        <v>15</v>
      </c>
      <c r="P67" s="269">
        <f t="shared" si="3"/>
        <v>1</v>
      </c>
      <c r="Q67" s="515" t="s">
        <v>44</v>
      </c>
      <c r="R67" s="513">
        <v>0</v>
      </c>
      <c r="S67" s="515" t="s">
        <v>44</v>
      </c>
      <c r="T67" s="519">
        <v>15</v>
      </c>
      <c r="U67" s="514" t="s">
        <v>44</v>
      </c>
      <c r="V67" s="513">
        <v>0</v>
      </c>
      <c r="W67" s="513">
        <v>15</v>
      </c>
      <c r="X67" s="513">
        <f t="shared" si="4"/>
        <v>15</v>
      </c>
      <c r="Y67" s="268">
        <f t="shared" si="5"/>
        <v>1</v>
      </c>
      <c r="Z67" s="515" t="s">
        <v>44</v>
      </c>
      <c r="AA67" s="513">
        <f t="shared" si="0"/>
        <v>0</v>
      </c>
      <c r="AB67" s="515">
        <f t="shared" si="1"/>
        <v>0</v>
      </c>
      <c r="AD67" s="2"/>
      <c r="AE67" s="2"/>
      <c r="AF67" s="2"/>
      <c r="AG67" s="2"/>
      <c r="AH67" s="2"/>
      <c r="AI67" s="2"/>
      <c r="AJ67" s="2"/>
      <c r="AK67" s="2"/>
      <c r="AL67" s="2"/>
      <c r="AM67" s="2"/>
    </row>
    <row r="68" spans="1:39" s="367" customFormat="1">
      <c r="A68" s="2" t="s">
        <v>1102</v>
      </c>
      <c r="B68" s="2" t="s">
        <v>1103</v>
      </c>
      <c r="C68" s="235" t="s">
        <v>273</v>
      </c>
      <c r="D68" s="374" t="s">
        <v>584</v>
      </c>
      <c r="E68" s="374">
        <v>44501</v>
      </c>
      <c r="F68" s="374" t="s">
        <v>44</v>
      </c>
      <c r="G68" s="374" t="s">
        <v>44</v>
      </c>
      <c r="H68" s="374" t="s">
        <v>44</v>
      </c>
      <c r="I68" s="235" t="s">
        <v>44</v>
      </c>
      <c r="J68" s="518" t="s">
        <v>44</v>
      </c>
      <c r="K68" s="513">
        <v>17</v>
      </c>
      <c r="L68" s="514" t="s">
        <v>44</v>
      </c>
      <c r="M68" s="513">
        <v>0</v>
      </c>
      <c r="N68" s="513">
        <v>24.627337000000001</v>
      </c>
      <c r="O68" s="513">
        <f t="shared" si="2"/>
        <v>24.627337000000001</v>
      </c>
      <c r="P68" s="269">
        <f t="shared" si="3"/>
        <v>1.4486668823529412</v>
      </c>
      <c r="Q68" s="515">
        <v>0.19</v>
      </c>
      <c r="R68" s="513">
        <v>0</v>
      </c>
      <c r="S68" s="515" t="s">
        <v>44</v>
      </c>
      <c r="T68" s="519">
        <v>17</v>
      </c>
      <c r="U68" s="514" t="s">
        <v>44</v>
      </c>
      <c r="V68" s="513">
        <v>0</v>
      </c>
      <c r="W68" s="513">
        <v>24.627337000000001</v>
      </c>
      <c r="X68" s="513">
        <f t="shared" si="4"/>
        <v>24.627337000000001</v>
      </c>
      <c r="Y68" s="268">
        <f t="shared" si="5"/>
        <v>1.4486668823529412</v>
      </c>
      <c r="Z68" s="515">
        <v>0.13</v>
      </c>
      <c r="AA68" s="513">
        <f t="shared" si="0"/>
        <v>0</v>
      </c>
      <c r="AB68" s="515">
        <f t="shared" si="1"/>
        <v>0</v>
      </c>
      <c r="AD68" s="2"/>
      <c r="AE68" s="2"/>
      <c r="AF68" s="2"/>
      <c r="AG68" s="2"/>
      <c r="AH68" s="2"/>
      <c r="AI68" s="2"/>
      <c r="AJ68" s="2"/>
      <c r="AK68" s="2"/>
      <c r="AL68" s="2"/>
      <c r="AM68" s="2"/>
    </row>
    <row r="69" spans="1:39" s="367" customFormat="1">
      <c r="A69" s="2" t="s">
        <v>1104</v>
      </c>
      <c r="B69" s="2" t="s">
        <v>1105</v>
      </c>
      <c r="C69" s="235" t="s">
        <v>260</v>
      </c>
      <c r="D69" s="374" t="s">
        <v>584</v>
      </c>
      <c r="E69" s="374">
        <v>44013</v>
      </c>
      <c r="F69" s="374" t="s">
        <v>44</v>
      </c>
      <c r="G69" s="374" t="s">
        <v>44</v>
      </c>
      <c r="H69" s="374" t="s">
        <v>44</v>
      </c>
      <c r="I69" s="235" t="s">
        <v>44</v>
      </c>
      <c r="J69" s="518" t="s">
        <v>44</v>
      </c>
      <c r="K69" s="513">
        <v>50</v>
      </c>
      <c r="L69" s="514" t="s">
        <v>44</v>
      </c>
      <c r="M69" s="513">
        <v>0</v>
      </c>
      <c r="N69" s="513">
        <v>16.349999</v>
      </c>
      <c r="O69" s="513">
        <f t="shared" si="2"/>
        <v>16.349999</v>
      </c>
      <c r="P69" s="269">
        <f t="shared" si="3"/>
        <v>0.32699998000000002</v>
      </c>
      <c r="Q69" s="515">
        <v>-0.28000000000000003</v>
      </c>
      <c r="R69" s="513">
        <v>0</v>
      </c>
      <c r="S69" s="515" t="s">
        <v>44</v>
      </c>
      <c r="T69" s="519">
        <v>50</v>
      </c>
      <c r="U69" s="514" t="s">
        <v>44</v>
      </c>
      <c r="V69" s="513">
        <v>0</v>
      </c>
      <c r="W69" s="513">
        <v>16.349999</v>
      </c>
      <c r="X69" s="513">
        <f t="shared" si="4"/>
        <v>16.349999</v>
      </c>
      <c r="Y69" s="268">
        <f t="shared" si="5"/>
        <v>0.32699998000000002</v>
      </c>
      <c r="Z69" s="515">
        <v>-0.22</v>
      </c>
      <c r="AA69" s="513">
        <f t="shared" si="0"/>
        <v>0</v>
      </c>
      <c r="AB69" s="515">
        <f t="shared" si="1"/>
        <v>0</v>
      </c>
      <c r="AD69" s="2"/>
      <c r="AE69" s="2"/>
      <c r="AF69" s="2"/>
      <c r="AG69" s="2"/>
      <c r="AH69" s="2"/>
      <c r="AI69" s="2"/>
      <c r="AJ69" s="2"/>
      <c r="AK69" s="2"/>
      <c r="AL69" s="2"/>
      <c r="AM69" s="2"/>
    </row>
    <row r="70" spans="1:39" s="367" customFormat="1">
      <c r="A70" s="2" t="s">
        <v>1106</v>
      </c>
      <c r="B70" s="2" t="s">
        <v>1107</v>
      </c>
      <c r="C70" s="235" t="s">
        <v>273</v>
      </c>
      <c r="D70" s="374" t="s">
        <v>584</v>
      </c>
      <c r="E70" s="374">
        <v>44136</v>
      </c>
      <c r="F70" s="374" t="s">
        <v>44</v>
      </c>
      <c r="G70" s="374" t="s">
        <v>44</v>
      </c>
      <c r="H70" s="374" t="s">
        <v>44</v>
      </c>
      <c r="I70" s="235" t="s">
        <v>44</v>
      </c>
      <c r="J70" s="518" t="s">
        <v>44</v>
      </c>
      <c r="K70" s="513">
        <v>0</v>
      </c>
      <c r="L70" s="514" t="s">
        <v>44</v>
      </c>
      <c r="M70" s="513">
        <v>0</v>
      </c>
      <c r="N70" s="513">
        <v>0</v>
      </c>
      <c r="O70" s="513">
        <f t="shared" si="2"/>
        <v>0</v>
      </c>
      <c r="P70" s="269" t="s">
        <v>44</v>
      </c>
      <c r="Q70" s="515" t="s">
        <v>44</v>
      </c>
      <c r="R70" s="513">
        <v>0</v>
      </c>
      <c r="S70" s="515" t="s">
        <v>44</v>
      </c>
      <c r="T70" s="519">
        <v>0</v>
      </c>
      <c r="U70" s="514" t="s">
        <v>44</v>
      </c>
      <c r="V70" s="513">
        <v>0</v>
      </c>
      <c r="W70" s="513">
        <v>0</v>
      </c>
      <c r="X70" s="513">
        <f t="shared" si="4"/>
        <v>0</v>
      </c>
      <c r="Y70" s="268" t="s">
        <v>44</v>
      </c>
      <c r="Z70" s="515" t="s">
        <v>44</v>
      </c>
      <c r="AA70" s="513">
        <f t="shared" si="0"/>
        <v>0</v>
      </c>
      <c r="AB70" s="515">
        <f t="shared" si="1"/>
        <v>0</v>
      </c>
      <c r="AD70" s="2"/>
      <c r="AE70" s="2"/>
      <c r="AF70" s="2"/>
      <c r="AG70" s="2"/>
      <c r="AH70" s="2"/>
      <c r="AI70" s="2"/>
      <c r="AJ70" s="2"/>
      <c r="AK70" s="2"/>
      <c r="AL70" s="2"/>
      <c r="AM70" s="2"/>
    </row>
    <row r="71" spans="1:39" s="367" customFormat="1">
      <c r="A71" s="2" t="s">
        <v>1108</v>
      </c>
      <c r="B71" s="2" t="s">
        <v>1109</v>
      </c>
      <c r="C71" s="235" t="s">
        <v>260</v>
      </c>
      <c r="D71" s="374" t="s">
        <v>584</v>
      </c>
      <c r="E71" s="374">
        <v>44228</v>
      </c>
      <c r="F71" s="374" t="s">
        <v>44</v>
      </c>
      <c r="G71" s="374" t="s">
        <v>44</v>
      </c>
      <c r="H71" s="374" t="s">
        <v>44</v>
      </c>
      <c r="I71" s="235" t="s">
        <v>44</v>
      </c>
      <c r="J71" s="518" t="s">
        <v>44</v>
      </c>
      <c r="K71" s="513">
        <v>50</v>
      </c>
      <c r="L71" s="514" t="s">
        <v>44</v>
      </c>
      <c r="M71" s="513">
        <v>0</v>
      </c>
      <c r="N71" s="513">
        <v>36.818018000000002</v>
      </c>
      <c r="O71" s="513">
        <f t="shared" si="2"/>
        <v>36.818018000000002</v>
      </c>
      <c r="P71" s="269">
        <f t="shared" si="3"/>
        <v>0.73636036000000005</v>
      </c>
      <c r="Q71" s="515">
        <v>-0.1</v>
      </c>
      <c r="R71" s="513">
        <v>0</v>
      </c>
      <c r="S71" s="515" t="s">
        <v>44</v>
      </c>
      <c r="T71" s="519">
        <v>50</v>
      </c>
      <c r="U71" s="514" t="s">
        <v>44</v>
      </c>
      <c r="V71" s="513">
        <v>0</v>
      </c>
      <c r="W71" s="513">
        <v>36.802902000000003</v>
      </c>
      <c r="X71" s="513">
        <f t="shared" si="4"/>
        <v>36.802902000000003</v>
      </c>
      <c r="Y71" s="268">
        <f t="shared" si="5"/>
        <v>0.73605804000000008</v>
      </c>
      <c r="Z71" s="515">
        <v>-0.08</v>
      </c>
      <c r="AA71" s="513">
        <f t="shared" si="0"/>
        <v>-1.5115999999999019E-2</v>
      </c>
      <c r="AB71" s="515">
        <f t="shared" si="1"/>
        <v>-4.1055985142923745E-4</v>
      </c>
      <c r="AD71" s="2"/>
      <c r="AE71" s="2"/>
      <c r="AF71" s="2"/>
      <c r="AG71" s="2"/>
      <c r="AH71" s="2"/>
      <c r="AI71" s="2"/>
      <c r="AJ71" s="2"/>
      <c r="AK71" s="2"/>
      <c r="AL71" s="2"/>
      <c r="AM71" s="2"/>
    </row>
    <row r="72" spans="1:39" s="367" customFormat="1">
      <c r="A72" s="2" t="s">
        <v>1110</v>
      </c>
      <c r="B72" s="2" t="s">
        <v>1111</v>
      </c>
      <c r="C72" s="235" t="s">
        <v>260</v>
      </c>
      <c r="D72" s="374" t="s">
        <v>584</v>
      </c>
      <c r="E72" s="374">
        <v>44228</v>
      </c>
      <c r="F72" s="374" t="s">
        <v>44</v>
      </c>
      <c r="G72" s="374" t="s">
        <v>44</v>
      </c>
      <c r="H72" s="374" t="s">
        <v>44</v>
      </c>
      <c r="I72" s="235" t="s">
        <v>44</v>
      </c>
      <c r="J72" s="518" t="s">
        <v>44</v>
      </c>
      <c r="K72" s="513">
        <v>8.32</v>
      </c>
      <c r="L72" s="514" t="s">
        <v>44</v>
      </c>
      <c r="M72" s="513">
        <v>0</v>
      </c>
      <c r="N72" s="513">
        <v>20.096132000000001</v>
      </c>
      <c r="O72" s="513">
        <f t="shared" si="2"/>
        <v>20.096132000000001</v>
      </c>
      <c r="P72" s="269">
        <f t="shared" si="3"/>
        <v>2.4154004807692306</v>
      </c>
      <c r="Q72" s="515">
        <v>0.36</v>
      </c>
      <c r="R72" s="513">
        <v>0</v>
      </c>
      <c r="S72" s="515" t="s">
        <v>44</v>
      </c>
      <c r="T72" s="519">
        <v>8.32</v>
      </c>
      <c r="U72" s="514" t="s">
        <v>44</v>
      </c>
      <c r="V72" s="513">
        <v>0</v>
      </c>
      <c r="W72" s="513">
        <v>20.081852999999999</v>
      </c>
      <c r="X72" s="513">
        <f t="shared" si="4"/>
        <v>20.081852999999999</v>
      </c>
      <c r="Y72" s="268">
        <f t="shared" si="5"/>
        <v>2.4136842548076922</v>
      </c>
      <c r="Z72" s="515">
        <v>0.26</v>
      </c>
      <c r="AA72" s="513">
        <f t="shared" si="0"/>
        <v>-1.4279000000001929E-2</v>
      </c>
      <c r="AB72" s="515">
        <f t="shared" si="1"/>
        <v>-7.1053474370097458E-4</v>
      </c>
      <c r="AD72" s="2"/>
      <c r="AE72" s="2"/>
      <c r="AF72" s="2"/>
      <c r="AG72" s="2"/>
      <c r="AH72" s="2"/>
      <c r="AI72" s="2"/>
      <c r="AJ72" s="2"/>
      <c r="AK72" s="2"/>
      <c r="AL72" s="2"/>
      <c r="AM72" s="2"/>
    </row>
    <row r="73" spans="1:39" s="367" customFormat="1">
      <c r="A73" s="2" t="s">
        <v>1112</v>
      </c>
      <c r="B73" s="2" t="s">
        <v>1113</v>
      </c>
      <c r="C73" s="235" t="s">
        <v>112</v>
      </c>
      <c r="D73" s="374" t="s">
        <v>584</v>
      </c>
      <c r="E73" s="374">
        <v>44256</v>
      </c>
      <c r="F73" s="374" t="s">
        <v>44</v>
      </c>
      <c r="G73" s="374" t="s">
        <v>44</v>
      </c>
      <c r="H73" s="374" t="s">
        <v>44</v>
      </c>
      <c r="I73" s="235" t="s">
        <v>44</v>
      </c>
      <c r="J73" s="518" t="s">
        <v>44</v>
      </c>
      <c r="K73" s="513">
        <v>35.174999999999997</v>
      </c>
      <c r="L73" s="514" t="s">
        <v>44</v>
      </c>
      <c r="M73" s="513">
        <v>0</v>
      </c>
      <c r="N73" s="513">
        <v>35.070656</v>
      </c>
      <c r="O73" s="513">
        <f t="shared" si="2"/>
        <v>35.070656</v>
      </c>
      <c r="P73" s="269">
        <f t="shared" si="3"/>
        <v>0.99703357498223177</v>
      </c>
      <c r="Q73" s="515" t="s">
        <v>44</v>
      </c>
      <c r="R73" s="513">
        <v>0</v>
      </c>
      <c r="S73" s="515" t="s">
        <v>44</v>
      </c>
      <c r="T73" s="519">
        <v>35.174999999999997</v>
      </c>
      <c r="U73" s="514" t="s">
        <v>44</v>
      </c>
      <c r="V73" s="513">
        <v>0</v>
      </c>
      <c r="W73" s="513">
        <v>35.055230000000002</v>
      </c>
      <c r="X73" s="513">
        <f t="shared" si="4"/>
        <v>35.055230000000002</v>
      </c>
      <c r="Y73" s="268">
        <f t="shared" si="5"/>
        <v>0.99659502487562202</v>
      </c>
      <c r="Z73" s="515" t="s">
        <v>44</v>
      </c>
      <c r="AA73" s="513">
        <f t="shared" si="0"/>
        <v>-1.5425999999997941E-2</v>
      </c>
      <c r="AB73" s="515">
        <f t="shared" si="1"/>
        <v>-4.3985490319875531E-4</v>
      </c>
      <c r="AD73" s="2"/>
      <c r="AE73" s="2"/>
      <c r="AF73" s="2"/>
      <c r="AG73" s="2"/>
      <c r="AH73" s="2"/>
      <c r="AI73" s="2"/>
      <c r="AJ73" s="2"/>
      <c r="AK73" s="2"/>
      <c r="AL73" s="2"/>
      <c r="AM73" s="2"/>
    </row>
    <row r="74" spans="1:39" s="367" customFormat="1">
      <c r="A74" s="2" t="s">
        <v>1114</v>
      </c>
      <c r="B74" s="2" t="s">
        <v>1115</v>
      </c>
      <c r="C74" s="235" t="s">
        <v>273</v>
      </c>
      <c r="D74" s="374" t="s">
        <v>584</v>
      </c>
      <c r="E74" s="374">
        <v>44501</v>
      </c>
      <c r="F74" s="374" t="s">
        <v>44</v>
      </c>
      <c r="G74" s="374" t="s">
        <v>44</v>
      </c>
      <c r="H74" s="374" t="s">
        <v>44</v>
      </c>
      <c r="I74" s="235" t="s">
        <v>44</v>
      </c>
      <c r="J74" s="518" t="s">
        <v>44</v>
      </c>
      <c r="K74" s="513">
        <v>25.556698000000001</v>
      </c>
      <c r="L74" s="514" t="s">
        <v>44</v>
      </c>
      <c r="M74" s="513">
        <v>6.2710869999999996</v>
      </c>
      <c r="N74" s="513">
        <v>30.545345999999999</v>
      </c>
      <c r="O74" s="513">
        <f t="shared" si="2"/>
        <v>36.816432999999996</v>
      </c>
      <c r="P74" s="269">
        <f t="shared" si="3"/>
        <v>1.4405786303066224</v>
      </c>
      <c r="Q74" s="515">
        <v>0.16</v>
      </c>
      <c r="R74" s="513">
        <v>0</v>
      </c>
      <c r="S74" s="515" t="s">
        <v>44</v>
      </c>
      <c r="T74" s="519">
        <f>25.215789+0.340909</f>
        <v>25.556698000000001</v>
      </c>
      <c r="U74" s="514" t="s">
        <v>44</v>
      </c>
      <c r="V74" s="513">
        <v>20.764571</v>
      </c>
      <c r="W74" s="513">
        <f>30.008935+0.042189</f>
        <v>30.051124000000002</v>
      </c>
      <c r="X74" s="513">
        <f t="shared" si="4"/>
        <v>50.815695000000005</v>
      </c>
      <c r="Y74" s="268">
        <f t="shared" si="5"/>
        <v>1.9883513511800313</v>
      </c>
      <c r="Z74" s="515">
        <v>0.28000000000000003</v>
      </c>
      <c r="AA74" s="513">
        <f t="shared" si="0"/>
        <v>13.999262000000009</v>
      </c>
      <c r="AB74" s="515">
        <f t="shared" si="1"/>
        <v>0.38024493030055373</v>
      </c>
      <c r="AD74" s="2"/>
      <c r="AE74" s="2"/>
      <c r="AF74" s="2"/>
      <c r="AG74" s="2"/>
      <c r="AH74" s="2"/>
      <c r="AI74" s="2"/>
      <c r="AJ74" s="2"/>
      <c r="AK74" s="2"/>
      <c r="AL74" s="2"/>
      <c r="AM74" s="2"/>
    </row>
    <row r="75" spans="1:39" s="367" customFormat="1">
      <c r="A75" s="2" t="s">
        <v>1116</v>
      </c>
      <c r="B75" s="2" t="s">
        <v>1117</v>
      </c>
      <c r="C75" s="235" t="s">
        <v>260</v>
      </c>
      <c r="D75" s="374" t="s">
        <v>261</v>
      </c>
      <c r="E75" s="374">
        <v>44136</v>
      </c>
      <c r="F75" s="374">
        <v>44136</v>
      </c>
      <c r="G75" s="374" t="s">
        <v>1118</v>
      </c>
      <c r="H75" s="511"/>
      <c r="I75" s="235"/>
      <c r="J75" s="518">
        <f t="shared" ref="J75:J78" si="6">YEAR(H75)-YEAR(E75)</f>
        <v>-120</v>
      </c>
      <c r="K75" s="513">
        <v>19.931785999999999</v>
      </c>
      <c r="L75" s="514" t="s">
        <v>44</v>
      </c>
      <c r="M75" s="513">
        <v>40.731141999999998</v>
      </c>
      <c r="N75" s="513">
        <v>0</v>
      </c>
      <c r="O75" s="513">
        <f t="shared" si="2"/>
        <v>40.731141999999998</v>
      </c>
      <c r="P75" s="269">
        <f t="shared" si="3"/>
        <v>2.0435269573935821</v>
      </c>
      <c r="Q75" s="515">
        <v>2.2799999999999998</v>
      </c>
      <c r="R75" s="513">
        <v>0</v>
      </c>
      <c r="S75" s="515" t="s">
        <v>44</v>
      </c>
      <c r="T75" s="519">
        <f>K75</f>
        <v>19.931785999999999</v>
      </c>
      <c r="U75" s="514" t="s">
        <v>44</v>
      </c>
      <c r="V75" s="513">
        <f>M75</f>
        <v>40.731141999999998</v>
      </c>
      <c r="W75" s="513">
        <v>0</v>
      </c>
      <c r="X75" s="513">
        <f t="shared" si="4"/>
        <v>40.731141999999998</v>
      </c>
      <c r="Y75" s="268">
        <f t="shared" si="5"/>
        <v>2.0435269573935821</v>
      </c>
      <c r="Z75" s="515">
        <v>2.2799999999999998</v>
      </c>
      <c r="AA75" s="513">
        <f t="shared" si="0"/>
        <v>0</v>
      </c>
      <c r="AB75" s="515">
        <f t="shared" si="1"/>
        <v>0</v>
      </c>
      <c r="AD75" s="2"/>
      <c r="AE75" s="2"/>
      <c r="AF75" s="2"/>
      <c r="AG75" s="2"/>
      <c r="AH75" s="2"/>
      <c r="AI75" s="2"/>
      <c r="AJ75" s="2"/>
      <c r="AK75" s="2"/>
      <c r="AL75" s="2"/>
      <c r="AM75" s="2"/>
    </row>
    <row r="76" spans="1:39" s="367" customFormat="1">
      <c r="A76" s="2" t="s">
        <v>1119</v>
      </c>
      <c r="B76" s="2" t="s">
        <v>1120</v>
      </c>
      <c r="C76" s="235" t="s">
        <v>1121</v>
      </c>
      <c r="D76" s="374" t="s">
        <v>261</v>
      </c>
      <c r="E76" s="374">
        <v>44166</v>
      </c>
      <c r="F76" s="374">
        <v>44166</v>
      </c>
      <c r="G76" s="374" t="s">
        <v>1122</v>
      </c>
      <c r="H76" s="511"/>
      <c r="I76" s="235"/>
      <c r="J76" s="518">
        <f t="shared" si="6"/>
        <v>-120</v>
      </c>
      <c r="K76" s="513">
        <v>2.9989539999999999</v>
      </c>
      <c r="L76" s="514" t="s">
        <v>44</v>
      </c>
      <c r="M76" s="513">
        <v>6.4353100000000003</v>
      </c>
      <c r="N76" s="513">
        <v>0</v>
      </c>
      <c r="O76" s="513">
        <f t="shared" si="2"/>
        <v>6.4353100000000003</v>
      </c>
      <c r="P76" s="269">
        <f t="shared" si="3"/>
        <v>2.1458515202300537</v>
      </c>
      <c r="Q76" s="515">
        <v>4.1100000000000003</v>
      </c>
      <c r="R76" s="513">
        <v>0</v>
      </c>
      <c r="S76" s="515" t="s">
        <v>44</v>
      </c>
      <c r="T76" s="519">
        <f t="shared" ref="T76:T77" si="7">K76</f>
        <v>2.9989539999999999</v>
      </c>
      <c r="U76" s="514" t="s">
        <v>44</v>
      </c>
      <c r="V76" s="513">
        <f t="shared" ref="V76:V77" si="8">M76</f>
        <v>6.4353100000000003</v>
      </c>
      <c r="W76" s="513">
        <v>0</v>
      </c>
      <c r="X76" s="513">
        <f t="shared" si="4"/>
        <v>6.4353100000000003</v>
      </c>
      <c r="Y76" s="268">
        <f t="shared" si="5"/>
        <v>2.1458515202300537</v>
      </c>
      <c r="Z76" s="515">
        <v>4.1100000000000003</v>
      </c>
      <c r="AA76" s="513">
        <f t="shared" si="0"/>
        <v>0</v>
      </c>
      <c r="AB76" s="515">
        <f t="shared" si="1"/>
        <v>0</v>
      </c>
      <c r="AD76" s="2"/>
      <c r="AE76" s="2"/>
      <c r="AF76" s="2"/>
      <c r="AG76" s="2"/>
      <c r="AH76" s="2"/>
      <c r="AI76" s="2"/>
      <c r="AJ76" s="2"/>
      <c r="AK76" s="2"/>
      <c r="AL76" s="2"/>
      <c r="AM76" s="2"/>
    </row>
    <row r="77" spans="1:39" s="367" customFormat="1">
      <c r="A77" s="2" t="s">
        <v>1123</v>
      </c>
      <c r="B77" s="2" t="s">
        <v>1124</v>
      </c>
      <c r="C77" s="235" t="s">
        <v>112</v>
      </c>
      <c r="D77" s="374" t="s">
        <v>261</v>
      </c>
      <c r="E77" s="374">
        <v>44256</v>
      </c>
      <c r="F77" s="374" t="s">
        <v>647</v>
      </c>
      <c r="G77" s="374" t="s">
        <v>1125</v>
      </c>
      <c r="H77" s="511"/>
      <c r="I77" s="235"/>
      <c r="J77" s="518">
        <f t="shared" si="6"/>
        <v>-121</v>
      </c>
      <c r="K77" s="513">
        <v>19.505147000000001</v>
      </c>
      <c r="L77" s="514" t="s">
        <v>44</v>
      </c>
      <c r="M77" s="513">
        <v>11.203569</v>
      </c>
      <c r="N77" s="513">
        <v>0</v>
      </c>
      <c r="O77" s="513">
        <f t="shared" si="2"/>
        <v>11.203569</v>
      </c>
      <c r="P77" s="269">
        <f t="shared" si="3"/>
        <v>0.57439039039285367</v>
      </c>
      <c r="Q77" s="515">
        <v>-0.24</v>
      </c>
      <c r="R77" s="513">
        <v>0</v>
      </c>
      <c r="S77" s="515" t="s">
        <v>44</v>
      </c>
      <c r="T77" s="519">
        <f t="shared" si="7"/>
        <v>19.505147000000001</v>
      </c>
      <c r="U77" s="514" t="s">
        <v>44</v>
      </c>
      <c r="V77" s="513">
        <f t="shared" si="8"/>
        <v>11.203569</v>
      </c>
      <c r="W77" s="513">
        <v>0</v>
      </c>
      <c r="X77" s="513">
        <f t="shared" si="4"/>
        <v>11.203569</v>
      </c>
      <c r="Y77" s="268">
        <f t="shared" si="5"/>
        <v>0.57439039039285367</v>
      </c>
      <c r="Z77" s="515">
        <v>-0.24</v>
      </c>
      <c r="AA77" s="513">
        <f t="shared" si="0"/>
        <v>0</v>
      </c>
      <c r="AB77" s="515">
        <f t="shared" si="1"/>
        <v>0</v>
      </c>
      <c r="AD77" s="2"/>
      <c r="AE77" s="2"/>
      <c r="AF77" s="2"/>
      <c r="AG77" s="2"/>
      <c r="AH77" s="2"/>
      <c r="AI77" s="2"/>
      <c r="AJ77" s="2"/>
      <c r="AK77" s="2"/>
      <c r="AL77" s="2"/>
      <c r="AM77" s="2"/>
    </row>
    <row r="78" spans="1:39" s="367" customFormat="1">
      <c r="A78" s="2" t="s">
        <v>1126</v>
      </c>
      <c r="B78" s="2" t="s">
        <v>44</v>
      </c>
      <c r="C78" s="235"/>
      <c r="D78" s="374" t="s">
        <v>261</v>
      </c>
      <c r="E78" s="374">
        <v>44044</v>
      </c>
      <c r="F78" s="374" t="s">
        <v>44</v>
      </c>
      <c r="G78" s="374" t="s">
        <v>44</v>
      </c>
      <c r="H78" s="511"/>
      <c r="I78" s="235"/>
      <c r="J78" s="518">
        <f t="shared" si="6"/>
        <v>-120</v>
      </c>
      <c r="K78" s="513">
        <v>50</v>
      </c>
      <c r="L78" s="514" t="s">
        <v>44</v>
      </c>
      <c r="M78" s="513">
        <v>21.635303</v>
      </c>
      <c r="N78" s="513">
        <v>0</v>
      </c>
      <c r="O78" s="513">
        <f t="shared" si="2"/>
        <v>21.635303</v>
      </c>
      <c r="P78" s="269">
        <f t="shared" si="3"/>
        <v>0.43270606</v>
      </c>
      <c r="Q78" s="515">
        <v>-0.39</v>
      </c>
      <c r="R78" s="513">
        <v>0</v>
      </c>
      <c r="S78" s="515" t="s">
        <v>44</v>
      </c>
      <c r="T78" s="519">
        <v>50</v>
      </c>
      <c r="U78" s="514" t="s">
        <v>44</v>
      </c>
      <c r="V78" s="513">
        <v>21.635303</v>
      </c>
      <c r="W78" s="513">
        <v>0</v>
      </c>
      <c r="X78" s="513">
        <f t="shared" si="4"/>
        <v>21.635303</v>
      </c>
      <c r="Y78" s="268">
        <f t="shared" si="5"/>
        <v>0.43270606</v>
      </c>
      <c r="Z78" s="515">
        <v>-0.39</v>
      </c>
      <c r="AA78" s="513">
        <f t="shared" si="0"/>
        <v>0</v>
      </c>
      <c r="AB78" s="515">
        <f t="shared" si="1"/>
        <v>0</v>
      </c>
      <c r="AD78" s="2"/>
      <c r="AE78" s="2"/>
      <c r="AF78" s="2"/>
      <c r="AG78" s="2"/>
      <c r="AH78" s="2"/>
      <c r="AI78" s="2"/>
      <c r="AJ78" s="2"/>
      <c r="AK78" s="2"/>
      <c r="AL78" s="2"/>
      <c r="AM78" s="2"/>
    </row>
    <row r="79" spans="1:39" s="367" customFormat="1">
      <c r="A79" s="2" t="s">
        <v>1127</v>
      </c>
      <c r="B79" s="2" t="s">
        <v>1128</v>
      </c>
      <c r="C79" s="235" t="s">
        <v>44</v>
      </c>
      <c r="D79" s="374" t="s">
        <v>276</v>
      </c>
      <c r="E79" s="374" t="s">
        <v>44</v>
      </c>
      <c r="F79" s="374" t="s">
        <v>44</v>
      </c>
      <c r="G79" s="374" t="s">
        <v>44</v>
      </c>
      <c r="H79" s="374"/>
      <c r="I79" s="235"/>
      <c r="J79" s="518"/>
      <c r="K79" s="513">
        <f>1202.746712-SUM(K32:K74)</f>
        <v>138.81558899999959</v>
      </c>
      <c r="L79" s="514" t="s">
        <v>44</v>
      </c>
      <c r="M79" s="513">
        <f>73.225824-SUM(M32:M74)</f>
        <v>54.212659000000002</v>
      </c>
      <c r="N79" s="513">
        <f>1155.963472-SUM(N32:N74)</f>
        <v>165.01623299999972</v>
      </c>
      <c r="O79" s="513">
        <f t="shared" si="2"/>
        <v>219.22889199999972</v>
      </c>
      <c r="P79" s="269">
        <f t="shared" si="3"/>
        <v>1.5792815027424647</v>
      </c>
      <c r="Q79" s="515" t="s">
        <v>44</v>
      </c>
      <c r="R79" s="513">
        <v>0</v>
      </c>
      <c r="S79" s="515" t="s">
        <v>44</v>
      </c>
      <c r="T79" s="519">
        <f>1192.346724-SUM(T58:T74,T32:T56)</f>
        <v>188.3191710000001</v>
      </c>
      <c r="U79" s="514" t="s">
        <v>44</v>
      </c>
      <c r="V79" s="559">
        <f>194.623029-SUM(V58:V74,V32:V56)</f>
        <v>106.738427</v>
      </c>
      <c r="W79" s="559">
        <f>926.559711-SUM(W58:W74,W32:W56)</f>
        <v>170.24997499999984</v>
      </c>
      <c r="X79" s="513">
        <f t="shared" si="4"/>
        <v>276.98840199999984</v>
      </c>
      <c r="Y79" s="268">
        <f t="shared" si="5"/>
        <v>1.4708454828531488</v>
      </c>
      <c r="Z79" s="515" t="s">
        <v>44</v>
      </c>
      <c r="AA79" s="513">
        <f t="shared" si="0"/>
        <v>57.75951000000012</v>
      </c>
      <c r="AB79" s="515">
        <f t="shared" si="1"/>
        <v>0.26346668759334957</v>
      </c>
      <c r="AD79" s="2"/>
      <c r="AE79" s="2"/>
      <c r="AF79" s="2"/>
      <c r="AG79" s="2"/>
      <c r="AH79" s="2"/>
      <c r="AI79" s="2"/>
      <c r="AJ79" s="2"/>
      <c r="AK79" s="2"/>
      <c r="AL79" s="2"/>
      <c r="AM79" s="2"/>
    </row>
    <row r="81" spans="1:40" s="520" customFormat="1" ht="12" thickBot="1">
      <c r="A81" s="520" t="s">
        <v>45</v>
      </c>
      <c r="K81" s="521">
        <f>SUM(K32:K79)</f>
        <v>1295.182599</v>
      </c>
      <c r="M81" s="522">
        <f>SUM(M32:M79)</f>
        <v>153.23114799999999</v>
      </c>
      <c r="N81" s="522">
        <f>SUM(N32:N79)</f>
        <v>1155.9634719999999</v>
      </c>
      <c r="O81" s="522">
        <f>SUM(O32:O79)</f>
        <v>1309.19462</v>
      </c>
      <c r="P81" s="523">
        <f t="shared" si="3"/>
        <v>1.0108185679847912</v>
      </c>
      <c r="Q81" s="524" t="s">
        <v>44</v>
      </c>
      <c r="R81" s="524" t="s">
        <v>44</v>
      </c>
      <c r="S81" s="524" t="s">
        <v>44</v>
      </c>
      <c r="T81" s="571">
        <f>SUM(T32:T79)</f>
        <v>1344.7826110000003</v>
      </c>
      <c r="V81" s="522">
        <f>SUM(V32:V79)</f>
        <v>344.94769499999995</v>
      </c>
      <c r="W81" s="522">
        <f>SUM(W32:W79)</f>
        <v>926.55971099999999</v>
      </c>
      <c r="X81" s="573">
        <f>SUM(X32:X79)</f>
        <v>1271.5074059999997</v>
      </c>
      <c r="Y81" s="523">
        <f t="shared" ref="Y81" si="9">X81/T81</f>
        <v>0.94551148683762942</v>
      </c>
      <c r="Z81" s="525" t="s">
        <v>44</v>
      </c>
      <c r="AA81" s="525">
        <f t="shared" ref="AA81" si="10">X81-O81</f>
        <v>-37.687214000000267</v>
      </c>
      <c r="AB81" s="526">
        <f t="shared" ref="AB81" si="11">IFERROR(X81/O81-1,0)</f>
        <v>-2.878656345226982E-2</v>
      </c>
      <c r="AC81" s="527"/>
      <c r="AN81" s="527"/>
    </row>
    <row r="83" spans="1:40" s="389" customFormat="1">
      <c r="A83" s="388" t="s">
        <v>277</v>
      </c>
      <c r="K83" s="528">
        <f>SUMIF($D$32:$D$79,"Unrealized",K$32:K$79)+SUMIF($D$32:$D$79,"Partial Realized",K$32:K$79)</f>
        <v>1142.7467119999997</v>
      </c>
      <c r="M83" s="529">
        <f>SUMIF($D$32:$D$79,"Unrealized",M$32:M$79)+SUMIF($D$32:$D$79,"Partial Realized",M$32:M$79)</f>
        <v>73.225823999999989</v>
      </c>
      <c r="N83" s="529">
        <f>SUMIF($D$32:$D$79,"Unrealized",N$32:N$79)+SUMIF($D$32:$D$79,"Partial Realized",N$32:N$79)</f>
        <v>1085.6441299999997</v>
      </c>
      <c r="O83" s="529">
        <f>SUMIF($D$32:$D$79,"Unrealized",O$32:O$79)+SUMIF($D$32:$D$79,"Partial Realized",O$32:O$79)</f>
        <v>1158.8699539999998</v>
      </c>
      <c r="P83" s="530">
        <f t="shared" si="3"/>
        <v>1.0141092000796763</v>
      </c>
      <c r="R83" s="531" t="s">
        <v>44</v>
      </c>
      <c r="S83" s="532" t="s">
        <v>44</v>
      </c>
      <c r="T83" s="528">
        <f>SUMIF($D$32:$D$79,"Unrealized",T$32:T$79)+SUMIF($D$32:$D$79,"Partial Realized",T$32:T$79)</f>
        <v>1192.346724</v>
      </c>
      <c r="V83" s="529">
        <f>SUMIF($D$32:$D$79,"Unrealized",V$32:V$79)+SUMIF($D$32:$D$79,"Partial Realized",V$32:V$79)</f>
        <v>194.623029</v>
      </c>
      <c r="W83" s="529">
        <f>SUMIF($D$32:$D$79,"Unrealized",W$32:W$79)+SUMIF($D$32:$D$79,"Partial Realized",W$32:W$79)</f>
        <v>926.55971099999988</v>
      </c>
      <c r="X83" s="529">
        <f>SUMIF($D$32:$D$79,"Unrealized",X$32:X$79)+SUMIF($D$32:$D$79,"Partial Realized",X$32:X$79)</f>
        <v>1121.1827399999997</v>
      </c>
      <c r="Y83" s="530">
        <f t="shared" ref="Y83:Y84" si="12">X83/T83</f>
        <v>0.94031603176527012</v>
      </c>
      <c r="AA83" s="533">
        <f t="shared" ref="AA83:AA84" si="13">X83-O83</f>
        <v>-37.68721400000004</v>
      </c>
      <c r="AB83" s="534">
        <f t="shared" ref="AB83:AB84" si="14">IFERROR(X83/O83-1,0)</f>
        <v>-3.2520658482789511E-2</v>
      </c>
      <c r="AN83" s="535"/>
    </row>
    <row r="84" spans="1:40" s="389" customFormat="1">
      <c r="A84" s="388" t="s">
        <v>278</v>
      </c>
      <c r="K84" s="528">
        <f>SUMIF($D$32:$D$79,"Realized",K$32:K$79)+SUMIF($D$32:$D$79,"Write-off",K$32:K$79)</f>
        <v>152.43588700000001</v>
      </c>
      <c r="M84" s="529">
        <f>SUMIF($D$32:$D$79,"Realized",M$32:M$79)+SUMIF($D$32:$D$79,"Write-off",M$32:M$79)</f>
        <v>80.005324000000002</v>
      </c>
      <c r="N84" s="529">
        <f>SUMIF($D$32:$D$79,"Realized",N$32:N$79)+SUMIF($D$32:$D$79,"Write-off",N$32:N$79)</f>
        <v>70.319342000000006</v>
      </c>
      <c r="O84" s="529">
        <f>SUMIF($D$32:$D$79,"Realized",O$32:O$79)+SUMIF($D$32:$D$79,"Write-off",O$32:O$79)</f>
        <v>150.32466600000001</v>
      </c>
      <c r="P84" s="530">
        <f t="shared" si="3"/>
        <v>0.98615010519143698</v>
      </c>
      <c r="R84" s="531" t="s">
        <v>44</v>
      </c>
      <c r="S84" s="532" t="s">
        <v>44</v>
      </c>
      <c r="T84" s="528">
        <f>SUMIF($D$32:$D$79,"Realized",T$32:T$79)+SUMIF($D$32:$D$79,"Write-off",T$32:T$79)</f>
        <v>152.43588700000001</v>
      </c>
      <c r="V84" s="529">
        <f>SUMIF($D$32:$D$79,"Realized",V$32:V$79)+SUMIF($D$32:$D$79,"Write-off",V$32:V$79)</f>
        <v>150.32466600000001</v>
      </c>
      <c r="W84" s="529">
        <f>SUMIF($D$32:$D$79,"Realized",W$32:W$79)+SUMIF($D$32:$D$79,"Write-off",W$32:W$79)</f>
        <v>0</v>
      </c>
      <c r="X84" s="529">
        <f>SUMIF($D$32:$D$79,"Realized",X$32:X$79)+SUMIF($D$32:$D$79,"Write-off",X$32:X$79)</f>
        <v>150.32466600000001</v>
      </c>
      <c r="Y84" s="530">
        <f t="shared" si="12"/>
        <v>0.98615010519143698</v>
      </c>
      <c r="AA84" s="533">
        <f t="shared" si="13"/>
        <v>0</v>
      </c>
      <c r="AB84" s="534">
        <f t="shared" si="14"/>
        <v>0</v>
      </c>
      <c r="AN84" s="535"/>
    </row>
    <row r="87" spans="1:40" s="536" customFormat="1">
      <c r="A87" s="536" t="s">
        <v>279</v>
      </c>
      <c r="K87" s="537"/>
      <c r="T87" s="537"/>
      <c r="AC87" s="537"/>
      <c r="AN87" s="537"/>
    </row>
    <row r="88" spans="1:40" ht="13.5" customHeight="1">
      <c r="K88" s="538" t="s">
        <v>236</v>
      </c>
      <c r="L88" s="539"/>
      <c r="M88" s="539"/>
      <c r="N88" s="539"/>
      <c r="O88" s="539"/>
      <c r="P88" s="539"/>
      <c r="Q88" s="540"/>
      <c r="R88" s="540"/>
      <c r="S88" s="539"/>
      <c r="T88" s="503" t="s">
        <v>237</v>
      </c>
      <c r="U88" s="504"/>
      <c r="V88" s="504"/>
      <c r="W88" s="504"/>
      <c r="X88" s="504"/>
      <c r="Y88" s="504"/>
      <c r="Z88" s="505"/>
      <c r="AA88" s="505"/>
      <c r="AB88" s="504"/>
      <c r="AC88" s="503" t="s">
        <v>238</v>
      </c>
      <c r="AD88" s="504"/>
      <c r="AE88" s="504"/>
      <c r="AF88" s="504"/>
      <c r="AG88" s="539"/>
      <c r="AH88" s="539"/>
      <c r="AI88" s="540"/>
      <c r="AJ88" s="540"/>
      <c r="AK88" s="540"/>
      <c r="AL88" s="540"/>
      <c r="AM88" s="539"/>
    </row>
    <row r="89" spans="1:40" s="141" customFormat="1" ht="39.75" customHeight="1">
      <c r="A89" s="138" t="s">
        <v>239</v>
      </c>
      <c r="B89" s="139" t="s">
        <v>240</v>
      </c>
      <c r="C89" s="139" t="s">
        <v>69</v>
      </c>
      <c r="D89" s="139" t="s">
        <v>1129</v>
      </c>
      <c r="E89" s="139" t="s">
        <v>242</v>
      </c>
      <c r="F89" s="139" t="s">
        <v>243</v>
      </c>
      <c r="G89" s="139"/>
      <c r="H89" s="139" t="s">
        <v>245</v>
      </c>
      <c r="I89" s="139" t="s">
        <v>246</v>
      </c>
      <c r="J89" s="501" t="s">
        <v>247</v>
      </c>
      <c r="K89" s="541" t="s">
        <v>280</v>
      </c>
      <c r="L89" s="542"/>
      <c r="M89" s="543"/>
      <c r="N89" s="542"/>
      <c r="O89" s="541" t="s">
        <v>281</v>
      </c>
      <c r="P89" s="542"/>
      <c r="Q89" s="543"/>
      <c r="R89" s="542"/>
      <c r="S89" s="544"/>
      <c r="T89" s="541" t="s">
        <v>280</v>
      </c>
      <c r="U89" s="542"/>
      <c r="V89" s="543"/>
      <c r="W89" s="542"/>
      <c r="X89" s="541" t="s">
        <v>281</v>
      </c>
      <c r="Y89" s="542"/>
      <c r="Z89" s="543"/>
      <c r="AA89" s="542"/>
      <c r="AB89" s="544"/>
      <c r="AC89" s="541" t="s">
        <v>280</v>
      </c>
      <c r="AD89" s="542"/>
      <c r="AE89" s="543"/>
      <c r="AF89" s="542"/>
      <c r="AG89" s="541" t="s">
        <v>281</v>
      </c>
      <c r="AH89" s="542"/>
      <c r="AI89" s="543"/>
      <c r="AJ89" s="542"/>
      <c r="AK89" s="545"/>
      <c r="AL89" s="545"/>
      <c r="AM89" s="544"/>
      <c r="AN89" s="510"/>
    </row>
    <row r="90" spans="1:40">
      <c r="C90" s="235"/>
      <c r="D90" s="374"/>
      <c r="E90" s="374"/>
      <c r="F90" s="374"/>
      <c r="G90" s="374"/>
      <c r="H90" s="374"/>
      <c r="I90" s="235"/>
      <c r="J90" s="512" t="s">
        <v>44</v>
      </c>
      <c r="N90" s="553"/>
      <c r="S90" s="368"/>
      <c r="W90" s="553"/>
      <c r="AB90" s="368"/>
      <c r="AF90" s="553"/>
      <c r="AG90" s="367"/>
      <c r="AM90" s="368"/>
    </row>
    <row r="91" spans="1:40">
      <c r="C91" s="235"/>
      <c r="D91" s="374"/>
      <c r="E91" s="374"/>
      <c r="F91" s="374"/>
      <c r="G91" s="374"/>
      <c r="H91" s="374"/>
      <c r="I91" s="235"/>
      <c r="J91" s="518" t="s">
        <v>44</v>
      </c>
      <c r="N91" s="368"/>
      <c r="S91" s="368"/>
      <c r="W91" s="368"/>
      <c r="AB91" s="368"/>
      <c r="AF91" s="368"/>
      <c r="AG91" s="367"/>
      <c r="AM91" s="368"/>
    </row>
    <row r="92" spans="1:40">
      <c r="C92" s="235"/>
      <c r="D92" s="374"/>
      <c r="E92" s="374"/>
      <c r="F92" s="374"/>
      <c r="G92" s="374"/>
      <c r="H92" s="374"/>
      <c r="I92" s="235"/>
      <c r="J92" s="518" t="s">
        <v>44</v>
      </c>
      <c r="N92" s="368"/>
      <c r="S92" s="368"/>
      <c r="W92" s="368"/>
      <c r="AB92" s="368"/>
      <c r="AF92" s="368"/>
      <c r="AG92" s="367"/>
      <c r="AM92" s="368"/>
    </row>
    <row r="93" spans="1:40">
      <c r="C93" s="235"/>
      <c r="D93" s="374"/>
      <c r="E93" s="374"/>
      <c r="F93" s="374"/>
      <c r="G93" s="374"/>
      <c r="H93" s="374"/>
      <c r="I93" s="235"/>
      <c r="J93" s="518">
        <f>YEAR(H93)-YEAR(E93)</f>
        <v>0</v>
      </c>
      <c r="N93" s="368"/>
      <c r="S93" s="368"/>
      <c r="W93" s="368"/>
      <c r="AB93" s="368"/>
      <c r="AF93" s="368"/>
      <c r="AG93" s="367"/>
      <c r="AM93" s="368"/>
    </row>
    <row r="94" spans="1:40">
      <c r="C94" s="235"/>
      <c r="D94" s="374"/>
      <c r="E94" s="374"/>
      <c r="F94" s="374"/>
      <c r="G94" s="374"/>
      <c r="H94" s="374"/>
      <c r="I94" s="235"/>
      <c r="J94" s="518" t="s">
        <v>44</v>
      </c>
      <c r="N94" s="368"/>
      <c r="S94" s="368"/>
      <c r="W94" s="368"/>
      <c r="AB94" s="368"/>
      <c r="AF94" s="368"/>
      <c r="AG94" s="367"/>
      <c r="AM94" s="368"/>
    </row>
    <row r="95" spans="1:40">
      <c r="C95" s="235"/>
      <c r="D95" s="374"/>
      <c r="E95" s="374"/>
      <c r="F95" s="374"/>
      <c r="G95" s="374"/>
      <c r="H95" s="374"/>
      <c r="I95" s="235"/>
      <c r="J95" s="518" t="s">
        <v>44</v>
      </c>
      <c r="N95" s="368"/>
      <c r="S95" s="368"/>
      <c r="W95" s="368"/>
      <c r="AB95" s="368"/>
      <c r="AF95" s="368"/>
      <c r="AG95" s="367"/>
      <c r="AM95" s="368"/>
    </row>
    <row r="96" spans="1:40" s="367" customFormat="1">
      <c r="A96" s="2"/>
      <c r="B96" s="2"/>
      <c r="C96" s="235"/>
      <c r="D96" s="374"/>
      <c r="E96" s="374"/>
      <c r="F96" s="374"/>
      <c r="G96" s="374"/>
      <c r="H96" s="374"/>
      <c r="I96" s="235"/>
      <c r="J96" s="518" t="s">
        <v>44</v>
      </c>
      <c r="L96" s="2"/>
      <c r="M96" s="2"/>
      <c r="N96" s="368"/>
      <c r="O96" s="2"/>
      <c r="P96" s="2"/>
      <c r="Q96" s="2"/>
      <c r="R96" s="2"/>
      <c r="S96" s="368"/>
      <c r="U96" s="2"/>
      <c r="V96" s="2"/>
      <c r="W96" s="368"/>
      <c r="X96" s="2"/>
      <c r="Y96" s="2"/>
      <c r="Z96" s="2"/>
      <c r="AA96" s="2"/>
      <c r="AB96" s="368"/>
      <c r="AD96" s="2"/>
      <c r="AE96" s="2"/>
      <c r="AF96" s="368"/>
      <c r="AH96" s="2"/>
      <c r="AI96" s="2"/>
      <c r="AJ96" s="2"/>
      <c r="AK96" s="2"/>
      <c r="AL96" s="2"/>
      <c r="AM96" s="368"/>
    </row>
    <row r="97" spans="1:39" s="367" customFormat="1">
      <c r="A97" s="2"/>
      <c r="B97" s="2"/>
      <c r="C97" s="235"/>
      <c r="D97" s="374"/>
      <c r="E97" s="374"/>
      <c r="F97" s="374"/>
      <c r="G97" s="374"/>
      <c r="H97" s="374"/>
      <c r="I97" s="235"/>
      <c r="J97" s="518" t="s">
        <v>44</v>
      </c>
      <c r="L97" s="2"/>
      <c r="M97" s="2"/>
      <c r="N97" s="368"/>
      <c r="O97" s="2"/>
      <c r="P97" s="2"/>
      <c r="Q97" s="2"/>
      <c r="R97" s="2"/>
      <c r="S97" s="368"/>
      <c r="U97" s="2"/>
      <c r="V97" s="2"/>
      <c r="W97" s="368"/>
      <c r="X97" s="2"/>
      <c r="Y97" s="2"/>
      <c r="Z97" s="2"/>
      <c r="AA97" s="2"/>
      <c r="AB97" s="368"/>
      <c r="AD97" s="2"/>
      <c r="AE97" s="2"/>
      <c r="AF97" s="368"/>
      <c r="AH97" s="2"/>
      <c r="AI97" s="2"/>
      <c r="AJ97" s="2"/>
      <c r="AK97" s="2"/>
      <c r="AL97" s="2"/>
      <c r="AM97" s="368"/>
    </row>
    <row r="98" spans="1:39" s="367" customFormat="1">
      <c r="A98" s="2"/>
      <c r="B98" s="2"/>
      <c r="C98" s="235"/>
      <c r="D98" s="374"/>
      <c r="E98" s="374"/>
      <c r="F98" s="374"/>
      <c r="G98" s="374"/>
      <c r="H98" s="374"/>
      <c r="I98" s="235"/>
      <c r="J98" s="518" t="s">
        <v>44</v>
      </c>
      <c r="L98" s="2"/>
      <c r="M98" s="2"/>
      <c r="N98" s="368"/>
      <c r="O98" s="2"/>
      <c r="P98" s="2"/>
      <c r="Q98" s="2"/>
      <c r="R98" s="2"/>
      <c r="S98" s="368"/>
      <c r="U98" s="2"/>
      <c r="V98" s="2"/>
      <c r="W98" s="368"/>
      <c r="X98" s="2"/>
      <c r="Y98" s="2"/>
      <c r="Z98" s="2"/>
      <c r="AA98" s="2"/>
      <c r="AB98" s="368"/>
      <c r="AD98" s="2"/>
      <c r="AE98" s="2"/>
      <c r="AF98" s="368"/>
      <c r="AH98" s="2"/>
      <c r="AI98" s="2"/>
      <c r="AJ98" s="2"/>
      <c r="AK98" s="2"/>
      <c r="AL98" s="2"/>
      <c r="AM98" s="368"/>
    </row>
    <row r="99" spans="1:39" s="367" customFormat="1">
      <c r="A99" s="2"/>
      <c r="B99" s="2"/>
      <c r="C99" s="235"/>
      <c r="D99" s="374"/>
      <c r="E99" s="374"/>
      <c r="F99" s="374"/>
      <c r="G99" s="374"/>
      <c r="H99" s="374"/>
      <c r="I99" s="235"/>
      <c r="J99" s="518" t="s">
        <v>44</v>
      </c>
      <c r="L99" s="2"/>
      <c r="M99" s="2"/>
      <c r="N99" s="368"/>
      <c r="O99" s="2"/>
      <c r="P99" s="2"/>
      <c r="Q99" s="2"/>
      <c r="R99" s="2"/>
      <c r="S99" s="368"/>
      <c r="U99" s="2"/>
      <c r="V99" s="2"/>
      <c r="W99" s="368"/>
      <c r="X99" s="2"/>
      <c r="Y99" s="2"/>
      <c r="Z99" s="2"/>
      <c r="AA99" s="2"/>
      <c r="AB99" s="368"/>
      <c r="AD99" s="2"/>
      <c r="AE99" s="2"/>
      <c r="AF99" s="368"/>
      <c r="AH99" s="2"/>
      <c r="AI99" s="2"/>
      <c r="AJ99" s="2"/>
      <c r="AK99" s="2"/>
      <c r="AL99" s="2"/>
      <c r="AM99" s="368"/>
    </row>
    <row r="100" spans="1:39" s="367" customFormat="1">
      <c r="A100" s="2"/>
      <c r="B100" s="2"/>
      <c r="C100" s="235"/>
      <c r="D100" s="374"/>
      <c r="E100" s="374"/>
      <c r="F100" s="374"/>
      <c r="G100" s="374"/>
      <c r="H100" s="374"/>
      <c r="I100" s="235"/>
      <c r="J100" s="518" t="s">
        <v>44</v>
      </c>
      <c r="L100" s="2"/>
      <c r="M100" s="2"/>
      <c r="N100" s="368"/>
      <c r="O100" s="2"/>
      <c r="P100" s="2"/>
      <c r="Q100" s="2"/>
      <c r="R100" s="2"/>
      <c r="S100" s="368"/>
      <c r="U100" s="2"/>
      <c r="V100" s="2"/>
      <c r="W100" s="368"/>
      <c r="X100" s="2"/>
      <c r="Y100" s="2"/>
      <c r="Z100" s="2"/>
      <c r="AA100" s="2"/>
      <c r="AB100" s="368"/>
      <c r="AD100" s="2"/>
      <c r="AE100" s="2"/>
      <c r="AF100" s="368"/>
      <c r="AH100" s="2"/>
      <c r="AI100" s="2"/>
      <c r="AJ100" s="2"/>
      <c r="AK100" s="2"/>
      <c r="AL100" s="2"/>
      <c r="AM100" s="368"/>
    </row>
    <row r="101" spans="1:39" s="367" customFormat="1">
      <c r="A101" s="2"/>
      <c r="B101" s="2"/>
      <c r="C101" s="235"/>
      <c r="D101" s="374"/>
      <c r="E101" s="374"/>
      <c r="F101" s="374"/>
      <c r="G101" s="374"/>
      <c r="H101" s="374"/>
      <c r="I101" s="235"/>
      <c r="J101" s="518">
        <f>YEAR(H101)-YEAR(E101)</f>
        <v>0</v>
      </c>
      <c r="L101" s="2"/>
      <c r="M101" s="2"/>
      <c r="N101" s="368"/>
      <c r="O101" s="2"/>
      <c r="P101" s="2"/>
      <c r="Q101" s="2"/>
      <c r="R101" s="2"/>
      <c r="S101" s="368"/>
      <c r="U101" s="2"/>
      <c r="V101" s="2"/>
      <c r="W101" s="368"/>
      <c r="X101" s="2"/>
      <c r="Y101" s="2"/>
      <c r="Z101" s="2"/>
      <c r="AA101" s="2"/>
      <c r="AB101" s="368"/>
      <c r="AD101" s="2"/>
      <c r="AE101" s="2"/>
      <c r="AF101" s="368"/>
      <c r="AH101" s="2"/>
      <c r="AI101" s="2"/>
      <c r="AJ101" s="2"/>
      <c r="AK101" s="2"/>
      <c r="AL101" s="2"/>
      <c r="AM101" s="368"/>
    </row>
    <row r="102" spans="1:39" s="367" customFormat="1">
      <c r="A102" s="2"/>
      <c r="B102" s="2"/>
      <c r="C102" s="235"/>
      <c r="D102" s="374"/>
      <c r="E102" s="374"/>
      <c r="F102" s="374"/>
      <c r="G102" s="374"/>
      <c r="H102" s="374"/>
      <c r="I102" s="235"/>
      <c r="J102" s="518" t="s">
        <v>44</v>
      </c>
      <c r="L102" s="2"/>
      <c r="M102" s="2"/>
      <c r="N102" s="368"/>
      <c r="O102" s="2"/>
      <c r="P102" s="2"/>
      <c r="Q102" s="2"/>
      <c r="R102" s="2"/>
      <c r="S102" s="368"/>
      <c r="U102" s="2"/>
      <c r="V102" s="2"/>
      <c r="W102" s="368"/>
      <c r="X102" s="2"/>
      <c r="Y102" s="2"/>
      <c r="Z102" s="2"/>
      <c r="AA102" s="2"/>
      <c r="AB102" s="368"/>
      <c r="AD102" s="2"/>
      <c r="AE102" s="2"/>
      <c r="AF102" s="368"/>
      <c r="AH102" s="2"/>
      <c r="AI102" s="2"/>
      <c r="AJ102" s="2"/>
      <c r="AK102" s="2"/>
      <c r="AL102" s="2"/>
      <c r="AM102" s="368"/>
    </row>
    <row r="103" spans="1:39" s="367" customFormat="1">
      <c r="A103" s="2"/>
      <c r="B103" s="2"/>
      <c r="C103" s="235"/>
      <c r="D103" s="374"/>
      <c r="E103" s="374"/>
      <c r="F103" s="374"/>
      <c r="G103" s="374"/>
      <c r="H103" s="374"/>
      <c r="I103" s="235"/>
      <c r="J103" s="518" t="s">
        <v>44</v>
      </c>
      <c r="L103" s="2"/>
      <c r="M103" s="2"/>
      <c r="N103" s="368"/>
      <c r="O103" s="2"/>
      <c r="P103" s="2"/>
      <c r="Q103" s="2"/>
      <c r="R103" s="2"/>
      <c r="S103" s="368"/>
      <c r="U103" s="2"/>
      <c r="V103" s="2"/>
      <c r="W103" s="368"/>
      <c r="X103" s="2"/>
      <c r="Y103" s="2"/>
      <c r="Z103" s="2"/>
      <c r="AA103" s="2"/>
      <c r="AB103" s="368"/>
      <c r="AD103" s="2"/>
      <c r="AE103" s="2"/>
      <c r="AF103" s="368"/>
      <c r="AH103" s="2"/>
      <c r="AI103" s="2"/>
      <c r="AJ103" s="2"/>
      <c r="AK103" s="2"/>
      <c r="AL103" s="2"/>
      <c r="AM103" s="368"/>
    </row>
    <row r="104" spans="1:39" s="367" customFormat="1">
      <c r="A104" s="2"/>
      <c r="B104" s="2"/>
      <c r="C104" s="235"/>
      <c r="D104" s="374"/>
      <c r="E104" s="374"/>
      <c r="F104" s="374"/>
      <c r="G104" s="374"/>
      <c r="H104" s="374"/>
      <c r="I104" s="235"/>
      <c r="J104" s="518" t="s">
        <v>44</v>
      </c>
      <c r="L104" s="2"/>
      <c r="M104" s="2"/>
      <c r="N104" s="368"/>
      <c r="O104" s="2"/>
      <c r="P104" s="2"/>
      <c r="Q104" s="2"/>
      <c r="R104" s="2"/>
      <c r="S104" s="368"/>
      <c r="U104" s="2"/>
      <c r="V104" s="2"/>
      <c r="W104" s="368"/>
      <c r="X104" s="2"/>
      <c r="Y104" s="2"/>
      <c r="Z104" s="2"/>
      <c r="AA104" s="2"/>
      <c r="AB104" s="368"/>
      <c r="AD104" s="2"/>
      <c r="AE104" s="2"/>
      <c r="AF104" s="368"/>
      <c r="AH104" s="2"/>
      <c r="AI104" s="2"/>
      <c r="AJ104" s="2"/>
      <c r="AK104" s="2"/>
      <c r="AL104" s="2"/>
      <c r="AM104" s="368"/>
    </row>
    <row r="105" spans="1:39" s="367" customFormat="1">
      <c r="A105" s="2"/>
      <c r="B105" s="2"/>
      <c r="C105" s="235"/>
      <c r="D105" s="374"/>
      <c r="E105" s="374"/>
      <c r="F105" s="374"/>
      <c r="G105" s="374"/>
      <c r="H105" s="374"/>
      <c r="I105" s="235"/>
      <c r="J105" s="518" t="s">
        <v>44</v>
      </c>
      <c r="L105" s="2"/>
      <c r="M105" s="2"/>
      <c r="N105" s="368"/>
      <c r="O105" s="2"/>
      <c r="P105" s="2"/>
      <c r="Q105" s="2"/>
      <c r="R105" s="2"/>
      <c r="S105" s="368"/>
      <c r="U105" s="2"/>
      <c r="V105" s="2"/>
      <c r="W105" s="368"/>
      <c r="X105" s="2"/>
      <c r="Y105" s="2"/>
      <c r="Z105" s="2"/>
      <c r="AA105" s="2"/>
      <c r="AB105" s="368"/>
      <c r="AD105" s="2"/>
      <c r="AE105" s="2"/>
      <c r="AF105" s="368"/>
      <c r="AH105" s="2"/>
      <c r="AI105" s="2"/>
      <c r="AJ105" s="2"/>
      <c r="AK105" s="2"/>
      <c r="AL105" s="2"/>
      <c r="AM105" s="368"/>
    </row>
    <row r="106" spans="1:39" s="367" customFormat="1">
      <c r="A106" s="2"/>
      <c r="B106" s="2"/>
      <c r="C106" s="235"/>
      <c r="D106" s="374"/>
      <c r="E106" s="374"/>
      <c r="F106" s="374"/>
      <c r="G106" s="374"/>
      <c r="H106" s="374"/>
      <c r="I106" s="235"/>
      <c r="J106" s="518" t="s">
        <v>44</v>
      </c>
      <c r="L106" s="2"/>
      <c r="M106" s="2"/>
      <c r="N106" s="368"/>
      <c r="O106" s="2"/>
      <c r="P106" s="2"/>
      <c r="Q106" s="2"/>
      <c r="R106" s="2"/>
      <c r="S106" s="368"/>
      <c r="U106" s="2"/>
      <c r="V106" s="2"/>
      <c r="W106" s="368"/>
      <c r="X106" s="2"/>
      <c r="Y106" s="2"/>
      <c r="Z106" s="2"/>
      <c r="AA106" s="2"/>
      <c r="AB106" s="368"/>
      <c r="AD106" s="2"/>
      <c r="AE106" s="2"/>
      <c r="AF106" s="368"/>
      <c r="AH106" s="2"/>
      <c r="AI106" s="2"/>
      <c r="AJ106" s="2"/>
      <c r="AK106" s="2"/>
      <c r="AL106" s="2"/>
      <c r="AM106" s="368"/>
    </row>
    <row r="107" spans="1:39" s="367" customFormat="1">
      <c r="A107" s="2"/>
      <c r="B107" s="2"/>
      <c r="C107" s="235"/>
      <c r="D107" s="374"/>
      <c r="E107" s="374"/>
      <c r="F107" s="374"/>
      <c r="G107" s="374"/>
      <c r="H107" s="374"/>
      <c r="I107" s="235"/>
      <c r="J107" s="518" t="s">
        <v>44</v>
      </c>
      <c r="L107" s="2"/>
      <c r="M107" s="2"/>
      <c r="N107" s="368"/>
      <c r="O107" s="2"/>
      <c r="P107" s="2"/>
      <c r="Q107" s="2"/>
      <c r="R107" s="2"/>
      <c r="S107" s="368"/>
      <c r="U107" s="2"/>
      <c r="V107" s="2"/>
      <c r="W107" s="368"/>
      <c r="X107" s="2"/>
      <c r="Y107" s="2"/>
      <c r="Z107" s="2"/>
      <c r="AA107" s="2"/>
      <c r="AB107" s="368"/>
      <c r="AD107" s="2"/>
      <c r="AE107" s="2"/>
      <c r="AF107" s="368"/>
      <c r="AH107" s="2"/>
      <c r="AI107" s="2"/>
      <c r="AJ107" s="2"/>
      <c r="AK107" s="2"/>
      <c r="AL107" s="2"/>
      <c r="AM107" s="368"/>
    </row>
    <row r="108" spans="1:39" s="367" customFormat="1">
      <c r="A108" s="2"/>
      <c r="B108" s="2"/>
      <c r="C108" s="235"/>
      <c r="D108" s="374"/>
      <c r="E108" s="374"/>
      <c r="F108" s="374"/>
      <c r="G108" s="374"/>
      <c r="H108" s="374"/>
      <c r="I108" s="235"/>
      <c r="J108" s="518" t="s">
        <v>44</v>
      </c>
      <c r="L108" s="2"/>
      <c r="M108" s="2"/>
      <c r="N108" s="368"/>
      <c r="O108" s="2"/>
      <c r="P108" s="2"/>
      <c r="Q108" s="2"/>
      <c r="R108" s="2"/>
      <c r="S108" s="368"/>
      <c r="U108" s="2"/>
      <c r="V108" s="2"/>
      <c r="W108" s="368"/>
      <c r="X108" s="2"/>
      <c r="Y108" s="2"/>
      <c r="Z108" s="2"/>
      <c r="AA108" s="2"/>
      <c r="AB108" s="368"/>
      <c r="AD108" s="2"/>
      <c r="AE108" s="2"/>
      <c r="AF108" s="368"/>
      <c r="AH108" s="2"/>
      <c r="AI108" s="2"/>
      <c r="AJ108" s="2"/>
      <c r="AK108" s="2"/>
      <c r="AL108" s="2"/>
      <c r="AM108" s="368"/>
    </row>
    <row r="109" spans="1:39" s="367" customFormat="1">
      <c r="A109" s="2"/>
      <c r="B109" s="2"/>
      <c r="C109" s="235"/>
      <c r="D109" s="374"/>
      <c r="E109" s="374"/>
      <c r="F109" s="374"/>
      <c r="G109" s="374"/>
      <c r="H109" s="374"/>
      <c r="I109" s="235"/>
      <c r="J109" s="518" t="s">
        <v>44</v>
      </c>
      <c r="L109" s="2"/>
      <c r="M109" s="2"/>
      <c r="N109" s="368"/>
      <c r="O109" s="2"/>
      <c r="P109" s="2"/>
      <c r="Q109" s="2"/>
      <c r="R109" s="2"/>
      <c r="S109" s="368"/>
      <c r="U109" s="2"/>
      <c r="V109" s="2"/>
      <c r="W109" s="368"/>
      <c r="X109" s="2"/>
      <c r="Y109" s="2"/>
      <c r="Z109" s="2"/>
      <c r="AA109" s="2"/>
      <c r="AB109" s="368"/>
      <c r="AD109" s="2"/>
      <c r="AE109" s="2"/>
      <c r="AF109" s="368"/>
      <c r="AH109" s="2"/>
      <c r="AI109" s="2"/>
      <c r="AJ109" s="2"/>
      <c r="AK109" s="2"/>
      <c r="AL109" s="2"/>
      <c r="AM109" s="368"/>
    </row>
    <row r="110" spans="1:39" s="367" customFormat="1">
      <c r="A110" s="2"/>
      <c r="B110" s="2"/>
      <c r="C110" s="235"/>
      <c r="D110" s="374"/>
      <c r="E110" s="374"/>
      <c r="F110" s="374"/>
      <c r="G110" s="374"/>
      <c r="H110" s="374"/>
      <c r="I110" s="235"/>
      <c r="J110" s="518" t="s">
        <v>44</v>
      </c>
      <c r="L110" s="2"/>
      <c r="M110" s="2"/>
      <c r="N110" s="368"/>
      <c r="O110" s="2"/>
      <c r="P110" s="2"/>
      <c r="Q110" s="2"/>
      <c r="R110" s="2"/>
      <c r="S110" s="368"/>
      <c r="U110" s="2"/>
      <c r="V110" s="2"/>
      <c r="W110" s="368"/>
      <c r="X110" s="2"/>
      <c r="Y110" s="2"/>
      <c r="Z110" s="2"/>
      <c r="AA110" s="2"/>
      <c r="AB110" s="368"/>
      <c r="AD110" s="2"/>
      <c r="AE110" s="2"/>
      <c r="AF110" s="368"/>
      <c r="AH110" s="2"/>
      <c r="AI110" s="2"/>
      <c r="AJ110" s="2"/>
      <c r="AK110" s="2"/>
      <c r="AL110" s="2"/>
      <c r="AM110" s="368"/>
    </row>
    <row r="111" spans="1:39" s="367" customFormat="1">
      <c r="A111" s="2"/>
      <c r="B111" s="2"/>
      <c r="C111" s="235"/>
      <c r="D111" s="374"/>
      <c r="E111" s="374"/>
      <c r="F111" s="374"/>
      <c r="G111" s="374"/>
      <c r="H111" s="374"/>
      <c r="I111" s="235"/>
      <c r="J111" s="518">
        <f>YEAR(H111)-YEAR(E111)</f>
        <v>0</v>
      </c>
      <c r="L111" s="2"/>
      <c r="M111" s="2"/>
      <c r="N111" s="368"/>
      <c r="O111" s="2"/>
      <c r="P111" s="2"/>
      <c r="Q111" s="2"/>
      <c r="R111" s="2"/>
      <c r="S111" s="368"/>
      <c r="U111" s="2"/>
      <c r="V111" s="2"/>
      <c r="W111" s="368"/>
      <c r="X111" s="2"/>
      <c r="Y111" s="2"/>
      <c r="Z111" s="2"/>
      <c r="AA111" s="2"/>
      <c r="AB111" s="368"/>
      <c r="AD111" s="2"/>
      <c r="AE111" s="2"/>
      <c r="AF111" s="368"/>
      <c r="AH111" s="2"/>
      <c r="AI111" s="2"/>
      <c r="AJ111" s="2"/>
      <c r="AK111" s="2"/>
      <c r="AL111" s="2"/>
      <c r="AM111" s="368"/>
    </row>
    <row r="112" spans="1:39" s="367" customFormat="1">
      <c r="A112" s="2"/>
      <c r="B112" s="2"/>
      <c r="C112" s="235"/>
      <c r="D112" s="374"/>
      <c r="E112" s="374"/>
      <c r="F112" s="374"/>
      <c r="G112" s="374"/>
      <c r="H112" s="374"/>
      <c r="I112" s="235"/>
      <c r="J112" s="518" t="s">
        <v>44</v>
      </c>
      <c r="L112" s="2"/>
      <c r="M112" s="2"/>
      <c r="N112" s="368"/>
      <c r="O112" s="2"/>
      <c r="P112" s="2"/>
      <c r="Q112" s="2"/>
      <c r="R112" s="2"/>
      <c r="S112" s="368"/>
      <c r="U112" s="2"/>
      <c r="V112" s="2"/>
      <c r="W112" s="368"/>
      <c r="X112" s="2"/>
      <c r="Y112" s="2"/>
      <c r="Z112" s="2"/>
      <c r="AA112" s="2"/>
      <c r="AB112" s="368"/>
      <c r="AD112" s="2"/>
      <c r="AE112" s="2"/>
      <c r="AF112" s="368"/>
      <c r="AH112" s="2"/>
      <c r="AI112" s="2"/>
      <c r="AJ112" s="2"/>
      <c r="AK112" s="2"/>
      <c r="AL112" s="2"/>
      <c r="AM112" s="368"/>
    </row>
    <row r="113" spans="1:39" s="367" customFormat="1">
      <c r="A113" s="2"/>
      <c r="B113" s="2"/>
      <c r="C113" s="235"/>
      <c r="D113" s="374"/>
      <c r="E113" s="374"/>
      <c r="F113" s="374"/>
      <c r="G113" s="374"/>
      <c r="H113" s="374"/>
      <c r="I113" s="235"/>
      <c r="J113" s="518" t="s">
        <v>44</v>
      </c>
      <c r="L113" s="2"/>
      <c r="M113" s="2"/>
      <c r="N113" s="368"/>
      <c r="O113" s="2"/>
      <c r="P113" s="2"/>
      <c r="Q113" s="2"/>
      <c r="R113" s="2"/>
      <c r="S113" s="368"/>
      <c r="U113" s="2"/>
      <c r="V113" s="2"/>
      <c r="W113" s="368"/>
      <c r="X113" s="2"/>
      <c r="Y113" s="2"/>
      <c r="Z113" s="2"/>
      <c r="AA113" s="2"/>
      <c r="AB113" s="368"/>
      <c r="AD113" s="2"/>
      <c r="AE113" s="2"/>
      <c r="AF113" s="368"/>
      <c r="AH113" s="2"/>
      <c r="AI113" s="2"/>
      <c r="AJ113" s="2"/>
      <c r="AK113" s="2"/>
      <c r="AL113" s="2"/>
      <c r="AM113" s="368"/>
    </row>
    <row r="114" spans="1:39" s="367" customFormat="1">
      <c r="A114" s="2"/>
      <c r="B114" s="2"/>
      <c r="C114" s="235"/>
      <c r="D114" s="374"/>
      <c r="E114" s="374"/>
      <c r="F114" s="374"/>
      <c r="G114" s="374"/>
      <c r="H114" s="374"/>
      <c r="I114" s="235"/>
      <c r="J114" s="518" t="s">
        <v>44</v>
      </c>
      <c r="L114" s="2"/>
      <c r="M114" s="2"/>
      <c r="N114" s="368"/>
      <c r="O114" s="2"/>
      <c r="P114" s="2"/>
      <c r="Q114" s="2"/>
      <c r="R114" s="2"/>
      <c r="S114" s="368"/>
      <c r="U114" s="2"/>
      <c r="V114" s="2"/>
      <c r="W114" s="368"/>
      <c r="X114" s="2"/>
      <c r="Y114" s="2"/>
      <c r="Z114" s="2"/>
      <c r="AA114" s="2"/>
      <c r="AB114" s="368"/>
      <c r="AD114" s="2"/>
      <c r="AE114" s="2"/>
      <c r="AF114" s="368"/>
      <c r="AH114" s="2"/>
      <c r="AI114" s="2"/>
      <c r="AJ114" s="2"/>
      <c r="AK114" s="2"/>
      <c r="AL114" s="2"/>
      <c r="AM114" s="368"/>
    </row>
    <row r="115" spans="1:39" s="367" customFormat="1">
      <c r="A115" s="2"/>
      <c r="B115" s="2"/>
      <c r="C115" s="235"/>
      <c r="D115" s="374"/>
      <c r="E115" s="374"/>
      <c r="F115" s="374"/>
      <c r="G115" s="374"/>
      <c r="H115" s="374"/>
      <c r="I115" s="235"/>
      <c r="J115" s="518" t="s">
        <v>44</v>
      </c>
      <c r="K115" s="369"/>
      <c r="L115" s="357"/>
      <c r="M115" s="357"/>
      <c r="N115" s="370"/>
      <c r="O115" s="357"/>
      <c r="P115" s="357"/>
      <c r="Q115" s="357"/>
      <c r="R115" s="357"/>
      <c r="S115" s="370"/>
      <c r="T115" s="369"/>
      <c r="U115" s="357"/>
      <c r="V115" s="357"/>
      <c r="W115" s="370"/>
      <c r="X115" s="357"/>
      <c r="Y115" s="357"/>
      <c r="Z115" s="357"/>
      <c r="AA115" s="357"/>
      <c r="AB115" s="370"/>
      <c r="AC115" s="369"/>
      <c r="AD115" s="357"/>
      <c r="AE115" s="357"/>
      <c r="AF115" s="370"/>
      <c r="AG115" s="369"/>
      <c r="AH115" s="357"/>
      <c r="AI115" s="357"/>
      <c r="AJ115" s="357"/>
      <c r="AK115" s="357"/>
      <c r="AL115" s="357"/>
      <c r="AM115" s="370"/>
    </row>
    <row r="116" spans="1:39" s="367" customFormat="1">
      <c r="A116" s="2"/>
      <c r="B116" s="2"/>
      <c r="C116" s="235"/>
      <c r="D116" s="374"/>
      <c r="E116" s="374"/>
      <c r="F116" s="374"/>
      <c r="G116" s="374"/>
      <c r="H116" s="374"/>
      <c r="I116" s="235"/>
      <c r="J116" s="518" t="s">
        <v>44</v>
      </c>
      <c r="L116" s="2"/>
      <c r="M116" s="2"/>
      <c r="N116" s="2"/>
      <c r="O116" s="2"/>
      <c r="P116" s="2"/>
      <c r="Q116" s="2"/>
      <c r="R116" s="2"/>
      <c r="S116" s="2"/>
      <c r="U116" s="2"/>
      <c r="V116" s="2"/>
      <c r="W116" s="2"/>
      <c r="X116" s="2"/>
      <c r="Y116" s="2"/>
      <c r="Z116" s="2"/>
      <c r="AA116" s="2"/>
      <c r="AB116" s="2"/>
      <c r="AD116" s="2"/>
      <c r="AE116" s="2"/>
      <c r="AF116" s="2"/>
      <c r="AG116" s="2"/>
      <c r="AH116" s="2"/>
      <c r="AI116" s="2"/>
      <c r="AJ116" s="2"/>
      <c r="AK116" s="2"/>
      <c r="AL116" s="2"/>
      <c r="AM116" s="2"/>
    </row>
    <row r="117" spans="1:39" s="367" customFormat="1">
      <c r="A117" s="2"/>
      <c r="B117" s="2"/>
      <c r="C117" s="235"/>
      <c r="D117" s="374"/>
      <c r="E117" s="374"/>
      <c r="F117" s="374"/>
      <c r="G117" s="374"/>
      <c r="H117" s="374"/>
      <c r="I117" s="235"/>
      <c r="J117" s="518" t="s">
        <v>44</v>
      </c>
      <c r="L117" s="2"/>
      <c r="M117" s="2"/>
      <c r="N117" s="2"/>
      <c r="O117" s="2"/>
      <c r="P117" s="2"/>
      <c r="Q117" s="2"/>
      <c r="R117" s="2"/>
      <c r="S117" s="2"/>
      <c r="U117" s="2"/>
      <c r="V117" s="2"/>
      <c r="W117" s="2"/>
      <c r="X117" s="2"/>
      <c r="Y117" s="2"/>
      <c r="Z117" s="2"/>
      <c r="AA117" s="2"/>
      <c r="AB117" s="2"/>
      <c r="AD117" s="2"/>
      <c r="AE117" s="2"/>
      <c r="AF117" s="2"/>
      <c r="AG117" s="2"/>
      <c r="AH117" s="2"/>
      <c r="AI117" s="2"/>
      <c r="AJ117" s="2"/>
      <c r="AK117" s="2"/>
      <c r="AL117" s="2"/>
      <c r="AM117" s="2"/>
    </row>
    <row r="118" spans="1:39" s="367" customFormat="1">
      <c r="A118" s="2"/>
      <c r="B118" s="2"/>
      <c r="C118" s="235"/>
      <c r="D118" s="374"/>
      <c r="E118" s="374"/>
      <c r="F118" s="374"/>
      <c r="G118" s="374"/>
      <c r="H118" s="374"/>
      <c r="I118" s="235"/>
      <c r="J118" s="518" t="s">
        <v>44</v>
      </c>
      <c r="L118" s="2"/>
      <c r="M118" s="2"/>
      <c r="N118" s="2"/>
      <c r="O118" s="2"/>
      <c r="P118" s="2"/>
      <c r="Q118" s="2"/>
      <c r="R118" s="2"/>
      <c r="S118" s="2"/>
      <c r="U118" s="2"/>
      <c r="V118" s="2"/>
      <c r="W118" s="2"/>
      <c r="X118" s="2"/>
      <c r="Y118" s="2"/>
      <c r="Z118" s="2"/>
      <c r="AA118" s="2"/>
      <c r="AB118" s="2"/>
      <c r="AD118" s="2"/>
      <c r="AE118" s="2"/>
      <c r="AF118" s="2"/>
      <c r="AG118" s="2"/>
      <c r="AH118" s="2"/>
      <c r="AI118" s="2"/>
      <c r="AJ118" s="2"/>
      <c r="AK118" s="2"/>
      <c r="AL118" s="2"/>
      <c r="AM118" s="2"/>
    </row>
    <row r="119" spans="1:39" s="367" customFormat="1">
      <c r="A119" s="2"/>
      <c r="B119" s="2"/>
      <c r="C119" s="235"/>
      <c r="D119" s="374"/>
      <c r="E119" s="374"/>
      <c r="F119" s="374"/>
      <c r="G119" s="374"/>
      <c r="H119" s="374"/>
      <c r="I119" s="235"/>
      <c r="J119" s="518" t="s">
        <v>44</v>
      </c>
      <c r="L119" s="2"/>
      <c r="M119" s="2"/>
      <c r="N119" s="2"/>
      <c r="O119" s="2"/>
      <c r="P119" s="2"/>
      <c r="Q119" s="2"/>
      <c r="R119" s="2"/>
      <c r="S119" s="2"/>
      <c r="U119" s="2"/>
      <c r="V119" s="2"/>
      <c r="W119" s="2"/>
      <c r="X119" s="2"/>
      <c r="Y119" s="2"/>
      <c r="Z119" s="2"/>
      <c r="AA119" s="2"/>
      <c r="AB119" s="2"/>
      <c r="AD119" s="2"/>
      <c r="AE119" s="2"/>
      <c r="AF119" s="2"/>
      <c r="AG119" s="2"/>
      <c r="AH119" s="2"/>
      <c r="AI119" s="2"/>
      <c r="AJ119" s="2"/>
      <c r="AK119" s="2"/>
      <c r="AL119" s="2"/>
      <c r="AM119" s="2"/>
    </row>
    <row r="120" spans="1:39" s="367" customFormat="1">
      <c r="A120" s="2"/>
      <c r="B120" s="2"/>
      <c r="C120" s="235"/>
      <c r="D120" s="374"/>
      <c r="E120" s="374"/>
      <c r="F120" s="374"/>
      <c r="G120" s="374"/>
      <c r="H120" s="374"/>
      <c r="I120" s="235"/>
      <c r="J120" s="518" t="s">
        <v>44</v>
      </c>
      <c r="L120" s="2"/>
      <c r="M120" s="2"/>
      <c r="N120" s="2"/>
      <c r="O120" s="2"/>
      <c r="P120" s="2"/>
      <c r="Q120" s="2"/>
      <c r="R120" s="2"/>
      <c r="S120" s="2"/>
      <c r="U120" s="2"/>
      <c r="V120" s="2"/>
      <c r="W120" s="2"/>
      <c r="X120" s="2"/>
      <c r="Y120" s="2"/>
      <c r="Z120" s="2"/>
      <c r="AA120" s="2"/>
      <c r="AB120" s="2"/>
      <c r="AD120" s="2"/>
      <c r="AE120" s="2"/>
      <c r="AF120" s="2"/>
      <c r="AG120" s="2"/>
      <c r="AH120" s="2"/>
      <c r="AI120" s="2"/>
      <c r="AJ120" s="2"/>
      <c r="AK120" s="2"/>
      <c r="AL120" s="2"/>
      <c r="AM120" s="2"/>
    </row>
    <row r="121" spans="1:39" s="367" customFormat="1">
      <c r="A121" s="2"/>
      <c r="B121" s="2"/>
      <c r="C121" s="235"/>
      <c r="D121" s="374"/>
      <c r="E121" s="374"/>
      <c r="F121" s="374"/>
      <c r="G121" s="374"/>
      <c r="H121" s="374"/>
      <c r="I121" s="235"/>
      <c r="J121" s="518">
        <f t="shared" ref="J121:J122" si="15">YEAR(H121)-YEAR(E121)</f>
        <v>0</v>
      </c>
      <c r="L121" s="2"/>
      <c r="M121" s="2"/>
      <c r="N121" s="2"/>
      <c r="O121" s="2"/>
      <c r="P121" s="2"/>
      <c r="Q121" s="2"/>
      <c r="R121" s="2"/>
      <c r="S121" s="2"/>
      <c r="U121" s="2"/>
      <c r="V121" s="2"/>
      <c r="W121" s="2"/>
      <c r="X121" s="2"/>
      <c r="Y121" s="2"/>
      <c r="Z121" s="2"/>
      <c r="AA121" s="2"/>
      <c r="AB121" s="2"/>
      <c r="AD121" s="2"/>
      <c r="AE121" s="2"/>
      <c r="AF121" s="2"/>
      <c r="AG121" s="2"/>
      <c r="AH121" s="2"/>
      <c r="AI121" s="2"/>
      <c r="AJ121" s="2"/>
      <c r="AK121" s="2"/>
      <c r="AL121" s="2"/>
      <c r="AM121" s="2"/>
    </row>
    <row r="122" spans="1:39" s="367" customFormat="1">
      <c r="A122" s="2"/>
      <c r="B122" s="2"/>
      <c r="C122" s="235"/>
      <c r="D122" s="374"/>
      <c r="E122" s="374"/>
      <c r="F122" s="374"/>
      <c r="G122" s="374"/>
      <c r="H122" s="374"/>
      <c r="I122" s="235"/>
      <c r="J122" s="518">
        <f t="shared" si="15"/>
        <v>0</v>
      </c>
      <c r="L122" s="2"/>
      <c r="M122" s="2"/>
      <c r="N122" s="2"/>
      <c r="O122" s="2"/>
      <c r="P122" s="2"/>
      <c r="Q122" s="2"/>
      <c r="R122" s="2"/>
      <c r="S122" s="2"/>
      <c r="U122" s="2"/>
      <c r="V122" s="2"/>
      <c r="W122" s="2"/>
      <c r="X122" s="2"/>
      <c r="Y122" s="2"/>
      <c r="Z122" s="2"/>
      <c r="AA122" s="2"/>
      <c r="AB122" s="2"/>
      <c r="AD122" s="2"/>
      <c r="AE122" s="2"/>
      <c r="AF122" s="2"/>
      <c r="AG122" s="2"/>
      <c r="AH122" s="2"/>
      <c r="AI122" s="2"/>
      <c r="AJ122" s="2"/>
      <c r="AK122" s="2"/>
      <c r="AL122" s="2"/>
      <c r="AM122" s="2"/>
    </row>
  </sheetData>
  <conditionalFormatting sqref="R32:S79 AA32:AB79">
    <cfRule type="cellIs" dxfId="37" priority="5" operator="lessThan">
      <formula>0</formula>
    </cfRule>
    <cfRule type="cellIs" dxfId="36" priority="6" operator="greaterThan">
      <formula>0</formula>
    </cfRule>
  </conditionalFormatting>
  <conditionalFormatting sqref="AA81:AB81">
    <cfRule type="cellIs" dxfId="35" priority="3" operator="lessThan">
      <formula>0</formula>
    </cfRule>
    <cfRule type="cellIs" dxfId="34" priority="4" operator="greaterThan">
      <formula>0</formula>
    </cfRule>
  </conditionalFormatting>
  <conditionalFormatting sqref="AA83:AB84">
    <cfRule type="cellIs" dxfId="33" priority="1" operator="lessThan">
      <formula>0</formula>
    </cfRule>
    <cfRule type="cellIs" dxfId="32" priority="2" operator="greaterThan">
      <formula>0</formula>
    </cfRule>
  </conditionalFormatting>
  <conditionalFormatting sqref="AJ32:AM33">
    <cfRule type="cellIs" dxfId="31" priority="7" operator="lessThan">
      <formula>0</formula>
    </cfRule>
    <cfRule type="cellIs" dxfId="30" priority="8" operator="greaterThan">
      <formula>0</formula>
    </cfRule>
  </conditionalFormatting>
  <printOptions horizontalCentered="1"/>
  <pageMargins left="0.23622047244094491" right="0" top="0.35433070866141736" bottom="0.19685039370078741" header="0.15748031496062992" footer="0.15748031496062992"/>
  <pageSetup paperSize="8" scale="37" orientation="landscape" r:id="rId1"/>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F93F6-4405-47A1-B013-4B50944F7533}">
  <sheetPr>
    <tabColor theme="8"/>
  </sheetPr>
  <dimension ref="B1:S29"/>
  <sheetViews>
    <sheetView workbookViewId="0"/>
  </sheetViews>
  <sheetFormatPr defaultColWidth="9" defaultRowHeight="11.25"/>
  <cols>
    <col min="1" max="1" width="2.7109375" style="2" customWidth="1"/>
    <col min="2" max="2" width="25.7109375" style="2" bestFit="1" customWidth="1"/>
    <col min="3" max="3" width="17.140625" style="2" customWidth="1"/>
    <col min="4" max="4" width="17" style="2" hidden="1" customWidth="1"/>
    <col min="5" max="5" width="12.28515625" style="2" customWidth="1"/>
    <col min="6" max="6" width="12.42578125" style="2" customWidth="1"/>
    <col min="7" max="7" width="28.7109375" style="2" customWidth="1"/>
    <col min="8" max="10" width="14.28515625" style="2" customWidth="1"/>
    <col min="11" max="11" width="18.42578125" style="2" customWidth="1"/>
    <col min="12" max="12" width="22.42578125" style="2" bestFit="1" customWidth="1"/>
    <col min="13" max="14" width="14.7109375" style="2" bestFit="1" customWidth="1"/>
    <col min="15" max="16" width="14.28515625" style="2" customWidth="1"/>
    <col min="17" max="17" width="12.28515625" style="2" customWidth="1"/>
    <col min="18" max="18" width="12.7109375" style="2" customWidth="1"/>
    <col min="19" max="16384" width="9" style="2"/>
  </cols>
  <sheetData>
    <row r="1" spans="2:18">
      <c r="B1" s="75" t="s">
        <v>282</v>
      </c>
      <c r="L1" s="635">
        <f>C3</f>
        <v>45657</v>
      </c>
      <c r="M1" s="636"/>
      <c r="N1" s="198" t="s">
        <v>283</v>
      </c>
      <c r="O1" s="199" t="s">
        <v>284</v>
      </c>
    </row>
    <row r="2" spans="2:18" ht="12" thickBot="1">
      <c r="L2" s="172" t="s">
        <v>285</v>
      </c>
      <c r="M2" s="173">
        <f>M27</f>
        <v>-15728508.330000002</v>
      </c>
      <c r="N2" s="201">
        <v>-15728508.33</v>
      </c>
      <c r="O2" s="205">
        <f>M2-N2</f>
        <v>0</v>
      </c>
    </row>
    <row r="3" spans="2:18" ht="12" thickBot="1">
      <c r="B3" s="202" t="s">
        <v>286</v>
      </c>
      <c r="C3" s="272">
        <f>'Lionet Fund'!E1</f>
        <v>45657</v>
      </c>
      <c r="L3" s="172" t="s">
        <v>287</v>
      </c>
      <c r="M3" s="173">
        <f>P27</f>
        <v>2197607.12</v>
      </c>
      <c r="N3" s="201">
        <v>2197607.12</v>
      </c>
      <c r="O3" s="205">
        <f>M3-N3</f>
        <v>0</v>
      </c>
    </row>
    <row r="4" spans="2:18">
      <c r="L4" s="175" t="s">
        <v>288</v>
      </c>
      <c r="M4" s="176">
        <f>L29</f>
        <v>11059808.720000001</v>
      </c>
    </row>
    <row r="5" spans="2:18" s="75" customFormat="1">
      <c r="B5" s="75" t="s">
        <v>289</v>
      </c>
      <c r="C5" s="75" t="s">
        <v>1130</v>
      </c>
      <c r="L5" s="172" t="s">
        <v>75</v>
      </c>
      <c r="M5" s="180">
        <f>XIRR(L11:L29,E11:E29)</f>
        <v>-4.6108850836753854E-2</v>
      </c>
    </row>
    <row r="6" spans="2:18">
      <c r="B6" s="75" t="s">
        <v>291</v>
      </c>
      <c r="C6" s="75" t="s">
        <v>24</v>
      </c>
    </row>
    <row r="7" spans="2:18">
      <c r="B7" s="75" t="s">
        <v>52</v>
      </c>
      <c r="C7" s="289">
        <v>15000000</v>
      </c>
    </row>
    <row r="8" spans="2:18">
      <c r="B8" s="75"/>
    </row>
    <row r="10" spans="2:18" s="186" customFormat="1" ht="33.75">
      <c r="B10" s="183" t="s">
        <v>292</v>
      </c>
      <c r="C10" s="183" t="s">
        <v>0</v>
      </c>
      <c r="D10" s="183" t="s">
        <v>293</v>
      </c>
      <c r="E10" s="183" t="s">
        <v>294</v>
      </c>
      <c r="F10" s="183" t="s">
        <v>295</v>
      </c>
      <c r="G10" s="183" t="s">
        <v>176</v>
      </c>
      <c r="H10" s="184" t="s">
        <v>296</v>
      </c>
      <c r="I10" s="185" t="s">
        <v>435</v>
      </c>
      <c r="J10" s="185" t="s">
        <v>436</v>
      </c>
      <c r="K10" s="185" t="s">
        <v>299</v>
      </c>
      <c r="L10" s="185" t="s">
        <v>300</v>
      </c>
      <c r="M10" s="185" t="s">
        <v>301</v>
      </c>
      <c r="N10" s="185" t="s">
        <v>302</v>
      </c>
      <c r="O10" s="185" t="s">
        <v>437</v>
      </c>
      <c r="P10" s="185" t="s">
        <v>438</v>
      </c>
      <c r="Q10" s="184" t="s">
        <v>195</v>
      </c>
      <c r="R10" s="183" t="s">
        <v>288</v>
      </c>
    </row>
    <row r="11" spans="2:18">
      <c r="B11" s="2" t="s">
        <v>307</v>
      </c>
      <c r="C11" s="2" t="s">
        <v>308</v>
      </c>
      <c r="D11" s="187">
        <v>44186</v>
      </c>
      <c r="E11" s="187">
        <v>44202</v>
      </c>
      <c r="F11" s="323" t="s">
        <v>1131</v>
      </c>
      <c r="H11" s="108">
        <v>-9750000</v>
      </c>
      <c r="I11" s="211"/>
      <c r="J11" s="211"/>
      <c r="L11" s="108">
        <f t="shared" ref="L11:L27" si="0">SUM(H11:K11)</f>
        <v>-9750000</v>
      </c>
      <c r="M11" s="170">
        <f>IF(L11&lt;0,L11,0)</f>
        <v>-9750000</v>
      </c>
      <c r="N11" s="170">
        <f>$C$7+M11</f>
        <v>5250000</v>
      </c>
      <c r="O11" s="170">
        <f t="shared" ref="O11:O24" si="1">SUMIF(L11,"&gt;0", L11)</f>
        <v>0</v>
      </c>
      <c r="P11" s="132">
        <f>O11</f>
        <v>0</v>
      </c>
    </row>
    <row r="12" spans="2:18">
      <c r="B12" s="2" t="s">
        <v>307</v>
      </c>
      <c r="C12" s="2" t="s">
        <v>310</v>
      </c>
      <c r="D12" s="187">
        <v>44198</v>
      </c>
      <c r="E12" s="187">
        <v>44250</v>
      </c>
      <c r="F12" s="323" t="s">
        <v>1131</v>
      </c>
      <c r="H12" s="108">
        <v>-3000000</v>
      </c>
      <c r="I12" s="211"/>
      <c r="J12" s="211"/>
      <c r="L12" s="108">
        <f t="shared" si="0"/>
        <v>-3000000</v>
      </c>
      <c r="M12" s="170">
        <f t="shared" ref="M12:M27" si="2">IF(L12&lt;0,L12,0)+M11</f>
        <v>-12750000</v>
      </c>
      <c r="N12" s="170">
        <f>N11+H12</f>
        <v>2250000</v>
      </c>
      <c r="O12" s="170">
        <f t="shared" si="1"/>
        <v>0</v>
      </c>
      <c r="P12" s="132">
        <f>P11+O12</f>
        <v>0</v>
      </c>
    </row>
    <row r="13" spans="2:18">
      <c r="B13" s="2" t="s">
        <v>49</v>
      </c>
      <c r="C13" s="2" t="s">
        <v>314</v>
      </c>
      <c r="D13" s="187">
        <v>44365</v>
      </c>
      <c r="E13" s="187">
        <v>44365</v>
      </c>
      <c r="F13" s="323" t="s">
        <v>1131</v>
      </c>
      <c r="H13" s="108">
        <v>136062.64000000001</v>
      </c>
      <c r="I13" s="211"/>
      <c r="J13" s="211"/>
      <c r="L13" s="108">
        <f t="shared" si="0"/>
        <v>136062.64000000001</v>
      </c>
      <c r="M13" s="170">
        <f t="shared" si="2"/>
        <v>-12750000</v>
      </c>
      <c r="N13" s="170">
        <f>N12+H13</f>
        <v>2386062.64</v>
      </c>
      <c r="O13" s="170">
        <f t="shared" si="1"/>
        <v>136062.64000000001</v>
      </c>
      <c r="P13" s="132">
        <f>P11+O13</f>
        <v>136062.64000000001</v>
      </c>
    </row>
    <row r="14" spans="2:18">
      <c r="B14" s="2" t="s">
        <v>307</v>
      </c>
      <c r="C14" s="2" t="s">
        <v>308</v>
      </c>
      <c r="D14" s="187">
        <v>44365</v>
      </c>
      <c r="E14" s="187">
        <v>44365</v>
      </c>
      <c r="F14" s="323" t="s">
        <v>1131</v>
      </c>
      <c r="H14" s="108">
        <v>-136062.64000000001</v>
      </c>
      <c r="I14" s="211"/>
      <c r="J14" s="211"/>
      <c r="L14" s="108">
        <f t="shared" si="0"/>
        <v>-136062.64000000001</v>
      </c>
      <c r="M14" s="170">
        <f t="shared" si="2"/>
        <v>-12886062.640000001</v>
      </c>
      <c r="N14" s="170">
        <f>N13+H14</f>
        <v>2250000</v>
      </c>
      <c r="O14" s="170">
        <f t="shared" si="1"/>
        <v>0</v>
      </c>
      <c r="P14" s="132">
        <f>P12+O14</f>
        <v>0</v>
      </c>
    </row>
    <row r="15" spans="2:18">
      <c r="B15" s="2" t="s">
        <v>307</v>
      </c>
      <c r="C15" s="2" t="s">
        <v>316</v>
      </c>
      <c r="D15" s="187">
        <v>44414</v>
      </c>
      <c r="E15" s="187">
        <v>44427</v>
      </c>
      <c r="F15" s="323" t="s">
        <v>1131</v>
      </c>
      <c r="H15" s="108">
        <v>-2250000</v>
      </c>
      <c r="I15" s="211"/>
      <c r="J15" s="211"/>
      <c r="L15" s="108">
        <f t="shared" si="0"/>
        <v>-2250000</v>
      </c>
      <c r="M15" s="170">
        <f t="shared" si="2"/>
        <v>-15136062.640000001</v>
      </c>
      <c r="N15" s="170">
        <f>N14+H15</f>
        <v>0</v>
      </c>
      <c r="O15" s="170">
        <f t="shared" si="1"/>
        <v>0</v>
      </c>
      <c r="P15" s="132">
        <f>P12+O15</f>
        <v>0</v>
      </c>
    </row>
    <row r="16" spans="2:18">
      <c r="B16" s="2" t="s">
        <v>49</v>
      </c>
      <c r="C16" s="2" t="s">
        <v>330</v>
      </c>
      <c r="D16" s="187">
        <v>44424</v>
      </c>
      <c r="E16" s="187">
        <v>44424</v>
      </c>
      <c r="F16" s="323" t="s">
        <v>1131</v>
      </c>
      <c r="H16" s="108">
        <v>369224.42</v>
      </c>
      <c r="I16" s="211"/>
      <c r="J16" s="211"/>
      <c r="L16" s="108">
        <f t="shared" si="0"/>
        <v>369224.42</v>
      </c>
      <c r="M16" s="170">
        <f t="shared" si="2"/>
        <v>-15136062.640000001</v>
      </c>
      <c r="N16" s="170">
        <v>0</v>
      </c>
      <c r="O16" s="170">
        <f t="shared" si="1"/>
        <v>369224.42</v>
      </c>
      <c r="P16" s="132">
        <f>P13+O16</f>
        <v>505287.06</v>
      </c>
    </row>
    <row r="17" spans="2:19">
      <c r="B17" s="2" t="s">
        <v>307</v>
      </c>
      <c r="C17" s="2" t="s">
        <v>310</v>
      </c>
      <c r="D17" s="187">
        <v>44424</v>
      </c>
      <c r="E17" s="187">
        <v>44424</v>
      </c>
      <c r="F17" s="323" t="s">
        <v>1131</v>
      </c>
      <c r="H17" s="108">
        <v>-369224.42</v>
      </c>
      <c r="I17" s="211"/>
      <c r="J17" s="211"/>
      <c r="L17" s="108">
        <f t="shared" si="0"/>
        <v>-369224.42</v>
      </c>
      <c r="M17" s="170">
        <f t="shared" si="2"/>
        <v>-15505287.060000001</v>
      </c>
      <c r="N17" s="170">
        <v>0</v>
      </c>
      <c r="O17" s="170">
        <f t="shared" si="1"/>
        <v>0</v>
      </c>
      <c r="P17" s="132">
        <f>P16+O17</f>
        <v>505287.06</v>
      </c>
    </row>
    <row r="18" spans="2:19">
      <c r="B18" s="2" t="s">
        <v>49</v>
      </c>
      <c r="C18" s="2" t="s">
        <v>337</v>
      </c>
      <c r="D18" s="187">
        <v>44465</v>
      </c>
      <c r="E18" s="187">
        <v>44465</v>
      </c>
      <c r="F18" s="323" t="s">
        <v>1131</v>
      </c>
      <c r="G18" s="2" t="s">
        <v>1132</v>
      </c>
      <c r="H18" s="108">
        <v>102684.14</v>
      </c>
      <c r="I18" s="211"/>
      <c r="J18" s="211"/>
      <c r="L18" s="108">
        <f t="shared" si="0"/>
        <v>102684.14</v>
      </c>
      <c r="M18" s="170">
        <f t="shared" si="2"/>
        <v>-15505287.060000001</v>
      </c>
      <c r="N18" s="170">
        <v>0</v>
      </c>
      <c r="O18" s="170">
        <f t="shared" si="1"/>
        <v>102684.14</v>
      </c>
      <c r="P18" s="132">
        <f>P16+O18</f>
        <v>607971.19999999995</v>
      </c>
      <c r="S18" s="324"/>
    </row>
    <row r="19" spans="2:19">
      <c r="B19" s="2" t="s">
        <v>307</v>
      </c>
      <c r="C19" s="2" t="s">
        <v>311</v>
      </c>
      <c r="D19" s="187">
        <v>44465</v>
      </c>
      <c r="E19" s="187">
        <v>44465</v>
      </c>
      <c r="F19" s="323" t="s">
        <v>1131</v>
      </c>
      <c r="G19" s="2" t="s">
        <v>1132</v>
      </c>
      <c r="H19" s="108">
        <v>-102684.14</v>
      </c>
      <c r="I19" s="211"/>
      <c r="J19" s="211"/>
      <c r="L19" s="108">
        <f t="shared" si="0"/>
        <v>-102684.14</v>
      </c>
      <c r="M19" s="170">
        <f t="shared" si="2"/>
        <v>-15607971.200000001</v>
      </c>
      <c r="N19" s="170">
        <v>0</v>
      </c>
      <c r="O19" s="170">
        <f t="shared" si="1"/>
        <v>0</v>
      </c>
      <c r="P19" s="132">
        <f t="shared" ref="P19:P27" si="3">P18+O19</f>
        <v>607971.19999999995</v>
      </c>
      <c r="S19" s="324"/>
    </row>
    <row r="20" spans="2:19">
      <c r="B20" s="2" t="s">
        <v>49</v>
      </c>
      <c r="C20" s="2" t="s">
        <v>338</v>
      </c>
      <c r="D20" s="187">
        <v>44465</v>
      </c>
      <c r="E20" s="187">
        <v>45042</v>
      </c>
      <c r="F20" s="323" t="s">
        <v>683</v>
      </c>
      <c r="G20" s="2" t="s">
        <v>1133</v>
      </c>
      <c r="H20" s="170">
        <v>120537.13</v>
      </c>
      <c r="I20" s="132"/>
      <c r="J20" s="132"/>
      <c r="L20" s="170">
        <f t="shared" si="0"/>
        <v>120537.13</v>
      </c>
      <c r="M20" s="170">
        <f t="shared" si="2"/>
        <v>-15607971.200000001</v>
      </c>
      <c r="N20" s="170">
        <v>0</v>
      </c>
      <c r="O20" s="170">
        <f t="shared" si="1"/>
        <v>120537.13</v>
      </c>
      <c r="P20" s="132">
        <f t="shared" si="3"/>
        <v>728508.33</v>
      </c>
      <c r="S20" s="324"/>
    </row>
    <row r="21" spans="2:19">
      <c r="B21" s="2" t="s">
        <v>307</v>
      </c>
      <c r="C21" s="2" t="s">
        <v>316</v>
      </c>
      <c r="D21" s="187">
        <v>44465</v>
      </c>
      <c r="E21" s="187">
        <v>45042</v>
      </c>
      <c r="F21" s="323" t="s">
        <v>683</v>
      </c>
      <c r="G21" s="2" t="s">
        <v>1133</v>
      </c>
      <c r="H21" s="170">
        <v>-120537.13</v>
      </c>
      <c r="I21" s="132"/>
      <c r="J21" s="132"/>
      <c r="L21" s="170">
        <f t="shared" si="0"/>
        <v>-120537.13</v>
      </c>
      <c r="M21" s="170">
        <f t="shared" si="2"/>
        <v>-15728508.330000002</v>
      </c>
      <c r="N21" s="170">
        <v>0</v>
      </c>
      <c r="O21" s="170">
        <f t="shared" si="1"/>
        <v>0</v>
      </c>
      <c r="P21" s="132">
        <f t="shared" si="3"/>
        <v>728508.33</v>
      </c>
    </row>
    <row r="22" spans="2:19">
      <c r="B22" s="2" t="s">
        <v>49</v>
      </c>
      <c r="C22" s="2" t="s">
        <v>340</v>
      </c>
      <c r="D22" s="187">
        <v>44465</v>
      </c>
      <c r="E22" s="187">
        <v>45148</v>
      </c>
      <c r="F22" s="323" t="s">
        <v>683</v>
      </c>
      <c r="G22" s="2" t="s">
        <v>1134</v>
      </c>
      <c r="H22" s="170">
        <v>91803.61</v>
      </c>
      <c r="I22" s="132"/>
      <c r="J22" s="132"/>
      <c r="L22" s="170">
        <f t="shared" si="0"/>
        <v>91803.61</v>
      </c>
      <c r="M22" s="170">
        <f t="shared" si="2"/>
        <v>-15728508.330000002</v>
      </c>
      <c r="N22" s="170">
        <v>0</v>
      </c>
      <c r="O22" s="170">
        <f t="shared" si="1"/>
        <v>91803.61</v>
      </c>
      <c r="P22" s="132">
        <f t="shared" si="3"/>
        <v>820311.94</v>
      </c>
      <c r="S22" s="2" t="s">
        <v>1135</v>
      </c>
    </row>
    <row r="23" spans="2:19" ht="15">
      <c r="B23" s="2" t="s">
        <v>49</v>
      </c>
      <c r="C23" s="2" t="s">
        <v>343</v>
      </c>
      <c r="D23" s="187"/>
      <c r="E23" s="187">
        <v>45293</v>
      </c>
      <c r="F23" s="323" t="s">
        <v>683</v>
      </c>
      <c r="G23" s="2" t="s">
        <v>1136</v>
      </c>
      <c r="H23" s="170">
        <v>82952.52</v>
      </c>
      <c r="I23" s="132"/>
      <c r="J23" s="132"/>
      <c r="L23" s="402">
        <f t="shared" si="0"/>
        <v>82952.52</v>
      </c>
      <c r="M23" s="170">
        <f t="shared" si="2"/>
        <v>-15728508.330000002</v>
      </c>
      <c r="N23" s="170">
        <v>0</v>
      </c>
      <c r="O23" s="170">
        <f t="shared" si="1"/>
        <v>82952.52</v>
      </c>
      <c r="P23" s="132">
        <f t="shared" si="3"/>
        <v>903264.46</v>
      </c>
    </row>
    <row r="24" spans="2:19" ht="15">
      <c r="B24" s="2" t="s">
        <v>49</v>
      </c>
      <c r="C24" s="2" t="s">
        <v>349</v>
      </c>
      <c r="D24" s="187"/>
      <c r="E24" s="187">
        <v>45428</v>
      </c>
      <c r="F24" s="323" t="s">
        <v>1137</v>
      </c>
      <c r="H24" s="170">
        <v>472675.58</v>
      </c>
      <c r="I24" s="132"/>
      <c r="J24" s="132"/>
      <c r="L24" s="402">
        <f t="shared" si="0"/>
        <v>472675.58</v>
      </c>
      <c r="M24" s="170">
        <f t="shared" si="2"/>
        <v>-15728508.330000002</v>
      </c>
      <c r="N24" s="170">
        <v>0</v>
      </c>
      <c r="O24" s="170">
        <f t="shared" si="1"/>
        <v>472675.58</v>
      </c>
      <c r="P24" s="132">
        <f t="shared" si="3"/>
        <v>1375940.04</v>
      </c>
      <c r="S24" s="2" t="s">
        <v>846</v>
      </c>
    </row>
    <row r="25" spans="2:19" ht="15">
      <c r="B25" s="2" t="s">
        <v>49</v>
      </c>
      <c r="C25" s="2" t="s">
        <v>351</v>
      </c>
      <c r="D25" s="187"/>
      <c r="E25" s="187">
        <v>45532</v>
      </c>
      <c r="F25" s="323" t="s">
        <v>1137</v>
      </c>
      <c r="G25" s="2" t="s">
        <v>1138</v>
      </c>
      <c r="H25" s="170">
        <v>181200.27</v>
      </c>
      <c r="I25" s="132"/>
      <c r="J25" s="132"/>
      <c r="L25" s="402">
        <f t="shared" si="0"/>
        <v>181200.27</v>
      </c>
      <c r="M25" s="170">
        <f t="shared" si="2"/>
        <v>-15728508.330000002</v>
      </c>
      <c r="N25" s="170">
        <v>0</v>
      </c>
      <c r="O25" s="170">
        <f>SUMIF(L25,"&gt;0", L25)</f>
        <v>181200.27</v>
      </c>
      <c r="P25" s="132">
        <f t="shared" si="3"/>
        <v>1557140.31</v>
      </c>
      <c r="S25" s="2" t="s">
        <v>617</v>
      </c>
    </row>
    <row r="26" spans="2:19" ht="15">
      <c r="B26" s="2" t="s">
        <v>49</v>
      </c>
      <c r="C26" s="2" t="s">
        <v>357</v>
      </c>
      <c r="E26" s="187">
        <v>45595</v>
      </c>
      <c r="F26" s="323" t="s">
        <v>1137</v>
      </c>
      <c r="G26" s="2" t="s">
        <v>1139</v>
      </c>
      <c r="H26" s="255">
        <v>613422.98</v>
      </c>
      <c r="L26" s="402">
        <f t="shared" si="0"/>
        <v>613422.98</v>
      </c>
      <c r="M26" s="170">
        <f t="shared" si="2"/>
        <v>-15728508.330000002</v>
      </c>
      <c r="N26" s="170">
        <v>0</v>
      </c>
      <c r="O26" s="170">
        <f>SUMIF(L26,"&gt;0", L26)</f>
        <v>613422.98</v>
      </c>
      <c r="P26" s="132">
        <f t="shared" si="3"/>
        <v>2170563.29</v>
      </c>
    </row>
    <row r="27" spans="2:19" ht="15">
      <c r="B27" s="2" t="s">
        <v>49</v>
      </c>
      <c r="C27" s="2" t="s">
        <v>360</v>
      </c>
      <c r="D27" s="187"/>
      <c r="E27" s="187">
        <v>45629</v>
      </c>
      <c r="F27" s="323" t="s">
        <v>1137</v>
      </c>
      <c r="G27" s="2" t="s">
        <v>1140</v>
      </c>
      <c r="H27" s="170">
        <v>27043.83</v>
      </c>
      <c r="I27" s="132"/>
      <c r="J27" s="132"/>
      <c r="L27" s="402">
        <f t="shared" si="0"/>
        <v>27043.83</v>
      </c>
      <c r="M27" s="170">
        <f t="shared" si="2"/>
        <v>-15728508.330000002</v>
      </c>
      <c r="N27" s="170">
        <v>0</v>
      </c>
      <c r="O27" s="170">
        <f>SUMIF(L27,"&gt;0", L27)</f>
        <v>27043.83</v>
      </c>
      <c r="P27" s="132">
        <f t="shared" si="3"/>
        <v>2197607.12</v>
      </c>
      <c r="S27" s="2" t="s">
        <v>403</v>
      </c>
    </row>
    <row r="28" spans="2:19">
      <c r="D28" s="187"/>
      <c r="E28" s="187"/>
      <c r="F28" s="323"/>
      <c r="H28" s="170"/>
      <c r="I28" s="132"/>
      <c r="J28" s="132"/>
      <c r="L28" s="170"/>
      <c r="M28" s="170"/>
      <c r="N28" s="170"/>
      <c r="O28" s="170"/>
      <c r="P28" s="132"/>
      <c r="S28" s="324"/>
    </row>
    <row r="29" spans="2:19" s="75" customFormat="1">
      <c r="B29" s="191" t="s">
        <v>288</v>
      </c>
      <c r="C29" s="192"/>
      <c r="D29" s="192"/>
      <c r="E29" s="192">
        <f>C3</f>
        <v>45657</v>
      </c>
      <c r="F29" s="192"/>
      <c r="G29" s="191"/>
      <c r="H29" s="194"/>
      <c r="I29" s="194"/>
      <c r="J29" s="194"/>
      <c r="K29" s="193"/>
      <c r="L29" s="263">
        <v>11059808.720000001</v>
      </c>
      <c r="M29" s="194"/>
      <c r="N29" s="194"/>
      <c r="O29" s="194"/>
      <c r="P29" s="194"/>
      <c r="Q29" s="191"/>
      <c r="R29" s="193"/>
      <c r="S29" s="324"/>
    </row>
  </sheetData>
  <autoFilter ref="B10:S29" xr:uid="{47CF93F6-4405-47A1-B013-4B50944F7533}"/>
  <mergeCells count="1">
    <mergeCell ref="L1:M1"/>
  </mergeCells>
  <phoneticPr fontId="62" type="noConversion"/>
  <hyperlinks>
    <hyperlink ref="L23" r:id="rId1" display="../../../../../../../../../../:b:/s/ACH33-ACH33-SGInvestment-CCGBVI/Eb9TqQRTKQ5PivbU4kYLEakBibm4dMVdf9RRKuisahn9lw?e=x2CxYZ" xr:uid="{539D99C5-8E3C-4976-8DDD-0AD630B066A2}"/>
    <hyperlink ref="L24" r:id="rId2" location="7.pdf&amp;viewid=048c04e9-146b-425b-9d09-84676d2821bc&amp;parent=\sites\ACH33-ACH33-SGInvestment-CCGBVI\Shared Documents\ACH33 - SG Investment - CCGBVI\1. Private Equity\1 - Funds\1 - USD Funds\Skycus (USD)\Skycus Fund II (Lionet Fund)\2 - Distribution Notice" display="../../../../Forms/AllItems.aspx?CT=1722236910052&amp;OR=OWA%2DNT%2DMail&amp;CID=4ee197c8%2D4f6b%2D8418%2D90d3%2Dff79d36307e2&amp;id=%2Fsites%2FACH33%2DACH33%2DSGInvestment%2DCCGBVI%2FShared%20Documents%2FACH33%20%2D%20SG%20Investment%20%2D%20CCGBVI%2F1%2E%20Private%20Equity%2F1%20%2D%20Funds%2F1%20%2D%20USD%20Funds%2FSkycus%20%28USD%29%2FSkycus%20Fund%20II%20%28Lionet%20Fund%29%2F2%20%2D%20Distribution%20Notice%2F20240510%20Dist%20Notice%20%237%2Epdf&amp;viewid=048c04e9%2D146b%2D425b%2D9d09%2D84676d2821bc&amp;parent=%2Fsites%2FACH33%2DACH33%2DSGInvestment%2DCCGBVI%2FShared%20Documents%2FACH33%20%2D%20SG%20Investment%20%2D%20CCGBVI%2F1%2E%20Private%20Equity%2F1%20%2D%20Funds%2F1%20%2D%20USD%20Funds%2FSkycus%20%28USD%29%2FSkycus%20Fund%20II%20%28Lionet%20Fund%29%2F2%20%2D%20Distribution%20Notice" xr:uid="{8C173486-7C31-4D15-94F5-5A917875D2C2}"/>
    <hyperlink ref="L26" r:id="rId3" location="9.pdf&amp;viewid=048c04e9-146b-425b-9d09-84676d2821bc&amp;parent=\sites\ACH33-ACH33-SGInvestment-CCGBVI\Shared Documents\ACH33 - SG Investment - CCGBVI\1. Private Equity\1 - Funds\1 - USD Funds\Skycus (USD)\Skycus Fund II (Lionet Fund)\2 - Distribution Notice" display="../../../../Forms/AllItems.aspx?id=%2Fsites%2FACH33%2DACH33%2DSGInvestment%2DCCGBVI%2FShared%20Documents%2FACH33%20%2D%20SG%20Investment%20%2D%20CCGBVI%2F1%2E%20Private%20Equity%2F1%20%2D%20Funds%2F1%20%2D%20USD%20Funds%2FSkycus%20%28USD%29%2FSkycus%20Fund%20II%20%28Lionet%20Fund%29%2F2%20%2D%20Distribution%20Notice%2F20241028%20Dist%20Notice%20%239%2Epdf&amp;viewid=048c04e9%2D146b%2D425b%2D9d09%2D84676d2821bc&amp;parent=%2Fsites%2FACH33%2DACH33%2DSGInvestment%2DCCGBVI%2FShared%20Documents%2FACH33%20%2D%20SG%20Investment%20%2D%20CCGBVI%2F1%2E%20Private%20Equity%2F1%20%2D%20Funds%2F1%20%2D%20USD%20Funds%2FSkycus%20%28USD%29%2FSkycus%20Fund%20II%20%28Lionet%20Fund%29%2F2%20%2D%20Distribution%20Notice" xr:uid="{15693874-D470-40A6-BF59-97AC95AFC224}"/>
    <hyperlink ref="L27" r:id="rId4" display="../../../../../../../:b:/s/ACH33-ACH33-SGInvestment-CCGBVI/ESYTkbzcSntHqXMd87yegnoB9meLR1Je_a2ssx5YmC8uew?e=GZt95l" xr:uid="{B91DE1BC-B12F-4EE8-A15F-30940A07BB72}"/>
  </hyperlinks>
  <pageMargins left="0.7" right="0.7" top="0.75" bottom="0.75" header="0.3" footer="0.3"/>
  <pageSetup paperSize="9" orientation="portrait" r:id="rId5"/>
  <legacyDrawing r:id="rId6"/>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B78B2-A26E-4C8A-AC46-75C82CDFE4E2}">
  <sheetPr>
    <tabColor theme="8"/>
    <outlinePr showOutlineSymbols="0"/>
    <pageSetUpPr fitToPage="1"/>
  </sheetPr>
  <dimension ref="A1:AN107"/>
  <sheetViews>
    <sheetView workbookViewId="0">
      <selection activeCell="A32" sqref="A32"/>
    </sheetView>
  </sheetViews>
  <sheetFormatPr defaultColWidth="9" defaultRowHeight="11.25" outlineLevelRow="1" outlineLevelCol="1"/>
  <cols>
    <col min="1" max="1" width="32.140625" style="2" customWidth="1"/>
    <col min="2" max="2" width="79.42578125" style="2" customWidth="1"/>
    <col min="3" max="3" width="15.7109375" style="2" customWidth="1"/>
    <col min="4" max="4" width="31.140625" style="2" customWidth="1"/>
    <col min="5" max="5" width="14.42578125" style="2" customWidth="1"/>
    <col min="6" max="7" width="10.7109375" style="2" customWidth="1"/>
    <col min="8" max="8" width="38" style="2" bestFit="1" customWidth="1"/>
    <col min="9" max="9" width="19.28515625" style="2" bestFit="1" customWidth="1"/>
    <col min="10" max="10" width="19.28515625" style="2" customWidth="1"/>
    <col min="11" max="11" width="12.7109375" style="367" customWidth="1" outlineLevel="1"/>
    <col min="12" max="12" width="12.7109375" style="2" customWidth="1" outlineLevel="1"/>
    <col min="13" max="15" width="14.7109375" style="2" customWidth="1" outlineLevel="1"/>
    <col min="16" max="17" width="7.7109375" style="2" customWidth="1" outlineLevel="1"/>
    <col min="18" max="19" width="15.7109375" style="2" customWidth="1" outlineLevel="1"/>
    <col min="20" max="20" width="12.7109375" style="367" customWidth="1"/>
    <col min="21" max="21" width="12.7109375" style="2" customWidth="1"/>
    <col min="22" max="24" width="14.7109375" style="2" customWidth="1"/>
    <col min="25" max="26" width="7.7109375" style="2" customWidth="1"/>
    <col min="27" max="28" width="15.7109375" style="2" customWidth="1"/>
    <col min="29" max="29" width="12.7109375" style="367" customWidth="1"/>
    <col min="30" max="30" width="12.7109375" style="2" customWidth="1"/>
    <col min="31" max="33" width="14.7109375" style="2" customWidth="1"/>
    <col min="34" max="35" width="7.7109375" style="2" customWidth="1"/>
    <col min="36" max="39" width="15.7109375" style="2" customWidth="1"/>
    <col min="40" max="40" width="9" style="367"/>
    <col min="41" max="16384" width="9" style="2"/>
  </cols>
  <sheetData>
    <row r="1" spans="1:20">
      <c r="A1" s="117" t="s">
        <v>179</v>
      </c>
      <c r="B1" s="118"/>
      <c r="C1" s="74"/>
      <c r="D1" s="117" t="s">
        <v>180</v>
      </c>
      <c r="E1" s="219">
        <v>45657</v>
      </c>
      <c r="H1" s="117" t="s">
        <v>404</v>
      </c>
      <c r="I1" s="118"/>
      <c r="J1" s="74"/>
    </row>
    <row r="2" spans="1:20" outlineLevel="1">
      <c r="A2" s="2" t="s">
        <v>182</v>
      </c>
      <c r="B2" s="120" t="s">
        <v>40</v>
      </c>
      <c r="D2" s="2" t="s">
        <v>183</v>
      </c>
      <c r="E2" s="121">
        <f>W66</f>
        <v>1262.8430000000001</v>
      </c>
      <c r="F2" s="242"/>
      <c r="H2" s="2" t="s">
        <v>184</v>
      </c>
      <c r="I2" s="120" t="s">
        <v>185</v>
      </c>
      <c r="J2" s="120"/>
    </row>
    <row r="3" spans="1:20" outlineLevel="1">
      <c r="A3" s="2" t="s">
        <v>186</v>
      </c>
      <c r="B3" s="329">
        <v>43024</v>
      </c>
      <c r="D3" s="2" t="s">
        <v>187</v>
      </c>
      <c r="E3" s="121">
        <v>1279.164921</v>
      </c>
      <c r="H3" s="2" t="s">
        <v>188</v>
      </c>
      <c r="I3" s="307" t="s">
        <v>1018</v>
      </c>
      <c r="J3" s="120"/>
    </row>
    <row r="4" spans="1:20" outlineLevel="1">
      <c r="A4" s="2" t="s">
        <v>190</v>
      </c>
      <c r="B4" s="329">
        <v>43601</v>
      </c>
      <c r="D4" s="2" t="s">
        <v>191</v>
      </c>
      <c r="E4" s="125">
        <v>1.7</v>
      </c>
      <c r="H4" s="2" t="s">
        <v>192</v>
      </c>
      <c r="I4" s="124">
        <v>0.08</v>
      </c>
      <c r="J4" s="320"/>
    </row>
    <row r="5" spans="1:20" outlineLevel="1">
      <c r="A5" s="2" t="s">
        <v>193</v>
      </c>
      <c r="B5" s="120">
        <v>2017</v>
      </c>
      <c r="D5" s="2" t="s">
        <v>194</v>
      </c>
      <c r="E5" s="290" t="s">
        <v>685</v>
      </c>
      <c r="H5" s="2" t="s">
        <v>195</v>
      </c>
      <c r="I5" s="126">
        <v>0.2</v>
      </c>
      <c r="J5" s="126"/>
    </row>
    <row r="6" spans="1:20" outlineLevel="1">
      <c r="A6" s="2" t="s">
        <v>196</v>
      </c>
      <c r="B6" s="120" t="s">
        <v>1141</v>
      </c>
      <c r="D6" s="2" t="s">
        <v>198</v>
      </c>
      <c r="E6" s="363" t="s">
        <v>685</v>
      </c>
      <c r="H6" s="117" t="s">
        <v>199</v>
      </c>
      <c r="I6" s="118"/>
      <c r="J6" s="74"/>
    </row>
    <row r="7" spans="1:20" outlineLevel="1">
      <c r="A7" s="2" t="s">
        <v>200</v>
      </c>
      <c r="B7" s="120" t="s">
        <v>1142</v>
      </c>
      <c r="D7" s="2" t="s">
        <v>202</v>
      </c>
      <c r="E7" s="363" t="s">
        <v>685</v>
      </c>
      <c r="H7" s="2" t="s">
        <v>203</v>
      </c>
      <c r="I7" s="2" t="s">
        <v>204</v>
      </c>
    </row>
    <row r="8" spans="1:20" outlineLevel="1">
      <c r="A8" s="2" t="s">
        <v>205</v>
      </c>
      <c r="B8" s="120" t="s">
        <v>206</v>
      </c>
      <c r="D8" s="2" t="s">
        <v>207</v>
      </c>
      <c r="E8" s="127">
        <v>0.18</v>
      </c>
      <c r="H8" s="2" t="s">
        <v>208</v>
      </c>
      <c r="I8" s="2" t="s">
        <v>1020</v>
      </c>
    </row>
    <row r="9" spans="1:20" outlineLevel="1">
      <c r="A9" s="2" t="s">
        <v>65</v>
      </c>
      <c r="B9" s="120" t="s">
        <v>1143</v>
      </c>
      <c r="D9" s="128" t="s">
        <v>211</v>
      </c>
      <c r="E9" s="291"/>
    </row>
    <row r="10" spans="1:20" outlineLevel="1">
      <c r="A10" s="2" t="s">
        <v>212</v>
      </c>
      <c r="B10" s="120" t="s">
        <v>1022</v>
      </c>
      <c r="D10" s="2" t="s">
        <v>214</v>
      </c>
      <c r="E10" s="121">
        <v>30</v>
      </c>
    </row>
    <row r="11" spans="1:20" outlineLevel="1">
      <c r="A11" s="2" t="s">
        <v>215</v>
      </c>
      <c r="B11" s="120" t="s">
        <v>1144</v>
      </c>
      <c r="D11" s="2" t="s">
        <v>216</v>
      </c>
      <c r="E11" s="364">
        <f>E10/977.75</f>
        <v>3.0682689849143442E-2</v>
      </c>
    </row>
    <row r="12" spans="1:20" outlineLevel="1">
      <c r="A12" s="2" t="s">
        <v>217</v>
      </c>
      <c r="B12" s="120" t="s">
        <v>24</v>
      </c>
      <c r="D12" s="116" t="s">
        <v>218</v>
      </c>
      <c r="E12" s="121">
        <f>-'Skycus China CF'!M2/10^6</f>
        <v>30</v>
      </c>
      <c r="T12" s="502"/>
    </row>
    <row r="13" spans="1:20" outlineLevel="1">
      <c r="A13" s="2" t="s">
        <v>219</v>
      </c>
      <c r="B13" s="120" t="s">
        <v>1145</v>
      </c>
      <c r="D13" s="2" t="s">
        <v>221</v>
      </c>
      <c r="E13" s="292">
        <v>0</v>
      </c>
      <c r="N13" s="314"/>
      <c r="T13" s="502"/>
    </row>
    <row r="14" spans="1:20" outlineLevel="1">
      <c r="A14" s="2" t="s">
        <v>222</v>
      </c>
      <c r="B14" s="120" t="s">
        <v>928</v>
      </c>
      <c r="D14" s="2" t="s">
        <v>224</v>
      </c>
      <c r="E14" s="121">
        <f>'Skycus China CF'!M3/10^6</f>
        <v>5.3279115199999998</v>
      </c>
      <c r="N14" s="314"/>
      <c r="T14" s="502"/>
    </row>
    <row r="15" spans="1:20" outlineLevel="1">
      <c r="A15" s="2" t="s">
        <v>225</v>
      </c>
      <c r="B15" s="120" t="s">
        <v>223</v>
      </c>
      <c r="D15" s="2" t="s">
        <v>227</v>
      </c>
      <c r="E15" s="293">
        <f>'Skycus China CF'!M4/10^6</f>
        <v>39.396375590000005</v>
      </c>
      <c r="N15" s="314"/>
    </row>
    <row r="16" spans="1:20" outlineLevel="1">
      <c r="A16" s="2" t="s">
        <v>228</v>
      </c>
      <c r="B16" s="134">
        <v>44196</v>
      </c>
      <c r="D16" s="2" t="s">
        <v>229</v>
      </c>
      <c r="E16" s="127">
        <v>1</v>
      </c>
      <c r="N16" s="314"/>
    </row>
    <row r="17" spans="1:40" outlineLevel="1">
      <c r="A17" s="2" t="s">
        <v>230</v>
      </c>
      <c r="B17" s="120" t="s">
        <v>626</v>
      </c>
      <c r="D17" s="2" t="s">
        <v>232</v>
      </c>
      <c r="E17" s="294">
        <f>E14/E12</f>
        <v>0.17759705066666667</v>
      </c>
    </row>
    <row r="18" spans="1:40" outlineLevel="1">
      <c r="A18" s="117" t="s">
        <v>233</v>
      </c>
      <c r="B18" s="118"/>
      <c r="D18" s="2" t="s">
        <v>234</v>
      </c>
      <c r="E18" s="137">
        <f>(E15+E14)/E12</f>
        <v>1.4908095703333335</v>
      </c>
    </row>
    <row r="19" spans="1:40" outlineLevel="1">
      <c r="A19" s="2" t="s">
        <v>235</v>
      </c>
      <c r="B19" s="120">
        <v>33</v>
      </c>
      <c r="D19" s="2" t="s">
        <v>627</v>
      </c>
      <c r="E19" s="294">
        <f>'Skycus China CF'!M5</f>
        <v>7.2061195969581618E-2</v>
      </c>
    </row>
    <row r="20" spans="1:40" ht="13.5" customHeight="1"/>
    <row r="30" spans="1:40" ht="13.5" customHeight="1">
      <c r="K30" s="503" t="s">
        <v>236</v>
      </c>
      <c r="L30" s="504"/>
      <c r="M30" s="504"/>
      <c r="N30" s="504"/>
      <c r="O30" s="504"/>
      <c r="P30" s="504"/>
      <c r="Q30" s="505"/>
      <c r="R30" s="505"/>
      <c r="S30" s="504"/>
      <c r="T30" s="503" t="s">
        <v>237</v>
      </c>
      <c r="U30" s="504"/>
      <c r="V30" s="504"/>
      <c r="W30" s="504"/>
      <c r="X30" s="504"/>
      <c r="Y30" s="504"/>
      <c r="Z30" s="505"/>
      <c r="AA30" s="505"/>
      <c r="AB30" s="504"/>
      <c r="AC30" s="503" t="s">
        <v>238</v>
      </c>
      <c r="AD30" s="504"/>
      <c r="AE30" s="504"/>
      <c r="AF30" s="504"/>
      <c r="AG30" s="504"/>
      <c r="AH30" s="504"/>
      <c r="AI30" s="505"/>
      <c r="AJ30" s="505"/>
      <c r="AK30" s="505"/>
      <c r="AL30" s="505"/>
      <c r="AM30" s="504"/>
    </row>
    <row r="31" spans="1:40" s="141" customFormat="1" ht="39.75" customHeight="1">
      <c r="A31" s="138" t="s">
        <v>239</v>
      </c>
      <c r="B31" s="139" t="s">
        <v>240</v>
      </c>
      <c r="C31" s="139" t="s">
        <v>69</v>
      </c>
      <c r="D31" s="139" t="s">
        <v>241</v>
      </c>
      <c r="E31" s="139" t="s">
        <v>242</v>
      </c>
      <c r="F31" s="139" t="s">
        <v>243</v>
      </c>
      <c r="G31" s="139" t="s">
        <v>244</v>
      </c>
      <c r="H31" s="139" t="s">
        <v>245</v>
      </c>
      <c r="I31" s="139" t="s">
        <v>246</v>
      </c>
      <c r="J31" s="501" t="s">
        <v>247</v>
      </c>
      <c r="K31" s="506" t="s">
        <v>248</v>
      </c>
      <c r="L31" s="506" t="s">
        <v>249</v>
      </c>
      <c r="M31" s="507" t="s">
        <v>250</v>
      </c>
      <c r="N31" s="506" t="s">
        <v>251</v>
      </c>
      <c r="O31" s="507" t="s">
        <v>252</v>
      </c>
      <c r="P31" s="506" t="s">
        <v>115</v>
      </c>
      <c r="Q31" s="507" t="s">
        <v>253</v>
      </c>
      <c r="R31" s="508" t="s">
        <v>254</v>
      </c>
      <c r="S31" s="509" t="s">
        <v>255</v>
      </c>
      <c r="T31" s="506" t="s">
        <v>248</v>
      </c>
      <c r="U31" s="506" t="s">
        <v>1480</v>
      </c>
      <c r="V31" s="507" t="s">
        <v>250</v>
      </c>
      <c r="W31" s="506" t="s">
        <v>251</v>
      </c>
      <c r="X31" s="507" t="s">
        <v>252</v>
      </c>
      <c r="Y31" s="506" t="s">
        <v>115</v>
      </c>
      <c r="Z31" s="507" t="s">
        <v>253</v>
      </c>
      <c r="AA31" s="508" t="s">
        <v>254</v>
      </c>
      <c r="AB31" s="509" t="s">
        <v>255</v>
      </c>
      <c r="AC31" s="506" t="s">
        <v>248</v>
      </c>
      <c r="AD31" s="506" t="s">
        <v>249</v>
      </c>
      <c r="AE31" s="507" t="s">
        <v>250</v>
      </c>
      <c r="AF31" s="506" t="s">
        <v>251</v>
      </c>
      <c r="AG31" s="507" t="s">
        <v>252</v>
      </c>
      <c r="AH31" s="506" t="s">
        <v>115</v>
      </c>
      <c r="AI31" s="507" t="s">
        <v>253</v>
      </c>
      <c r="AJ31" s="508" t="s">
        <v>254</v>
      </c>
      <c r="AK31" s="509" t="s">
        <v>255</v>
      </c>
      <c r="AL31" s="508" t="s">
        <v>256</v>
      </c>
      <c r="AM31" s="509" t="s">
        <v>257</v>
      </c>
      <c r="AN31" s="510"/>
    </row>
    <row r="32" spans="1:40">
      <c r="A32" s="2" t="s">
        <v>1146</v>
      </c>
      <c r="B32" s="2" t="s">
        <v>1147</v>
      </c>
      <c r="C32" s="235" t="s">
        <v>112</v>
      </c>
      <c r="D32" s="374" t="s">
        <v>584</v>
      </c>
      <c r="E32" s="374">
        <v>43009</v>
      </c>
      <c r="F32" s="374" t="s">
        <v>44</v>
      </c>
      <c r="G32" s="374" t="s">
        <v>44</v>
      </c>
      <c r="H32" s="374" t="s">
        <v>44</v>
      </c>
      <c r="I32" s="235" t="s">
        <v>44</v>
      </c>
      <c r="J32" s="512" t="s">
        <v>44</v>
      </c>
      <c r="K32" s="513">
        <f>15+3.751</f>
        <v>18.751000000000001</v>
      </c>
      <c r="L32" s="514" t="s">
        <v>44</v>
      </c>
      <c r="M32" s="513">
        <v>0</v>
      </c>
      <c r="N32" s="513">
        <v>178.661</v>
      </c>
      <c r="O32" s="513">
        <f>M32+N32</f>
        <v>178.661</v>
      </c>
      <c r="P32" s="268">
        <f>O32/K32</f>
        <v>9.5280785024798664</v>
      </c>
      <c r="Q32" s="513">
        <v>0</v>
      </c>
      <c r="R32" s="513">
        <v>0</v>
      </c>
      <c r="S32" s="515" t="s">
        <v>44</v>
      </c>
      <c r="T32" s="516">
        <f>15+3.751</f>
        <v>18.751000000000001</v>
      </c>
      <c r="U32" s="514">
        <f>T32/T$66</f>
        <v>2.0893363730163508E-2</v>
      </c>
      <c r="V32" s="513">
        <v>0</v>
      </c>
      <c r="W32" s="513">
        <v>201.77600000000001</v>
      </c>
      <c r="X32" s="513">
        <f>V32+W32</f>
        <v>201.77600000000001</v>
      </c>
      <c r="Y32" s="268">
        <f>X32/T32</f>
        <v>10.760812756652978</v>
      </c>
      <c r="Z32" s="513">
        <v>0</v>
      </c>
      <c r="AA32" s="513">
        <f>X32-O32</f>
        <v>23.115000000000009</v>
      </c>
      <c r="AB32" s="515">
        <f>IFERROR(X32/O32-1,0)</f>
        <v>0.12937910344171377</v>
      </c>
      <c r="AC32" s="517"/>
      <c r="AD32" s="514"/>
      <c r="AE32" s="513"/>
      <c r="AF32" s="513"/>
      <c r="AG32" s="513"/>
      <c r="AH32" s="268"/>
      <c r="AI32" s="513"/>
      <c r="AJ32" s="513"/>
      <c r="AK32" s="515"/>
      <c r="AL32" s="513"/>
      <c r="AM32" s="515"/>
    </row>
    <row r="33" spans="1:40" s="595" customFormat="1">
      <c r="A33" s="595" t="s">
        <v>1148</v>
      </c>
      <c r="B33" s="595" t="s">
        <v>1149</v>
      </c>
      <c r="C33" s="596" t="s">
        <v>636</v>
      </c>
      <c r="D33" s="597" t="s">
        <v>584</v>
      </c>
      <c r="E33" s="597">
        <v>43160</v>
      </c>
      <c r="F33" s="597">
        <v>44317</v>
      </c>
      <c r="G33" s="597" t="s">
        <v>1150</v>
      </c>
      <c r="H33" s="597" t="s">
        <v>44</v>
      </c>
      <c r="I33" s="596" t="s">
        <v>44</v>
      </c>
      <c r="J33" s="598" t="s">
        <v>44</v>
      </c>
      <c r="K33" s="599">
        <v>70</v>
      </c>
      <c r="L33" s="600" t="s">
        <v>44</v>
      </c>
      <c r="M33" s="599">
        <v>0</v>
      </c>
      <c r="N33" s="599">
        <v>35.036999999999999</v>
      </c>
      <c r="O33" s="599">
        <f>N33+M33</f>
        <v>35.036999999999999</v>
      </c>
      <c r="P33" s="601">
        <f>O33/K33</f>
        <v>0.50052857142857143</v>
      </c>
      <c r="Q33" s="599">
        <v>0</v>
      </c>
      <c r="R33" s="599">
        <v>0</v>
      </c>
      <c r="S33" s="602" t="s">
        <v>44</v>
      </c>
      <c r="T33" s="603">
        <v>70</v>
      </c>
      <c r="U33" s="600">
        <f t="shared" ref="U33:U64" si="0">T33/T$66</f>
        <v>7.7997731380270136E-2</v>
      </c>
      <c r="V33" s="599">
        <v>0</v>
      </c>
      <c r="W33" s="599">
        <v>46.170999999999999</v>
      </c>
      <c r="X33" s="599">
        <f>W33+V33</f>
        <v>46.170999999999999</v>
      </c>
      <c r="Y33" s="604">
        <f>X33/T33</f>
        <v>0.65958571428571433</v>
      </c>
      <c r="Z33" s="599">
        <v>0</v>
      </c>
      <c r="AA33" s="599">
        <f t="shared" ref="AA33:AA64" si="1">X33-O33</f>
        <v>11.134</v>
      </c>
      <c r="AB33" s="602">
        <f t="shared" ref="AB33:AB64" si="2">IFERROR(X33/O33-1,0)</f>
        <v>0.31777834860290555</v>
      </c>
      <c r="AC33" s="605"/>
      <c r="AD33" s="600"/>
      <c r="AE33" s="599"/>
      <c r="AF33" s="599"/>
      <c r="AG33" s="599"/>
      <c r="AH33" s="604"/>
      <c r="AI33" s="599"/>
      <c r="AJ33" s="599"/>
      <c r="AK33" s="602"/>
      <c r="AL33" s="599"/>
      <c r="AM33" s="602"/>
      <c r="AN33" s="606"/>
    </row>
    <row r="34" spans="1:40" s="595" customFormat="1">
      <c r="A34" s="595" t="s">
        <v>1151</v>
      </c>
      <c r="B34" s="595" t="s">
        <v>1152</v>
      </c>
      <c r="C34" s="596" t="s">
        <v>636</v>
      </c>
      <c r="D34" s="597" t="s">
        <v>276</v>
      </c>
      <c r="E34" s="597">
        <v>43221</v>
      </c>
      <c r="F34" s="597">
        <v>44348</v>
      </c>
      <c r="G34" s="597" t="s">
        <v>1153</v>
      </c>
      <c r="H34" s="597" t="s">
        <v>44</v>
      </c>
      <c r="I34" s="596" t="s">
        <v>44</v>
      </c>
      <c r="J34" s="598" t="s">
        <v>44</v>
      </c>
      <c r="K34" s="599">
        <v>7.1550000000000002</v>
      </c>
      <c r="L34" s="600" t="s">
        <v>44</v>
      </c>
      <c r="M34" s="599">
        <v>0</v>
      </c>
      <c r="N34" s="599">
        <v>6.3490000000000002</v>
      </c>
      <c r="O34" s="599">
        <f t="shared" ref="O34:O64" si="3">N34+M34</f>
        <v>6.3490000000000002</v>
      </c>
      <c r="P34" s="601">
        <f t="shared" ref="P34:P69" si="4">O34/K34</f>
        <v>0.88735150244584204</v>
      </c>
      <c r="Q34" s="599">
        <v>0</v>
      </c>
      <c r="R34" s="599">
        <v>0</v>
      </c>
      <c r="S34" s="602" t="s">
        <v>44</v>
      </c>
      <c r="T34" s="603">
        <v>7.5190000000000001</v>
      </c>
      <c r="U34" s="600">
        <f t="shared" si="0"/>
        <v>8.3780706035464451E-3</v>
      </c>
      <c r="V34" s="599">
        <f>0.129+5.02</f>
        <v>5.1489999999999991</v>
      </c>
      <c r="W34" s="599">
        <v>5.5220000000000002</v>
      </c>
      <c r="X34" s="599">
        <f t="shared" ref="X34:X64" si="5">W34+V34</f>
        <v>10.670999999999999</v>
      </c>
      <c r="Y34" s="604">
        <f t="shared" ref="Y34:Y64" si="6">X34/T34</f>
        <v>1.4192046814736001</v>
      </c>
      <c r="Z34" s="599">
        <v>0</v>
      </c>
      <c r="AA34" s="599">
        <f t="shared" si="1"/>
        <v>4.3219999999999992</v>
      </c>
      <c r="AB34" s="602">
        <f t="shared" si="2"/>
        <v>0.68073712395652852</v>
      </c>
      <c r="AC34" s="605"/>
      <c r="AD34" s="600"/>
      <c r="AE34" s="599"/>
      <c r="AF34" s="599"/>
      <c r="AG34" s="599"/>
      <c r="AH34" s="604"/>
      <c r="AI34" s="599"/>
      <c r="AJ34" s="599"/>
      <c r="AK34" s="602"/>
      <c r="AL34" s="599"/>
      <c r="AM34" s="602"/>
      <c r="AN34" s="606"/>
    </row>
    <row r="35" spans="1:40" s="595" customFormat="1">
      <c r="A35" s="595" t="s">
        <v>1154</v>
      </c>
      <c r="B35" s="595" t="s">
        <v>1155</v>
      </c>
      <c r="C35" s="596" t="s">
        <v>112</v>
      </c>
      <c r="D35" s="597" t="s">
        <v>261</v>
      </c>
      <c r="E35" s="597">
        <v>43252</v>
      </c>
      <c r="F35" s="597">
        <v>43282</v>
      </c>
      <c r="G35" s="597" t="s">
        <v>1156</v>
      </c>
      <c r="H35" s="597">
        <v>45292</v>
      </c>
      <c r="I35" s="596" t="s">
        <v>735</v>
      </c>
      <c r="J35" s="598">
        <f>YEAR(H35)-YEAR(E35)</f>
        <v>6</v>
      </c>
      <c r="K35" s="599">
        <v>30.06</v>
      </c>
      <c r="L35" s="600" t="s">
        <v>44</v>
      </c>
      <c r="M35" s="599">
        <f>(597+50+20+682+2672+2672+2672)*10^-3</f>
        <v>9.3650000000000002</v>
      </c>
      <c r="N35" s="599">
        <v>2.7810000000000001</v>
      </c>
      <c r="O35" s="599">
        <f t="shared" si="3"/>
        <v>12.146000000000001</v>
      </c>
      <c r="P35" s="601">
        <f t="shared" si="4"/>
        <v>0.40405854956753162</v>
      </c>
      <c r="Q35" s="599">
        <v>0</v>
      </c>
      <c r="R35" s="599">
        <v>0</v>
      </c>
      <c r="S35" s="602" t="s">
        <v>44</v>
      </c>
      <c r="T35" s="603">
        <v>30.06</v>
      </c>
      <c r="U35" s="600">
        <f t="shared" si="0"/>
        <v>3.3494454361298859E-2</v>
      </c>
      <c r="V35" s="599">
        <v>16.181000000000001</v>
      </c>
      <c r="W35" s="599">
        <v>0</v>
      </c>
      <c r="X35" s="599">
        <f t="shared" si="5"/>
        <v>16.181000000000001</v>
      </c>
      <c r="Y35" s="604">
        <f t="shared" si="6"/>
        <v>0.53829008649367938</v>
      </c>
      <c r="Z35" s="599">
        <v>0</v>
      </c>
      <c r="AA35" s="599">
        <f t="shared" si="1"/>
        <v>4.0350000000000001</v>
      </c>
      <c r="AB35" s="602">
        <f t="shared" si="2"/>
        <v>0.33220813436522301</v>
      </c>
      <c r="AC35" s="605"/>
      <c r="AD35" s="600"/>
      <c r="AE35" s="599"/>
      <c r="AF35" s="599"/>
      <c r="AG35" s="599"/>
      <c r="AH35" s="604"/>
      <c r="AI35" s="599"/>
      <c r="AJ35" s="599"/>
      <c r="AK35" s="602"/>
      <c r="AL35" s="599"/>
      <c r="AM35" s="602"/>
      <c r="AN35" s="606"/>
    </row>
    <row r="36" spans="1:40" s="595" customFormat="1">
      <c r="A36" s="595" t="s">
        <v>1157</v>
      </c>
      <c r="B36" s="595" t="s">
        <v>1158</v>
      </c>
      <c r="C36" s="596" t="s">
        <v>260</v>
      </c>
      <c r="D36" s="597" t="s">
        <v>276</v>
      </c>
      <c r="E36" s="597">
        <v>43282</v>
      </c>
      <c r="F36" s="597">
        <v>43282</v>
      </c>
      <c r="G36" s="597" t="s">
        <v>1159</v>
      </c>
      <c r="H36" s="597" t="s">
        <v>44</v>
      </c>
      <c r="I36" s="596" t="s">
        <v>44</v>
      </c>
      <c r="J36" s="598" t="s">
        <v>44</v>
      </c>
      <c r="K36" s="599">
        <v>30</v>
      </c>
      <c r="L36" s="600" t="s">
        <v>44</v>
      </c>
      <c r="M36" s="599">
        <v>33.037999999999997</v>
      </c>
      <c r="N36" s="599">
        <v>189.435</v>
      </c>
      <c r="O36" s="599">
        <f t="shared" si="3"/>
        <v>222.47300000000001</v>
      </c>
      <c r="P36" s="601">
        <f t="shared" si="4"/>
        <v>7.4157666666666673</v>
      </c>
      <c r="Q36" s="599">
        <v>0</v>
      </c>
      <c r="R36" s="599">
        <v>0</v>
      </c>
      <c r="S36" s="602" t="s">
        <v>44</v>
      </c>
      <c r="T36" s="603">
        <v>30</v>
      </c>
      <c r="U36" s="600">
        <f t="shared" si="0"/>
        <v>3.3427599162972915E-2</v>
      </c>
      <c r="V36" s="599">
        <v>33.037999999999997</v>
      </c>
      <c r="W36" s="599">
        <v>125.578</v>
      </c>
      <c r="X36" s="599">
        <f t="shared" si="5"/>
        <v>158.61599999999999</v>
      </c>
      <c r="Y36" s="604">
        <f t="shared" si="6"/>
        <v>5.2871999999999995</v>
      </c>
      <c r="Z36" s="599">
        <v>0</v>
      </c>
      <c r="AA36" s="599">
        <f t="shared" si="1"/>
        <v>-63.857000000000028</v>
      </c>
      <c r="AB36" s="602">
        <f t="shared" si="2"/>
        <v>-0.28703258372926166</v>
      </c>
      <c r="AC36" s="605"/>
      <c r="AD36" s="600"/>
      <c r="AE36" s="599"/>
      <c r="AF36" s="599"/>
      <c r="AG36" s="599"/>
      <c r="AH36" s="604"/>
      <c r="AI36" s="599"/>
      <c r="AJ36" s="599"/>
      <c r="AK36" s="602"/>
      <c r="AL36" s="599"/>
      <c r="AM36" s="602"/>
      <c r="AN36" s="606"/>
    </row>
    <row r="37" spans="1:40">
      <c r="A37" s="2" t="s">
        <v>1160</v>
      </c>
      <c r="B37" s="2" t="s">
        <v>1161</v>
      </c>
      <c r="C37" s="235" t="s">
        <v>112</v>
      </c>
      <c r="D37" s="374" t="s">
        <v>584</v>
      </c>
      <c r="E37" s="374">
        <v>43313</v>
      </c>
      <c r="F37" s="374" t="s">
        <v>44</v>
      </c>
      <c r="G37" s="374" t="s">
        <v>44</v>
      </c>
      <c r="H37" s="374" t="s">
        <v>44</v>
      </c>
      <c r="I37" s="235" t="s">
        <v>44</v>
      </c>
      <c r="J37" s="518" t="s">
        <v>44</v>
      </c>
      <c r="K37" s="513">
        <v>32</v>
      </c>
      <c r="L37" s="514" t="s">
        <v>44</v>
      </c>
      <c r="M37" s="513">
        <v>0</v>
      </c>
      <c r="N37" s="513">
        <v>53.996000000000002</v>
      </c>
      <c r="O37" s="513">
        <f t="shared" si="3"/>
        <v>53.996000000000002</v>
      </c>
      <c r="P37" s="269">
        <f t="shared" si="4"/>
        <v>1.6873750000000001</v>
      </c>
      <c r="Q37" s="513">
        <v>0</v>
      </c>
      <c r="R37" s="513">
        <v>0</v>
      </c>
      <c r="S37" s="515" t="s">
        <v>44</v>
      </c>
      <c r="T37" s="519">
        <v>32</v>
      </c>
      <c r="U37" s="514">
        <f t="shared" si="0"/>
        <v>3.5656105773837779E-2</v>
      </c>
      <c r="V37" s="513">
        <v>0</v>
      </c>
      <c r="W37" s="513">
        <v>53.996000000000002</v>
      </c>
      <c r="X37" s="513">
        <f t="shared" si="5"/>
        <v>53.996000000000002</v>
      </c>
      <c r="Y37" s="268">
        <f t="shared" si="6"/>
        <v>1.6873750000000001</v>
      </c>
      <c r="Z37" s="513">
        <v>0</v>
      </c>
      <c r="AA37" s="513">
        <f t="shared" si="1"/>
        <v>0</v>
      </c>
      <c r="AB37" s="515">
        <f t="shared" si="2"/>
        <v>0</v>
      </c>
      <c r="AC37" s="517"/>
      <c r="AD37" s="514"/>
      <c r="AE37" s="513"/>
      <c r="AF37" s="513"/>
      <c r="AG37" s="513"/>
      <c r="AH37" s="268"/>
      <c r="AI37" s="513"/>
      <c r="AJ37" s="513"/>
      <c r="AK37" s="515"/>
      <c r="AL37" s="513"/>
      <c r="AM37" s="515"/>
    </row>
    <row r="38" spans="1:40">
      <c r="A38" s="2" t="s">
        <v>1162</v>
      </c>
      <c r="B38" s="2" t="s">
        <v>1163</v>
      </c>
      <c r="C38" s="235" t="s">
        <v>112</v>
      </c>
      <c r="D38" s="374" t="s">
        <v>276</v>
      </c>
      <c r="E38" s="374">
        <v>43344</v>
      </c>
      <c r="F38" s="374" t="s">
        <v>44</v>
      </c>
      <c r="G38" s="374" t="s">
        <v>44</v>
      </c>
      <c r="H38" s="374" t="s">
        <v>44</v>
      </c>
      <c r="I38" s="235" t="s">
        <v>44</v>
      </c>
      <c r="J38" s="518" t="s">
        <v>44</v>
      </c>
      <c r="K38" s="513">
        <v>40</v>
      </c>
      <c r="L38" s="514" t="s">
        <v>44</v>
      </c>
      <c r="M38" s="513">
        <v>0</v>
      </c>
      <c r="N38" s="513">
        <v>68.099000000000004</v>
      </c>
      <c r="O38" s="513">
        <f t="shared" si="3"/>
        <v>68.099000000000004</v>
      </c>
      <c r="P38" s="269">
        <f t="shared" si="4"/>
        <v>1.7024750000000002</v>
      </c>
      <c r="Q38" s="513">
        <v>0</v>
      </c>
      <c r="R38" s="513">
        <v>0</v>
      </c>
      <c r="S38" s="515" t="s">
        <v>44</v>
      </c>
      <c r="T38" s="519">
        <v>40</v>
      </c>
      <c r="U38" s="514">
        <f t="shared" si="0"/>
        <v>4.457013221729722E-2</v>
      </c>
      <c r="V38" s="513">
        <v>3.6840000000000002</v>
      </c>
      <c r="W38" s="513">
        <v>64.415000000000006</v>
      </c>
      <c r="X38" s="513">
        <f t="shared" si="5"/>
        <v>68.099000000000004</v>
      </c>
      <c r="Y38" s="268">
        <f t="shared" si="6"/>
        <v>1.7024750000000002</v>
      </c>
      <c r="Z38" s="513">
        <v>0</v>
      </c>
      <c r="AA38" s="513">
        <f t="shared" si="1"/>
        <v>0</v>
      </c>
      <c r="AB38" s="515">
        <f t="shared" si="2"/>
        <v>0</v>
      </c>
      <c r="AD38" s="514"/>
    </row>
    <row r="39" spans="1:40" s="595" customFormat="1">
      <c r="A39" s="595" t="s">
        <v>1164</v>
      </c>
      <c r="B39" s="595" t="s">
        <v>1165</v>
      </c>
      <c r="C39" s="596" t="s">
        <v>112</v>
      </c>
      <c r="D39" s="597" t="s">
        <v>276</v>
      </c>
      <c r="E39" s="597">
        <v>43405</v>
      </c>
      <c r="F39" s="597">
        <v>44531</v>
      </c>
      <c r="G39" s="597" t="s">
        <v>1166</v>
      </c>
      <c r="H39" s="597" t="s">
        <v>44</v>
      </c>
      <c r="I39" s="596" t="s">
        <v>44</v>
      </c>
      <c r="J39" s="598" t="s">
        <v>44</v>
      </c>
      <c r="K39" s="599">
        <f>30+20</f>
        <v>50</v>
      </c>
      <c r="L39" s="600" t="s">
        <v>44</v>
      </c>
      <c r="M39" s="599">
        <v>6.97</v>
      </c>
      <c r="N39" s="599">
        <v>18.190000000000001</v>
      </c>
      <c r="O39" s="599">
        <f t="shared" si="3"/>
        <v>25.16</v>
      </c>
      <c r="P39" s="601">
        <f t="shared" si="4"/>
        <v>0.50319999999999998</v>
      </c>
      <c r="Q39" s="599">
        <v>0</v>
      </c>
      <c r="R39" s="599">
        <v>0</v>
      </c>
      <c r="S39" s="602" t="s">
        <v>44</v>
      </c>
      <c r="T39" s="603">
        <f>30+20</f>
        <v>50</v>
      </c>
      <c r="U39" s="600">
        <f t="shared" si="0"/>
        <v>5.5712665271621532E-2</v>
      </c>
      <c r="V39" s="599">
        <f>6.97+8.663+8.005</f>
        <v>23.637999999999998</v>
      </c>
      <c r="W39" s="599">
        <v>8.0749999999999993</v>
      </c>
      <c r="X39" s="599">
        <f t="shared" si="5"/>
        <v>31.712999999999997</v>
      </c>
      <c r="Y39" s="604">
        <f t="shared" si="6"/>
        <v>0.63425999999999993</v>
      </c>
      <c r="Z39" s="599">
        <v>0</v>
      </c>
      <c r="AA39" s="599">
        <f t="shared" si="1"/>
        <v>6.5529999999999973</v>
      </c>
      <c r="AB39" s="602">
        <f t="shared" si="2"/>
        <v>0.26045310015898249</v>
      </c>
      <c r="AC39" s="606"/>
      <c r="AD39" s="600"/>
      <c r="AN39" s="606"/>
    </row>
    <row r="40" spans="1:40">
      <c r="A40" s="2" t="s">
        <v>1167</v>
      </c>
      <c r="B40" s="2" t="s">
        <v>1168</v>
      </c>
      <c r="C40" s="235" t="s">
        <v>636</v>
      </c>
      <c r="D40" s="374" t="s">
        <v>584</v>
      </c>
      <c r="E40" s="374">
        <v>43405</v>
      </c>
      <c r="F40" s="374" t="s">
        <v>44</v>
      </c>
      <c r="G40" s="374" t="s">
        <v>44</v>
      </c>
      <c r="H40" s="374" t="s">
        <v>44</v>
      </c>
      <c r="I40" s="235" t="s">
        <v>44</v>
      </c>
      <c r="J40" s="518" t="s">
        <v>44</v>
      </c>
      <c r="K40" s="513">
        <f>30+3</f>
        <v>33</v>
      </c>
      <c r="L40" s="514" t="s">
        <v>44</v>
      </c>
      <c r="M40" s="513">
        <v>0</v>
      </c>
      <c r="N40" s="513">
        <v>42.642000000000003</v>
      </c>
      <c r="O40" s="513">
        <f t="shared" si="3"/>
        <v>42.642000000000003</v>
      </c>
      <c r="P40" s="269">
        <f t="shared" si="4"/>
        <v>1.2921818181818183</v>
      </c>
      <c r="Q40" s="513">
        <v>0</v>
      </c>
      <c r="R40" s="513">
        <v>0</v>
      </c>
      <c r="S40" s="515" t="s">
        <v>44</v>
      </c>
      <c r="T40" s="519">
        <f>30+3</f>
        <v>33</v>
      </c>
      <c r="U40" s="514">
        <f t="shared" si="0"/>
        <v>3.6770359079270211E-2</v>
      </c>
      <c r="V40" s="513">
        <v>0</v>
      </c>
      <c r="W40" s="513">
        <v>42.642000000000003</v>
      </c>
      <c r="X40" s="513">
        <f t="shared" si="5"/>
        <v>42.642000000000003</v>
      </c>
      <c r="Y40" s="268">
        <f t="shared" si="6"/>
        <v>1.2921818181818183</v>
      </c>
      <c r="Z40" s="513">
        <v>0</v>
      </c>
      <c r="AA40" s="513">
        <f t="shared" si="1"/>
        <v>0</v>
      </c>
      <c r="AB40" s="515">
        <f t="shared" si="2"/>
        <v>0</v>
      </c>
      <c r="AD40" s="514"/>
    </row>
    <row r="41" spans="1:40">
      <c r="A41" s="2" t="s">
        <v>1169</v>
      </c>
      <c r="B41" s="2" t="s">
        <v>1170</v>
      </c>
      <c r="C41" s="235" t="s">
        <v>260</v>
      </c>
      <c r="D41" s="374" t="s">
        <v>584</v>
      </c>
      <c r="E41" s="374">
        <v>43435</v>
      </c>
      <c r="F41" s="374" t="s">
        <v>44</v>
      </c>
      <c r="G41" s="374" t="s">
        <v>44</v>
      </c>
      <c r="H41" s="374" t="s">
        <v>44</v>
      </c>
      <c r="I41" s="235" t="s">
        <v>44</v>
      </c>
      <c r="J41" s="518" t="s">
        <v>44</v>
      </c>
      <c r="K41" s="513">
        <v>10</v>
      </c>
      <c r="L41" s="514" t="s">
        <v>44</v>
      </c>
      <c r="M41" s="513">
        <v>0</v>
      </c>
      <c r="N41" s="513">
        <v>11.286</v>
      </c>
      <c r="O41" s="513">
        <f t="shared" si="3"/>
        <v>11.286</v>
      </c>
      <c r="P41" s="269">
        <f t="shared" si="4"/>
        <v>1.1286</v>
      </c>
      <c r="Q41" s="513">
        <v>0</v>
      </c>
      <c r="R41" s="513">
        <v>0</v>
      </c>
      <c r="S41" s="515" t="s">
        <v>44</v>
      </c>
      <c r="T41" s="519">
        <v>10</v>
      </c>
      <c r="U41" s="514">
        <f t="shared" si="0"/>
        <v>1.1142533054324305E-2</v>
      </c>
      <c r="V41" s="513">
        <v>0</v>
      </c>
      <c r="W41" s="513">
        <v>11.286</v>
      </c>
      <c r="X41" s="513">
        <f t="shared" si="5"/>
        <v>11.286</v>
      </c>
      <c r="Y41" s="268">
        <f t="shared" si="6"/>
        <v>1.1286</v>
      </c>
      <c r="Z41" s="513">
        <v>0</v>
      </c>
      <c r="AA41" s="513">
        <f t="shared" si="1"/>
        <v>0</v>
      </c>
      <c r="AB41" s="515">
        <f t="shared" si="2"/>
        <v>0</v>
      </c>
      <c r="AD41" s="514"/>
    </row>
    <row r="42" spans="1:40">
      <c r="A42" s="2" t="s">
        <v>1171</v>
      </c>
      <c r="B42" s="2" t="s">
        <v>1172</v>
      </c>
      <c r="C42" s="235" t="s">
        <v>273</v>
      </c>
      <c r="D42" s="374" t="s">
        <v>276</v>
      </c>
      <c r="E42" s="374">
        <v>43466</v>
      </c>
      <c r="F42" s="374" t="s">
        <v>44</v>
      </c>
      <c r="G42" s="374" t="s">
        <v>44</v>
      </c>
      <c r="H42" s="374" t="s">
        <v>44</v>
      </c>
      <c r="I42" s="235" t="s">
        <v>44</v>
      </c>
      <c r="J42" s="518" t="s">
        <v>44</v>
      </c>
      <c r="K42" s="513">
        <f>40.001+10</f>
        <v>50.000999999999998</v>
      </c>
      <c r="L42" s="514" t="s">
        <v>44</v>
      </c>
      <c r="M42" s="513">
        <f>0.826+0.497</f>
        <v>1.323</v>
      </c>
      <c r="N42" s="513">
        <v>51.953000000000003</v>
      </c>
      <c r="O42" s="513">
        <f t="shared" si="3"/>
        <v>53.276000000000003</v>
      </c>
      <c r="P42" s="269">
        <f t="shared" si="4"/>
        <v>1.0654986900261996</v>
      </c>
      <c r="Q42" s="513">
        <v>0</v>
      </c>
      <c r="R42" s="513">
        <v>0</v>
      </c>
      <c r="S42" s="515" t="s">
        <v>44</v>
      </c>
      <c r="T42" s="519">
        <f>40.001+10</f>
        <v>50.000999999999998</v>
      </c>
      <c r="U42" s="514">
        <f t="shared" si="0"/>
        <v>5.5713779524926961E-2</v>
      </c>
      <c r="V42" s="513">
        <f>0.826+0.497</f>
        <v>1.323</v>
      </c>
      <c r="W42" s="513">
        <v>55.497999999999998</v>
      </c>
      <c r="X42" s="513">
        <f t="shared" si="5"/>
        <v>56.820999999999998</v>
      </c>
      <c r="Y42" s="268">
        <f t="shared" si="6"/>
        <v>1.136397272054559</v>
      </c>
      <c r="Z42" s="513">
        <v>0</v>
      </c>
      <c r="AA42" s="513">
        <f t="shared" si="1"/>
        <v>3.5449999999999946</v>
      </c>
      <c r="AB42" s="515">
        <f t="shared" si="2"/>
        <v>6.6540280801861806E-2</v>
      </c>
      <c r="AD42" s="514"/>
    </row>
    <row r="43" spans="1:40">
      <c r="A43" s="2" t="s">
        <v>1173</v>
      </c>
      <c r="B43" s="2" t="s">
        <v>1174</v>
      </c>
      <c r="C43" s="235" t="s">
        <v>260</v>
      </c>
      <c r="D43" s="374" t="s">
        <v>261</v>
      </c>
      <c r="E43" s="374">
        <v>43466</v>
      </c>
      <c r="F43" s="374" t="s">
        <v>44</v>
      </c>
      <c r="G43" s="374" t="s">
        <v>44</v>
      </c>
      <c r="H43" s="374">
        <v>45474</v>
      </c>
      <c r="I43" s="235"/>
      <c r="J43" s="518">
        <f>YEAR(H43)-YEAR(E43)</f>
        <v>5</v>
      </c>
      <c r="K43" s="513">
        <f>20+0.8</f>
        <v>20.8</v>
      </c>
      <c r="L43" s="514" t="s">
        <v>44</v>
      </c>
      <c r="M43" s="513">
        <v>0</v>
      </c>
      <c r="N43" s="513">
        <v>3.472</v>
      </c>
      <c r="O43" s="513">
        <f t="shared" si="3"/>
        <v>3.472</v>
      </c>
      <c r="P43" s="269">
        <f t="shared" si="4"/>
        <v>0.16692307692307692</v>
      </c>
      <c r="Q43" s="513">
        <v>0</v>
      </c>
      <c r="R43" s="513">
        <v>0</v>
      </c>
      <c r="S43" s="515" t="s">
        <v>44</v>
      </c>
      <c r="T43" s="519">
        <f>20+0.8</f>
        <v>20.8</v>
      </c>
      <c r="U43" s="514">
        <f t="shared" si="0"/>
        <v>2.3176468752994558E-2</v>
      </c>
      <c r="V43" s="513">
        <v>2.423</v>
      </c>
      <c r="W43" s="513">
        <v>0</v>
      </c>
      <c r="X43" s="513">
        <f t="shared" si="5"/>
        <v>2.423</v>
      </c>
      <c r="Y43" s="268">
        <f t="shared" si="6"/>
        <v>0.11649038461538461</v>
      </c>
      <c r="Z43" s="513">
        <v>0</v>
      </c>
      <c r="AA43" s="513">
        <f t="shared" si="1"/>
        <v>-1.0489999999999999</v>
      </c>
      <c r="AB43" s="515">
        <f t="shared" si="2"/>
        <v>-0.30213133640552992</v>
      </c>
      <c r="AD43" s="514"/>
    </row>
    <row r="44" spans="1:40">
      <c r="A44" s="2" t="s">
        <v>1175</v>
      </c>
      <c r="B44" s="2" t="s">
        <v>1176</v>
      </c>
      <c r="C44" s="235" t="s">
        <v>260</v>
      </c>
      <c r="D44" s="374" t="s">
        <v>276</v>
      </c>
      <c r="E44" s="374">
        <v>43586</v>
      </c>
      <c r="F44" s="374" t="s">
        <v>44</v>
      </c>
      <c r="G44" s="374" t="s">
        <v>44</v>
      </c>
      <c r="H44" s="374" t="s">
        <v>44</v>
      </c>
      <c r="I44" s="235" t="s">
        <v>44</v>
      </c>
      <c r="J44" s="518" t="s">
        <v>44</v>
      </c>
      <c r="K44" s="513">
        <v>13.5</v>
      </c>
      <c r="L44" s="514" t="s">
        <v>44</v>
      </c>
      <c r="M44" s="513">
        <f>1.541+0.681</f>
        <v>2.222</v>
      </c>
      <c r="N44" s="513">
        <v>13.5</v>
      </c>
      <c r="O44" s="513">
        <f t="shared" si="3"/>
        <v>15.722</v>
      </c>
      <c r="P44" s="269">
        <f t="shared" si="4"/>
        <v>1.1645925925925926</v>
      </c>
      <c r="Q44" s="513">
        <v>0</v>
      </c>
      <c r="R44" s="513">
        <v>0</v>
      </c>
      <c r="S44" s="515" t="s">
        <v>44</v>
      </c>
      <c r="T44" s="519">
        <v>13.5</v>
      </c>
      <c r="U44" s="514">
        <f t="shared" si="0"/>
        <v>1.5042419623337813E-2</v>
      </c>
      <c r="V44" s="513">
        <f>1.541+0.681+0.275</f>
        <v>2.4969999999999999</v>
      </c>
      <c r="W44" s="513">
        <v>13.5</v>
      </c>
      <c r="X44" s="513">
        <f t="shared" si="5"/>
        <v>15.997</v>
      </c>
      <c r="Y44" s="268">
        <f t="shared" si="6"/>
        <v>1.184962962962963</v>
      </c>
      <c r="Z44" s="513">
        <v>0</v>
      </c>
      <c r="AA44" s="513">
        <f t="shared" si="1"/>
        <v>0.27500000000000036</v>
      </c>
      <c r="AB44" s="515">
        <f t="shared" si="2"/>
        <v>1.7491413306195192E-2</v>
      </c>
      <c r="AD44" s="514"/>
    </row>
    <row r="45" spans="1:40" s="595" customFormat="1">
      <c r="A45" s="595" t="s">
        <v>1177</v>
      </c>
      <c r="B45" s="595" t="s">
        <v>1178</v>
      </c>
      <c r="C45" s="596" t="s">
        <v>260</v>
      </c>
      <c r="D45" s="597" t="s">
        <v>276</v>
      </c>
      <c r="E45" s="597">
        <v>43586</v>
      </c>
      <c r="F45" s="597">
        <v>44348</v>
      </c>
      <c r="G45" s="597" t="s">
        <v>1179</v>
      </c>
      <c r="H45" s="597" t="s">
        <v>44</v>
      </c>
      <c r="I45" s="596" t="s">
        <v>44</v>
      </c>
      <c r="J45" s="598" t="s">
        <v>44</v>
      </c>
      <c r="K45" s="599">
        <f>37.491+30</f>
        <v>67.491</v>
      </c>
      <c r="L45" s="600" t="s">
        <v>44</v>
      </c>
      <c r="M45" s="599">
        <v>6.6319999999999997</v>
      </c>
      <c r="N45" s="599">
        <v>12.646000000000001</v>
      </c>
      <c r="O45" s="599">
        <f t="shared" si="3"/>
        <v>19.277999999999999</v>
      </c>
      <c r="P45" s="601">
        <f t="shared" si="4"/>
        <v>0.28563808507801036</v>
      </c>
      <c r="Q45" s="599">
        <v>0</v>
      </c>
      <c r="R45" s="599">
        <v>0</v>
      </c>
      <c r="S45" s="602" t="s">
        <v>44</v>
      </c>
      <c r="T45" s="603">
        <f>37.491+30</f>
        <v>67.491</v>
      </c>
      <c r="U45" s="600">
        <f t="shared" si="0"/>
        <v>7.5202069836940166E-2</v>
      </c>
      <c r="V45" s="599">
        <v>7.4020000000000001</v>
      </c>
      <c r="W45" s="599">
        <v>26.204000000000001</v>
      </c>
      <c r="X45" s="599">
        <f t="shared" si="5"/>
        <v>33.606000000000002</v>
      </c>
      <c r="Y45" s="604">
        <f t="shared" si="6"/>
        <v>0.49793305774103219</v>
      </c>
      <c r="Z45" s="599">
        <v>0</v>
      </c>
      <c r="AA45" s="599">
        <f t="shared" si="1"/>
        <v>14.328000000000003</v>
      </c>
      <c r="AB45" s="602">
        <f t="shared" si="2"/>
        <v>0.74323062558356701</v>
      </c>
      <c r="AC45" s="606"/>
      <c r="AD45" s="600"/>
      <c r="AN45" s="606"/>
    </row>
    <row r="46" spans="1:40" s="595" customFormat="1">
      <c r="A46" s="595" t="s">
        <v>1180</v>
      </c>
      <c r="B46" s="595" t="s">
        <v>1181</v>
      </c>
      <c r="C46" s="596" t="s">
        <v>273</v>
      </c>
      <c r="D46" s="597" t="s">
        <v>276</v>
      </c>
      <c r="E46" s="597">
        <v>43647</v>
      </c>
      <c r="F46" s="597">
        <v>44166</v>
      </c>
      <c r="G46" s="597" t="s">
        <v>1182</v>
      </c>
      <c r="H46" s="597" t="s">
        <v>44</v>
      </c>
      <c r="I46" s="596" t="s">
        <v>44</v>
      </c>
      <c r="J46" s="598" t="s">
        <v>44</v>
      </c>
      <c r="K46" s="599">
        <v>40</v>
      </c>
      <c r="L46" s="600" t="s">
        <v>44</v>
      </c>
      <c r="M46" s="599">
        <f>79.501+21.627+0.145+7.969</f>
        <v>109.24199999999999</v>
      </c>
      <c r="N46" s="599">
        <v>19.954999999999998</v>
      </c>
      <c r="O46" s="599">
        <f t="shared" si="3"/>
        <v>129.197</v>
      </c>
      <c r="P46" s="601">
        <f t="shared" si="4"/>
        <v>3.2299250000000002</v>
      </c>
      <c r="Q46" s="599">
        <v>0</v>
      </c>
      <c r="R46" s="599">
        <v>0</v>
      </c>
      <c r="S46" s="602" t="s">
        <v>44</v>
      </c>
      <c r="T46" s="603">
        <v>40</v>
      </c>
      <c r="U46" s="600">
        <f t="shared" si="0"/>
        <v>4.457013221729722E-2</v>
      </c>
      <c r="V46" s="599">
        <f>79.501+21.627+0.145+7.969</f>
        <v>109.24199999999999</v>
      </c>
      <c r="W46" s="599">
        <v>14.439</v>
      </c>
      <c r="X46" s="599">
        <f t="shared" si="5"/>
        <v>123.68099999999998</v>
      </c>
      <c r="Y46" s="604">
        <f t="shared" si="6"/>
        <v>3.0920249999999996</v>
      </c>
      <c r="Z46" s="599">
        <v>0</v>
      </c>
      <c r="AA46" s="599">
        <f t="shared" si="1"/>
        <v>-5.5160000000000196</v>
      </c>
      <c r="AB46" s="602">
        <f t="shared" si="2"/>
        <v>-4.2694489810135017E-2</v>
      </c>
      <c r="AC46" s="606"/>
      <c r="AD46" s="600"/>
      <c r="AN46" s="606"/>
    </row>
    <row r="47" spans="1:40">
      <c r="A47" s="2" t="s">
        <v>1183</v>
      </c>
      <c r="B47" s="2" t="s">
        <v>1184</v>
      </c>
      <c r="C47" s="235" t="s">
        <v>260</v>
      </c>
      <c r="D47" s="374" t="s">
        <v>584</v>
      </c>
      <c r="E47" s="374">
        <v>43678</v>
      </c>
      <c r="F47" s="374" t="s">
        <v>44</v>
      </c>
      <c r="G47" s="374" t="s">
        <v>44</v>
      </c>
      <c r="H47" s="374" t="s">
        <v>44</v>
      </c>
      <c r="I47" s="235" t="s">
        <v>44</v>
      </c>
      <c r="J47" s="518" t="s">
        <v>44</v>
      </c>
      <c r="K47" s="513">
        <f>15+0.5</f>
        <v>15.5</v>
      </c>
      <c r="L47" s="514" t="s">
        <v>44</v>
      </c>
      <c r="M47" s="513">
        <v>0</v>
      </c>
      <c r="N47" s="513">
        <v>19.623999999999999</v>
      </c>
      <c r="O47" s="513">
        <f t="shared" si="3"/>
        <v>19.623999999999999</v>
      </c>
      <c r="P47" s="269">
        <f t="shared" si="4"/>
        <v>1.2660645161290323</v>
      </c>
      <c r="Q47" s="513">
        <v>0</v>
      </c>
      <c r="R47" s="513">
        <v>0</v>
      </c>
      <c r="S47" s="515" t="s">
        <v>44</v>
      </c>
      <c r="T47" s="519">
        <f>15+0.5</f>
        <v>15.5</v>
      </c>
      <c r="U47" s="514">
        <f t="shared" si="0"/>
        <v>1.7270926234202674E-2</v>
      </c>
      <c r="V47" s="513">
        <v>2.2269999999999999</v>
      </c>
      <c r="W47" s="513">
        <v>16.922999999999998</v>
      </c>
      <c r="X47" s="513">
        <f t="shared" si="5"/>
        <v>19.149999999999999</v>
      </c>
      <c r="Y47" s="268">
        <f t="shared" si="6"/>
        <v>1.2354838709677418</v>
      </c>
      <c r="Z47" s="513">
        <v>0</v>
      </c>
      <c r="AA47" s="513">
        <f t="shared" si="1"/>
        <v>-0.4740000000000002</v>
      </c>
      <c r="AB47" s="515">
        <f t="shared" si="2"/>
        <v>-2.4154097024052246E-2</v>
      </c>
      <c r="AD47" s="514"/>
    </row>
    <row r="48" spans="1:40" s="595" customFormat="1">
      <c r="A48" s="595" t="s">
        <v>1185</v>
      </c>
      <c r="B48" s="595" t="s">
        <v>1186</v>
      </c>
      <c r="C48" s="596" t="s">
        <v>1187</v>
      </c>
      <c r="D48" s="597" t="s">
        <v>276</v>
      </c>
      <c r="E48" s="597">
        <v>43709</v>
      </c>
      <c r="F48" s="597">
        <v>45261</v>
      </c>
      <c r="G48" s="597" t="s">
        <v>1188</v>
      </c>
      <c r="H48" s="597" t="s">
        <v>44</v>
      </c>
      <c r="I48" s="596" t="s">
        <v>44</v>
      </c>
      <c r="J48" s="598" t="s">
        <v>44</v>
      </c>
      <c r="K48" s="599">
        <f>20+5</f>
        <v>25</v>
      </c>
      <c r="L48" s="600" t="s">
        <v>44</v>
      </c>
      <c r="M48" s="599">
        <v>0</v>
      </c>
      <c r="N48" s="599">
        <v>55.872999999999998</v>
      </c>
      <c r="O48" s="599">
        <f t="shared" si="3"/>
        <v>55.872999999999998</v>
      </c>
      <c r="P48" s="601">
        <f t="shared" si="4"/>
        <v>2.2349199999999998</v>
      </c>
      <c r="Q48" s="599">
        <v>0</v>
      </c>
      <c r="R48" s="599">
        <v>0</v>
      </c>
      <c r="S48" s="602" t="s">
        <v>44</v>
      </c>
      <c r="T48" s="603">
        <f>20+5</f>
        <v>25</v>
      </c>
      <c r="U48" s="600">
        <f t="shared" si="0"/>
        <v>2.7856332635810766E-2</v>
      </c>
      <c r="V48" s="599">
        <f>0.628+0.233+2.233</f>
        <v>3.0940000000000003</v>
      </c>
      <c r="W48" s="599">
        <v>9.3889999999999993</v>
      </c>
      <c r="X48" s="599">
        <f t="shared" si="5"/>
        <v>12.483000000000001</v>
      </c>
      <c r="Y48" s="604">
        <f t="shared" si="6"/>
        <v>0.49932000000000004</v>
      </c>
      <c r="Z48" s="599">
        <v>0</v>
      </c>
      <c r="AA48" s="599">
        <f t="shared" si="1"/>
        <v>-43.39</v>
      </c>
      <c r="AB48" s="602">
        <f t="shared" si="2"/>
        <v>-0.77658260698369519</v>
      </c>
      <c r="AC48" s="606"/>
      <c r="AD48" s="600"/>
      <c r="AN48" s="606"/>
    </row>
    <row r="49" spans="1:40">
      <c r="A49" s="2" t="s">
        <v>1189</v>
      </c>
      <c r="B49" s="2" t="s">
        <v>1190</v>
      </c>
      <c r="C49" s="235" t="s">
        <v>112</v>
      </c>
      <c r="D49" s="374" t="s">
        <v>663</v>
      </c>
      <c r="E49" s="374">
        <v>43709</v>
      </c>
      <c r="F49" s="374" t="s">
        <v>44</v>
      </c>
      <c r="G49" s="374" t="s">
        <v>44</v>
      </c>
      <c r="H49" s="374" t="s">
        <v>44</v>
      </c>
      <c r="I49" s="235" t="s">
        <v>44</v>
      </c>
      <c r="J49" s="518" t="s">
        <v>44</v>
      </c>
      <c r="K49" s="513">
        <v>3</v>
      </c>
      <c r="L49" s="514" t="s">
        <v>44</v>
      </c>
      <c r="M49" s="513">
        <v>0</v>
      </c>
      <c r="N49" s="513">
        <v>3</v>
      </c>
      <c r="O49" s="513">
        <f t="shared" si="3"/>
        <v>3</v>
      </c>
      <c r="P49" s="269">
        <f t="shared" si="4"/>
        <v>1</v>
      </c>
      <c r="Q49" s="513">
        <v>0</v>
      </c>
      <c r="R49" s="513">
        <v>0</v>
      </c>
      <c r="S49" s="515" t="s">
        <v>44</v>
      </c>
      <c r="T49" s="519">
        <v>3</v>
      </c>
      <c r="U49" s="514">
        <f t="shared" si="0"/>
        <v>3.3427599162972918E-3</v>
      </c>
      <c r="V49" s="513">
        <v>0</v>
      </c>
      <c r="W49" s="513">
        <v>0</v>
      </c>
      <c r="X49" s="513">
        <f t="shared" si="5"/>
        <v>0</v>
      </c>
      <c r="Y49" s="268">
        <f t="shared" si="6"/>
        <v>0</v>
      </c>
      <c r="Z49" s="513">
        <v>0</v>
      </c>
      <c r="AA49" s="513">
        <f t="shared" si="1"/>
        <v>-3</v>
      </c>
      <c r="AB49" s="515">
        <f t="shared" si="2"/>
        <v>-1</v>
      </c>
      <c r="AD49" s="514"/>
    </row>
    <row r="50" spans="1:40">
      <c r="A50" s="2" t="s">
        <v>1191</v>
      </c>
      <c r="B50" s="2" t="s">
        <v>1192</v>
      </c>
      <c r="C50" s="235" t="s">
        <v>260</v>
      </c>
      <c r="D50" s="374" t="s">
        <v>584</v>
      </c>
      <c r="E50" s="374">
        <v>43800</v>
      </c>
      <c r="F50" s="374" t="s">
        <v>44</v>
      </c>
      <c r="G50" s="374" t="s">
        <v>44</v>
      </c>
      <c r="H50" s="374" t="s">
        <v>44</v>
      </c>
      <c r="I50" s="235" t="s">
        <v>44</v>
      </c>
      <c r="J50" s="518" t="s">
        <v>44</v>
      </c>
      <c r="K50" s="513">
        <v>30</v>
      </c>
      <c r="L50" s="514" t="s">
        <v>44</v>
      </c>
      <c r="M50" s="513">
        <v>0</v>
      </c>
      <c r="N50" s="513">
        <v>64.543000000000006</v>
      </c>
      <c r="O50" s="513">
        <f t="shared" si="3"/>
        <v>64.543000000000006</v>
      </c>
      <c r="P50" s="269">
        <f t="shared" si="4"/>
        <v>2.1514333333333338</v>
      </c>
      <c r="Q50" s="513">
        <v>0</v>
      </c>
      <c r="R50" s="513">
        <v>0</v>
      </c>
      <c r="S50" s="515" t="s">
        <v>44</v>
      </c>
      <c r="T50" s="519">
        <v>30</v>
      </c>
      <c r="U50" s="514">
        <f t="shared" si="0"/>
        <v>3.3427599162972915E-2</v>
      </c>
      <c r="V50" s="513">
        <v>0</v>
      </c>
      <c r="W50" s="513">
        <v>64.543000000000006</v>
      </c>
      <c r="X50" s="513">
        <f t="shared" si="5"/>
        <v>64.543000000000006</v>
      </c>
      <c r="Y50" s="268">
        <f t="shared" si="6"/>
        <v>2.1514333333333338</v>
      </c>
      <c r="Z50" s="513">
        <v>0</v>
      </c>
      <c r="AA50" s="513">
        <f t="shared" si="1"/>
        <v>0</v>
      </c>
      <c r="AB50" s="515">
        <f t="shared" si="2"/>
        <v>0</v>
      </c>
      <c r="AD50" s="514"/>
    </row>
    <row r="51" spans="1:40">
      <c r="A51" s="2" t="s">
        <v>1193</v>
      </c>
      <c r="B51" s="2" t="s">
        <v>1194</v>
      </c>
      <c r="C51" s="235" t="s">
        <v>636</v>
      </c>
      <c r="D51" s="374" t="s">
        <v>584</v>
      </c>
      <c r="E51" s="374">
        <v>43862</v>
      </c>
      <c r="F51" s="374" t="s">
        <v>44</v>
      </c>
      <c r="G51" s="374" t="s">
        <v>44</v>
      </c>
      <c r="H51" s="374" t="s">
        <v>44</v>
      </c>
      <c r="I51" s="235" t="s">
        <v>44</v>
      </c>
      <c r="J51" s="518" t="s">
        <v>44</v>
      </c>
      <c r="K51" s="513">
        <v>50</v>
      </c>
      <c r="L51" s="514" t="s">
        <v>44</v>
      </c>
      <c r="M51" s="513">
        <v>0</v>
      </c>
      <c r="N51" s="513">
        <v>100.96</v>
      </c>
      <c r="O51" s="513">
        <f t="shared" si="3"/>
        <v>100.96</v>
      </c>
      <c r="P51" s="269">
        <f t="shared" si="4"/>
        <v>2.0191999999999997</v>
      </c>
      <c r="Q51" s="513">
        <v>0</v>
      </c>
      <c r="R51" s="513">
        <v>0</v>
      </c>
      <c r="S51" s="515" t="s">
        <v>44</v>
      </c>
      <c r="T51" s="519">
        <v>50</v>
      </c>
      <c r="U51" s="514">
        <f t="shared" si="0"/>
        <v>5.5712665271621532E-2</v>
      </c>
      <c r="V51" s="513">
        <v>0</v>
      </c>
      <c r="W51" s="513">
        <v>100.96</v>
      </c>
      <c r="X51" s="513">
        <f t="shared" si="5"/>
        <v>100.96</v>
      </c>
      <c r="Y51" s="268">
        <f t="shared" si="6"/>
        <v>2.0191999999999997</v>
      </c>
      <c r="Z51" s="513">
        <v>0</v>
      </c>
      <c r="AA51" s="513">
        <f t="shared" si="1"/>
        <v>0</v>
      </c>
      <c r="AB51" s="515">
        <f t="shared" si="2"/>
        <v>0</v>
      </c>
      <c r="AD51" s="514"/>
    </row>
    <row r="52" spans="1:40">
      <c r="A52" s="2" t="s">
        <v>1195</v>
      </c>
      <c r="B52" s="2" t="s">
        <v>1196</v>
      </c>
      <c r="C52" s="235" t="s">
        <v>112</v>
      </c>
      <c r="D52" s="374" t="s">
        <v>276</v>
      </c>
      <c r="E52" s="374">
        <v>43831</v>
      </c>
      <c r="F52" s="374" t="s">
        <v>44</v>
      </c>
      <c r="G52" s="374" t="s">
        <v>44</v>
      </c>
      <c r="H52" s="374" t="s">
        <v>44</v>
      </c>
      <c r="I52" s="235" t="s">
        <v>44</v>
      </c>
      <c r="J52" s="518" t="s">
        <v>44</v>
      </c>
      <c r="K52" s="513">
        <v>5.968</v>
      </c>
      <c r="L52" s="514" t="s">
        <v>44</v>
      </c>
      <c r="M52" s="513">
        <v>11</v>
      </c>
      <c r="N52" s="513">
        <v>31.722000000000001</v>
      </c>
      <c r="O52" s="513">
        <f t="shared" si="3"/>
        <v>42.722000000000001</v>
      </c>
      <c r="P52" s="269">
        <f t="shared" si="4"/>
        <v>7.1585120643431637</v>
      </c>
      <c r="Q52" s="513">
        <v>0</v>
      </c>
      <c r="R52" s="513">
        <v>0</v>
      </c>
      <c r="S52" s="515" t="s">
        <v>44</v>
      </c>
      <c r="T52" s="519">
        <v>5.968</v>
      </c>
      <c r="U52" s="514">
        <f t="shared" si="0"/>
        <v>6.6498637268207457E-3</v>
      </c>
      <c r="V52" s="513">
        <v>11</v>
      </c>
      <c r="W52" s="513">
        <v>35.207999999999998</v>
      </c>
      <c r="X52" s="513">
        <f t="shared" si="5"/>
        <v>46.207999999999998</v>
      </c>
      <c r="Y52" s="268">
        <f t="shared" si="6"/>
        <v>7.7426273458445039</v>
      </c>
      <c r="Z52" s="513">
        <v>0</v>
      </c>
      <c r="AA52" s="513">
        <f t="shared" si="1"/>
        <v>3.4859999999999971</v>
      </c>
      <c r="AB52" s="515">
        <f t="shared" si="2"/>
        <v>8.1597303497027207E-2</v>
      </c>
      <c r="AD52" s="514"/>
    </row>
    <row r="53" spans="1:40" s="595" customFormat="1">
      <c r="A53" s="595" t="s">
        <v>1197</v>
      </c>
      <c r="B53" s="595" t="s">
        <v>1198</v>
      </c>
      <c r="C53" s="596" t="s">
        <v>260</v>
      </c>
      <c r="D53" s="597" t="s">
        <v>261</v>
      </c>
      <c r="E53" s="597">
        <v>43891</v>
      </c>
      <c r="F53" s="597">
        <v>44927</v>
      </c>
      <c r="G53" s="597" t="s">
        <v>1199</v>
      </c>
      <c r="H53" s="597">
        <v>45078</v>
      </c>
      <c r="I53" s="596" t="s">
        <v>735</v>
      </c>
      <c r="J53" s="598">
        <f>YEAR(H53)-YEAR(E53)</f>
        <v>3</v>
      </c>
      <c r="K53" s="599">
        <v>1.4079999999999999</v>
      </c>
      <c r="L53" s="600" t="s">
        <v>44</v>
      </c>
      <c r="M53" s="599">
        <v>3.7050000000000001</v>
      </c>
      <c r="N53" s="599">
        <v>0</v>
      </c>
      <c r="O53" s="599">
        <f t="shared" si="3"/>
        <v>3.7050000000000001</v>
      </c>
      <c r="P53" s="601">
        <f t="shared" si="4"/>
        <v>2.6313920454545459</v>
      </c>
      <c r="Q53" s="599">
        <v>0</v>
      </c>
      <c r="R53" s="599">
        <v>0</v>
      </c>
      <c r="S53" s="602" t="s">
        <v>44</v>
      </c>
      <c r="T53" s="603">
        <f>K53</f>
        <v>1.4079999999999999</v>
      </c>
      <c r="U53" s="600">
        <f t="shared" si="0"/>
        <v>1.5688686540488621E-3</v>
      </c>
      <c r="V53" s="599">
        <v>3.7050000000000001</v>
      </c>
      <c r="W53" s="599">
        <v>0</v>
      </c>
      <c r="X53" s="599">
        <f t="shared" si="5"/>
        <v>3.7050000000000001</v>
      </c>
      <c r="Y53" s="604">
        <f t="shared" si="6"/>
        <v>2.6313920454545459</v>
      </c>
      <c r="Z53" s="599">
        <v>0</v>
      </c>
      <c r="AA53" s="599">
        <f t="shared" si="1"/>
        <v>0</v>
      </c>
      <c r="AB53" s="602">
        <f t="shared" si="2"/>
        <v>0</v>
      </c>
      <c r="AC53" s="606"/>
      <c r="AD53" s="600"/>
      <c r="AN53" s="606"/>
    </row>
    <row r="54" spans="1:40">
      <c r="A54" s="2" t="s">
        <v>1200</v>
      </c>
      <c r="B54" s="2" t="s">
        <v>1201</v>
      </c>
      <c r="C54" s="235" t="s">
        <v>260</v>
      </c>
      <c r="D54" s="374" t="s">
        <v>584</v>
      </c>
      <c r="E54" s="374">
        <v>43891</v>
      </c>
      <c r="F54" s="374" t="s">
        <v>44</v>
      </c>
      <c r="G54" s="374" t="s">
        <v>44</v>
      </c>
      <c r="H54" s="374" t="s">
        <v>44</v>
      </c>
      <c r="I54" s="235" t="s">
        <v>44</v>
      </c>
      <c r="J54" s="518" t="s">
        <v>44</v>
      </c>
      <c r="K54" s="513">
        <f>20+20-K53</f>
        <v>38.591999999999999</v>
      </c>
      <c r="L54" s="514" t="s">
        <v>44</v>
      </c>
      <c r="M54" s="513">
        <v>0</v>
      </c>
      <c r="N54" s="513">
        <v>25.087</v>
      </c>
      <c r="O54" s="513">
        <f t="shared" si="3"/>
        <v>25.087</v>
      </c>
      <c r="P54" s="269">
        <f t="shared" si="4"/>
        <v>0.65005700663349919</v>
      </c>
      <c r="Q54" s="513">
        <v>0</v>
      </c>
      <c r="R54" s="513">
        <v>0</v>
      </c>
      <c r="S54" s="515" t="s">
        <v>44</v>
      </c>
      <c r="T54" s="519">
        <f>19.296+19.296</f>
        <v>38.591999999999999</v>
      </c>
      <c r="U54" s="514">
        <f t="shared" si="0"/>
        <v>4.3001263563248363E-2</v>
      </c>
      <c r="V54" s="513">
        <v>0</v>
      </c>
      <c r="W54" s="513">
        <v>25.087</v>
      </c>
      <c r="X54" s="513">
        <f t="shared" si="5"/>
        <v>25.087</v>
      </c>
      <c r="Y54" s="268">
        <f t="shared" si="6"/>
        <v>0.65005700663349919</v>
      </c>
      <c r="Z54" s="513">
        <v>0</v>
      </c>
      <c r="AA54" s="513">
        <f t="shared" si="1"/>
        <v>0</v>
      </c>
      <c r="AB54" s="515">
        <f t="shared" si="2"/>
        <v>0</v>
      </c>
      <c r="AD54" s="514"/>
    </row>
    <row r="55" spans="1:40" s="595" customFormat="1">
      <c r="A55" s="595" t="s">
        <v>1202</v>
      </c>
      <c r="B55" s="595" t="s">
        <v>1203</v>
      </c>
      <c r="C55" s="596" t="s">
        <v>113</v>
      </c>
      <c r="D55" s="597" t="s">
        <v>276</v>
      </c>
      <c r="E55" s="597">
        <v>43922</v>
      </c>
      <c r="F55" s="597">
        <v>44317</v>
      </c>
      <c r="G55" s="597" t="s">
        <v>1204</v>
      </c>
      <c r="H55" s="597" t="s">
        <v>44</v>
      </c>
      <c r="I55" s="596" t="s">
        <v>44</v>
      </c>
      <c r="J55" s="598" t="s">
        <v>44</v>
      </c>
      <c r="K55" s="599">
        <v>50</v>
      </c>
      <c r="L55" s="600" t="s">
        <v>44</v>
      </c>
      <c r="M55" s="599">
        <f>88*10^-3</f>
        <v>8.7999999999999995E-2</v>
      </c>
      <c r="N55" s="599">
        <v>13.535</v>
      </c>
      <c r="O55" s="599">
        <f t="shared" si="3"/>
        <v>13.622999999999999</v>
      </c>
      <c r="P55" s="601">
        <f t="shared" si="4"/>
        <v>0.27245999999999998</v>
      </c>
      <c r="Q55" s="599">
        <v>0</v>
      </c>
      <c r="R55" s="599">
        <v>0</v>
      </c>
      <c r="S55" s="602" t="s">
        <v>44</v>
      </c>
      <c r="T55" s="603">
        <v>50</v>
      </c>
      <c r="U55" s="600">
        <f t="shared" si="0"/>
        <v>5.5712665271621532E-2</v>
      </c>
      <c r="V55" s="599">
        <f>(89+416+208)*10^-3</f>
        <v>0.71299999999999997</v>
      </c>
      <c r="W55" s="599">
        <v>15.356999999999999</v>
      </c>
      <c r="X55" s="599">
        <f t="shared" si="5"/>
        <v>16.07</v>
      </c>
      <c r="Y55" s="604">
        <f t="shared" si="6"/>
        <v>0.32140000000000002</v>
      </c>
      <c r="Z55" s="599">
        <v>0</v>
      </c>
      <c r="AA55" s="599">
        <f t="shared" si="1"/>
        <v>2.447000000000001</v>
      </c>
      <c r="AB55" s="602">
        <f t="shared" si="2"/>
        <v>0.17962269690963817</v>
      </c>
      <c r="AC55" s="606"/>
      <c r="AD55" s="600"/>
      <c r="AN55" s="606"/>
    </row>
    <row r="56" spans="1:40">
      <c r="A56" s="2" t="s">
        <v>1205</v>
      </c>
      <c r="B56" s="2" t="s">
        <v>1206</v>
      </c>
      <c r="C56" s="235" t="s">
        <v>636</v>
      </c>
      <c r="D56" s="374" t="s">
        <v>584</v>
      </c>
      <c r="E56" s="374">
        <v>43922</v>
      </c>
      <c r="F56" s="374" t="s">
        <v>44</v>
      </c>
      <c r="G56" s="374" t="s">
        <v>44</v>
      </c>
      <c r="H56" s="374" t="s">
        <v>44</v>
      </c>
      <c r="I56" s="235" t="s">
        <v>44</v>
      </c>
      <c r="J56" s="518" t="s">
        <v>44</v>
      </c>
      <c r="K56" s="513">
        <f>21+20</f>
        <v>41</v>
      </c>
      <c r="L56" s="514" t="s">
        <v>44</v>
      </c>
      <c r="M56" s="513">
        <v>0</v>
      </c>
      <c r="N56" s="513">
        <v>117.36199999999999</v>
      </c>
      <c r="O56" s="513">
        <f t="shared" si="3"/>
        <v>117.36199999999999</v>
      </c>
      <c r="P56" s="269">
        <f t="shared" si="4"/>
        <v>2.8624878048780484</v>
      </c>
      <c r="Q56" s="513">
        <v>0</v>
      </c>
      <c r="R56" s="513">
        <v>0</v>
      </c>
      <c r="S56" s="515" t="s">
        <v>44</v>
      </c>
      <c r="T56" s="519">
        <f>21+20</f>
        <v>41</v>
      </c>
      <c r="U56" s="514">
        <f t="shared" si="0"/>
        <v>4.5684385522729652E-2</v>
      </c>
      <c r="V56" s="513">
        <v>0</v>
      </c>
      <c r="W56" s="513">
        <v>117.36199999999999</v>
      </c>
      <c r="X56" s="513">
        <f t="shared" si="5"/>
        <v>117.36199999999999</v>
      </c>
      <c r="Y56" s="268">
        <f t="shared" si="6"/>
        <v>2.8624878048780484</v>
      </c>
      <c r="Z56" s="513">
        <v>0</v>
      </c>
      <c r="AA56" s="513">
        <f t="shared" si="1"/>
        <v>0</v>
      </c>
      <c r="AB56" s="515">
        <f t="shared" si="2"/>
        <v>0</v>
      </c>
      <c r="AD56" s="514"/>
    </row>
    <row r="57" spans="1:40" s="595" customFormat="1">
      <c r="A57" s="595" t="s">
        <v>1207</v>
      </c>
      <c r="B57" s="595" t="s">
        <v>1208</v>
      </c>
      <c r="C57" s="596" t="s">
        <v>636</v>
      </c>
      <c r="D57" s="597" t="s">
        <v>276</v>
      </c>
      <c r="E57" s="597">
        <v>43922</v>
      </c>
      <c r="F57" s="597">
        <v>44531</v>
      </c>
      <c r="G57" s="597" t="s">
        <v>1209</v>
      </c>
      <c r="H57" s="597" t="s">
        <v>44</v>
      </c>
      <c r="I57" s="596" t="s">
        <v>44</v>
      </c>
      <c r="J57" s="598" t="s">
        <v>44</v>
      </c>
      <c r="K57" s="599">
        <v>30</v>
      </c>
      <c r="L57" s="600" t="s">
        <v>44</v>
      </c>
      <c r="M57" s="599">
        <f>2.743+3.19</f>
        <v>5.9329999999999998</v>
      </c>
      <c r="N57" s="599">
        <v>43.874000000000002</v>
      </c>
      <c r="O57" s="599">
        <f t="shared" si="3"/>
        <v>49.807000000000002</v>
      </c>
      <c r="P57" s="601">
        <f t="shared" si="4"/>
        <v>1.6602333333333334</v>
      </c>
      <c r="Q57" s="599">
        <v>0</v>
      </c>
      <c r="R57" s="599">
        <v>0</v>
      </c>
      <c r="S57" s="602" t="s">
        <v>44</v>
      </c>
      <c r="T57" s="603">
        <v>30</v>
      </c>
      <c r="U57" s="600">
        <f t="shared" si="0"/>
        <v>3.3427599162972915E-2</v>
      </c>
      <c r="V57" s="599">
        <f>2.743+3.19+2.24+3.13</f>
        <v>11.303000000000001</v>
      </c>
      <c r="W57" s="599">
        <v>35.212000000000003</v>
      </c>
      <c r="X57" s="599">
        <f t="shared" si="5"/>
        <v>46.515000000000001</v>
      </c>
      <c r="Y57" s="604">
        <f t="shared" si="6"/>
        <v>1.5505</v>
      </c>
      <c r="Z57" s="599">
        <v>0</v>
      </c>
      <c r="AA57" s="599">
        <f t="shared" si="1"/>
        <v>-3.2920000000000016</v>
      </c>
      <c r="AB57" s="602">
        <f t="shared" si="2"/>
        <v>-6.6095127190957115E-2</v>
      </c>
      <c r="AC57" s="606"/>
      <c r="AD57" s="600"/>
      <c r="AN57" s="606"/>
    </row>
    <row r="58" spans="1:40">
      <c r="A58" s="2" t="s">
        <v>1210</v>
      </c>
      <c r="B58" s="2" t="s">
        <v>1211</v>
      </c>
      <c r="C58" s="235" t="s">
        <v>112</v>
      </c>
      <c r="D58" s="374" t="s">
        <v>276</v>
      </c>
      <c r="E58" s="374">
        <v>43922</v>
      </c>
      <c r="F58" s="374" t="s">
        <v>44</v>
      </c>
      <c r="G58" s="374" t="s">
        <v>44</v>
      </c>
      <c r="H58" s="374" t="s">
        <v>44</v>
      </c>
      <c r="I58" s="235" t="s">
        <v>44</v>
      </c>
      <c r="J58" s="518" t="s">
        <v>44</v>
      </c>
      <c r="K58" s="513">
        <v>20.975999999999999</v>
      </c>
      <c r="L58" s="514" t="s">
        <v>44</v>
      </c>
      <c r="M58" s="513">
        <f>2.095+0.274</f>
        <v>2.3690000000000002</v>
      </c>
      <c r="N58" s="513">
        <v>68.757000000000005</v>
      </c>
      <c r="O58" s="513">
        <f t="shared" si="3"/>
        <v>71.126000000000005</v>
      </c>
      <c r="P58" s="269">
        <f t="shared" si="4"/>
        <v>3.3908276125095349</v>
      </c>
      <c r="Q58" s="513">
        <v>0</v>
      </c>
      <c r="R58" s="513">
        <v>0</v>
      </c>
      <c r="S58" s="515" t="s">
        <v>44</v>
      </c>
      <c r="T58" s="519">
        <v>20.975999999999999</v>
      </c>
      <c r="U58" s="514">
        <f t="shared" si="0"/>
        <v>2.3372577334750663E-2</v>
      </c>
      <c r="V58" s="513">
        <f>2.095+0.274</f>
        <v>2.3690000000000002</v>
      </c>
      <c r="W58" s="513">
        <v>68.757000000000005</v>
      </c>
      <c r="X58" s="513">
        <f t="shared" si="5"/>
        <v>71.126000000000005</v>
      </c>
      <c r="Y58" s="268">
        <f t="shared" si="6"/>
        <v>3.3908276125095349</v>
      </c>
      <c r="Z58" s="513">
        <v>0</v>
      </c>
      <c r="AA58" s="513">
        <f t="shared" si="1"/>
        <v>0</v>
      </c>
      <c r="AB58" s="515">
        <f t="shared" si="2"/>
        <v>0</v>
      </c>
      <c r="AD58" s="514"/>
    </row>
    <row r="59" spans="1:40">
      <c r="A59" s="2" t="s">
        <v>1212</v>
      </c>
      <c r="B59" s="2" t="s">
        <v>1213</v>
      </c>
      <c r="C59" s="235" t="s">
        <v>1187</v>
      </c>
      <c r="D59" s="374" t="s">
        <v>276</v>
      </c>
      <c r="E59" s="374">
        <v>43952</v>
      </c>
      <c r="F59" s="374" t="s">
        <v>44</v>
      </c>
      <c r="G59" s="374" t="s">
        <v>44</v>
      </c>
      <c r="H59" s="374" t="s">
        <v>44</v>
      </c>
      <c r="I59" s="235" t="s">
        <v>44</v>
      </c>
      <c r="J59" s="518" t="s">
        <v>44</v>
      </c>
      <c r="K59" s="513">
        <v>30</v>
      </c>
      <c r="L59" s="514" t="s">
        <v>44</v>
      </c>
      <c r="M59" s="513">
        <v>0</v>
      </c>
      <c r="N59" s="513">
        <v>77.631</v>
      </c>
      <c r="O59" s="513">
        <f t="shared" si="3"/>
        <v>77.631</v>
      </c>
      <c r="P59" s="269">
        <f t="shared" si="4"/>
        <v>2.5876999999999999</v>
      </c>
      <c r="Q59" s="513">
        <v>0</v>
      </c>
      <c r="R59" s="513">
        <v>0</v>
      </c>
      <c r="S59" s="515" t="s">
        <v>44</v>
      </c>
      <c r="T59" s="519">
        <v>30</v>
      </c>
      <c r="U59" s="514">
        <f t="shared" si="0"/>
        <v>3.3427599162972915E-2</v>
      </c>
      <c r="V59" s="513">
        <v>0</v>
      </c>
      <c r="W59" s="513">
        <v>77.631</v>
      </c>
      <c r="X59" s="513">
        <f t="shared" si="5"/>
        <v>77.631</v>
      </c>
      <c r="Y59" s="268">
        <f t="shared" si="6"/>
        <v>2.5876999999999999</v>
      </c>
      <c r="Z59" s="513">
        <v>0</v>
      </c>
      <c r="AA59" s="513">
        <f t="shared" si="1"/>
        <v>0</v>
      </c>
      <c r="AB59" s="515">
        <f t="shared" si="2"/>
        <v>0</v>
      </c>
      <c r="AD59" s="514"/>
    </row>
    <row r="60" spans="1:40">
      <c r="A60" s="2" t="s">
        <v>1214</v>
      </c>
      <c r="B60" s="2" t="s">
        <v>1215</v>
      </c>
      <c r="C60" s="235" t="s">
        <v>728</v>
      </c>
      <c r="D60" s="374" t="s">
        <v>584</v>
      </c>
      <c r="E60" s="374">
        <v>43952</v>
      </c>
      <c r="F60" s="374" t="s">
        <v>44</v>
      </c>
      <c r="G60" s="374" t="s">
        <v>44</v>
      </c>
      <c r="H60" s="374" t="s">
        <v>44</v>
      </c>
      <c r="I60" s="235" t="s">
        <v>44</v>
      </c>
      <c r="J60" s="518" t="s">
        <v>44</v>
      </c>
      <c r="K60" s="513">
        <v>0.5</v>
      </c>
      <c r="L60" s="514" t="s">
        <v>44</v>
      </c>
      <c r="M60" s="513">
        <v>0</v>
      </c>
      <c r="N60" s="513">
        <v>0.5</v>
      </c>
      <c r="O60" s="513">
        <f t="shared" si="3"/>
        <v>0.5</v>
      </c>
      <c r="P60" s="269">
        <f t="shared" si="4"/>
        <v>1</v>
      </c>
      <c r="Q60" s="513">
        <v>0</v>
      </c>
      <c r="R60" s="513">
        <v>0</v>
      </c>
      <c r="S60" s="515" t="s">
        <v>44</v>
      </c>
      <c r="T60" s="519">
        <v>0.5</v>
      </c>
      <c r="U60" s="514">
        <f t="shared" si="0"/>
        <v>5.571266527162153E-4</v>
      </c>
      <c r="V60" s="513">
        <v>0.5</v>
      </c>
      <c r="W60" s="513">
        <v>0</v>
      </c>
      <c r="X60" s="513">
        <f t="shared" si="5"/>
        <v>0.5</v>
      </c>
      <c r="Y60" s="268">
        <f t="shared" si="6"/>
        <v>1</v>
      </c>
      <c r="Z60" s="513">
        <v>0</v>
      </c>
      <c r="AA60" s="513">
        <f t="shared" si="1"/>
        <v>0</v>
      </c>
      <c r="AB60" s="515">
        <f t="shared" si="2"/>
        <v>0</v>
      </c>
      <c r="AD60" s="514"/>
    </row>
    <row r="61" spans="1:40" s="595" customFormat="1">
      <c r="A61" s="595" t="s">
        <v>1216</v>
      </c>
      <c r="B61" s="595" t="s">
        <v>1217</v>
      </c>
      <c r="C61" s="596" t="s">
        <v>1218</v>
      </c>
      <c r="D61" s="597" t="s">
        <v>584</v>
      </c>
      <c r="E61" s="597">
        <v>44013</v>
      </c>
      <c r="F61" s="597">
        <v>45170</v>
      </c>
      <c r="G61" s="597" t="s">
        <v>1219</v>
      </c>
      <c r="H61" s="597" t="s">
        <v>44</v>
      </c>
      <c r="I61" s="596" t="s">
        <v>44</v>
      </c>
      <c r="J61" s="598" t="s">
        <v>44</v>
      </c>
      <c r="K61" s="599">
        <v>39.981000000000002</v>
      </c>
      <c r="L61" s="600" t="s">
        <v>44</v>
      </c>
      <c r="M61" s="599">
        <v>0</v>
      </c>
      <c r="N61" s="599">
        <v>36.634999999999998</v>
      </c>
      <c r="O61" s="599">
        <f t="shared" si="3"/>
        <v>36.634999999999998</v>
      </c>
      <c r="P61" s="601">
        <f t="shared" si="4"/>
        <v>0.91631024736749944</v>
      </c>
      <c r="Q61" s="599">
        <v>0</v>
      </c>
      <c r="R61" s="599">
        <v>0</v>
      </c>
      <c r="S61" s="602" t="s">
        <v>44</v>
      </c>
      <c r="T61" s="603">
        <v>33.213999999999999</v>
      </c>
      <c r="U61" s="600">
        <f t="shared" si="0"/>
        <v>3.7008809286632749E-2</v>
      </c>
      <c r="V61" s="599">
        <v>0</v>
      </c>
      <c r="W61" s="599">
        <v>23.628</v>
      </c>
      <c r="X61" s="599">
        <f t="shared" si="5"/>
        <v>23.628</v>
      </c>
      <c r="Y61" s="604">
        <f t="shared" si="6"/>
        <v>0.71138676461733008</v>
      </c>
      <c r="Z61" s="599">
        <v>0</v>
      </c>
      <c r="AA61" s="599">
        <f t="shared" si="1"/>
        <v>-13.006999999999998</v>
      </c>
      <c r="AB61" s="602">
        <f t="shared" si="2"/>
        <v>-0.35504299167462805</v>
      </c>
      <c r="AC61" s="606"/>
      <c r="AD61" s="600"/>
      <c r="AN61" s="606"/>
    </row>
    <row r="62" spans="1:40">
      <c r="A62" s="2" t="s">
        <v>1220</v>
      </c>
      <c r="B62" s="2" t="s">
        <v>1221</v>
      </c>
      <c r="C62" s="235" t="s">
        <v>112</v>
      </c>
      <c r="D62" s="374" t="s">
        <v>584</v>
      </c>
      <c r="E62" s="374">
        <v>45536</v>
      </c>
      <c r="F62" s="374" t="s">
        <v>44</v>
      </c>
      <c r="G62" s="374" t="s">
        <v>44</v>
      </c>
      <c r="H62" s="374" t="s">
        <v>44</v>
      </c>
      <c r="I62" s="235" t="s">
        <v>44</v>
      </c>
      <c r="J62" s="518" t="s">
        <v>44</v>
      </c>
      <c r="K62" s="513">
        <v>0</v>
      </c>
      <c r="L62" s="514" t="s">
        <v>44</v>
      </c>
      <c r="M62" s="513">
        <v>0</v>
      </c>
      <c r="N62" s="513">
        <v>0</v>
      </c>
      <c r="O62" s="513">
        <f t="shared" si="3"/>
        <v>0</v>
      </c>
      <c r="P62" s="269" t="s">
        <v>44</v>
      </c>
      <c r="Q62" s="513">
        <v>0</v>
      </c>
      <c r="R62" s="513">
        <v>0</v>
      </c>
      <c r="S62" s="515" t="s">
        <v>44</v>
      </c>
      <c r="T62" s="519">
        <v>3.1819999999999999</v>
      </c>
      <c r="U62" s="514">
        <f t="shared" si="0"/>
        <v>3.5455540178859941E-3</v>
      </c>
      <c r="V62" s="513">
        <v>0</v>
      </c>
      <c r="W62" s="513">
        <v>3.6840000000000002</v>
      </c>
      <c r="X62" s="513">
        <f t="shared" si="5"/>
        <v>3.6840000000000002</v>
      </c>
      <c r="Y62" s="268">
        <f t="shared" si="6"/>
        <v>1.1577624135763671</v>
      </c>
      <c r="Z62" s="513">
        <v>0</v>
      </c>
      <c r="AA62" s="513">
        <f t="shared" si="1"/>
        <v>3.6840000000000002</v>
      </c>
      <c r="AB62" s="515">
        <f t="shared" si="2"/>
        <v>0</v>
      </c>
      <c r="AD62" s="514"/>
    </row>
    <row r="63" spans="1:40" s="595" customFormat="1">
      <c r="A63" s="595" t="s">
        <v>1222</v>
      </c>
      <c r="B63" s="595" t="s">
        <v>1223</v>
      </c>
      <c r="C63" s="596" t="s">
        <v>112</v>
      </c>
      <c r="D63" s="597" t="s">
        <v>261</v>
      </c>
      <c r="E63" s="597">
        <v>43101</v>
      </c>
      <c r="F63" s="597">
        <v>43435</v>
      </c>
      <c r="G63" s="597" t="s">
        <v>1224</v>
      </c>
      <c r="H63" s="597">
        <v>44166</v>
      </c>
      <c r="I63" s="596" t="s">
        <v>735</v>
      </c>
      <c r="J63" s="598">
        <f t="shared" ref="J63:J64" si="7">YEAR(H63)-YEAR(E63)</f>
        <v>2</v>
      </c>
      <c r="K63" s="599">
        <v>5</v>
      </c>
      <c r="L63" s="600" t="s">
        <v>44</v>
      </c>
      <c r="M63" s="599">
        <v>11.503</v>
      </c>
      <c r="N63" s="599">
        <v>0</v>
      </c>
      <c r="O63" s="599">
        <f t="shared" si="3"/>
        <v>11.503</v>
      </c>
      <c r="P63" s="601">
        <f t="shared" si="4"/>
        <v>2.3006000000000002</v>
      </c>
      <c r="Q63" s="599">
        <v>0</v>
      </c>
      <c r="R63" s="599">
        <v>0</v>
      </c>
      <c r="S63" s="607" t="s">
        <v>44</v>
      </c>
      <c r="T63" s="599">
        <v>5</v>
      </c>
      <c r="U63" s="600">
        <f t="shared" si="0"/>
        <v>5.5712665271621525E-3</v>
      </c>
      <c r="V63" s="599">
        <v>11.503</v>
      </c>
      <c r="W63" s="599">
        <v>0</v>
      </c>
      <c r="X63" s="599">
        <f t="shared" si="5"/>
        <v>11.503</v>
      </c>
      <c r="Y63" s="604">
        <f t="shared" si="6"/>
        <v>2.3006000000000002</v>
      </c>
      <c r="Z63" s="599">
        <v>0</v>
      </c>
      <c r="AA63" s="599">
        <f t="shared" si="1"/>
        <v>0</v>
      </c>
      <c r="AB63" s="602">
        <f t="shared" si="2"/>
        <v>0</v>
      </c>
      <c r="AC63" s="606"/>
      <c r="AD63" s="600"/>
      <c r="AN63" s="606"/>
    </row>
    <row r="64" spans="1:40" s="595" customFormat="1">
      <c r="A64" s="595" t="s">
        <v>1225</v>
      </c>
      <c r="B64" s="595" t="s">
        <v>1226</v>
      </c>
      <c r="C64" s="596" t="s">
        <v>273</v>
      </c>
      <c r="D64" s="597" t="s">
        <v>261</v>
      </c>
      <c r="E64" s="597">
        <v>43739</v>
      </c>
      <c r="F64" s="597">
        <v>43952</v>
      </c>
      <c r="G64" s="597" t="s">
        <v>1227</v>
      </c>
      <c r="H64" s="597">
        <v>44348</v>
      </c>
      <c r="I64" s="596" t="s">
        <v>735</v>
      </c>
      <c r="J64" s="598">
        <f t="shared" si="7"/>
        <v>2</v>
      </c>
      <c r="K64" s="599">
        <v>1</v>
      </c>
      <c r="L64" s="600" t="s">
        <v>44</v>
      </c>
      <c r="M64" s="599">
        <v>4.0579999999999998</v>
      </c>
      <c r="N64" s="599">
        <v>0</v>
      </c>
      <c r="O64" s="599">
        <f t="shared" si="3"/>
        <v>4.0579999999999998</v>
      </c>
      <c r="P64" s="601">
        <f t="shared" si="4"/>
        <v>4.0579999999999998</v>
      </c>
      <c r="Q64" s="599">
        <v>0</v>
      </c>
      <c r="R64" s="599">
        <v>0</v>
      </c>
      <c r="S64" s="607" t="s">
        <v>44</v>
      </c>
      <c r="T64" s="599">
        <v>1</v>
      </c>
      <c r="U64" s="600">
        <f t="shared" si="0"/>
        <v>1.1142533054324306E-3</v>
      </c>
      <c r="V64" s="599">
        <v>4.0579999999999998</v>
      </c>
      <c r="W64" s="599">
        <v>0</v>
      </c>
      <c r="X64" s="599">
        <f t="shared" si="5"/>
        <v>4.0579999999999998</v>
      </c>
      <c r="Y64" s="604">
        <f t="shared" si="6"/>
        <v>4.0579999999999998</v>
      </c>
      <c r="Z64" s="599">
        <v>0</v>
      </c>
      <c r="AA64" s="599">
        <f t="shared" si="1"/>
        <v>0</v>
      </c>
      <c r="AB64" s="602">
        <f t="shared" si="2"/>
        <v>0</v>
      </c>
      <c r="AC64" s="606"/>
      <c r="AD64" s="600"/>
      <c r="AN64" s="606"/>
    </row>
    <row r="66" spans="1:40" s="520" customFormat="1" ht="12" thickBot="1">
      <c r="A66" s="520" t="s">
        <v>45</v>
      </c>
      <c r="K66" s="521">
        <f>SUM(K32:K64)</f>
        <v>900.68299999999999</v>
      </c>
      <c r="M66" s="522">
        <f>SUM(M32:M64)</f>
        <v>207.44799999999998</v>
      </c>
      <c r="N66" s="522">
        <f t="shared" ref="N66:O66" si="8">SUM(N32:N64)</f>
        <v>1367.1050000000002</v>
      </c>
      <c r="O66" s="522">
        <f t="shared" si="8"/>
        <v>1574.5529999999999</v>
      </c>
      <c r="P66" s="523">
        <f t="shared" si="4"/>
        <v>1.7481766614891143</v>
      </c>
      <c r="Q66" s="524" t="s">
        <v>44</v>
      </c>
      <c r="R66" s="524" t="s">
        <v>44</v>
      </c>
      <c r="S66" s="524" t="s">
        <v>44</v>
      </c>
      <c r="T66" s="571">
        <f>SUM(T32:T64)</f>
        <v>897.46199999999999</v>
      </c>
      <c r="U66" s="547">
        <f>T66/T$66</f>
        <v>1</v>
      </c>
      <c r="V66" s="522">
        <f>SUM(V32:V64)</f>
        <v>255.04899999999998</v>
      </c>
      <c r="W66" s="522">
        <f t="shared" ref="W66:X66" si="9">SUM(W32:W64)</f>
        <v>1262.8430000000001</v>
      </c>
      <c r="X66" s="522">
        <f t="shared" si="9"/>
        <v>1517.8919999999998</v>
      </c>
      <c r="Y66" s="523">
        <f t="shared" ref="Y66" si="10">X66/T66</f>
        <v>1.6913161782894428</v>
      </c>
      <c r="Z66" s="525" t="s">
        <v>44</v>
      </c>
      <c r="AA66" s="525">
        <f t="shared" ref="AA66" si="11">X66-O66</f>
        <v>-56.661000000000058</v>
      </c>
      <c r="AB66" s="526">
        <f t="shared" ref="AB66" si="12">IFERROR(X66/O66-1,0)</f>
        <v>-3.5985451108981437E-2</v>
      </c>
      <c r="AC66" s="527"/>
      <c r="AN66" s="527"/>
    </row>
    <row r="68" spans="1:40" s="389" customFormat="1">
      <c r="A68" s="388" t="s">
        <v>277</v>
      </c>
      <c r="K68" s="528">
        <f>SUMIF($D$32:$D$64,"Unrealized",K$32:K$64)+SUMIF($D$32:$D$64,"Partial Realized",K$32:K$64)</f>
        <v>839.41499999999996</v>
      </c>
      <c r="M68" s="529">
        <f>SUMIF($D$32:$D$64,"Unrealized",M$32:M$64)+SUMIF($D$32:$D$64,"Partial Realized",M$32:M$64)</f>
        <v>178.81699999999998</v>
      </c>
      <c r="N68" s="529">
        <f>SUMIF($D$32:$D$64,"Unrealized",N$32:N$64)+SUMIF($D$32:$D$64,"Partial Realized",N$32:N$64)</f>
        <v>1357.8519999999999</v>
      </c>
      <c r="O68" s="529">
        <f>SUMIF($D$32:$D$64,"Unrealized",O$32:O$64)+SUMIF($D$32:$D$64,"Partial Realized",O$32:O$64)</f>
        <v>1536.6690000000001</v>
      </c>
      <c r="P68" s="530">
        <f t="shared" si="4"/>
        <v>1.8306427690713176</v>
      </c>
      <c r="R68" s="531" t="s">
        <v>44</v>
      </c>
      <c r="S68" s="532" t="s">
        <v>44</v>
      </c>
      <c r="T68" s="528">
        <f>SUMIF($D$32:$D$64,"Unrealized",T$32:T$64)+SUMIF($D$32:$D$64,"Partial Realized",T$32:T$64)</f>
        <v>836.19399999999996</v>
      </c>
      <c r="U68" s="389">
        <f>(X66-SUM(X33:X36,X39,X45:X46,X48,X53,X55,X57,X61,X63:X64))/(T66-SUM(T33:T36,T39,T45:T46,T48,T53,T55,T57,T61,T63:T64))</f>
        <v>2.1439477198590096</v>
      </c>
      <c r="V68" s="529">
        <f>SUMIF($D$32:$D$64,"Unrealized",V$32:V$64)+SUMIF($D$32:$D$64,"Partial Realized",V$32:V$64)</f>
        <v>217.17899999999995</v>
      </c>
      <c r="W68" s="529">
        <f>SUMIF($D$32:$D$64,"Unrealized",W$32:W$64)+SUMIF($D$32:$D$64,"Partial Realized",W$32:W$64)</f>
        <v>1262.8429999999998</v>
      </c>
      <c r="X68" s="529">
        <f>SUMIF($D$32:$D$64,"Unrealized",X$32:X$64)+SUMIF($D$32:$D$64,"Partial Realized",X$32:X$64)</f>
        <v>1480.0219999999999</v>
      </c>
      <c r="Y68" s="530">
        <f t="shared" ref="Y68:Y69" si="13">X68/T68</f>
        <v>1.7699505138759666</v>
      </c>
      <c r="AA68" s="533">
        <f t="shared" ref="AA68:AA69" si="14">X68-O68</f>
        <v>-56.647000000000162</v>
      </c>
      <c r="AB68" s="534">
        <f t="shared" ref="AB68:AB69" si="15">IFERROR(X68/O68-1,0)</f>
        <v>-3.6863501508783036E-2</v>
      </c>
      <c r="AN68" s="535"/>
    </row>
    <row r="69" spans="1:40" s="389" customFormat="1">
      <c r="A69" s="388" t="s">
        <v>278</v>
      </c>
      <c r="K69" s="528">
        <f>SUMIF($D$32:$D$64,"Realized",K$32:K$64)+SUMIF($D$32:$D$64,"Write-off",K$32:K$64)</f>
        <v>61.268000000000001</v>
      </c>
      <c r="M69" s="529">
        <f>SUMIF($D$32:$D$64,"Realized",M$32:M$64)+SUMIF($D$32:$D$64,"Write-off",M$32:M$64)</f>
        <v>28.631</v>
      </c>
      <c r="N69" s="529">
        <f>SUMIF($D$32:$D$64,"Realized",N$32:N$64)+SUMIF($D$32:$D$64,"Write-off",N$32:N$64)</f>
        <v>9.2530000000000001</v>
      </c>
      <c r="O69" s="529">
        <f>SUMIF($D$32:$D$64,"Realized",O$32:O$64)+SUMIF($D$32:$D$64,"Write-off",O$32:O$64)</f>
        <v>37.884</v>
      </c>
      <c r="P69" s="530">
        <f t="shared" si="4"/>
        <v>0.6183325716524124</v>
      </c>
      <c r="R69" s="531" t="s">
        <v>44</v>
      </c>
      <c r="S69" s="532" t="s">
        <v>44</v>
      </c>
      <c r="T69" s="528">
        <f>SUMIF($D$32:$D$64,"Realized",T$32:T$64)+SUMIF($D$32:$D$64,"Write-off",T$32:T$64)</f>
        <v>61.268000000000001</v>
      </c>
      <c r="V69" s="529">
        <f>SUMIF($D$32:$D$64,"Realized",V$32:V$64)+SUMIF($D$32:$D$64,"Write-off",V$32:V$64)</f>
        <v>37.869999999999997</v>
      </c>
      <c r="W69" s="529">
        <f>SUMIF($D$32:$D$64,"Realized",W$32:W$64)+SUMIF($D$32:$D$64,"Write-off",W$32:W$64)</f>
        <v>0</v>
      </c>
      <c r="X69" s="529">
        <f>SUMIF($D$32:$D$64,"Realized",X$32:X$64)+SUMIF($D$32:$D$64,"Write-off",X$32:X$64)</f>
        <v>37.869999999999997</v>
      </c>
      <c r="Y69" s="530">
        <f t="shared" si="13"/>
        <v>0.618104067376118</v>
      </c>
      <c r="AA69" s="533">
        <f t="shared" si="14"/>
        <v>-1.4000000000002899E-2</v>
      </c>
      <c r="AB69" s="534">
        <f t="shared" si="15"/>
        <v>-3.695491500370629E-4</v>
      </c>
      <c r="AN69" s="535"/>
    </row>
    <row r="72" spans="1:40" s="536" customFormat="1">
      <c r="A72" s="536" t="s">
        <v>279</v>
      </c>
      <c r="K72" s="537"/>
      <c r="T72" s="537"/>
      <c r="AC72" s="537"/>
      <c r="AN72" s="537"/>
    </row>
    <row r="73" spans="1:40" ht="13.5" customHeight="1">
      <c r="K73" s="538" t="s">
        <v>236</v>
      </c>
      <c r="L73" s="539"/>
      <c r="M73" s="539"/>
      <c r="N73" s="539"/>
      <c r="O73" s="539"/>
      <c r="P73" s="539"/>
      <c r="Q73" s="540"/>
      <c r="R73" s="540"/>
      <c r="S73" s="539"/>
      <c r="T73" s="503" t="s">
        <v>237</v>
      </c>
      <c r="U73" s="504"/>
      <c r="V73" s="504"/>
      <c r="W73" s="504"/>
      <c r="X73" s="504"/>
      <c r="Y73" s="504"/>
      <c r="Z73" s="505"/>
      <c r="AA73" s="505"/>
      <c r="AB73" s="504"/>
      <c r="AC73" s="503" t="s">
        <v>238</v>
      </c>
      <c r="AD73" s="504"/>
      <c r="AE73" s="504"/>
      <c r="AF73" s="504"/>
      <c r="AG73" s="539"/>
      <c r="AH73" s="539"/>
      <c r="AI73" s="540"/>
      <c r="AJ73" s="540"/>
      <c r="AK73" s="540"/>
      <c r="AL73" s="540"/>
      <c r="AM73" s="539"/>
    </row>
    <row r="74" spans="1:40" s="141" customFormat="1" ht="39.75" customHeight="1">
      <c r="A74" s="138" t="s">
        <v>239</v>
      </c>
      <c r="B74" s="139" t="s">
        <v>240</v>
      </c>
      <c r="C74" s="139" t="s">
        <v>69</v>
      </c>
      <c r="D74" s="139" t="s">
        <v>1129</v>
      </c>
      <c r="E74" s="139" t="s">
        <v>242</v>
      </c>
      <c r="F74" s="139" t="s">
        <v>243</v>
      </c>
      <c r="G74" s="139"/>
      <c r="H74" s="139" t="s">
        <v>245</v>
      </c>
      <c r="I74" s="139" t="s">
        <v>246</v>
      </c>
      <c r="J74" s="501" t="s">
        <v>247</v>
      </c>
      <c r="K74" s="541" t="s">
        <v>280</v>
      </c>
      <c r="L74" s="542"/>
      <c r="M74" s="543"/>
      <c r="N74" s="542"/>
      <c r="O74" s="541" t="s">
        <v>281</v>
      </c>
      <c r="P74" s="542"/>
      <c r="Q74" s="543"/>
      <c r="R74" s="542"/>
      <c r="S74" s="544"/>
      <c r="T74" s="541" t="s">
        <v>280</v>
      </c>
      <c r="U74" s="542"/>
      <c r="V74" s="543"/>
      <c r="W74" s="542"/>
      <c r="X74" s="541" t="s">
        <v>281</v>
      </c>
      <c r="Y74" s="542"/>
      <c r="Z74" s="543"/>
      <c r="AA74" s="542"/>
      <c r="AB74" s="544"/>
      <c r="AC74" s="541" t="s">
        <v>280</v>
      </c>
      <c r="AD74" s="542"/>
      <c r="AE74" s="543"/>
      <c r="AF74" s="542"/>
      <c r="AG74" s="541" t="s">
        <v>281</v>
      </c>
      <c r="AH74" s="542"/>
      <c r="AI74" s="543"/>
      <c r="AJ74" s="542"/>
      <c r="AK74" s="545"/>
      <c r="AL74" s="545"/>
      <c r="AM74" s="544"/>
      <c r="AN74" s="510"/>
    </row>
    <row r="75" spans="1:40">
      <c r="A75" s="2" t="s">
        <v>1146</v>
      </c>
      <c r="B75" s="2" t="s">
        <v>1147</v>
      </c>
      <c r="C75" s="235" t="s">
        <v>112</v>
      </c>
      <c r="D75" s="374" t="s">
        <v>584</v>
      </c>
      <c r="E75" s="374">
        <v>43009</v>
      </c>
      <c r="F75" s="374" t="s">
        <v>44</v>
      </c>
      <c r="G75" s="374" t="s">
        <v>44</v>
      </c>
      <c r="H75" s="374" t="s">
        <v>44</v>
      </c>
      <c r="I75" s="235" t="s">
        <v>44</v>
      </c>
      <c r="J75" s="512" t="s">
        <v>44</v>
      </c>
      <c r="N75" s="553"/>
      <c r="S75" s="368"/>
      <c r="W75" s="553"/>
      <c r="AB75" s="368"/>
      <c r="AF75" s="553"/>
      <c r="AG75" s="367"/>
      <c r="AM75" s="368"/>
    </row>
    <row r="76" spans="1:40">
      <c r="A76" s="2" t="s">
        <v>1148</v>
      </c>
      <c r="B76" s="2" t="s">
        <v>1149</v>
      </c>
      <c r="C76" s="235" t="s">
        <v>636</v>
      </c>
      <c r="D76" s="374" t="s">
        <v>584</v>
      </c>
      <c r="E76" s="374">
        <v>43160</v>
      </c>
      <c r="F76" s="374"/>
      <c r="G76" s="374" t="s">
        <v>1150</v>
      </c>
      <c r="H76" s="374" t="s">
        <v>44</v>
      </c>
      <c r="I76" s="235" t="s">
        <v>44</v>
      </c>
      <c r="J76" s="518" t="s">
        <v>44</v>
      </c>
      <c r="N76" s="368"/>
      <c r="S76" s="368"/>
      <c r="W76" s="368"/>
      <c r="AB76" s="368"/>
      <c r="AF76" s="368"/>
      <c r="AG76" s="367"/>
      <c r="AM76" s="368"/>
    </row>
    <row r="77" spans="1:40">
      <c r="A77" s="2" t="s">
        <v>1151</v>
      </c>
      <c r="B77" s="2" t="s">
        <v>1152</v>
      </c>
      <c r="C77" s="235" t="s">
        <v>636</v>
      </c>
      <c r="D77" s="374" t="s">
        <v>276</v>
      </c>
      <c r="E77" s="374">
        <v>43221</v>
      </c>
      <c r="F77" s="374"/>
      <c r="G77" s="374" t="s">
        <v>1153</v>
      </c>
      <c r="H77" s="374" t="s">
        <v>44</v>
      </c>
      <c r="I77" s="235" t="s">
        <v>44</v>
      </c>
      <c r="J77" s="518" t="s">
        <v>44</v>
      </c>
      <c r="N77" s="368"/>
      <c r="S77" s="368"/>
      <c r="W77" s="368"/>
      <c r="AB77" s="368"/>
      <c r="AF77" s="368"/>
      <c r="AG77" s="367"/>
      <c r="AM77" s="368"/>
    </row>
    <row r="78" spans="1:40">
      <c r="A78" s="2" t="s">
        <v>1154</v>
      </c>
      <c r="B78" s="2" t="s">
        <v>1155</v>
      </c>
      <c r="C78" s="235" t="s">
        <v>112</v>
      </c>
      <c r="D78" s="374" t="s">
        <v>261</v>
      </c>
      <c r="E78" s="374">
        <v>43252</v>
      </c>
      <c r="F78" s="374"/>
      <c r="G78" s="374" t="s">
        <v>1156</v>
      </c>
      <c r="H78" s="374">
        <v>45292</v>
      </c>
      <c r="I78" s="235" t="s">
        <v>735</v>
      </c>
      <c r="J78" s="518">
        <f>YEAR(H78)-YEAR(E78)</f>
        <v>6</v>
      </c>
      <c r="N78" s="368"/>
      <c r="S78" s="368"/>
      <c r="W78" s="368"/>
      <c r="AB78" s="368"/>
      <c r="AF78" s="368"/>
      <c r="AG78" s="367"/>
      <c r="AM78" s="368"/>
    </row>
    <row r="79" spans="1:40">
      <c r="A79" s="2" t="s">
        <v>1157</v>
      </c>
      <c r="B79" s="2" t="s">
        <v>1158</v>
      </c>
      <c r="C79" s="235" t="s">
        <v>260</v>
      </c>
      <c r="D79" s="374" t="s">
        <v>276</v>
      </c>
      <c r="E79" s="374">
        <v>43282</v>
      </c>
      <c r="F79" s="374"/>
      <c r="G79" s="374" t="s">
        <v>1159</v>
      </c>
      <c r="H79" s="374" t="s">
        <v>44</v>
      </c>
      <c r="I79" s="235" t="s">
        <v>44</v>
      </c>
      <c r="J79" s="518" t="s">
        <v>44</v>
      </c>
      <c r="N79" s="368"/>
      <c r="S79" s="368"/>
      <c r="W79" s="368"/>
      <c r="AB79" s="368"/>
      <c r="AF79" s="368"/>
      <c r="AG79" s="367"/>
      <c r="AM79" s="368"/>
    </row>
    <row r="80" spans="1:40">
      <c r="A80" s="2" t="s">
        <v>1160</v>
      </c>
      <c r="B80" s="2" t="s">
        <v>1161</v>
      </c>
      <c r="C80" s="235" t="s">
        <v>112</v>
      </c>
      <c r="D80" s="374" t="s">
        <v>584</v>
      </c>
      <c r="E80" s="374">
        <v>43313</v>
      </c>
      <c r="F80" s="374" t="s">
        <v>44</v>
      </c>
      <c r="G80" s="374" t="s">
        <v>44</v>
      </c>
      <c r="H80" s="374" t="s">
        <v>44</v>
      </c>
      <c r="I80" s="235" t="s">
        <v>44</v>
      </c>
      <c r="J80" s="518" t="s">
        <v>44</v>
      </c>
      <c r="N80" s="368"/>
      <c r="S80" s="368"/>
      <c r="W80" s="368"/>
      <c r="AB80" s="368"/>
      <c r="AF80" s="368"/>
      <c r="AG80" s="367"/>
      <c r="AM80" s="368"/>
    </row>
    <row r="81" spans="1:39">
      <c r="A81" s="2" t="s">
        <v>1162</v>
      </c>
      <c r="B81" s="2" t="s">
        <v>1163</v>
      </c>
      <c r="C81" s="235" t="s">
        <v>112</v>
      </c>
      <c r="D81" s="374" t="s">
        <v>276</v>
      </c>
      <c r="E81" s="374">
        <v>43344</v>
      </c>
      <c r="F81" s="374" t="s">
        <v>44</v>
      </c>
      <c r="G81" s="374" t="s">
        <v>44</v>
      </c>
      <c r="H81" s="374" t="s">
        <v>44</v>
      </c>
      <c r="I81" s="235" t="s">
        <v>44</v>
      </c>
      <c r="J81" s="518" t="s">
        <v>44</v>
      </c>
      <c r="N81" s="368"/>
      <c r="S81" s="368"/>
      <c r="W81" s="368"/>
      <c r="AB81" s="368"/>
      <c r="AF81" s="368"/>
      <c r="AG81" s="367"/>
      <c r="AM81" s="368"/>
    </row>
    <row r="82" spans="1:39">
      <c r="A82" s="2" t="s">
        <v>1164</v>
      </c>
      <c r="B82" s="2" t="s">
        <v>1165</v>
      </c>
      <c r="C82" s="235" t="s">
        <v>112</v>
      </c>
      <c r="D82" s="374" t="s">
        <v>276</v>
      </c>
      <c r="E82" s="374">
        <v>43405</v>
      </c>
      <c r="F82" s="374"/>
      <c r="G82" s="374" t="s">
        <v>1166</v>
      </c>
      <c r="H82" s="374" t="s">
        <v>44</v>
      </c>
      <c r="I82" s="235" t="s">
        <v>44</v>
      </c>
      <c r="J82" s="518" t="s">
        <v>44</v>
      </c>
      <c r="N82" s="368"/>
      <c r="S82" s="368"/>
      <c r="W82" s="368"/>
      <c r="AB82" s="368"/>
      <c r="AF82" s="368"/>
      <c r="AG82" s="367"/>
      <c r="AM82" s="368"/>
    </row>
    <row r="83" spans="1:39">
      <c r="A83" s="2" t="s">
        <v>1167</v>
      </c>
      <c r="B83" s="2" t="s">
        <v>1168</v>
      </c>
      <c r="C83" s="235" t="s">
        <v>636</v>
      </c>
      <c r="D83" s="374" t="s">
        <v>584</v>
      </c>
      <c r="E83" s="374">
        <v>43405</v>
      </c>
      <c r="F83" s="374" t="s">
        <v>44</v>
      </c>
      <c r="G83" s="374" t="s">
        <v>44</v>
      </c>
      <c r="H83" s="374" t="s">
        <v>44</v>
      </c>
      <c r="I83" s="235" t="s">
        <v>44</v>
      </c>
      <c r="J83" s="518" t="s">
        <v>44</v>
      </c>
      <c r="N83" s="368"/>
      <c r="S83" s="368"/>
      <c r="W83" s="368"/>
      <c r="AB83" s="368"/>
      <c r="AF83" s="368"/>
      <c r="AG83" s="367"/>
      <c r="AM83" s="368"/>
    </row>
    <row r="84" spans="1:39">
      <c r="A84" s="2" t="s">
        <v>1169</v>
      </c>
      <c r="B84" s="2" t="s">
        <v>1170</v>
      </c>
      <c r="C84" s="235" t="s">
        <v>260</v>
      </c>
      <c r="D84" s="374" t="s">
        <v>584</v>
      </c>
      <c r="E84" s="374">
        <v>43435</v>
      </c>
      <c r="F84" s="374" t="s">
        <v>44</v>
      </c>
      <c r="G84" s="374" t="s">
        <v>44</v>
      </c>
      <c r="H84" s="374" t="s">
        <v>44</v>
      </c>
      <c r="I84" s="235" t="s">
        <v>44</v>
      </c>
      <c r="J84" s="518" t="s">
        <v>44</v>
      </c>
      <c r="N84" s="368"/>
      <c r="S84" s="368"/>
      <c r="W84" s="368"/>
      <c r="AB84" s="368"/>
      <c r="AF84" s="368"/>
      <c r="AG84" s="367"/>
      <c r="AM84" s="368"/>
    </row>
    <row r="85" spans="1:39">
      <c r="A85" s="2" t="s">
        <v>1171</v>
      </c>
      <c r="B85" s="2" t="s">
        <v>1172</v>
      </c>
      <c r="C85" s="235" t="s">
        <v>273</v>
      </c>
      <c r="D85" s="374" t="s">
        <v>276</v>
      </c>
      <c r="E85" s="374">
        <v>43466</v>
      </c>
      <c r="F85" s="374" t="s">
        <v>44</v>
      </c>
      <c r="G85" s="374" t="s">
        <v>44</v>
      </c>
      <c r="H85" s="374" t="s">
        <v>44</v>
      </c>
      <c r="I85" s="235" t="s">
        <v>44</v>
      </c>
      <c r="J85" s="518" t="s">
        <v>44</v>
      </c>
      <c r="N85" s="368"/>
      <c r="S85" s="368"/>
      <c r="W85" s="368"/>
      <c r="AB85" s="368"/>
      <c r="AF85" s="368"/>
      <c r="AG85" s="367"/>
      <c r="AM85" s="368"/>
    </row>
    <row r="86" spans="1:39">
      <c r="A86" s="2" t="s">
        <v>1173</v>
      </c>
      <c r="B86" s="2" t="s">
        <v>1174</v>
      </c>
      <c r="C86" s="235" t="s">
        <v>260</v>
      </c>
      <c r="D86" s="374" t="s">
        <v>261</v>
      </c>
      <c r="E86" s="374">
        <v>43466</v>
      </c>
      <c r="F86" s="374" t="s">
        <v>44</v>
      </c>
      <c r="G86" s="374" t="s">
        <v>44</v>
      </c>
      <c r="H86" s="374">
        <v>45474</v>
      </c>
      <c r="I86" s="551"/>
      <c r="J86" s="518">
        <f>YEAR(H86)-YEAR(E86)</f>
        <v>5</v>
      </c>
      <c r="N86" s="368"/>
      <c r="S86" s="368"/>
      <c r="W86" s="368"/>
      <c r="AB86" s="368"/>
      <c r="AF86" s="368"/>
      <c r="AG86" s="367"/>
      <c r="AM86" s="368"/>
    </row>
    <row r="87" spans="1:39">
      <c r="A87" s="2" t="s">
        <v>1175</v>
      </c>
      <c r="B87" s="2" t="s">
        <v>1176</v>
      </c>
      <c r="C87" s="235" t="s">
        <v>260</v>
      </c>
      <c r="D87" s="374" t="s">
        <v>276</v>
      </c>
      <c r="E87" s="374">
        <v>43586</v>
      </c>
      <c r="F87" s="374" t="s">
        <v>44</v>
      </c>
      <c r="G87" s="374" t="s">
        <v>44</v>
      </c>
      <c r="H87" s="374" t="s">
        <v>44</v>
      </c>
      <c r="I87" s="235" t="s">
        <v>44</v>
      </c>
      <c r="J87" s="518" t="s">
        <v>44</v>
      </c>
      <c r="N87" s="368"/>
      <c r="S87" s="368"/>
      <c r="W87" s="368"/>
      <c r="AB87" s="368"/>
      <c r="AF87" s="368"/>
      <c r="AG87" s="367"/>
      <c r="AM87" s="368"/>
    </row>
    <row r="88" spans="1:39">
      <c r="A88" s="2" t="s">
        <v>1177</v>
      </c>
      <c r="B88" s="2" t="s">
        <v>1178</v>
      </c>
      <c r="C88" s="235" t="s">
        <v>260</v>
      </c>
      <c r="D88" s="374" t="s">
        <v>276</v>
      </c>
      <c r="E88" s="374">
        <v>43586</v>
      </c>
      <c r="F88" s="374"/>
      <c r="G88" s="374" t="s">
        <v>1179</v>
      </c>
      <c r="H88" s="374" t="s">
        <v>44</v>
      </c>
      <c r="I88" s="235" t="s">
        <v>44</v>
      </c>
      <c r="J88" s="518" t="s">
        <v>44</v>
      </c>
      <c r="N88" s="368"/>
      <c r="S88" s="368"/>
      <c r="W88" s="368"/>
      <c r="AB88" s="368"/>
      <c r="AF88" s="368"/>
      <c r="AG88" s="367"/>
      <c r="AM88" s="368"/>
    </row>
    <row r="89" spans="1:39">
      <c r="A89" s="2" t="s">
        <v>1180</v>
      </c>
      <c r="B89" s="2" t="s">
        <v>1181</v>
      </c>
      <c r="C89" s="235" t="s">
        <v>273</v>
      </c>
      <c r="D89" s="374" t="s">
        <v>276</v>
      </c>
      <c r="E89" s="374">
        <v>43647</v>
      </c>
      <c r="F89" s="374"/>
      <c r="G89" s="374" t="s">
        <v>1182</v>
      </c>
      <c r="H89" s="374" t="s">
        <v>44</v>
      </c>
      <c r="I89" s="235" t="s">
        <v>44</v>
      </c>
      <c r="J89" s="518" t="s">
        <v>44</v>
      </c>
      <c r="N89" s="368"/>
      <c r="S89" s="368"/>
      <c r="W89" s="368"/>
      <c r="AB89" s="368"/>
      <c r="AF89" s="368"/>
      <c r="AG89" s="367"/>
      <c r="AM89" s="368"/>
    </row>
    <row r="90" spans="1:39">
      <c r="A90" s="2" t="s">
        <v>1183</v>
      </c>
      <c r="B90" s="2" t="s">
        <v>1184</v>
      </c>
      <c r="C90" s="235" t="s">
        <v>260</v>
      </c>
      <c r="D90" s="374" t="s">
        <v>584</v>
      </c>
      <c r="E90" s="374">
        <v>43678</v>
      </c>
      <c r="F90" s="374" t="s">
        <v>44</v>
      </c>
      <c r="G90" s="374" t="s">
        <v>44</v>
      </c>
      <c r="H90" s="374" t="s">
        <v>44</v>
      </c>
      <c r="I90" s="235" t="s">
        <v>44</v>
      </c>
      <c r="J90" s="518" t="s">
        <v>44</v>
      </c>
      <c r="N90" s="368"/>
      <c r="S90" s="368"/>
      <c r="W90" s="368"/>
      <c r="AB90" s="368"/>
      <c r="AF90" s="368"/>
      <c r="AG90" s="367"/>
      <c r="AM90" s="368"/>
    </row>
    <row r="91" spans="1:39">
      <c r="A91" s="2" t="s">
        <v>1185</v>
      </c>
      <c r="B91" s="2" t="s">
        <v>1186</v>
      </c>
      <c r="C91" s="235" t="s">
        <v>1187</v>
      </c>
      <c r="D91" s="374" t="s">
        <v>276</v>
      </c>
      <c r="E91" s="374">
        <v>43709</v>
      </c>
      <c r="F91" s="374"/>
      <c r="G91" s="374" t="s">
        <v>1188</v>
      </c>
      <c r="H91" s="374" t="s">
        <v>44</v>
      </c>
      <c r="I91" s="235" t="s">
        <v>44</v>
      </c>
      <c r="J91" s="518" t="s">
        <v>44</v>
      </c>
      <c r="N91" s="368"/>
      <c r="S91" s="368"/>
      <c r="W91" s="368"/>
      <c r="AB91" s="368"/>
      <c r="AF91" s="368"/>
      <c r="AG91" s="367"/>
      <c r="AM91" s="368"/>
    </row>
    <row r="92" spans="1:39">
      <c r="A92" s="2" t="s">
        <v>1189</v>
      </c>
      <c r="B92" s="2" t="s">
        <v>1190</v>
      </c>
      <c r="C92" s="235" t="s">
        <v>112</v>
      </c>
      <c r="D92" s="374" t="s">
        <v>663</v>
      </c>
      <c r="E92" s="374">
        <v>43709</v>
      </c>
      <c r="F92" s="374" t="s">
        <v>44</v>
      </c>
      <c r="G92" s="374" t="s">
        <v>44</v>
      </c>
      <c r="H92" s="374" t="s">
        <v>44</v>
      </c>
      <c r="I92" s="235" t="s">
        <v>44</v>
      </c>
      <c r="J92" s="518" t="s">
        <v>44</v>
      </c>
      <c r="N92" s="368"/>
      <c r="S92" s="368"/>
      <c r="W92" s="368"/>
      <c r="AB92" s="368"/>
      <c r="AF92" s="368"/>
      <c r="AG92" s="367"/>
      <c r="AM92" s="368"/>
    </row>
    <row r="93" spans="1:39">
      <c r="A93" s="2" t="s">
        <v>1191</v>
      </c>
      <c r="B93" s="2" t="s">
        <v>1192</v>
      </c>
      <c r="C93" s="235" t="s">
        <v>260</v>
      </c>
      <c r="D93" s="374" t="s">
        <v>584</v>
      </c>
      <c r="E93" s="374">
        <v>43800</v>
      </c>
      <c r="F93" s="374" t="s">
        <v>44</v>
      </c>
      <c r="G93" s="374" t="s">
        <v>44</v>
      </c>
      <c r="H93" s="374" t="s">
        <v>44</v>
      </c>
      <c r="I93" s="235" t="s">
        <v>44</v>
      </c>
      <c r="J93" s="518" t="s">
        <v>44</v>
      </c>
      <c r="N93" s="368"/>
      <c r="S93" s="368"/>
      <c r="W93" s="368"/>
      <c r="AB93" s="368"/>
      <c r="AF93" s="368"/>
      <c r="AG93" s="367"/>
      <c r="AM93" s="368"/>
    </row>
    <row r="94" spans="1:39">
      <c r="A94" s="2" t="s">
        <v>1193</v>
      </c>
      <c r="B94" s="2" t="s">
        <v>1194</v>
      </c>
      <c r="C94" s="235" t="s">
        <v>636</v>
      </c>
      <c r="D94" s="374" t="s">
        <v>584</v>
      </c>
      <c r="E94" s="374">
        <v>43862</v>
      </c>
      <c r="F94" s="374" t="s">
        <v>44</v>
      </c>
      <c r="G94" s="374" t="s">
        <v>44</v>
      </c>
      <c r="H94" s="374" t="s">
        <v>44</v>
      </c>
      <c r="I94" s="235" t="s">
        <v>44</v>
      </c>
      <c r="J94" s="518" t="s">
        <v>44</v>
      </c>
      <c r="N94" s="368"/>
      <c r="S94" s="368"/>
      <c r="W94" s="368"/>
      <c r="AB94" s="368"/>
      <c r="AF94" s="368"/>
      <c r="AG94" s="367"/>
      <c r="AM94" s="368"/>
    </row>
    <row r="95" spans="1:39">
      <c r="A95" s="2" t="s">
        <v>1195</v>
      </c>
      <c r="B95" s="2" t="s">
        <v>1196</v>
      </c>
      <c r="C95" s="235" t="s">
        <v>112</v>
      </c>
      <c r="D95" s="374" t="s">
        <v>276</v>
      </c>
      <c r="E95" s="374">
        <v>43831</v>
      </c>
      <c r="F95" s="374" t="s">
        <v>44</v>
      </c>
      <c r="G95" s="374" t="s">
        <v>44</v>
      </c>
      <c r="H95" s="374" t="s">
        <v>44</v>
      </c>
      <c r="I95" s="235" t="s">
        <v>44</v>
      </c>
      <c r="J95" s="518" t="s">
        <v>44</v>
      </c>
      <c r="N95" s="368"/>
      <c r="S95" s="368"/>
      <c r="W95" s="368"/>
      <c r="AB95" s="368"/>
      <c r="AF95" s="368"/>
      <c r="AG95" s="367"/>
      <c r="AM95" s="368"/>
    </row>
    <row r="96" spans="1:39">
      <c r="A96" s="2" t="s">
        <v>1197</v>
      </c>
      <c r="B96" s="2" t="s">
        <v>1198</v>
      </c>
      <c r="C96" s="235" t="s">
        <v>260</v>
      </c>
      <c r="D96" s="374" t="s">
        <v>261</v>
      </c>
      <c r="E96" s="374">
        <v>43891</v>
      </c>
      <c r="F96" s="374">
        <v>44927</v>
      </c>
      <c r="G96" s="374" t="s">
        <v>1199</v>
      </c>
      <c r="H96" s="374">
        <v>45078</v>
      </c>
      <c r="I96" s="235" t="s">
        <v>735</v>
      </c>
      <c r="J96" s="518">
        <f>YEAR(H96)-YEAR(E96)</f>
        <v>3</v>
      </c>
      <c r="N96" s="368"/>
      <c r="S96" s="368"/>
      <c r="W96" s="368"/>
      <c r="AB96" s="368"/>
      <c r="AF96" s="368"/>
      <c r="AG96" s="367"/>
      <c r="AM96" s="368"/>
    </row>
    <row r="97" spans="1:39">
      <c r="A97" s="2" t="s">
        <v>1200</v>
      </c>
      <c r="B97" s="2" t="s">
        <v>1201</v>
      </c>
      <c r="C97" s="235" t="s">
        <v>260</v>
      </c>
      <c r="D97" s="374" t="s">
        <v>584</v>
      </c>
      <c r="E97" s="374">
        <v>43891</v>
      </c>
      <c r="F97" s="374" t="s">
        <v>44</v>
      </c>
      <c r="G97" s="374" t="s">
        <v>44</v>
      </c>
      <c r="H97" s="374" t="s">
        <v>44</v>
      </c>
      <c r="I97" s="235" t="s">
        <v>44</v>
      </c>
      <c r="J97" s="518" t="s">
        <v>44</v>
      </c>
      <c r="N97" s="368"/>
      <c r="S97" s="368"/>
      <c r="W97" s="368"/>
      <c r="AB97" s="368"/>
      <c r="AF97" s="368"/>
      <c r="AG97" s="367"/>
      <c r="AM97" s="368"/>
    </row>
    <row r="98" spans="1:39">
      <c r="A98" s="2" t="s">
        <v>1202</v>
      </c>
      <c r="B98" s="2" t="s">
        <v>1203</v>
      </c>
      <c r="C98" s="235" t="s">
        <v>113</v>
      </c>
      <c r="D98" s="374" t="s">
        <v>276</v>
      </c>
      <c r="E98" s="374">
        <v>43922</v>
      </c>
      <c r="F98" s="374"/>
      <c r="G98" s="374" t="s">
        <v>1204</v>
      </c>
      <c r="H98" s="374" t="s">
        <v>44</v>
      </c>
      <c r="I98" s="235" t="s">
        <v>44</v>
      </c>
      <c r="J98" s="518" t="s">
        <v>44</v>
      </c>
      <c r="N98" s="368"/>
      <c r="S98" s="368"/>
      <c r="W98" s="368"/>
      <c r="AB98" s="368"/>
      <c r="AF98" s="368"/>
      <c r="AG98" s="367"/>
      <c r="AM98" s="368"/>
    </row>
    <row r="99" spans="1:39">
      <c r="A99" s="2" t="s">
        <v>1205</v>
      </c>
      <c r="B99" s="2" t="s">
        <v>1206</v>
      </c>
      <c r="C99" s="235" t="s">
        <v>636</v>
      </c>
      <c r="D99" s="374" t="s">
        <v>584</v>
      </c>
      <c r="E99" s="374">
        <v>43922</v>
      </c>
      <c r="F99" s="374" t="s">
        <v>44</v>
      </c>
      <c r="G99" s="374" t="s">
        <v>44</v>
      </c>
      <c r="H99" s="374" t="s">
        <v>44</v>
      </c>
      <c r="I99" s="235" t="s">
        <v>44</v>
      </c>
      <c r="J99" s="518" t="s">
        <v>44</v>
      </c>
      <c r="N99" s="368"/>
      <c r="S99" s="368"/>
      <c r="W99" s="368"/>
      <c r="AB99" s="368"/>
      <c r="AF99" s="368"/>
      <c r="AG99" s="367"/>
      <c r="AM99" s="368"/>
    </row>
    <row r="100" spans="1:39">
      <c r="A100" s="2" t="s">
        <v>1207</v>
      </c>
      <c r="B100" s="2" t="s">
        <v>1208</v>
      </c>
      <c r="C100" s="235" t="s">
        <v>636</v>
      </c>
      <c r="D100" s="374" t="s">
        <v>276</v>
      </c>
      <c r="E100" s="374">
        <v>43922</v>
      </c>
      <c r="F100" s="374"/>
      <c r="G100" s="374" t="s">
        <v>1209</v>
      </c>
      <c r="H100" s="374" t="s">
        <v>44</v>
      </c>
      <c r="I100" s="235" t="s">
        <v>44</v>
      </c>
      <c r="J100" s="518" t="s">
        <v>44</v>
      </c>
      <c r="K100" s="369"/>
      <c r="L100" s="357"/>
      <c r="M100" s="357"/>
      <c r="N100" s="370"/>
      <c r="O100" s="357"/>
      <c r="P100" s="357"/>
      <c r="Q100" s="357"/>
      <c r="R100" s="357"/>
      <c r="S100" s="370"/>
      <c r="T100" s="369"/>
      <c r="U100" s="357"/>
      <c r="V100" s="357"/>
      <c r="W100" s="370"/>
      <c r="X100" s="357"/>
      <c r="Y100" s="357"/>
      <c r="Z100" s="357"/>
      <c r="AA100" s="357"/>
      <c r="AB100" s="370"/>
      <c r="AC100" s="369"/>
      <c r="AD100" s="357"/>
      <c r="AE100" s="357"/>
      <c r="AF100" s="370"/>
      <c r="AG100" s="369"/>
      <c r="AH100" s="357"/>
      <c r="AI100" s="357"/>
      <c r="AJ100" s="357"/>
      <c r="AK100" s="357"/>
      <c r="AL100" s="357"/>
      <c r="AM100" s="370"/>
    </row>
    <row r="101" spans="1:39">
      <c r="A101" s="2" t="s">
        <v>1210</v>
      </c>
      <c r="B101" s="2" t="s">
        <v>1211</v>
      </c>
      <c r="C101" s="235" t="s">
        <v>112</v>
      </c>
      <c r="D101" s="374" t="s">
        <v>276</v>
      </c>
      <c r="E101" s="374">
        <v>43922</v>
      </c>
      <c r="F101" s="374" t="s">
        <v>44</v>
      </c>
      <c r="G101" s="374" t="s">
        <v>44</v>
      </c>
      <c r="H101" s="374" t="s">
        <v>44</v>
      </c>
      <c r="I101" s="235" t="s">
        <v>44</v>
      </c>
      <c r="J101" s="518" t="s">
        <v>44</v>
      </c>
    </row>
    <row r="102" spans="1:39">
      <c r="A102" s="2" t="s">
        <v>1212</v>
      </c>
      <c r="B102" s="2" t="s">
        <v>1213</v>
      </c>
      <c r="C102" s="235" t="s">
        <v>1187</v>
      </c>
      <c r="D102" s="374" t="s">
        <v>276</v>
      </c>
      <c r="E102" s="374">
        <v>43952</v>
      </c>
      <c r="F102" s="374" t="s">
        <v>44</v>
      </c>
      <c r="G102" s="374" t="s">
        <v>44</v>
      </c>
      <c r="H102" s="374" t="s">
        <v>44</v>
      </c>
      <c r="I102" s="235" t="s">
        <v>44</v>
      </c>
      <c r="J102" s="518" t="s">
        <v>44</v>
      </c>
    </row>
    <row r="103" spans="1:39">
      <c r="A103" s="2" t="s">
        <v>1214</v>
      </c>
      <c r="B103" s="2" t="s">
        <v>1215</v>
      </c>
      <c r="C103" s="235" t="s">
        <v>728</v>
      </c>
      <c r="D103" s="374" t="s">
        <v>584</v>
      </c>
      <c r="E103" s="374">
        <v>43952</v>
      </c>
      <c r="F103" s="374" t="s">
        <v>44</v>
      </c>
      <c r="G103" s="374" t="s">
        <v>44</v>
      </c>
      <c r="H103" s="374" t="s">
        <v>44</v>
      </c>
      <c r="I103" s="235" t="s">
        <v>44</v>
      </c>
      <c r="J103" s="518" t="s">
        <v>44</v>
      </c>
    </row>
    <row r="104" spans="1:39">
      <c r="A104" s="2" t="s">
        <v>1216</v>
      </c>
      <c r="B104" s="2" t="s">
        <v>1217</v>
      </c>
      <c r="C104" s="235" t="s">
        <v>1218</v>
      </c>
      <c r="D104" s="374" t="s">
        <v>584</v>
      </c>
      <c r="E104" s="374">
        <v>44013</v>
      </c>
      <c r="F104" s="374"/>
      <c r="G104" s="374" t="s">
        <v>1219</v>
      </c>
      <c r="H104" s="374" t="s">
        <v>44</v>
      </c>
      <c r="I104" s="235" t="s">
        <v>44</v>
      </c>
      <c r="J104" s="518" t="s">
        <v>44</v>
      </c>
    </row>
    <row r="105" spans="1:39">
      <c r="A105" s="2" t="s">
        <v>1220</v>
      </c>
      <c r="B105" s="2" t="s">
        <v>1221</v>
      </c>
      <c r="C105" s="235" t="s">
        <v>112</v>
      </c>
      <c r="D105" s="374" t="s">
        <v>584</v>
      </c>
      <c r="E105" s="374">
        <v>45536</v>
      </c>
      <c r="F105" s="374" t="s">
        <v>44</v>
      </c>
      <c r="G105" s="374" t="s">
        <v>44</v>
      </c>
      <c r="H105" s="374" t="s">
        <v>44</v>
      </c>
      <c r="I105" s="235" t="s">
        <v>44</v>
      </c>
      <c r="J105" s="518" t="s">
        <v>44</v>
      </c>
    </row>
    <row r="106" spans="1:39">
      <c r="A106" s="2" t="s">
        <v>1222</v>
      </c>
      <c r="B106" s="2" t="s">
        <v>1223</v>
      </c>
      <c r="C106" s="235" t="s">
        <v>112</v>
      </c>
      <c r="D106" s="374" t="s">
        <v>261</v>
      </c>
      <c r="E106" s="374">
        <v>43101</v>
      </c>
      <c r="F106" s="374"/>
      <c r="G106" s="374" t="s">
        <v>1224</v>
      </c>
      <c r="H106" s="374">
        <v>44166</v>
      </c>
      <c r="I106" s="235" t="s">
        <v>735</v>
      </c>
      <c r="J106" s="518">
        <f t="shared" ref="J106:J107" si="16">YEAR(H106)-YEAR(E106)</f>
        <v>2</v>
      </c>
    </row>
    <row r="107" spans="1:39">
      <c r="A107" s="2" t="s">
        <v>1225</v>
      </c>
      <c r="B107" s="2" t="s">
        <v>1226</v>
      </c>
      <c r="C107" s="235" t="s">
        <v>273</v>
      </c>
      <c r="D107" s="374" t="s">
        <v>261</v>
      </c>
      <c r="E107" s="374">
        <v>43739</v>
      </c>
      <c r="F107" s="374"/>
      <c r="G107" s="374" t="s">
        <v>1227</v>
      </c>
      <c r="H107" s="374">
        <v>44348</v>
      </c>
      <c r="I107" s="235" t="s">
        <v>735</v>
      </c>
      <c r="J107" s="518">
        <f t="shared" si="16"/>
        <v>2</v>
      </c>
    </row>
  </sheetData>
  <conditionalFormatting sqref="R32:S64">
    <cfRule type="cellIs" dxfId="29" priority="5" operator="lessThan">
      <formula>0</formula>
    </cfRule>
    <cfRule type="cellIs" dxfId="28" priority="6" operator="greaterThan">
      <formula>0</formula>
    </cfRule>
  </conditionalFormatting>
  <conditionalFormatting sqref="AA32:AB64">
    <cfRule type="cellIs" dxfId="27" priority="9" operator="lessThan">
      <formula>0</formula>
    </cfRule>
    <cfRule type="cellIs" dxfId="26" priority="10" operator="greaterThan">
      <formula>0</formula>
    </cfRule>
  </conditionalFormatting>
  <conditionalFormatting sqref="AA66:AB66">
    <cfRule type="cellIs" dxfId="25" priority="3" operator="lessThan">
      <formula>0</formula>
    </cfRule>
    <cfRule type="cellIs" dxfId="24" priority="4" operator="greaterThan">
      <formula>0</formula>
    </cfRule>
  </conditionalFormatting>
  <conditionalFormatting sqref="AA68:AB69">
    <cfRule type="cellIs" dxfId="23" priority="1" operator="lessThan">
      <formula>0</formula>
    </cfRule>
    <cfRule type="cellIs" dxfId="22" priority="2" operator="greaterThan">
      <formula>0</formula>
    </cfRule>
  </conditionalFormatting>
  <conditionalFormatting sqref="AJ32:AM33">
    <cfRule type="cellIs" dxfId="21" priority="7" operator="lessThan">
      <formula>0</formula>
    </cfRule>
    <cfRule type="cellIs" dxfId="20" priority="8" operator="greaterThan">
      <formula>0</formula>
    </cfRule>
  </conditionalFormatting>
  <printOptions horizontalCentered="1"/>
  <pageMargins left="0.23622047244094491" right="0" top="0.35433070866141736" bottom="0.19685039370078741" header="0.15748031496062992" footer="0.15748031496062992"/>
  <pageSetup paperSize="8" scale="37" orientation="landscape" r:id="rId1"/>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C2CBB-BFA5-4835-A9FC-3D18CF34EB43}">
  <sheetPr>
    <tabColor theme="8"/>
  </sheetPr>
  <dimension ref="B1:R26"/>
  <sheetViews>
    <sheetView workbookViewId="0"/>
  </sheetViews>
  <sheetFormatPr defaultColWidth="9" defaultRowHeight="11.25"/>
  <cols>
    <col min="1" max="1" width="2.7109375" style="2" customWidth="1"/>
    <col min="2" max="2" width="25.7109375" style="2" bestFit="1" customWidth="1"/>
    <col min="3" max="3" width="13.140625" style="2" customWidth="1"/>
    <col min="4" max="4" width="17" style="2" customWidth="1"/>
    <col min="5" max="6" width="12.28515625" style="2" customWidth="1"/>
    <col min="7" max="7" width="41.28515625" style="2" customWidth="1"/>
    <col min="8" max="8" width="14.7109375" style="2" bestFit="1" customWidth="1"/>
    <col min="9" max="10" width="14.28515625" style="2" customWidth="1"/>
    <col min="11" max="11" width="18.42578125" style="2" customWidth="1"/>
    <col min="12" max="12" width="22.42578125" style="2" customWidth="1"/>
    <col min="13" max="14" width="14.7109375" style="2" bestFit="1" customWidth="1"/>
    <col min="15" max="16" width="14.28515625" style="2" customWidth="1"/>
    <col min="17" max="17" width="12.28515625" style="2" customWidth="1"/>
    <col min="18" max="16384" width="9" style="2"/>
  </cols>
  <sheetData>
    <row r="1" spans="2:17">
      <c r="B1" s="75" t="s">
        <v>282</v>
      </c>
      <c r="L1" s="626">
        <f>C3</f>
        <v>45657</v>
      </c>
      <c r="M1" s="626"/>
      <c r="N1" s="198" t="s">
        <v>283</v>
      </c>
      <c r="O1" s="199" t="s">
        <v>284</v>
      </c>
    </row>
    <row r="2" spans="2:17" ht="12" thickBot="1">
      <c r="L2" s="172" t="s">
        <v>285</v>
      </c>
      <c r="M2" s="173">
        <f>M22</f>
        <v>-30000000</v>
      </c>
      <c r="N2" s="201">
        <v>-30000000</v>
      </c>
      <c r="O2" s="205">
        <f>M2-N2</f>
        <v>0</v>
      </c>
    </row>
    <row r="3" spans="2:17" ht="12" thickBot="1">
      <c r="B3" s="202" t="s">
        <v>286</v>
      </c>
      <c r="C3" s="272">
        <f>'Skycus China Fund'!E1</f>
        <v>45657</v>
      </c>
      <c r="L3" s="172" t="s">
        <v>287</v>
      </c>
      <c r="M3" s="173">
        <f>P22</f>
        <v>5327911.5199999996</v>
      </c>
      <c r="N3" s="201">
        <v>5327911.5199999996</v>
      </c>
      <c r="O3" s="205">
        <f>M3-N3</f>
        <v>0</v>
      </c>
    </row>
    <row r="4" spans="2:17">
      <c r="L4" s="175" t="s">
        <v>288</v>
      </c>
      <c r="M4" s="176">
        <f>L26</f>
        <v>39396375.590000004</v>
      </c>
    </row>
    <row r="5" spans="2:17" s="75" customFormat="1">
      <c r="B5" s="75" t="s">
        <v>289</v>
      </c>
      <c r="C5" s="75" t="s">
        <v>7</v>
      </c>
      <c r="L5" s="172" t="s">
        <v>75</v>
      </c>
      <c r="M5" s="180">
        <f>XIRR(L11:L26,E11:E26)</f>
        <v>7.2061195969581618E-2</v>
      </c>
    </row>
    <row r="6" spans="2:17">
      <c r="B6" s="75" t="s">
        <v>291</v>
      </c>
      <c r="C6" s="75" t="s">
        <v>24</v>
      </c>
    </row>
    <row r="7" spans="2:17">
      <c r="B7" s="75" t="s">
        <v>52</v>
      </c>
      <c r="C7" s="289">
        <v>30000000</v>
      </c>
    </row>
    <row r="8" spans="2:17">
      <c r="B8" s="75"/>
    </row>
    <row r="10" spans="2:17" s="186" customFormat="1" ht="22.5">
      <c r="B10" s="183" t="s">
        <v>292</v>
      </c>
      <c r="C10" s="183" t="s">
        <v>0</v>
      </c>
      <c r="D10" s="183" t="s">
        <v>293</v>
      </c>
      <c r="E10" s="183" t="s">
        <v>294</v>
      </c>
      <c r="F10" s="183" t="s">
        <v>295</v>
      </c>
      <c r="G10" s="183" t="s">
        <v>176</v>
      </c>
      <c r="H10" s="184" t="s">
        <v>296</v>
      </c>
      <c r="I10" s="185" t="s">
        <v>435</v>
      </c>
      <c r="J10" s="185" t="s">
        <v>436</v>
      </c>
      <c r="K10" s="185" t="s">
        <v>299</v>
      </c>
      <c r="L10" s="185" t="s">
        <v>300</v>
      </c>
      <c r="M10" s="185" t="s">
        <v>301</v>
      </c>
      <c r="N10" s="185" t="s">
        <v>302</v>
      </c>
      <c r="O10" s="185" t="s">
        <v>437</v>
      </c>
      <c r="P10" s="185" t="s">
        <v>438</v>
      </c>
      <c r="Q10" s="379" t="s">
        <v>195</v>
      </c>
    </row>
    <row r="11" spans="2:17">
      <c r="B11" s="2" t="s">
        <v>307</v>
      </c>
      <c r="C11" s="2" t="s">
        <v>308</v>
      </c>
      <c r="D11" s="187">
        <v>43131</v>
      </c>
      <c r="E11" s="187">
        <v>43144</v>
      </c>
      <c r="F11" s="2">
        <f>YEAR(E11)</f>
        <v>2018</v>
      </c>
      <c r="H11" s="108">
        <v>-15000000</v>
      </c>
      <c r="I11" s="211"/>
      <c r="J11" s="211"/>
      <c r="L11" s="108">
        <f t="shared" ref="L11:L18" si="0">SUM(H11:K11)</f>
        <v>-15000000</v>
      </c>
      <c r="M11" s="170">
        <f>IF(L11&lt;0,L11,0)</f>
        <v>-15000000</v>
      </c>
      <c r="N11" s="170">
        <f>$C$7+M11</f>
        <v>15000000</v>
      </c>
      <c r="O11" s="170">
        <f>SUMIF(L11,"&gt;0", L11)</f>
        <v>0</v>
      </c>
      <c r="P11" s="132">
        <f>O11</f>
        <v>0</v>
      </c>
    </row>
    <row r="12" spans="2:17">
      <c r="B12" s="2" t="s">
        <v>307</v>
      </c>
      <c r="C12" s="2" t="s">
        <v>310</v>
      </c>
      <c r="D12" s="187">
        <v>43437</v>
      </c>
      <c r="E12" s="187">
        <v>43448</v>
      </c>
      <c r="F12" s="2">
        <f t="shared" ref="F12:F18" si="1">YEAR(E12)</f>
        <v>2018</v>
      </c>
      <c r="H12" s="108">
        <v>-3000000</v>
      </c>
      <c r="I12" s="211"/>
      <c r="J12" s="211"/>
      <c r="L12" s="108">
        <f t="shared" si="0"/>
        <v>-3000000</v>
      </c>
      <c r="M12" s="170">
        <f t="shared" ref="M12:M18" si="2">IF(L12&lt;0,L12,0)+M11</f>
        <v>-18000000</v>
      </c>
      <c r="N12" s="170">
        <f t="shared" ref="N12:N17" si="3">N11+H12</f>
        <v>12000000</v>
      </c>
      <c r="O12" s="170">
        <f t="shared" ref="O12:O17" si="4">SUMIF(L12,"&gt;0", L12)</f>
        <v>0</v>
      </c>
      <c r="P12" s="132">
        <f t="shared" ref="P12:P18" si="5">P11+O12</f>
        <v>0</v>
      </c>
    </row>
    <row r="13" spans="2:17">
      <c r="B13" s="2" t="s">
        <v>307</v>
      </c>
      <c r="C13" s="2" t="s">
        <v>311</v>
      </c>
      <c r="D13" s="187">
        <v>43837</v>
      </c>
      <c r="E13" s="187">
        <v>43851</v>
      </c>
      <c r="F13" s="2">
        <f t="shared" si="1"/>
        <v>2020</v>
      </c>
      <c r="H13" s="108">
        <v>-3000000</v>
      </c>
      <c r="I13" s="211"/>
      <c r="J13" s="211"/>
      <c r="L13" s="108">
        <f t="shared" si="0"/>
        <v>-3000000</v>
      </c>
      <c r="M13" s="170">
        <f t="shared" si="2"/>
        <v>-21000000</v>
      </c>
      <c r="N13" s="170">
        <f t="shared" si="3"/>
        <v>9000000</v>
      </c>
      <c r="O13" s="170">
        <f t="shared" si="4"/>
        <v>0</v>
      </c>
      <c r="P13" s="132">
        <f t="shared" si="5"/>
        <v>0</v>
      </c>
    </row>
    <row r="14" spans="2:17">
      <c r="B14" s="2" t="s">
        <v>307</v>
      </c>
      <c r="C14" s="2" t="s">
        <v>316</v>
      </c>
      <c r="D14" s="187">
        <v>43852</v>
      </c>
      <c r="E14" s="187">
        <v>43873</v>
      </c>
      <c r="F14" s="2">
        <f t="shared" si="1"/>
        <v>2020</v>
      </c>
      <c r="H14" s="108">
        <v>-4500000</v>
      </c>
      <c r="I14" s="211"/>
      <c r="J14" s="211"/>
      <c r="L14" s="108">
        <f t="shared" si="0"/>
        <v>-4500000</v>
      </c>
      <c r="M14" s="170">
        <f t="shared" si="2"/>
        <v>-25500000</v>
      </c>
      <c r="N14" s="170">
        <f t="shared" si="3"/>
        <v>4500000</v>
      </c>
      <c r="O14" s="170">
        <f t="shared" si="4"/>
        <v>0</v>
      </c>
      <c r="P14" s="132">
        <f t="shared" si="5"/>
        <v>0</v>
      </c>
    </row>
    <row r="15" spans="2:17">
      <c r="B15" s="2" t="s">
        <v>307</v>
      </c>
      <c r="C15" s="2" t="s">
        <v>320</v>
      </c>
      <c r="D15" s="187">
        <v>43902</v>
      </c>
      <c r="E15" s="187">
        <v>43916</v>
      </c>
      <c r="F15" s="2">
        <f t="shared" si="1"/>
        <v>2020</v>
      </c>
      <c r="H15" s="108">
        <v>-4500000</v>
      </c>
      <c r="I15" s="211"/>
      <c r="J15" s="211"/>
      <c r="L15" s="108">
        <f t="shared" si="0"/>
        <v>-4500000</v>
      </c>
      <c r="M15" s="170">
        <f t="shared" si="2"/>
        <v>-30000000</v>
      </c>
      <c r="N15" s="170">
        <f t="shared" si="3"/>
        <v>0</v>
      </c>
      <c r="O15" s="170">
        <f t="shared" si="4"/>
        <v>0</v>
      </c>
      <c r="P15" s="132">
        <f t="shared" si="5"/>
        <v>0</v>
      </c>
    </row>
    <row r="16" spans="2:17">
      <c r="B16" s="2" t="s">
        <v>1228</v>
      </c>
      <c r="C16" s="2" t="s">
        <v>314</v>
      </c>
      <c r="D16" s="187">
        <v>44236</v>
      </c>
      <c r="E16" s="187">
        <v>44250</v>
      </c>
      <c r="F16" s="2">
        <f t="shared" si="1"/>
        <v>2021</v>
      </c>
      <c r="G16" s="2" t="s">
        <v>175</v>
      </c>
      <c r="H16" s="108">
        <v>356777.75</v>
      </c>
      <c r="I16" s="211"/>
      <c r="J16" s="211"/>
      <c r="L16" s="108">
        <f t="shared" si="0"/>
        <v>356777.75</v>
      </c>
      <c r="M16" s="170">
        <f t="shared" si="2"/>
        <v>-30000000</v>
      </c>
      <c r="N16" s="170">
        <f t="shared" si="3"/>
        <v>356777.75</v>
      </c>
      <c r="O16" s="170">
        <f t="shared" si="4"/>
        <v>356777.75</v>
      </c>
      <c r="P16" s="170">
        <f t="shared" si="5"/>
        <v>356777.75</v>
      </c>
    </row>
    <row r="17" spans="2:18">
      <c r="B17" s="2" t="s">
        <v>1228</v>
      </c>
      <c r="C17" s="2" t="s">
        <v>330</v>
      </c>
      <c r="D17" s="187">
        <v>44365</v>
      </c>
      <c r="E17" s="187">
        <v>44372</v>
      </c>
      <c r="F17" s="2">
        <f t="shared" si="1"/>
        <v>2021</v>
      </c>
      <c r="G17" s="2" t="s">
        <v>1229</v>
      </c>
      <c r="H17" s="108">
        <v>124503.55</v>
      </c>
      <c r="I17" s="211"/>
      <c r="J17" s="211"/>
      <c r="L17" s="108">
        <f t="shared" si="0"/>
        <v>124503.55</v>
      </c>
      <c r="M17" s="170">
        <f t="shared" si="2"/>
        <v>-30000000</v>
      </c>
      <c r="N17" s="170">
        <f t="shared" si="3"/>
        <v>481281.3</v>
      </c>
      <c r="O17" s="170">
        <f t="shared" si="4"/>
        <v>124503.55</v>
      </c>
      <c r="P17" s="170">
        <f t="shared" si="5"/>
        <v>481281.3</v>
      </c>
    </row>
    <row r="18" spans="2:18">
      <c r="B18" s="2" t="s">
        <v>1228</v>
      </c>
      <c r="C18" s="2" t="s">
        <v>337</v>
      </c>
      <c r="D18" s="187">
        <v>44454</v>
      </c>
      <c r="E18" s="187">
        <v>44465</v>
      </c>
      <c r="F18" s="2">
        <f t="shared" si="1"/>
        <v>2021</v>
      </c>
      <c r="G18" s="2" t="s">
        <v>1230</v>
      </c>
      <c r="H18" s="108">
        <v>2439296.61</v>
      </c>
      <c r="I18" s="211"/>
      <c r="J18" s="211"/>
      <c r="L18" s="108">
        <f t="shared" si="0"/>
        <v>2439296.61</v>
      </c>
      <c r="M18" s="170">
        <f t="shared" si="2"/>
        <v>-30000000</v>
      </c>
      <c r="N18" s="170">
        <f>N17+H18</f>
        <v>2920577.9099999997</v>
      </c>
      <c r="O18" s="170">
        <f>SUMIF(L18,"&gt;0", L18)</f>
        <v>2439296.61</v>
      </c>
      <c r="P18" s="170">
        <f t="shared" si="5"/>
        <v>2920577.9099999997</v>
      </c>
    </row>
    <row r="19" spans="2:18">
      <c r="B19" s="2" t="s">
        <v>1228</v>
      </c>
      <c r="C19" s="2" t="s">
        <v>338</v>
      </c>
      <c r="D19" s="187">
        <v>45253</v>
      </c>
      <c r="E19" s="187">
        <v>45253</v>
      </c>
      <c r="F19" s="2">
        <f>YEAR(E19)</f>
        <v>2023</v>
      </c>
      <c r="G19" s="2" t="s">
        <v>1231</v>
      </c>
      <c r="H19" s="170">
        <v>852079.94</v>
      </c>
      <c r="I19" s="132"/>
      <c r="J19" s="132"/>
      <c r="L19" s="170">
        <f>SUM(H19:K19)</f>
        <v>852079.94</v>
      </c>
      <c r="M19" s="170">
        <f>IF(L19&lt;0,L19,0)+M18</f>
        <v>-30000000</v>
      </c>
      <c r="N19" s="170">
        <f>N18+H19</f>
        <v>3772657.8499999996</v>
      </c>
      <c r="O19" s="170">
        <f>SUMIF(L19,"&gt;0", L19)</f>
        <v>852079.94</v>
      </c>
      <c r="P19" s="170">
        <f>P18+O19</f>
        <v>3772657.8499999996</v>
      </c>
      <c r="R19" s="2" t="s">
        <v>1135</v>
      </c>
    </row>
    <row r="20" spans="2:18" ht="15">
      <c r="B20" s="2" t="s">
        <v>1228</v>
      </c>
      <c r="C20" s="2" t="s">
        <v>340</v>
      </c>
      <c r="D20" s="187">
        <v>45310</v>
      </c>
      <c r="E20" s="187">
        <v>45315</v>
      </c>
      <c r="F20" s="2">
        <f>YEAR(E20)</f>
        <v>2024</v>
      </c>
      <c r="G20" s="2" t="s">
        <v>1231</v>
      </c>
      <c r="H20" s="170">
        <v>595408.15</v>
      </c>
      <c r="I20" s="132"/>
      <c r="J20" s="132"/>
      <c r="L20" s="402">
        <f t="shared" ref="L20:L22" si="6">SUM(H20:K20)</f>
        <v>595408.15</v>
      </c>
      <c r="M20" s="170">
        <f t="shared" ref="M20:M22" si="7">IF(L20&lt;0,L20,0)+M19</f>
        <v>-30000000</v>
      </c>
      <c r="N20" s="170">
        <f t="shared" ref="N20" si="8">N19+H20</f>
        <v>4368066</v>
      </c>
      <c r="O20" s="170">
        <f t="shared" ref="O20:O22" si="9">SUMIF(L20,"&gt;0", L20)</f>
        <v>595408.15</v>
      </c>
      <c r="P20" s="170">
        <f t="shared" ref="P20:P22" si="10">P19+O20</f>
        <v>4368066</v>
      </c>
    </row>
    <row r="21" spans="2:18" ht="15">
      <c r="B21" s="2" t="s">
        <v>1228</v>
      </c>
      <c r="C21" s="2" t="s">
        <v>343</v>
      </c>
      <c r="D21" s="187">
        <v>45365</v>
      </c>
      <c r="E21" s="187">
        <v>45365</v>
      </c>
      <c r="F21" s="2">
        <f>YEAR(E21)</f>
        <v>2024</v>
      </c>
      <c r="H21" s="170">
        <v>209144.34</v>
      </c>
      <c r="I21" s="132"/>
      <c r="J21" s="132"/>
      <c r="L21" s="402">
        <f t="shared" si="6"/>
        <v>209144.34</v>
      </c>
      <c r="M21" s="170">
        <f t="shared" si="7"/>
        <v>-30000000</v>
      </c>
      <c r="N21" s="170">
        <f>N20+H21</f>
        <v>4577210.34</v>
      </c>
      <c r="O21" s="170">
        <f t="shared" si="9"/>
        <v>209144.34</v>
      </c>
      <c r="P21" s="170">
        <f t="shared" si="10"/>
        <v>4577210.34</v>
      </c>
      <c r="R21" s="2" t="s">
        <v>1232</v>
      </c>
    </row>
    <row r="22" spans="2:18" ht="15">
      <c r="B22" s="2" t="s">
        <v>1228</v>
      </c>
      <c r="C22" s="2" t="s">
        <v>349</v>
      </c>
      <c r="D22" s="187">
        <v>45618</v>
      </c>
      <c r="E22" s="187">
        <v>45618</v>
      </c>
      <c r="F22" s="2">
        <f>YEAR(E22)</f>
        <v>2024</v>
      </c>
      <c r="G22" s="2" t="s">
        <v>1233</v>
      </c>
      <c r="H22" s="170">
        <v>750701.18</v>
      </c>
      <c r="I22" s="132"/>
      <c r="J22" s="132"/>
      <c r="L22" s="402">
        <f t="shared" si="6"/>
        <v>750701.18</v>
      </c>
      <c r="M22" s="170">
        <f t="shared" si="7"/>
        <v>-30000000</v>
      </c>
      <c r="N22" s="170">
        <f>N21+H22</f>
        <v>5327911.5199999996</v>
      </c>
      <c r="O22" s="170">
        <f t="shared" si="9"/>
        <v>750701.18</v>
      </c>
      <c r="P22" s="170">
        <f t="shared" si="10"/>
        <v>5327911.5199999996</v>
      </c>
      <c r="R22" s="2" t="s">
        <v>1234</v>
      </c>
    </row>
    <row r="23" spans="2:18">
      <c r="D23" s="187"/>
      <c r="E23" s="187"/>
      <c r="H23" s="170"/>
      <c r="I23" s="132"/>
      <c r="J23" s="132"/>
      <c r="L23" s="170"/>
      <c r="M23" s="170"/>
      <c r="N23" s="170"/>
      <c r="O23" s="170"/>
      <c r="P23" s="170"/>
    </row>
    <row r="24" spans="2:18">
      <c r="D24" s="187"/>
      <c r="E24" s="187"/>
      <c r="H24" s="170"/>
      <c r="I24" s="132"/>
      <c r="J24" s="132"/>
      <c r="L24" s="170"/>
      <c r="M24" s="170"/>
      <c r="N24" s="170"/>
      <c r="O24" s="170"/>
      <c r="P24" s="170"/>
    </row>
    <row r="25" spans="2:18">
      <c r="D25" s="187"/>
      <c r="E25" s="187"/>
      <c r="H25" s="170"/>
      <c r="I25" s="132"/>
      <c r="J25" s="132"/>
      <c r="L25" s="170"/>
      <c r="M25" s="170"/>
      <c r="N25" s="170"/>
      <c r="O25" s="170"/>
      <c r="P25" s="170"/>
    </row>
    <row r="26" spans="2:18" s="75" customFormat="1">
      <c r="B26" s="191" t="s">
        <v>1235</v>
      </c>
      <c r="C26" s="191"/>
      <c r="D26" s="192"/>
      <c r="E26" s="192">
        <f>L1</f>
        <v>45657</v>
      </c>
      <c r="F26" s="192"/>
      <c r="G26" s="191" t="s">
        <v>681</v>
      </c>
      <c r="H26" s="194"/>
      <c r="I26" s="194"/>
      <c r="J26" s="194"/>
      <c r="K26" s="193"/>
      <c r="L26" s="193">
        <v>39396375.590000004</v>
      </c>
      <c r="M26" s="193"/>
      <c r="N26" s="193"/>
      <c r="O26" s="193"/>
      <c r="P26" s="193"/>
      <c r="Q26" s="207"/>
      <c r="R26" s="2"/>
    </row>
  </sheetData>
  <mergeCells count="1">
    <mergeCell ref="L1:M1"/>
  </mergeCells>
  <phoneticPr fontId="62" type="noConversion"/>
  <hyperlinks>
    <hyperlink ref="L20" r:id="rId1" display="../../../../../../../../../../:b:/s/ACH33-ACH33-SGInvestment-CCGBVI/EfuoRSzK48JCp3lvl81AW9sBP4xLpEVAcpmmri9GWmt6WQ?e=ReOI7Z" xr:uid="{01E48721-BE3C-481B-80BE-3CD95D6BA4AB}"/>
    <hyperlink ref="L21" r:id="rId2" display="../../../../../../../../../../:b:/s/ACH33-ACH33-SGInvestment-CCGBVI/EZlmn7QSZMBJsATWuwbfv6oBQWSp-wNMTZyG8bPdqOriOA?e=C4TNBB" xr:uid="{6FD96396-CB98-4808-BB42-BB465C2C6745}"/>
    <hyperlink ref="L22" r:id="rId3" location="7SK~1.PDF" display="file://C:\Users\XingQiNeo\ACH\ACH33-~2\ACH33-~1\1CE76~1.PRI\1-FUND~1\1-USDF~1\SKYCUS~1\SKYCUS~1\3-DIST~1\DD - 7SK~1.PDF" xr:uid="{08A1E7DB-8667-4710-B922-F488F9B27D57}"/>
  </hyperlinks>
  <pageMargins left="0.7" right="0.7" top="0.75" bottom="0.75" header="0.3" footer="0.3"/>
  <pageSetup paperSize="9" scale="39" orientation="portrait" r:id="rId4"/>
  <legacyDrawing r:id="rId5"/>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43C9F-1DD6-420A-8DB8-8B9399E36A0A}">
  <sheetPr>
    <tabColor theme="8"/>
    <outlinePr showOutlineSymbols="0"/>
    <pageSetUpPr fitToPage="1"/>
  </sheetPr>
  <dimension ref="A1:AN93"/>
  <sheetViews>
    <sheetView zoomScale="98" zoomScaleNormal="98" workbookViewId="0">
      <selection activeCell="B44" sqref="B44"/>
    </sheetView>
  </sheetViews>
  <sheetFormatPr defaultColWidth="9" defaultRowHeight="11.25" outlineLevelRow="1" outlineLevelCol="2"/>
  <cols>
    <col min="1" max="1" width="32.140625" style="2" customWidth="1"/>
    <col min="2" max="2" width="79.42578125" style="2" bestFit="1" customWidth="1"/>
    <col min="3" max="3" width="15.7109375" style="2" customWidth="1"/>
    <col min="4" max="4" width="31.140625" style="2" customWidth="1"/>
    <col min="5" max="5" width="14.42578125" style="2" bestFit="1" customWidth="1"/>
    <col min="6" max="7" width="10.7109375" style="2" customWidth="1"/>
    <col min="8" max="8" width="38" style="2" bestFit="1" customWidth="1"/>
    <col min="9" max="9" width="19.28515625" style="2" bestFit="1" customWidth="1"/>
    <col min="10" max="10" width="19.28515625" style="2" customWidth="1"/>
    <col min="11" max="11" width="12.7109375" style="367" customWidth="1" outlineLevel="1"/>
    <col min="12" max="12" width="12.7109375" style="2" customWidth="1" outlineLevel="1"/>
    <col min="13" max="15" width="14.7109375" style="2" customWidth="1" outlineLevel="1"/>
    <col min="16" max="17" width="7.7109375" style="2" customWidth="1" outlineLevel="1"/>
    <col min="18" max="19" width="15.7109375" style="2" customWidth="1" outlineLevel="1"/>
    <col min="20" max="20" width="12.7109375" style="367" customWidth="1" outlineLevel="2" collapsed="1"/>
    <col min="21" max="21" width="12.7109375" style="2" customWidth="1" outlineLevel="2"/>
    <col min="22" max="24" width="14.7109375" style="2" customWidth="1" outlineLevel="2"/>
    <col min="25" max="26" width="7.7109375" style="2" customWidth="1" outlineLevel="2"/>
    <col min="27" max="28" width="15.7109375" style="2" customWidth="1" outlineLevel="2"/>
    <col min="29" max="29" width="12.7109375" style="367" customWidth="1"/>
    <col min="30" max="30" width="12.7109375" style="2" customWidth="1"/>
    <col min="31" max="33" width="14.7109375" style="2" customWidth="1"/>
    <col min="34" max="35" width="7.7109375" style="2" customWidth="1"/>
    <col min="36" max="39" width="15.7109375" style="2" customWidth="1"/>
    <col min="40" max="40" width="9" style="367"/>
    <col min="41" max="16384" width="9" style="2"/>
  </cols>
  <sheetData>
    <row r="1" spans="1:20">
      <c r="A1" s="117" t="s">
        <v>179</v>
      </c>
      <c r="B1" s="118"/>
      <c r="C1" s="74"/>
      <c r="D1" s="117" t="s">
        <v>180</v>
      </c>
      <c r="E1" s="219">
        <v>45657</v>
      </c>
      <c r="H1" s="117" t="s">
        <v>181</v>
      </c>
      <c r="I1" s="118"/>
      <c r="J1" s="74"/>
    </row>
    <row r="2" spans="1:20" outlineLevel="1">
      <c r="A2" s="2" t="s">
        <v>182</v>
      </c>
      <c r="B2" s="120" t="s">
        <v>1236</v>
      </c>
      <c r="D2" s="2" t="s">
        <v>183</v>
      </c>
      <c r="E2" s="326">
        <f>W59</f>
        <v>6030</v>
      </c>
      <c r="H2" s="2" t="s">
        <v>184</v>
      </c>
      <c r="I2" s="120" t="s">
        <v>682</v>
      </c>
      <c r="J2" s="120"/>
    </row>
    <row r="3" spans="1:20" outlineLevel="1">
      <c r="A3" s="2" t="s">
        <v>186</v>
      </c>
      <c r="B3" s="329">
        <v>42948</v>
      </c>
      <c r="D3" s="2" t="s">
        <v>187</v>
      </c>
      <c r="E3" s="577">
        <v>1356.351529</v>
      </c>
      <c r="H3" s="2" t="s">
        <v>188</v>
      </c>
      <c r="I3" s="120" t="s">
        <v>1237</v>
      </c>
      <c r="J3" s="120"/>
    </row>
    <row r="4" spans="1:20" outlineLevel="1">
      <c r="A4" s="2" t="s">
        <v>190</v>
      </c>
      <c r="B4" s="329">
        <v>43313</v>
      </c>
      <c r="D4" s="2" t="s">
        <v>191</v>
      </c>
      <c r="E4" s="125">
        <v>1.7</v>
      </c>
      <c r="H4" s="2" t="s">
        <v>192</v>
      </c>
      <c r="I4" s="320">
        <v>0.08</v>
      </c>
      <c r="J4" s="320"/>
    </row>
    <row r="5" spans="1:20" outlineLevel="1">
      <c r="A5" s="2" t="s">
        <v>193</v>
      </c>
      <c r="B5" s="120">
        <v>2018</v>
      </c>
      <c r="D5" s="2" t="s">
        <v>194</v>
      </c>
      <c r="E5" s="125">
        <v>1.5</v>
      </c>
      <c r="H5" s="2" t="s">
        <v>195</v>
      </c>
      <c r="I5" s="126">
        <v>0.2</v>
      </c>
      <c r="J5" s="126"/>
    </row>
    <row r="6" spans="1:20" outlineLevel="1">
      <c r="A6" s="2" t="s">
        <v>196</v>
      </c>
      <c r="B6" s="120" t="s">
        <v>1238</v>
      </c>
      <c r="D6" s="2" t="s">
        <v>198</v>
      </c>
      <c r="E6" s="127">
        <v>0.15</v>
      </c>
      <c r="H6" s="117" t="s">
        <v>199</v>
      </c>
      <c r="I6" s="118"/>
      <c r="J6" s="74"/>
    </row>
    <row r="7" spans="1:20" outlineLevel="1">
      <c r="A7" s="2" t="s">
        <v>200</v>
      </c>
      <c r="B7" s="120" t="s">
        <v>1238</v>
      </c>
      <c r="D7" s="2" t="s">
        <v>202</v>
      </c>
      <c r="E7" s="127">
        <v>0.1</v>
      </c>
      <c r="H7" s="2" t="s">
        <v>203</v>
      </c>
      <c r="I7" s="2" t="s">
        <v>408</v>
      </c>
    </row>
    <row r="8" spans="1:20" outlineLevel="1">
      <c r="A8" s="2" t="s">
        <v>205</v>
      </c>
      <c r="B8" s="120" t="s">
        <v>206</v>
      </c>
      <c r="D8" s="2" t="s">
        <v>1239</v>
      </c>
      <c r="E8" s="125">
        <f>'West Street VII'!E14/'West Street VII'!E12</f>
        <v>0.70758816135303182</v>
      </c>
      <c r="H8" s="2" t="s">
        <v>208</v>
      </c>
      <c r="I8" s="2" t="s">
        <v>408</v>
      </c>
    </row>
    <row r="9" spans="1:20" outlineLevel="1">
      <c r="A9" s="2" t="s">
        <v>65</v>
      </c>
      <c r="B9" s="120" t="s">
        <v>1240</v>
      </c>
      <c r="D9" s="128" t="s">
        <v>1241</v>
      </c>
      <c r="E9" s="330"/>
    </row>
    <row r="10" spans="1:20" outlineLevel="1">
      <c r="A10" s="2" t="s">
        <v>212</v>
      </c>
      <c r="B10" s="120" t="s">
        <v>1242</v>
      </c>
      <c r="D10" s="2" t="s">
        <v>214</v>
      </c>
      <c r="E10" s="121">
        <v>25</v>
      </c>
    </row>
    <row r="11" spans="1:20" outlineLevel="1">
      <c r="A11" s="2" t="s">
        <v>215</v>
      </c>
      <c r="B11" s="120" t="s">
        <v>1243</v>
      </c>
      <c r="D11" s="2" t="s">
        <v>216</v>
      </c>
      <c r="E11" s="284">
        <f>E10/7242</f>
        <v>3.4520850593758629E-3</v>
      </c>
    </row>
    <row r="12" spans="1:20" outlineLevel="1">
      <c r="A12" s="2" t="s">
        <v>217</v>
      </c>
      <c r="B12" s="120" t="s">
        <v>24</v>
      </c>
      <c r="D12" s="2" t="s">
        <v>218</v>
      </c>
      <c r="E12" s="121">
        <f>-'West Street VII (CF)'!N2/10^6</f>
        <v>20.996047999999998</v>
      </c>
      <c r="T12" s="502"/>
    </row>
    <row r="13" spans="1:20" outlineLevel="1">
      <c r="A13" s="2" t="s">
        <v>219</v>
      </c>
      <c r="B13" s="120" t="s">
        <v>1244</v>
      </c>
      <c r="D13" s="2" t="s">
        <v>221</v>
      </c>
      <c r="E13" s="121">
        <f>E10-E12</f>
        <v>4.0039520000000017</v>
      </c>
      <c r="N13" s="314"/>
      <c r="T13" s="502"/>
    </row>
    <row r="14" spans="1:20" outlineLevel="1">
      <c r="A14" s="2" t="s">
        <v>222</v>
      </c>
      <c r="B14" s="120" t="s">
        <v>928</v>
      </c>
      <c r="D14" s="2" t="s">
        <v>224</v>
      </c>
      <c r="E14" s="121">
        <f>'West Street VII (CF)'!N3/1000000</f>
        <v>14.856555</v>
      </c>
      <c r="N14" s="314"/>
      <c r="T14" s="502"/>
    </row>
    <row r="15" spans="1:20" outlineLevel="1">
      <c r="A15" s="2" t="s">
        <v>225</v>
      </c>
      <c r="B15" s="120" t="s">
        <v>1245</v>
      </c>
      <c r="D15" s="2" t="s">
        <v>227</v>
      </c>
      <c r="E15" s="293">
        <f>'West Street VII (CF)'!N4/10^6</f>
        <v>14.507334999999999</v>
      </c>
      <c r="N15" s="314"/>
    </row>
    <row r="16" spans="1:20" outlineLevel="1">
      <c r="A16" s="2" t="s">
        <v>228</v>
      </c>
      <c r="B16" s="134" t="s">
        <v>116</v>
      </c>
      <c r="D16" s="2" t="s">
        <v>229</v>
      </c>
      <c r="E16" s="127">
        <f>E12/E10</f>
        <v>0.83984191999999991</v>
      </c>
      <c r="N16" s="314"/>
    </row>
    <row r="17" spans="1:40" outlineLevel="1">
      <c r="A17" s="2" t="s">
        <v>230</v>
      </c>
      <c r="B17" s="120" t="s">
        <v>231</v>
      </c>
      <c r="D17" s="2" t="s">
        <v>232</v>
      </c>
      <c r="E17" s="284">
        <f>E14/E12</f>
        <v>0.70758816135303182</v>
      </c>
    </row>
    <row r="18" spans="1:40" outlineLevel="1">
      <c r="A18" s="117" t="s">
        <v>233</v>
      </c>
      <c r="B18" s="118"/>
      <c r="D18" s="2" t="s">
        <v>234</v>
      </c>
      <c r="E18" s="137">
        <f>(E14+E15)/E12</f>
        <v>1.3985436687894788</v>
      </c>
    </row>
    <row r="19" spans="1:40" outlineLevel="1">
      <c r="A19" s="2" t="s">
        <v>235</v>
      </c>
      <c r="B19" s="120">
        <v>26</v>
      </c>
      <c r="D19" s="2" t="s">
        <v>177</v>
      </c>
      <c r="E19" s="294">
        <f>'West Street VII (CF)'!N5</f>
        <v>0.14580788016319277</v>
      </c>
    </row>
    <row r="20" spans="1:40" ht="13.5" customHeight="1"/>
    <row r="30" spans="1:40" ht="13.5" customHeight="1">
      <c r="K30" s="503" t="s">
        <v>236</v>
      </c>
      <c r="L30" s="504"/>
      <c r="M30" s="504"/>
      <c r="N30" s="504"/>
      <c r="O30" s="504"/>
      <c r="P30" s="504"/>
      <c r="Q30" s="505"/>
      <c r="R30" s="505"/>
      <c r="S30" s="504"/>
      <c r="T30" s="503" t="s">
        <v>237</v>
      </c>
      <c r="U30" s="504"/>
      <c r="V30" s="504"/>
      <c r="W30" s="504"/>
      <c r="X30" s="504"/>
      <c r="Y30" s="504"/>
      <c r="Z30" s="505"/>
      <c r="AA30" s="505"/>
      <c r="AB30" s="504"/>
      <c r="AC30" s="503" t="s">
        <v>238</v>
      </c>
      <c r="AD30" s="504"/>
      <c r="AE30" s="504"/>
      <c r="AF30" s="504"/>
      <c r="AG30" s="504"/>
      <c r="AH30" s="504"/>
      <c r="AI30" s="505"/>
      <c r="AJ30" s="505"/>
      <c r="AK30" s="505"/>
      <c r="AL30" s="505"/>
      <c r="AM30" s="504"/>
    </row>
    <row r="31" spans="1:40" s="141" customFormat="1" ht="39.75" customHeight="1">
      <c r="A31" s="138" t="s">
        <v>239</v>
      </c>
      <c r="B31" s="139" t="s">
        <v>240</v>
      </c>
      <c r="C31" s="139" t="s">
        <v>69</v>
      </c>
      <c r="D31" s="139" t="s">
        <v>241</v>
      </c>
      <c r="E31" s="139" t="s">
        <v>242</v>
      </c>
      <c r="F31" s="139" t="s">
        <v>243</v>
      </c>
      <c r="G31" s="139" t="s">
        <v>244</v>
      </c>
      <c r="H31" s="139" t="s">
        <v>245</v>
      </c>
      <c r="I31" s="139" t="s">
        <v>246</v>
      </c>
      <c r="J31" s="501" t="s">
        <v>247</v>
      </c>
      <c r="K31" s="506" t="s">
        <v>248</v>
      </c>
      <c r="L31" s="506" t="s">
        <v>249</v>
      </c>
      <c r="M31" s="507" t="s">
        <v>250</v>
      </c>
      <c r="N31" s="506" t="s">
        <v>251</v>
      </c>
      <c r="O31" s="507" t="s">
        <v>252</v>
      </c>
      <c r="P31" s="506" t="s">
        <v>115</v>
      </c>
      <c r="Q31" s="507" t="s">
        <v>253</v>
      </c>
      <c r="R31" s="508" t="s">
        <v>254</v>
      </c>
      <c r="S31" s="509" t="s">
        <v>255</v>
      </c>
      <c r="T31" s="506" t="s">
        <v>248</v>
      </c>
      <c r="U31" s="506" t="s">
        <v>249</v>
      </c>
      <c r="V31" s="507" t="s">
        <v>250</v>
      </c>
      <c r="W31" s="506" t="s">
        <v>251</v>
      </c>
      <c r="X31" s="507" t="s">
        <v>252</v>
      </c>
      <c r="Y31" s="506" t="s">
        <v>115</v>
      </c>
      <c r="Z31" s="507" t="s">
        <v>253</v>
      </c>
      <c r="AA31" s="508" t="s">
        <v>254</v>
      </c>
      <c r="AB31" s="509" t="s">
        <v>255</v>
      </c>
      <c r="AC31" s="506" t="s">
        <v>248</v>
      </c>
      <c r="AD31" s="506" t="s">
        <v>249</v>
      </c>
      <c r="AE31" s="507" t="s">
        <v>250</v>
      </c>
      <c r="AF31" s="506" t="s">
        <v>251</v>
      </c>
      <c r="AG31" s="507" t="s">
        <v>252</v>
      </c>
      <c r="AH31" s="506" t="s">
        <v>115</v>
      </c>
      <c r="AI31" s="507" t="s">
        <v>253</v>
      </c>
      <c r="AJ31" s="508" t="s">
        <v>254</v>
      </c>
      <c r="AK31" s="509" t="s">
        <v>255</v>
      </c>
      <c r="AL31" s="508" t="s">
        <v>256</v>
      </c>
      <c r="AM31" s="509" t="s">
        <v>257</v>
      </c>
      <c r="AN31" s="510"/>
    </row>
    <row r="32" spans="1:40">
      <c r="A32" s="2" t="s">
        <v>1246</v>
      </c>
      <c r="B32" s="2" t="s">
        <v>1247</v>
      </c>
      <c r="C32" s="235" t="s">
        <v>99</v>
      </c>
      <c r="D32" s="374" t="s">
        <v>584</v>
      </c>
      <c r="E32" s="374">
        <v>43891</v>
      </c>
      <c r="F32" s="374"/>
      <c r="G32" s="374"/>
      <c r="H32" s="374" t="s">
        <v>44</v>
      </c>
      <c r="I32" s="235"/>
      <c r="J32" s="512" t="s">
        <v>44</v>
      </c>
      <c r="K32" s="513">
        <v>304</v>
      </c>
      <c r="L32" s="514" t="s">
        <v>44</v>
      </c>
      <c r="M32" s="513">
        <v>0</v>
      </c>
      <c r="N32" s="513">
        <v>395</v>
      </c>
      <c r="O32" s="513">
        <f>M32+N32</f>
        <v>395</v>
      </c>
      <c r="P32" s="268">
        <f>O32/K32</f>
        <v>1.299342105263158</v>
      </c>
      <c r="Q32" s="515">
        <v>7.0000000000000007E-2</v>
      </c>
      <c r="R32" s="513">
        <v>0</v>
      </c>
      <c r="S32" s="515" t="s">
        <v>44</v>
      </c>
      <c r="T32" s="516">
        <v>304</v>
      </c>
      <c r="U32" s="514" t="s">
        <v>44</v>
      </c>
      <c r="V32" s="513">
        <v>0</v>
      </c>
      <c r="W32" s="513">
        <v>395</v>
      </c>
      <c r="X32" s="513">
        <f>V32+W32</f>
        <v>395</v>
      </c>
      <c r="Y32" s="268">
        <f>X32/T32</f>
        <v>1.299342105263158</v>
      </c>
      <c r="Z32" s="513" t="s">
        <v>1248</v>
      </c>
      <c r="AA32" s="513">
        <f>X32-O32</f>
        <v>0</v>
      </c>
      <c r="AB32" s="515">
        <f>IFERROR(X32/O32-1,0)</f>
        <v>0</v>
      </c>
      <c r="AC32" s="517"/>
      <c r="AD32" s="514"/>
      <c r="AE32" s="513"/>
      <c r="AF32" s="513"/>
      <c r="AG32" s="513"/>
      <c r="AH32" s="268"/>
      <c r="AI32" s="513"/>
      <c r="AJ32" s="513"/>
      <c r="AK32" s="515"/>
      <c r="AL32" s="513"/>
      <c r="AM32" s="515"/>
    </row>
    <row r="33" spans="1:39" s="367" customFormat="1">
      <c r="A33" s="2" t="s">
        <v>1249</v>
      </c>
      <c r="B33" s="2" t="s">
        <v>1250</v>
      </c>
      <c r="C33" s="235" t="s">
        <v>260</v>
      </c>
      <c r="D33" s="374" t="s">
        <v>261</v>
      </c>
      <c r="E33" s="374">
        <v>42979</v>
      </c>
      <c r="F33" s="374"/>
      <c r="G33" s="374"/>
      <c r="H33" s="374">
        <v>44562</v>
      </c>
      <c r="I33" s="235"/>
      <c r="J33" s="518">
        <f>YEAR(H33)-YEAR(E33)</f>
        <v>5</v>
      </c>
      <c r="K33" s="513">
        <v>623</v>
      </c>
      <c r="L33" s="514" t="s">
        <v>44</v>
      </c>
      <c r="M33" s="513">
        <v>1339</v>
      </c>
      <c r="N33" s="513">
        <v>0</v>
      </c>
      <c r="O33" s="513">
        <f>N33+M33</f>
        <v>1339</v>
      </c>
      <c r="P33" s="269">
        <f>O33/K33</f>
        <v>2.1492776886035312</v>
      </c>
      <c r="Q33" s="515">
        <v>0.37</v>
      </c>
      <c r="R33" s="513">
        <v>0</v>
      </c>
      <c r="S33" s="515" t="s">
        <v>44</v>
      </c>
      <c r="T33" s="519">
        <v>623</v>
      </c>
      <c r="U33" s="514" t="s">
        <v>44</v>
      </c>
      <c r="V33" s="513">
        <v>1339</v>
      </c>
      <c r="W33" s="513">
        <v>0</v>
      </c>
      <c r="X33" s="513">
        <f>W33+V33</f>
        <v>1339</v>
      </c>
      <c r="Y33" s="268">
        <f>X33/T33</f>
        <v>2.1492776886035312</v>
      </c>
      <c r="Z33" s="513" t="s">
        <v>1251</v>
      </c>
      <c r="AA33" s="513">
        <f t="shared" ref="AA33:AA57" si="0">X33-O33</f>
        <v>0</v>
      </c>
      <c r="AB33" s="515">
        <f t="shared" ref="AB33:AB57" si="1">IFERROR(X33/O33-1,0)</f>
        <v>0</v>
      </c>
      <c r="AC33" s="517"/>
      <c r="AD33" s="514"/>
      <c r="AE33" s="513"/>
      <c r="AF33" s="513"/>
      <c r="AG33" s="513"/>
      <c r="AH33" s="268"/>
      <c r="AI33" s="513"/>
      <c r="AJ33" s="513"/>
      <c r="AK33" s="515"/>
      <c r="AL33" s="513"/>
      <c r="AM33" s="515"/>
    </row>
    <row r="34" spans="1:39" s="367" customFormat="1">
      <c r="A34" s="2" t="s">
        <v>1252</v>
      </c>
      <c r="B34" s="2" t="s">
        <v>1253</v>
      </c>
      <c r="C34" s="235" t="s">
        <v>264</v>
      </c>
      <c r="D34" s="374" t="s">
        <v>584</v>
      </c>
      <c r="E34" s="374">
        <v>43344</v>
      </c>
      <c r="F34" s="374"/>
      <c r="G34" s="374"/>
      <c r="H34" s="374" t="s">
        <v>44</v>
      </c>
      <c r="I34" s="235"/>
      <c r="J34" s="518" t="s">
        <v>44</v>
      </c>
      <c r="K34" s="513">
        <v>440</v>
      </c>
      <c r="L34" s="514" t="s">
        <v>44</v>
      </c>
      <c r="M34" s="513">
        <v>0</v>
      </c>
      <c r="N34" s="513">
        <v>748</v>
      </c>
      <c r="O34" s="513">
        <f t="shared" ref="O34:O57" si="2">N34+M34</f>
        <v>748</v>
      </c>
      <c r="P34" s="269">
        <f t="shared" ref="P34:P62" si="3">O34/K34</f>
        <v>1.7</v>
      </c>
      <c r="Q34" s="515">
        <v>0.11</v>
      </c>
      <c r="R34" s="513">
        <v>0</v>
      </c>
      <c r="S34" s="515" t="s">
        <v>44</v>
      </c>
      <c r="T34" s="519">
        <v>440</v>
      </c>
      <c r="U34" s="514" t="s">
        <v>44</v>
      </c>
      <c r="V34" s="513">
        <v>0</v>
      </c>
      <c r="W34" s="513">
        <v>748</v>
      </c>
      <c r="X34" s="513">
        <f t="shared" ref="X34:X57" si="4">W34+V34</f>
        <v>748</v>
      </c>
      <c r="Y34" s="268">
        <f t="shared" ref="Y34:Y57" si="5">X34/T34</f>
        <v>1.7</v>
      </c>
      <c r="Z34" s="513" t="s">
        <v>1254</v>
      </c>
      <c r="AA34" s="513">
        <f t="shared" si="0"/>
        <v>0</v>
      </c>
      <c r="AB34" s="515">
        <f t="shared" si="1"/>
        <v>0</v>
      </c>
      <c r="AC34" s="517"/>
      <c r="AD34" s="514"/>
      <c r="AE34" s="513"/>
      <c r="AF34" s="513"/>
      <c r="AG34" s="513"/>
      <c r="AH34" s="268"/>
      <c r="AI34" s="513"/>
      <c r="AJ34" s="513"/>
      <c r="AK34" s="515"/>
      <c r="AL34" s="513"/>
      <c r="AM34" s="515"/>
    </row>
    <row r="35" spans="1:39" s="367" customFormat="1">
      <c r="A35" s="2" t="s">
        <v>1255</v>
      </c>
      <c r="B35" s="2" t="s">
        <v>1256</v>
      </c>
      <c r="C35" s="235" t="s">
        <v>99</v>
      </c>
      <c r="D35" s="374" t="s">
        <v>584</v>
      </c>
      <c r="E35" s="374">
        <v>43952</v>
      </c>
      <c r="F35" s="374"/>
      <c r="G35" s="374"/>
      <c r="H35" s="374" t="s">
        <v>44</v>
      </c>
      <c r="I35" s="235"/>
      <c r="J35" s="518" t="s">
        <v>44</v>
      </c>
      <c r="K35" s="513">
        <v>177</v>
      </c>
      <c r="L35" s="514" t="s">
        <v>44</v>
      </c>
      <c r="M35" s="513">
        <v>0</v>
      </c>
      <c r="N35" s="513">
        <v>328</v>
      </c>
      <c r="O35" s="513">
        <f t="shared" si="2"/>
        <v>328</v>
      </c>
      <c r="P35" s="269">
        <f t="shared" si="3"/>
        <v>1.8531073446327684</v>
      </c>
      <c r="Q35" s="515">
        <v>0.22</v>
      </c>
      <c r="R35" s="513">
        <v>0</v>
      </c>
      <c r="S35" s="515" t="s">
        <v>44</v>
      </c>
      <c r="T35" s="519">
        <v>192</v>
      </c>
      <c r="U35" s="514" t="s">
        <v>44</v>
      </c>
      <c r="V35" s="513">
        <v>0</v>
      </c>
      <c r="W35" s="513">
        <v>355</v>
      </c>
      <c r="X35" s="513">
        <f t="shared" si="4"/>
        <v>355</v>
      </c>
      <c r="Y35" s="268">
        <f t="shared" si="5"/>
        <v>1.8489583333333333</v>
      </c>
      <c r="Z35" s="513" t="s">
        <v>1257</v>
      </c>
      <c r="AA35" s="513">
        <f t="shared" si="0"/>
        <v>27</v>
      </c>
      <c r="AB35" s="515">
        <f t="shared" si="1"/>
        <v>8.2317073170731669E-2</v>
      </c>
      <c r="AC35" s="517"/>
      <c r="AD35" s="514"/>
      <c r="AE35" s="513"/>
      <c r="AF35" s="513"/>
      <c r="AG35" s="513"/>
      <c r="AH35" s="268"/>
      <c r="AI35" s="513"/>
      <c r="AJ35" s="513"/>
      <c r="AK35" s="515"/>
      <c r="AL35" s="513"/>
      <c r="AM35" s="515"/>
    </row>
    <row r="36" spans="1:39" s="367" customFormat="1">
      <c r="A36" s="2" t="s">
        <v>1258</v>
      </c>
      <c r="B36" s="2" t="s">
        <v>1259</v>
      </c>
      <c r="C36" s="235" t="s">
        <v>99</v>
      </c>
      <c r="D36" s="374" t="s">
        <v>584</v>
      </c>
      <c r="E36" s="374">
        <v>44166</v>
      </c>
      <c r="F36" s="374"/>
      <c r="G36" s="374"/>
      <c r="H36" s="374" t="s">
        <v>44</v>
      </c>
      <c r="I36" s="235"/>
      <c r="J36" s="518" t="s">
        <v>44</v>
      </c>
      <c r="K36" s="513">
        <v>292</v>
      </c>
      <c r="L36" s="514" t="s">
        <v>44</v>
      </c>
      <c r="M36" s="513">
        <v>0</v>
      </c>
      <c r="N36" s="513">
        <v>511</v>
      </c>
      <c r="O36" s="513">
        <f t="shared" si="2"/>
        <v>511</v>
      </c>
      <c r="P36" s="269">
        <f t="shared" si="3"/>
        <v>1.75</v>
      </c>
      <c r="Q36" s="515">
        <v>0.21</v>
      </c>
      <c r="R36" s="513">
        <v>0</v>
      </c>
      <c r="S36" s="515" t="s">
        <v>44</v>
      </c>
      <c r="T36" s="519">
        <v>292</v>
      </c>
      <c r="U36" s="514" t="s">
        <v>44</v>
      </c>
      <c r="V36" s="513">
        <v>0</v>
      </c>
      <c r="W36" s="513">
        <v>497</v>
      </c>
      <c r="X36" s="513">
        <f t="shared" si="4"/>
        <v>497</v>
      </c>
      <c r="Y36" s="268">
        <f t="shared" si="5"/>
        <v>1.702054794520548</v>
      </c>
      <c r="Z36" s="513" t="s">
        <v>1260</v>
      </c>
      <c r="AA36" s="513">
        <f t="shared" si="0"/>
        <v>-14</v>
      </c>
      <c r="AB36" s="515">
        <f t="shared" si="1"/>
        <v>-2.7397260273972601E-2</v>
      </c>
      <c r="AC36" s="517"/>
      <c r="AD36" s="514"/>
      <c r="AE36" s="513"/>
      <c r="AF36" s="513"/>
      <c r="AG36" s="513"/>
      <c r="AH36" s="268"/>
      <c r="AI36" s="513"/>
      <c r="AJ36" s="513"/>
      <c r="AK36" s="515"/>
      <c r="AL36" s="513"/>
      <c r="AM36" s="515"/>
    </row>
    <row r="37" spans="1:39" s="367" customFormat="1">
      <c r="A37" s="2" t="s">
        <v>1261</v>
      </c>
      <c r="B37" s="2" t="s">
        <v>1262</v>
      </c>
      <c r="C37" s="235" t="s">
        <v>264</v>
      </c>
      <c r="D37" s="374" t="s">
        <v>276</v>
      </c>
      <c r="E37" s="374">
        <v>42705</v>
      </c>
      <c r="F37" s="374"/>
      <c r="G37" s="374"/>
      <c r="H37" s="374" t="s">
        <v>44</v>
      </c>
      <c r="I37" s="235"/>
      <c r="J37" s="518" t="s">
        <v>44</v>
      </c>
      <c r="K37" s="513">
        <v>376</v>
      </c>
      <c r="L37" s="514" t="s">
        <v>44</v>
      </c>
      <c r="M37" s="513">
        <v>4</v>
      </c>
      <c r="N37" s="513">
        <v>13</v>
      </c>
      <c r="O37" s="513">
        <f t="shared" si="2"/>
        <v>17</v>
      </c>
      <c r="P37" s="269">
        <f t="shared" si="3"/>
        <v>4.5212765957446811E-2</v>
      </c>
      <c r="Q37" s="515" t="s">
        <v>44</v>
      </c>
      <c r="R37" s="513">
        <v>0</v>
      </c>
      <c r="S37" s="515" t="s">
        <v>44</v>
      </c>
      <c r="T37" s="519">
        <v>376</v>
      </c>
      <c r="U37" s="514" t="s">
        <v>44</v>
      </c>
      <c r="V37" s="513">
        <v>4</v>
      </c>
      <c r="W37" s="513">
        <v>13</v>
      </c>
      <c r="X37" s="513">
        <f t="shared" si="4"/>
        <v>17</v>
      </c>
      <c r="Y37" s="268">
        <f t="shared" si="5"/>
        <v>4.5212765957446811E-2</v>
      </c>
      <c r="Z37" s="513">
        <v>0</v>
      </c>
      <c r="AA37" s="513">
        <f t="shared" si="0"/>
        <v>0</v>
      </c>
      <c r="AB37" s="515">
        <f t="shared" si="1"/>
        <v>0</v>
      </c>
      <c r="AC37" s="517"/>
      <c r="AD37" s="514"/>
      <c r="AE37" s="513"/>
      <c r="AF37" s="513"/>
      <c r="AG37" s="513"/>
      <c r="AH37" s="268"/>
      <c r="AI37" s="513"/>
      <c r="AJ37" s="513"/>
      <c r="AK37" s="515"/>
      <c r="AL37" s="513"/>
      <c r="AM37" s="515"/>
    </row>
    <row r="38" spans="1:39" s="367" customFormat="1">
      <c r="A38" s="2" t="s">
        <v>1263</v>
      </c>
      <c r="B38" s="2" t="s">
        <v>1264</v>
      </c>
      <c r="C38" s="235" t="s">
        <v>114</v>
      </c>
      <c r="D38" s="374" t="s">
        <v>261</v>
      </c>
      <c r="E38" s="374">
        <v>43132</v>
      </c>
      <c r="F38" s="374"/>
      <c r="G38" s="374"/>
      <c r="H38" s="374">
        <v>44743</v>
      </c>
      <c r="I38" s="235"/>
      <c r="J38" s="518">
        <f t="shared" ref="J38:J39" si="6">YEAR(H38)-YEAR(E38)</f>
        <v>4</v>
      </c>
      <c r="K38" s="513">
        <v>273</v>
      </c>
      <c r="L38" s="514" t="s">
        <v>44</v>
      </c>
      <c r="M38" s="513">
        <v>594</v>
      </c>
      <c r="N38" s="513">
        <v>0</v>
      </c>
      <c r="O38" s="513">
        <f t="shared" si="2"/>
        <v>594</v>
      </c>
      <c r="P38" s="269">
        <f t="shared" si="3"/>
        <v>2.1758241758241756</v>
      </c>
      <c r="Q38" s="515">
        <v>0.22</v>
      </c>
      <c r="R38" s="513">
        <v>0</v>
      </c>
      <c r="S38" s="515" t="s">
        <v>44</v>
      </c>
      <c r="T38" s="519">
        <v>273</v>
      </c>
      <c r="U38" s="514" t="s">
        <v>44</v>
      </c>
      <c r="V38" s="513">
        <v>594</v>
      </c>
      <c r="W38" s="513">
        <v>0</v>
      </c>
      <c r="X38" s="513">
        <f t="shared" si="4"/>
        <v>594</v>
      </c>
      <c r="Y38" s="268">
        <f t="shared" si="5"/>
        <v>2.1758241758241756</v>
      </c>
      <c r="Z38" s="513" t="s">
        <v>1265</v>
      </c>
      <c r="AA38" s="513">
        <f t="shared" si="0"/>
        <v>0</v>
      </c>
      <c r="AB38" s="515">
        <f t="shared" si="1"/>
        <v>0</v>
      </c>
      <c r="AD38" s="2"/>
      <c r="AE38" s="2"/>
      <c r="AF38" s="2"/>
      <c r="AG38" s="2"/>
      <c r="AH38" s="2"/>
      <c r="AI38" s="2"/>
      <c r="AJ38" s="2"/>
      <c r="AK38" s="2"/>
      <c r="AL38" s="2"/>
      <c r="AM38" s="2"/>
    </row>
    <row r="39" spans="1:39" s="367" customFormat="1">
      <c r="A39" s="2" t="s">
        <v>1266</v>
      </c>
      <c r="B39" s="2" t="s">
        <v>1267</v>
      </c>
      <c r="C39" s="235" t="s">
        <v>114</v>
      </c>
      <c r="D39" s="374" t="s">
        <v>261</v>
      </c>
      <c r="E39" s="374">
        <v>43405</v>
      </c>
      <c r="F39" s="374"/>
      <c r="G39" s="374"/>
      <c r="H39" s="374">
        <v>43983</v>
      </c>
      <c r="I39" s="235"/>
      <c r="J39" s="518">
        <f t="shared" si="6"/>
        <v>2</v>
      </c>
      <c r="K39" s="513">
        <v>267</v>
      </c>
      <c r="L39" s="514" t="s">
        <v>44</v>
      </c>
      <c r="M39" s="513">
        <v>3</v>
      </c>
      <c r="N39" s="513">
        <v>0</v>
      </c>
      <c r="O39" s="513">
        <f t="shared" si="2"/>
        <v>3</v>
      </c>
      <c r="P39" s="269">
        <f t="shared" si="3"/>
        <v>1.1235955056179775E-2</v>
      </c>
      <c r="Q39" s="515" t="s">
        <v>44</v>
      </c>
      <c r="R39" s="513">
        <v>0</v>
      </c>
      <c r="S39" s="515" t="s">
        <v>44</v>
      </c>
      <c r="T39" s="519">
        <v>267</v>
      </c>
      <c r="U39" s="514" t="s">
        <v>44</v>
      </c>
      <c r="V39" s="513">
        <v>3</v>
      </c>
      <c r="W39" s="513">
        <v>0</v>
      </c>
      <c r="X39" s="513">
        <f t="shared" si="4"/>
        <v>3</v>
      </c>
      <c r="Y39" s="268">
        <f t="shared" si="5"/>
        <v>1.1235955056179775E-2</v>
      </c>
      <c r="Z39" s="513">
        <v>0</v>
      </c>
      <c r="AA39" s="513">
        <f t="shared" si="0"/>
        <v>0</v>
      </c>
      <c r="AB39" s="515">
        <f t="shared" si="1"/>
        <v>0</v>
      </c>
      <c r="AD39" s="2"/>
      <c r="AE39" s="2"/>
      <c r="AF39" s="2"/>
      <c r="AG39" s="2"/>
      <c r="AH39" s="2"/>
      <c r="AI39" s="2"/>
      <c r="AJ39" s="2"/>
      <c r="AK39" s="2"/>
      <c r="AL39" s="2"/>
      <c r="AM39" s="2"/>
    </row>
    <row r="40" spans="1:39" s="367" customFormat="1">
      <c r="A40" s="2" t="s">
        <v>1268</v>
      </c>
      <c r="B40" s="2" t="s">
        <v>1269</v>
      </c>
      <c r="C40" s="235" t="s">
        <v>273</v>
      </c>
      <c r="D40" s="374" t="s">
        <v>276</v>
      </c>
      <c r="E40" s="374">
        <v>43678</v>
      </c>
      <c r="F40" s="374"/>
      <c r="G40" s="374"/>
      <c r="H40" s="374" t="s">
        <v>44</v>
      </c>
      <c r="I40" s="235"/>
      <c r="J40" s="518" t="s">
        <v>44</v>
      </c>
      <c r="K40" s="513">
        <v>496</v>
      </c>
      <c r="L40" s="514" t="s">
        <v>44</v>
      </c>
      <c r="M40" s="513">
        <v>1</v>
      </c>
      <c r="N40" s="513">
        <v>745</v>
      </c>
      <c r="O40" s="513">
        <f t="shared" si="2"/>
        <v>746</v>
      </c>
      <c r="P40" s="269">
        <f t="shared" si="3"/>
        <v>1.5040322580645162</v>
      </c>
      <c r="Q40" s="515">
        <v>0.1</v>
      </c>
      <c r="R40" s="513">
        <v>0</v>
      </c>
      <c r="S40" s="515" t="s">
        <v>44</v>
      </c>
      <c r="T40" s="519">
        <v>496</v>
      </c>
      <c r="U40" s="514" t="s">
        <v>44</v>
      </c>
      <c r="V40" s="513">
        <v>1</v>
      </c>
      <c r="W40" s="513">
        <v>820</v>
      </c>
      <c r="X40" s="513">
        <f t="shared" si="4"/>
        <v>821</v>
      </c>
      <c r="Y40" s="268">
        <f t="shared" si="5"/>
        <v>1.655241935483871</v>
      </c>
      <c r="Z40" s="513" t="s">
        <v>1270</v>
      </c>
      <c r="AA40" s="513">
        <f t="shared" si="0"/>
        <v>75</v>
      </c>
      <c r="AB40" s="515">
        <f t="shared" si="1"/>
        <v>0.10053619302949057</v>
      </c>
      <c r="AD40" s="2"/>
      <c r="AE40" s="2"/>
      <c r="AF40" s="2"/>
      <c r="AG40" s="2"/>
      <c r="AH40" s="2"/>
      <c r="AI40" s="2"/>
      <c r="AJ40" s="2"/>
      <c r="AK40" s="2"/>
      <c r="AL40" s="2"/>
      <c r="AM40" s="2"/>
    </row>
    <row r="41" spans="1:39" s="367" customFormat="1">
      <c r="A41" s="2" t="s">
        <v>1271</v>
      </c>
      <c r="B41" s="2" t="s">
        <v>1272</v>
      </c>
      <c r="C41" s="235" t="s">
        <v>273</v>
      </c>
      <c r="D41" s="374" t="s">
        <v>276</v>
      </c>
      <c r="E41" s="374">
        <v>43739</v>
      </c>
      <c r="F41" s="374"/>
      <c r="G41" s="374"/>
      <c r="H41" s="374" t="s">
        <v>44</v>
      </c>
      <c r="I41" s="235"/>
      <c r="J41" s="518" t="s">
        <v>44</v>
      </c>
      <c r="K41" s="513">
        <v>243</v>
      </c>
      <c r="L41" s="514" t="s">
        <v>44</v>
      </c>
      <c r="M41" s="513">
        <v>135</v>
      </c>
      <c r="N41" s="513">
        <v>726</v>
      </c>
      <c r="O41" s="513">
        <f t="shared" si="2"/>
        <v>861</v>
      </c>
      <c r="P41" s="269">
        <f t="shared" si="3"/>
        <v>3.5432098765432101</v>
      </c>
      <c r="Q41" s="515">
        <v>0.4</v>
      </c>
      <c r="R41" s="513">
        <v>0</v>
      </c>
      <c r="S41" s="515" t="s">
        <v>44</v>
      </c>
      <c r="T41" s="519">
        <v>283</v>
      </c>
      <c r="U41" s="514" t="s">
        <v>44</v>
      </c>
      <c r="V41" s="513">
        <v>146</v>
      </c>
      <c r="W41" s="513">
        <v>745</v>
      </c>
      <c r="X41" s="513">
        <f t="shared" si="4"/>
        <v>891</v>
      </c>
      <c r="Y41" s="268">
        <f t="shared" si="5"/>
        <v>3.148409893992933</v>
      </c>
      <c r="Z41" s="513" t="s">
        <v>1273</v>
      </c>
      <c r="AA41" s="513">
        <f t="shared" si="0"/>
        <v>30</v>
      </c>
      <c r="AB41" s="515">
        <f t="shared" si="1"/>
        <v>3.4843205574912828E-2</v>
      </c>
      <c r="AD41" s="2"/>
      <c r="AE41" s="2"/>
      <c r="AF41" s="2"/>
      <c r="AG41" s="2"/>
      <c r="AH41" s="2"/>
      <c r="AI41" s="2"/>
      <c r="AJ41" s="2"/>
      <c r="AK41" s="2"/>
      <c r="AL41" s="2"/>
      <c r="AM41" s="2"/>
    </row>
    <row r="42" spans="1:39" s="367" customFormat="1">
      <c r="A42" s="2" t="s">
        <v>1274</v>
      </c>
      <c r="B42" s="2" t="s">
        <v>1275</v>
      </c>
      <c r="C42" s="235" t="s">
        <v>113</v>
      </c>
      <c r="D42" s="374" t="s">
        <v>276</v>
      </c>
      <c r="E42" s="374">
        <v>44228</v>
      </c>
      <c r="F42" s="374"/>
      <c r="G42" s="374"/>
      <c r="H42" s="374" t="s">
        <v>44</v>
      </c>
      <c r="I42" s="235"/>
      <c r="J42" s="518" t="s">
        <v>44</v>
      </c>
      <c r="K42" s="513">
        <v>265</v>
      </c>
      <c r="L42" s="514" t="s">
        <v>44</v>
      </c>
      <c r="M42" s="513">
        <v>6</v>
      </c>
      <c r="N42" s="513">
        <v>408</v>
      </c>
      <c r="O42" s="513">
        <f t="shared" si="2"/>
        <v>414</v>
      </c>
      <c r="P42" s="269">
        <f t="shared" si="3"/>
        <v>1.5622641509433963</v>
      </c>
      <c r="Q42" s="515">
        <v>0.18</v>
      </c>
      <c r="R42" s="513">
        <v>0</v>
      </c>
      <c r="S42" s="515" t="s">
        <v>44</v>
      </c>
      <c r="T42" s="519">
        <v>265</v>
      </c>
      <c r="U42" s="514" t="s">
        <v>44</v>
      </c>
      <c r="V42" s="513">
        <v>23</v>
      </c>
      <c r="W42" s="513">
        <v>449</v>
      </c>
      <c r="X42" s="513">
        <f t="shared" si="4"/>
        <v>472</v>
      </c>
      <c r="Y42" s="268">
        <f t="shared" si="5"/>
        <v>1.7811320754716982</v>
      </c>
      <c r="Z42" s="513" t="s">
        <v>1257</v>
      </c>
      <c r="AA42" s="513">
        <f t="shared" si="0"/>
        <v>58</v>
      </c>
      <c r="AB42" s="515">
        <f t="shared" si="1"/>
        <v>0.14009661835748788</v>
      </c>
      <c r="AD42" s="2"/>
      <c r="AE42" s="2"/>
      <c r="AF42" s="2"/>
      <c r="AG42" s="2"/>
      <c r="AH42" s="2"/>
      <c r="AI42" s="2"/>
      <c r="AJ42" s="2"/>
      <c r="AK42" s="2"/>
      <c r="AL42" s="2"/>
      <c r="AM42" s="2"/>
    </row>
    <row r="43" spans="1:39" s="367" customFormat="1">
      <c r="A43" s="2" t="s">
        <v>1276</v>
      </c>
      <c r="B43" s="2" t="s">
        <v>1277</v>
      </c>
      <c r="C43" s="235" t="s">
        <v>1278</v>
      </c>
      <c r="D43" s="374" t="s">
        <v>584</v>
      </c>
      <c r="E43" s="374">
        <v>43831</v>
      </c>
      <c r="F43" s="374"/>
      <c r="G43" s="374"/>
      <c r="H43" s="374" t="s">
        <v>44</v>
      </c>
      <c r="I43" s="235"/>
      <c r="J43" s="518" t="s">
        <v>44</v>
      </c>
      <c r="K43" s="513">
        <v>100</v>
      </c>
      <c r="L43" s="514" t="s">
        <v>44</v>
      </c>
      <c r="M43" s="513">
        <v>0</v>
      </c>
      <c r="N43" s="513">
        <v>120</v>
      </c>
      <c r="O43" s="513">
        <f t="shared" si="2"/>
        <v>120</v>
      </c>
      <c r="P43" s="269">
        <f t="shared" si="3"/>
        <v>1.2</v>
      </c>
      <c r="Q43" s="515">
        <v>0.09</v>
      </c>
      <c r="R43" s="513">
        <v>0</v>
      </c>
      <c r="S43" s="515" t="s">
        <v>44</v>
      </c>
      <c r="T43" s="519">
        <v>111</v>
      </c>
      <c r="U43" s="514" t="s">
        <v>44</v>
      </c>
      <c r="V43" s="513">
        <v>0</v>
      </c>
      <c r="W43" s="513">
        <v>133</v>
      </c>
      <c r="X43" s="513">
        <f t="shared" si="4"/>
        <v>133</v>
      </c>
      <c r="Y43" s="268">
        <f t="shared" si="5"/>
        <v>1.1981981981981982</v>
      </c>
      <c r="Z43" s="513" t="s">
        <v>1248</v>
      </c>
      <c r="AA43" s="513">
        <f t="shared" si="0"/>
        <v>13</v>
      </c>
      <c r="AB43" s="515">
        <f t="shared" si="1"/>
        <v>0.10833333333333339</v>
      </c>
      <c r="AD43" s="2"/>
      <c r="AE43" s="2"/>
      <c r="AF43" s="2"/>
      <c r="AG43" s="2"/>
      <c r="AH43" s="2"/>
      <c r="AI43" s="2"/>
      <c r="AJ43" s="2"/>
      <c r="AK43" s="2"/>
      <c r="AL43" s="2"/>
      <c r="AM43" s="2"/>
    </row>
    <row r="44" spans="1:39" s="367" customFormat="1">
      <c r="A44" s="2" t="s">
        <v>1279</v>
      </c>
      <c r="B44" s="2" t="s">
        <v>1280</v>
      </c>
      <c r="C44" s="235" t="s">
        <v>99</v>
      </c>
      <c r="D44" s="374" t="s">
        <v>276</v>
      </c>
      <c r="E44" s="374">
        <v>43252</v>
      </c>
      <c r="F44" s="374"/>
      <c r="G44" s="374"/>
      <c r="H44" s="374" t="s">
        <v>44</v>
      </c>
      <c r="I44" s="235"/>
      <c r="J44" s="518" t="s">
        <v>44</v>
      </c>
      <c r="K44" s="513">
        <v>211</v>
      </c>
      <c r="L44" s="514" t="s">
        <v>44</v>
      </c>
      <c r="M44" s="513">
        <v>122</v>
      </c>
      <c r="N44" s="513">
        <v>247</v>
      </c>
      <c r="O44" s="513">
        <f t="shared" si="2"/>
        <v>369</v>
      </c>
      <c r="P44" s="269">
        <f t="shared" si="3"/>
        <v>1.7488151658767772</v>
      </c>
      <c r="Q44" s="515">
        <v>0.15</v>
      </c>
      <c r="R44" s="513">
        <v>0</v>
      </c>
      <c r="S44" s="515" t="s">
        <v>44</v>
      </c>
      <c r="T44" s="519">
        <v>211</v>
      </c>
      <c r="U44" s="514" t="s">
        <v>44</v>
      </c>
      <c r="V44" s="513">
        <v>122</v>
      </c>
      <c r="W44" s="513">
        <v>89</v>
      </c>
      <c r="X44" s="513">
        <f t="shared" si="4"/>
        <v>211</v>
      </c>
      <c r="Y44" s="268">
        <f t="shared" si="5"/>
        <v>1</v>
      </c>
      <c r="Z44" s="513">
        <v>0</v>
      </c>
      <c r="AA44" s="513">
        <f t="shared" si="0"/>
        <v>-158</v>
      </c>
      <c r="AB44" s="515">
        <f t="shared" si="1"/>
        <v>-0.42818428184281843</v>
      </c>
      <c r="AD44" s="2"/>
      <c r="AE44" s="2"/>
      <c r="AF44" s="2"/>
      <c r="AG44" s="2"/>
      <c r="AH44" s="2"/>
      <c r="AI44" s="2"/>
      <c r="AJ44" s="2"/>
      <c r="AK44" s="2"/>
      <c r="AL44" s="2"/>
      <c r="AM44" s="2"/>
    </row>
    <row r="45" spans="1:39" s="367" customFormat="1">
      <c r="A45" s="2" t="s">
        <v>1281</v>
      </c>
      <c r="B45" s="2" t="s">
        <v>1282</v>
      </c>
      <c r="C45" s="235" t="s">
        <v>99</v>
      </c>
      <c r="D45" s="374" t="s">
        <v>261</v>
      </c>
      <c r="E45" s="374">
        <v>42887</v>
      </c>
      <c r="F45" s="374"/>
      <c r="G45" s="374"/>
      <c r="H45" s="374">
        <v>44805</v>
      </c>
      <c r="I45" s="235"/>
      <c r="J45" s="518">
        <f>YEAR(H45)-YEAR(E45)</f>
        <v>5</v>
      </c>
      <c r="K45" s="513">
        <v>223</v>
      </c>
      <c r="L45" s="514" t="s">
        <v>44</v>
      </c>
      <c r="M45" s="513">
        <v>708</v>
      </c>
      <c r="N45" s="513">
        <v>0</v>
      </c>
      <c r="O45" s="513">
        <f t="shared" si="2"/>
        <v>708</v>
      </c>
      <c r="P45" s="269">
        <f t="shared" si="3"/>
        <v>3.1748878923766815</v>
      </c>
      <c r="Q45" s="515">
        <v>0.31</v>
      </c>
      <c r="R45" s="513">
        <v>0</v>
      </c>
      <c r="S45" s="515" t="s">
        <v>44</v>
      </c>
      <c r="T45" s="519">
        <v>223</v>
      </c>
      <c r="U45" s="514" t="s">
        <v>44</v>
      </c>
      <c r="V45" s="513">
        <v>708</v>
      </c>
      <c r="W45" s="513">
        <v>0</v>
      </c>
      <c r="X45" s="513">
        <f t="shared" si="4"/>
        <v>708</v>
      </c>
      <c r="Y45" s="268">
        <f t="shared" si="5"/>
        <v>3.1748878923766815</v>
      </c>
      <c r="Z45" s="513" t="s">
        <v>1273</v>
      </c>
      <c r="AA45" s="513">
        <f t="shared" si="0"/>
        <v>0</v>
      </c>
      <c r="AB45" s="515">
        <f t="shared" si="1"/>
        <v>0</v>
      </c>
      <c r="AD45" s="2"/>
      <c r="AE45" s="2"/>
      <c r="AF45" s="2"/>
      <c r="AG45" s="2"/>
      <c r="AH45" s="2"/>
      <c r="AI45" s="2"/>
      <c r="AJ45" s="2"/>
      <c r="AK45" s="2"/>
      <c r="AL45" s="2"/>
      <c r="AM45" s="2"/>
    </row>
    <row r="46" spans="1:39" s="367" customFormat="1">
      <c r="A46" s="2" t="s">
        <v>1283</v>
      </c>
      <c r="B46" s="2" t="s">
        <v>1284</v>
      </c>
      <c r="C46" s="235" t="s">
        <v>264</v>
      </c>
      <c r="D46" s="374" t="s">
        <v>584</v>
      </c>
      <c r="E46" s="374">
        <v>42856</v>
      </c>
      <c r="F46" s="374"/>
      <c r="G46" s="374"/>
      <c r="H46" s="374" t="s">
        <v>44</v>
      </c>
      <c r="I46" s="235"/>
      <c r="J46" s="518" t="s">
        <v>44</v>
      </c>
      <c r="K46" s="513">
        <v>278</v>
      </c>
      <c r="L46" s="514" t="s">
        <v>44</v>
      </c>
      <c r="M46" s="513">
        <v>0</v>
      </c>
      <c r="N46" s="513">
        <v>70</v>
      </c>
      <c r="O46" s="513">
        <f t="shared" si="2"/>
        <v>70</v>
      </c>
      <c r="P46" s="269">
        <f t="shared" si="3"/>
        <v>0.25179856115107913</v>
      </c>
      <c r="Q46" s="515" t="s">
        <v>44</v>
      </c>
      <c r="R46" s="513">
        <v>0</v>
      </c>
      <c r="S46" s="515" t="s">
        <v>44</v>
      </c>
      <c r="T46" s="519">
        <v>312</v>
      </c>
      <c r="U46" s="514" t="s">
        <v>44</v>
      </c>
      <c r="V46" s="513">
        <v>0</v>
      </c>
      <c r="W46" s="513">
        <v>59</v>
      </c>
      <c r="X46" s="513">
        <f t="shared" si="4"/>
        <v>59</v>
      </c>
      <c r="Y46" s="268">
        <f t="shared" si="5"/>
        <v>0.1891025641025641</v>
      </c>
      <c r="Z46" s="513">
        <v>0</v>
      </c>
      <c r="AA46" s="513">
        <f t="shared" si="0"/>
        <v>-11</v>
      </c>
      <c r="AB46" s="515">
        <f t="shared" si="1"/>
        <v>-0.15714285714285714</v>
      </c>
      <c r="AD46" s="2"/>
      <c r="AE46" s="2"/>
      <c r="AF46" s="2"/>
      <c r="AG46" s="2"/>
      <c r="AH46" s="2"/>
      <c r="AI46" s="2"/>
      <c r="AJ46" s="2"/>
      <c r="AK46" s="2"/>
      <c r="AL46" s="2"/>
      <c r="AM46" s="2"/>
    </row>
    <row r="47" spans="1:39" s="367" customFormat="1">
      <c r="A47" s="2" t="s">
        <v>1285</v>
      </c>
      <c r="B47" s="2" t="s">
        <v>1286</v>
      </c>
      <c r="C47" s="235" t="s">
        <v>260</v>
      </c>
      <c r="D47" s="374" t="s">
        <v>276</v>
      </c>
      <c r="E47" s="374">
        <v>44166</v>
      </c>
      <c r="F47" s="374"/>
      <c r="G47" s="374"/>
      <c r="H47" s="374" t="s">
        <v>44</v>
      </c>
      <c r="I47" s="235"/>
      <c r="J47" s="518" t="s">
        <v>44</v>
      </c>
      <c r="K47" s="513">
        <v>316</v>
      </c>
      <c r="L47" s="514" t="s">
        <v>44</v>
      </c>
      <c r="M47" s="513">
        <v>48</v>
      </c>
      <c r="N47" s="513">
        <v>395</v>
      </c>
      <c r="O47" s="513">
        <f t="shared" si="2"/>
        <v>443</v>
      </c>
      <c r="P47" s="269">
        <f t="shared" si="3"/>
        <v>1.4018987341772151</v>
      </c>
      <c r="Q47" s="515">
        <v>0.12</v>
      </c>
      <c r="R47" s="513">
        <v>0</v>
      </c>
      <c r="S47" s="515" t="s">
        <v>44</v>
      </c>
      <c r="T47" s="519">
        <v>316</v>
      </c>
      <c r="U47" s="514" t="s">
        <v>44</v>
      </c>
      <c r="V47" s="513">
        <v>126</v>
      </c>
      <c r="W47" s="513">
        <v>397</v>
      </c>
      <c r="X47" s="513">
        <f t="shared" si="4"/>
        <v>523</v>
      </c>
      <c r="Y47" s="268">
        <f t="shared" si="5"/>
        <v>1.6550632911392404</v>
      </c>
      <c r="Z47" s="513" t="s">
        <v>1287</v>
      </c>
      <c r="AA47" s="513">
        <f t="shared" si="0"/>
        <v>80</v>
      </c>
      <c r="AB47" s="515">
        <f t="shared" si="1"/>
        <v>0.18058690744920991</v>
      </c>
      <c r="AD47" s="2"/>
      <c r="AE47" s="2"/>
      <c r="AF47" s="2"/>
      <c r="AG47" s="2"/>
      <c r="AH47" s="2"/>
      <c r="AI47" s="2"/>
      <c r="AJ47" s="2"/>
      <c r="AK47" s="2"/>
      <c r="AL47" s="2"/>
      <c r="AM47" s="2"/>
    </row>
    <row r="48" spans="1:39" s="367" customFormat="1">
      <c r="A48" s="2" t="s">
        <v>1288</v>
      </c>
      <c r="B48" s="2" t="s">
        <v>1289</v>
      </c>
      <c r="C48" s="235" t="s">
        <v>99</v>
      </c>
      <c r="D48" s="374" t="s">
        <v>276</v>
      </c>
      <c r="E48" s="374">
        <v>44287</v>
      </c>
      <c r="F48" s="374"/>
      <c r="G48" s="374"/>
      <c r="H48" s="374" t="s">
        <v>44</v>
      </c>
      <c r="I48" s="235"/>
      <c r="J48" s="518" t="s">
        <v>44</v>
      </c>
      <c r="K48" s="513">
        <v>167</v>
      </c>
      <c r="L48" s="514" t="s">
        <v>44</v>
      </c>
      <c r="M48" s="513">
        <v>42</v>
      </c>
      <c r="N48" s="513">
        <v>187</v>
      </c>
      <c r="O48" s="513">
        <f t="shared" si="2"/>
        <v>229</v>
      </c>
      <c r="P48" s="269">
        <f t="shared" si="3"/>
        <v>1.3712574850299402</v>
      </c>
      <c r="Q48" s="515">
        <v>0.15</v>
      </c>
      <c r="R48" s="513">
        <v>0</v>
      </c>
      <c r="S48" s="515" t="s">
        <v>44</v>
      </c>
      <c r="T48" s="519">
        <v>167</v>
      </c>
      <c r="U48" s="514" t="s">
        <v>44</v>
      </c>
      <c r="V48" s="513">
        <v>39</v>
      </c>
      <c r="W48" s="513">
        <v>235</v>
      </c>
      <c r="X48" s="513">
        <f t="shared" si="4"/>
        <v>274</v>
      </c>
      <c r="Y48" s="268">
        <f t="shared" si="5"/>
        <v>1.6407185628742516</v>
      </c>
      <c r="Z48" s="513" t="s">
        <v>1257</v>
      </c>
      <c r="AA48" s="513">
        <f t="shared" si="0"/>
        <v>45</v>
      </c>
      <c r="AB48" s="515">
        <f t="shared" si="1"/>
        <v>0.19650655021834051</v>
      </c>
      <c r="AD48" s="2"/>
      <c r="AE48" s="2"/>
      <c r="AF48" s="2"/>
      <c r="AG48" s="2"/>
      <c r="AH48" s="2"/>
      <c r="AI48" s="2"/>
      <c r="AJ48" s="2"/>
      <c r="AK48" s="2"/>
      <c r="AL48" s="2"/>
      <c r="AM48" s="2"/>
    </row>
    <row r="49" spans="1:40" s="367" customFormat="1">
      <c r="A49" s="2" t="s">
        <v>1290</v>
      </c>
      <c r="B49" s="2" t="s">
        <v>1291</v>
      </c>
      <c r="C49" s="235" t="s">
        <v>113</v>
      </c>
      <c r="D49" s="374" t="s">
        <v>261</v>
      </c>
      <c r="E49" s="374">
        <v>43709</v>
      </c>
      <c r="F49" s="374"/>
      <c r="G49" s="374"/>
      <c r="H49" s="374">
        <v>44652</v>
      </c>
      <c r="I49" s="235"/>
      <c r="J49" s="518">
        <f t="shared" ref="J49:J50" si="7">YEAR(H49)-YEAR(E49)</f>
        <v>3</v>
      </c>
      <c r="K49" s="513">
        <v>190</v>
      </c>
      <c r="L49" s="514" t="s">
        <v>44</v>
      </c>
      <c r="M49" s="513">
        <v>619</v>
      </c>
      <c r="N49" s="513">
        <v>0</v>
      </c>
      <c r="O49" s="513">
        <f t="shared" si="2"/>
        <v>619</v>
      </c>
      <c r="P49" s="269">
        <f t="shared" si="3"/>
        <v>3.2578947368421054</v>
      </c>
      <c r="Q49" s="515">
        <v>0.59</v>
      </c>
      <c r="R49" s="513">
        <v>0</v>
      </c>
      <c r="S49" s="515" t="s">
        <v>44</v>
      </c>
      <c r="T49" s="519">
        <v>190</v>
      </c>
      <c r="U49" s="514" t="s">
        <v>44</v>
      </c>
      <c r="V49" s="513">
        <v>619</v>
      </c>
      <c r="W49" s="513">
        <v>0</v>
      </c>
      <c r="X49" s="513">
        <f t="shared" si="4"/>
        <v>619</v>
      </c>
      <c r="Y49" s="268">
        <f t="shared" si="5"/>
        <v>3.2578947368421054</v>
      </c>
      <c r="Z49" s="513" t="s">
        <v>1292</v>
      </c>
      <c r="AA49" s="513">
        <f t="shared" si="0"/>
        <v>0</v>
      </c>
      <c r="AB49" s="515">
        <f t="shared" si="1"/>
        <v>0</v>
      </c>
      <c r="AD49" s="2"/>
      <c r="AE49" s="2"/>
      <c r="AF49" s="2"/>
      <c r="AG49" s="2"/>
      <c r="AH49" s="2"/>
      <c r="AI49" s="2"/>
      <c r="AJ49" s="2"/>
      <c r="AK49" s="2"/>
      <c r="AL49" s="2"/>
      <c r="AM49" s="2"/>
    </row>
    <row r="50" spans="1:40" s="367" customFormat="1">
      <c r="A50" s="2" t="s">
        <v>1293</v>
      </c>
      <c r="B50" s="2" t="s">
        <v>1294</v>
      </c>
      <c r="C50" s="235" t="s">
        <v>1295</v>
      </c>
      <c r="D50" s="374" t="s">
        <v>261</v>
      </c>
      <c r="E50" s="374">
        <v>42917</v>
      </c>
      <c r="F50" s="374"/>
      <c r="G50" s="374"/>
      <c r="H50" s="374">
        <v>44621</v>
      </c>
      <c r="I50" s="235"/>
      <c r="J50" s="518">
        <f t="shared" si="7"/>
        <v>5</v>
      </c>
      <c r="K50" s="513">
        <v>332</v>
      </c>
      <c r="L50" s="514" t="s">
        <v>44</v>
      </c>
      <c r="M50" s="513">
        <v>1567</v>
      </c>
      <c r="N50" s="513">
        <v>0</v>
      </c>
      <c r="O50" s="513">
        <f t="shared" si="2"/>
        <v>1567</v>
      </c>
      <c r="P50" s="269">
        <f t="shared" si="3"/>
        <v>4.7198795180722888</v>
      </c>
      <c r="Q50" s="515">
        <v>0.4</v>
      </c>
      <c r="R50" s="513">
        <v>0</v>
      </c>
      <c r="S50" s="515" t="s">
        <v>44</v>
      </c>
      <c r="T50" s="519">
        <v>332</v>
      </c>
      <c r="U50" s="514" t="s">
        <v>44</v>
      </c>
      <c r="V50" s="513">
        <v>1565</v>
      </c>
      <c r="W50" s="513">
        <v>0</v>
      </c>
      <c r="X50" s="513">
        <f t="shared" si="4"/>
        <v>1565</v>
      </c>
      <c r="Y50" s="268">
        <f t="shared" si="5"/>
        <v>4.7138554216867474</v>
      </c>
      <c r="Z50" s="513" t="s">
        <v>1296</v>
      </c>
      <c r="AA50" s="513">
        <f t="shared" si="0"/>
        <v>-2</v>
      </c>
      <c r="AB50" s="515">
        <f t="shared" si="1"/>
        <v>-1.2763241863433805E-3</v>
      </c>
      <c r="AD50" s="2"/>
      <c r="AE50" s="2"/>
      <c r="AF50" s="2"/>
      <c r="AG50" s="2"/>
      <c r="AH50" s="2"/>
      <c r="AI50" s="2"/>
      <c r="AJ50" s="2"/>
      <c r="AK50" s="2"/>
      <c r="AL50" s="2"/>
      <c r="AM50" s="2"/>
    </row>
    <row r="51" spans="1:40" s="367" customFormat="1">
      <c r="A51" s="2" t="s">
        <v>1297</v>
      </c>
      <c r="B51" s="2" t="s">
        <v>1298</v>
      </c>
      <c r="C51" s="235" t="s">
        <v>260</v>
      </c>
      <c r="D51" s="374" t="s">
        <v>276</v>
      </c>
      <c r="E51" s="374">
        <v>43647</v>
      </c>
      <c r="F51" s="374"/>
      <c r="G51" s="374"/>
      <c r="H51" s="374" t="s">
        <v>44</v>
      </c>
      <c r="I51" s="235"/>
      <c r="J51" s="518" t="s">
        <v>44</v>
      </c>
      <c r="K51" s="513">
        <v>560</v>
      </c>
      <c r="L51" s="514" t="s">
        <v>44</v>
      </c>
      <c r="M51" s="513">
        <v>116</v>
      </c>
      <c r="N51" s="513">
        <v>970</v>
      </c>
      <c r="O51" s="513">
        <f t="shared" si="2"/>
        <v>1086</v>
      </c>
      <c r="P51" s="269">
        <f t="shared" si="3"/>
        <v>1.9392857142857143</v>
      </c>
      <c r="Q51" s="515">
        <v>0.2</v>
      </c>
      <c r="R51" s="513">
        <v>0</v>
      </c>
      <c r="S51" s="515" t="s">
        <v>44</v>
      </c>
      <c r="T51" s="519">
        <v>560</v>
      </c>
      <c r="U51" s="514" t="s">
        <v>44</v>
      </c>
      <c r="V51" s="513">
        <v>324</v>
      </c>
      <c r="W51" s="513">
        <v>799</v>
      </c>
      <c r="X51" s="513">
        <f t="shared" si="4"/>
        <v>1123</v>
      </c>
      <c r="Y51" s="268">
        <f t="shared" si="5"/>
        <v>2.0053571428571431</v>
      </c>
      <c r="Z51" s="515">
        <v>0.17</v>
      </c>
      <c r="AA51" s="513">
        <f t="shared" si="0"/>
        <v>37</v>
      </c>
      <c r="AB51" s="515">
        <f t="shared" si="1"/>
        <v>3.4069981583793707E-2</v>
      </c>
      <c r="AD51" s="2"/>
      <c r="AE51" s="2"/>
      <c r="AF51" s="2"/>
      <c r="AG51" s="2"/>
      <c r="AH51" s="2"/>
      <c r="AI51" s="2"/>
      <c r="AJ51" s="2"/>
      <c r="AK51" s="2"/>
      <c r="AL51" s="2"/>
      <c r="AM51" s="2"/>
    </row>
    <row r="52" spans="1:40" s="367" customFormat="1">
      <c r="A52" s="2" t="s">
        <v>1299</v>
      </c>
      <c r="B52" s="2" t="s">
        <v>1300</v>
      </c>
      <c r="C52" s="235" t="s">
        <v>113</v>
      </c>
      <c r="D52" s="374" t="s">
        <v>261</v>
      </c>
      <c r="E52" s="374">
        <v>42767</v>
      </c>
      <c r="F52" s="374"/>
      <c r="G52" s="374"/>
      <c r="H52" s="374">
        <v>44105</v>
      </c>
      <c r="I52" s="235"/>
      <c r="J52" s="518">
        <f t="shared" ref="J52:J53" si="8">YEAR(H52)-YEAR(E52)</f>
        <v>3</v>
      </c>
      <c r="K52" s="513">
        <v>173</v>
      </c>
      <c r="L52" s="514" t="s">
        <v>44</v>
      </c>
      <c r="M52" s="513">
        <v>549</v>
      </c>
      <c r="N52" s="513">
        <v>0</v>
      </c>
      <c r="O52" s="513">
        <f t="shared" si="2"/>
        <v>549</v>
      </c>
      <c r="P52" s="269">
        <f t="shared" si="3"/>
        <v>3.1734104046242773</v>
      </c>
      <c r="Q52" s="515">
        <v>0.39</v>
      </c>
      <c r="R52" s="513">
        <v>0</v>
      </c>
      <c r="S52" s="515" t="s">
        <v>44</v>
      </c>
      <c r="T52" s="519">
        <v>173</v>
      </c>
      <c r="U52" s="514" t="s">
        <v>44</v>
      </c>
      <c r="V52" s="513">
        <v>549</v>
      </c>
      <c r="W52" s="513">
        <v>0</v>
      </c>
      <c r="X52" s="513">
        <f t="shared" si="4"/>
        <v>549</v>
      </c>
      <c r="Y52" s="268">
        <f t="shared" si="5"/>
        <v>3.1734104046242773</v>
      </c>
      <c r="Z52" s="515">
        <v>0.39</v>
      </c>
      <c r="AA52" s="513">
        <f t="shared" si="0"/>
        <v>0</v>
      </c>
      <c r="AB52" s="515">
        <f t="shared" si="1"/>
        <v>0</v>
      </c>
      <c r="AD52" s="2"/>
      <c r="AE52" s="2"/>
      <c r="AF52" s="2"/>
      <c r="AG52" s="2"/>
      <c r="AH52" s="2"/>
      <c r="AI52" s="2"/>
      <c r="AJ52" s="2"/>
      <c r="AK52" s="2"/>
      <c r="AL52" s="2"/>
      <c r="AM52" s="2"/>
    </row>
    <row r="53" spans="1:40" s="367" customFormat="1">
      <c r="A53" s="2" t="s">
        <v>1301</v>
      </c>
      <c r="B53" s="2" t="s">
        <v>1302</v>
      </c>
      <c r="C53" s="235" t="s">
        <v>1303</v>
      </c>
      <c r="D53" s="374" t="s">
        <v>261</v>
      </c>
      <c r="E53" s="374">
        <v>42705</v>
      </c>
      <c r="F53" s="374"/>
      <c r="G53" s="374"/>
      <c r="H53" s="374">
        <v>44470</v>
      </c>
      <c r="I53" s="235"/>
      <c r="J53" s="518">
        <f t="shared" si="8"/>
        <v>5</v>
      </c>
      <c r="K53" s="513">
        <v>161</v>
      </c>
      <c r="L53" s="514" t="s">
        <v>44</v>
      </c>
      <c r="M53" s="513">
        <v>413</v>
      </c>
      <c r="N53" s="513">
        <v>0</v>
      </c>
      <c r="O53" s="513">
        <f t="shared" si="2"/>
        <v>413</v>
      </c>
      <c r="P53" s="269">
        <f t="shared" si="3"/>
        <v>2.5652173913043477</v>
      </c>
      <c r="Q53" s="515">
        <v>0.23</v>
      </c>
      <c r="R53" s="513">
        <v>0</v>
      </c>
      <c r="S53" s="515" t="s">
        <v>44</v>
      </c>
      <c r="T53" s="519">
        <v>161</v>
      </c>
      <c r="U53" s="514" t="s">
        <v>44</v>
      </c>
      <c r="V53" s="513">
        <v>413</v>
      </c>
      <c r="W53" s="513">
        <v>0</v>
      </c>
      <c r="X53" s="513">
        <f t="shared" si="4"/>
        <v>413</v>
      </c>
      <c r="Y53" s="268">
        <f t="shared" si="5"/>
        <v>2.5652173913043477</v>
      </c>
      <c r="Z53" s="513" t="s">
        <v>1304</v>
      </c>
      <c r="AA53" s="513">
        <f t="shared" si="0"/>
        <v>0</v>
      </c>
      <c r="AB53" s="515">
        <f t="shared" si="1"/>
        <v>0</v>
      </c>
      <c r="AD53" s="2"/>
      <c r="AE53" s="2"/>
      <c r="AF53" s="2"/>
      <c r="AG53" s="2"/>
      <c r="AH53" s="2"/>
      <c r="AI53" s="2"/>
      <c r="AJ53" s="2"/>
      <c r="AK53" s="2"/>
      <c r="AL53" s="2"/>
      <c r="AM53" s="2"/>
    </row>
    <row r="54" spans="1:40" s="367" customFormat="1">
      <c r="A54" s="2" t="s">
        <v>1305</v>
      </c>
      <c r="B54" s="2" t="s">
        <v>1306</v>
      </c>
      <c r="C54" s="235" t="s">
        <v>1278</v>
      </c>
      <c r="D54" s="374" t="s">
        <v>663</v>
      </c>
      <c r="E54" s="374">
        <v>43617</v>
      </c>
      <c r="F54" s="374"/>
      <c r="G54" s="374"/>
      <c r="H54" s="374" t="s">
        <v>44</v>
      </c>
      <c r="I54" s="235"/>
      <c r="J54" s="518" t="s">
        <v>44</v>
      </c>
      <c r="K54" s="513">
        <v>358</v>
      </c>
      <c r="L54" s="514" t="s">
        <v>44</v>
      </c>
      <c r="M54" s="513">
        <v>0</v>
      </c>
      <c r="N54" s="513">
        <v>1533</v>
      </c>
      <c r="O54" s="513">
        <f t="shared" si="2"/>
        <v>1533</v>
      </c>
      <c r="P54" s="269">
        <f t="shared" si="3"/>
        <v>4.2821229050279328</v>
      </c>
      <c r="Q54" s="515">
        <v>0.53</v>
      </c>
      <c r="R54" s="513">
        <v>0</v>
      </c>
      <c r="S54" s="515" t="s">
        <v>44</v>
      </c>
      <c r="T54" s="519">
        <v>407</v>
      </c>
      <c r="U54" s="514" t="s">
        <v>44</v>
      </c>
      <c r="V54" s="513">
        <v>0</v>
      </c>
      <c r="W54" s="513">
        <v>0</v>
      </c>
      <c r="X54" s="513">
        <f t="shared" si="4"/>
        <v>0</v>
      </c>
      <c r="Y54" s="268">
        <f t="shared" si="5"/>
        <v>0</v>
      </c>
      <c r="Z54" s="515" t="s">
        <v>1307</v>
      </c>
      <c r="AA54" s="513">
        <f t="shared" si="0"/>
        <v>-1533</v>
      </c>
      <c r="AB54" s="515">
        <f t="shared" si="1"/>
        <v>-1</v>
      </c>
      <c r="AD54" s="2"/>
      <c r="AE54" s="2"/>
      <c r="AF54" s="2"/>
      <c r="AG54" s="2"/>
      <c r="AH54" s="2"/>
      <c r="AI54" s="2"/>
      <c r="AJ54" s="2"/>
      <c r="AK54" s="2"/>
      <c r="AL54" s="2"/>
      <c r="AM54" s="2"/>
    </row>
    <row r="55" spans="1:40" s="367" customFormat="1">
      <c r="A55" s="2" t="s">
        <v>1308</v>
      </c>
      <c r="B55" s="2" t="s">
        <v>1309</v>
      </c>
      <c r="C55" s="235" t="s">
        <v>99</v>
      </c>
      <c r="D55" s="374" t="s">
        <v>276</v>
      </c>
      <c r="E55" s="374">
        <v>43221</v>
      </c>
      <c r="F55" s="374"/>
      <c r="G55" s="374"/>
      <c r="H55" s="374" t="s">
        <v>44</v>
      </c>
      <c r="I55" s="235"/>
      <c r="J55" s="518" t="s">
        <v>44</v>
      </c>
      <c r="K55" s="513">
        <v>184</v>
      </c>
      <c r="L55" s="514" t="s">
        <v>44</v>
      </c>
      <c r="M55" s="513">
        <v>303</v>
      </c>
      <c r="N55" s="513">
        <v>53</v>
      </c>
      <c r="O55" s="513">
        <f t="shared" si="2"/>
        <v>356</v>
      </c>
      <c r="P55" s="269">
        <f t="shared" si="3"/>
        <v>1.9347826086956521</v>
      </c>
      <c r="Q55" s="515">
        <v>0.34</v>
      </c>
      <c r="R55" s="513">
        <v>0</v>
      </c>
      <c r="S55" s="515" t="s">
        <v>44</v>
      </c>
      <c r="T55" s="519">
        <v>184</v>
      </c>
      <c r="U55" s="514" t="s">
        <v>44</v>
      </c>
      <c r="V55" s="513">
        <v>303</v>
      </c>
      <c r="W55" s="513">
        <v>65</v>
      </c>
      <c r="X55" s="513">
        <f t="shared" si="4"/>
        <v>368</v>
      </c>
      <c r="Y55" s="268">
        <f t="shared" si="5"/>
        <v>2</v>
      </c>
      <c r="Z55" s="515">
        <v>0.34</v>
      </c>
      <c r="AA55" s="513">
        <f t="shared" si="0"/>
        <v>12</v>
      </c>
      <c r="AB55" s="515">
        <f t="shared" si="1"/>
        <v>3.3707865168539408E-2</v>
      </c>
      <c r="AD55" s="2"/>
      <c r="AE55" s="2"/>
      <c r="AF55" s="2"/>
      <c r="AG55" s="2"/>
      <c r="AH55" s="2"/>
      <c r="AI55" s="2"/>
      <c r="AJ55" s="2"/>
      <c r="AK55" s="2"/>
      <c r="AL55" s="2"/>
      <c r="AM55" s="2"/>
    </row>
    <row r="56" spans="1:40" s="367" customFormat="1">
      <c r="A56" s="2" t="s">
        <v>1310</v>
      </c>
      <c r="B56" s="2" t="s">
        <v>1311</v>
      </c>
      <c r="C56" s="235" t="s">
        <v>273</v>
      </c>
      <c r="D56" s="374" t="s">
        <v>276</v>
      </c>
      <c r="E56" s="374">
        <v>42948</v>
      </c>
      <c r="F56" s="374"/>
      <c r="G56" s="374"/>
      <c r="H56" s="374" t="s">
        <v>44</v>
      </c>
      <c r="I56" s="235"/>
      <c r="J56" s="518" t="s">
        <v>44</v>
      </c>
      <c r="K56" s="513">
        <v>250</v>
      </c>
      <c r="L56" s="514" t="s">
        <v>44</v>
      </c>
      <c r="M56" s="513">
        <v>346</v>
      </c>
      <c r="N56" s="513">
        <v>152</v>
      </c>
      <c r="O56" s="513">
        <f t="shared" si="2"/>
        <v>498</v>
      </c>
      <c r="P56" s="269">
        <f t="shared" si="3"/>
        <v>1.992</v>
      </c>
      <c r="Q56" s="515">
        <v>0.15</v>
      </c>
      <c r="R56" s="513">
        <v>0</v>
      </c>
      <c r="S56" s="515" t="s">
        <v>44</v>
      </c>
      <c r="T56" s="519">
        <v>250</v>
      </c>
      <c r="U56" s="514" t="s">
        <v>44</v>
      </c>
      <c r="V56" s="513">
        <v>348</v>
      </c>
      <c r="W56" s="513">
        <v>169</v>
      </c>
      <c r="X56" s="513">
        <f t="shared" si="4"/>
        <v>517</v>
      </c>
      <c r="Y56" s="268">
        <f t="shared" si="5"/>
        <v>2.0680000000000001</v>
      </c>
      <c r="Z56" s="515">
        <v>0.15</v>
      </c>
      <c r="AA56" s="513">
        <f t="shared" si="0"/>
        <v>19</v>
      </c>
      <c r="AB56" s="515">
        <f t="shared" si="1"/>
        <v>3.8152610441767099E-2</v>
      </c>
      <c r="AD56" s="2"/>
      <c r="AE56" s="2"/>
      <c r="AF56" s="2"/>
      <c r="AG56" s="2"/>
      <c r="AH56" s="2"/>
      <c r="AI56" s="2"/>
      <c r="AJ56" s="2"/>
      <c r="AK56" s="2"/>
      <c r="AL56" s="2"/>
      <c r="AM56" s="2"/>
    </row>
    <row r="57" spans="1:40" s="367" customFormat="1">
      <c r="A57" s="2" t="s">
        <v>1312</v>
      </c>
      <c r="B57" s="2" t="s">
        <v>1313</v>
      </c>
      <c r="C57" s="235" t="s">
        <v>264</v>
      </c>
      <c r="D57" s="374" t="s">
        <v>584</v>
      </c>
      <c r="E57" s="374">
        <v>43313</v>
      </c>
      <c r="F57" s="374"/>
      <c r="G57" s="374"/>
      <c r="H57" s="374" t="s">
        <v>44</v>
      </c>
      <c r="I57" s="235"/>
      <c r="J57" s="518" t="s">
        <v>44</v>
      </c>
      <c r="K57" s="513">
        <v>214</v>
      </c>
      <c r="L57" s="514" t="s">
        <v>44</v>
      </c>
      <c r="M57" s="513">
        <v>-11</v>
      </c>
      <c r="N57" s="513">
        <v>63</v>
      </c>
      <c r="O57" s="513">
        <f t="shared" si="2"/>
        <v>52</v>
      </c>
      <c r="P57" s="269">
        <f t="shared" si="3"/>
        <v>0.24299065420560748</v>
      </c>
      <c r="Q57" s="515" t="s">
        <v>44</v>
      </c>
      <c r="R57" s="513">
        <v>0</v>
      </c>
      <c r="S57" s="515" t="s">
        <v>44</v>
      </c>
      <c r="T57" s="519">
        <v>214</v>
      </c>
      <c r="U57" s="514" t="s">
        <v>44</v>
      </c>
      <c r="V57" s="513">
        <v>-11</v>
      </c>
      <c r="W57" s="513">
        <v>62</v>
      </c>
      <c r="X57" s="513">
        <f t="shared" si="4"/>
        <v>51</v>
      </c>
      <c r="Y57" s="268">
        <f t="shared" si="5"/>
        <v>0.23831775700934579</v>
      </c>
      <c r="Z57" s="513">
        <v>0</v>
      </c>
      <c r="AA57" s="513">
        <f t="shared" si="0"/>
        <v>-1</v>
      </c>
      <c r="AB57" s="515">
        <f t="shared" si="1"/>
        <v>-1.9230769230769273E-2</v>
      </c>
      <c r="AD57" s="2"/>
      <c r="AE57" s="2"/>
      <c r="AF57" s="2"/>
      <c r="AG57" s="2"/>
      <c r="AH57" s="2"/>
      <c r="AI57" s="2"/>
      <c r="AJ57" s="2"/>
      <c r="AK57" s="2"/>
      <c r="AL57" s="2"/>
      <c r="AM57" s="2"/>
    </row>
    <row r="59" spans="1:40" s="520" customFormat="1" ht="12" thickBot="1">
      <c r="A59" s="520" t="s">
        <v>45</v>
      </c>
      <c r="K59" s="521">
        <f>SUM(K32:K57)</f>
        <v>7473</v>
      </c>
      <c r="M59" s="522">
        <f>SUM(M32:M57)</f>
        <v>6904</v>
      </c>
      <c r="N59" s="522">
        <f>SUM(N32:N57)</f>
        <v>7664</v>
      </c>
      <c r="O59" s="522">
        <f>SUM(O32:O57)</f>
        <v>14568</v>
      </c>
      <c r="P59" s="523">
        <f t="shared" si="3"/>
        <v>1.9494179044560418</v>
      </c>
      <c r="Q59" s="524" t="s">
        <v>44</v>
      </c>
      <c r="R59" s="524" t="s">
        <v>44</v>
      </c>
      <c r="S59" s="524" t="s">
        <v>44</v>
      </c>
      <c r="T59" s="521">
        <f>SUM(T32:T57)</f>
        <v>7622</v>
      </c>
      <c r="V59" s="522">
        <f>SUM(V32:V57)</f>
        <v>7215</v>
      </c>
      <c r="W59" s="522">
        <f>SUM(W32:W57)</f>
        <v>6030</v>
      </c>
      <c r="X59" s="522">
        <f>SUM(X32:X57)</f>
        <v>13245</v>
      </c>
      <c r="Y59" s="523">
        <f t="shared" ref="Y59" si="9">X59/T59</f>
        <v>1.7377328785095776</v>
      </c>
      <c r="Z59" s="525" t="s">
        <v>44</v>
      </c>
      <c r="AA59" s="525">
        <f t="shared" ref="AA59" si="10">X59-O59</f>
        <v>-1323</v>
      </c>
      <c r="AB59" s="526">
        <f t="shared" ref="AB59" si="11">IFERROR(X59/O59-1,0)</f>
        <v>-9.0815485996705081E-2</v>
      </c>
      <c r="AC59" s="527"/>
      <c r="AN59" s="527"/>
    </row>
    <row r="61" spans="1:40" s="389" customFormat="1">
      <c r="A61" s="388" t="s">
        <v>277</v>
      </c>
      <c r="K61" s="528">
        <f>SUMIF($D$32:$D$57,"Unrealized",K$32:K$57)+SUMIF($D$32:$D$57,"Partial Realized",K$32:K$57)</f>
        <v>4873</v>
      </c>
      <c r="M61" s="529">
        <f>SUMIF($D$32:$D$57,"Unrealized",M$32:M$57)+SUMIF($D$32:$D$57,"Partial Realized",M$32:M$57)</f>
        <v>1112</v>
      </c>
      <c r="N61" s="529">
        <f>SUMIF($D$32:$D$57,"Unrealized",N$32:N$57)+SUMIF($D$32:$D$57,"Partial Realized",N$32:N$57)</f>
        <v>6131</v>
      </c>
      <c r="O61" s="529">
        <f>SUMIF($D$32:$D$57,"Unrealized",O$32:O$57)+SUMIF($D$32:$D$57,"Partial Realized",O$32:O$57)</f>
        <v>7243</v>
      </c>
      <c r="P61" s="530">
        <f t="shared" si="3"/>
        <v>1.4863533757438949</v>
      </c>
      <c r="R61" s="531" t="s">
        <v>44</v>
      </c>
      <c r="S61" s="532" t="s">
        <v>44</v>
      </c>
      <c r="T61" s="528">
        <f>SUMIF($D$32:$D$57,"Unrealized",T$32:T$57)+SUMIF($D$32:$D$57,"Partial Realized",T$32:T$57)</f>
        <v>4973</v>
      </c>
      <c r="V61" s="529">
        <f>SUMIF($D$32:$D$57,"Unrealized",V$32:V$57)+SUMIF($D$32:$D$57,"Partial Realized",V$32:V$57)</f>
        <v>1425</v>
      </c>
      <c r="W61" s="529">
        <f>SUMIF($D$32:$D$57,"Unrealized",W$32:W$57)+SUMIF($D$32:$D$57,"Partial Realized",W$32:W$57)</f>
        <v>6030</v>
      </c>
      <c r="X61" s="529">
        <f>SUMIF($D$32:$D$57,"Unrealized",X$32:X$57)+SUMIF($D$32:$D$57,"Partial Realized",X$32:X$57)</f>
        <v>7455</v>
      </c>
      <c r="Y61" s="530">
        <f t="shared" ref="Y61:Y62" si="12">X61/T61</f>
        <v>1.4990951136135129</v>
      </c>
      <c r="AA61" s="533">
        <f t="shared" ref="AA61:AA62" si="13">X61-O61</f>
        <v>212</v>
      </c>
      <c r="AB61" s="534">
        <f t="shared" ref="AB61:AB62" si="14">IFERROR(X61/O61-1,0)</f>
        <v>2.9269639652077961E-2</v>
      </c>
      <c r="AN61" s="535"/>
    </row>
    <row r="62" spans="1:40" s="389" customFormat="1">
      <c r="A62" s="388" t="s">
        <v>278</v>
      </c>
      <c r="K62" s="528">
        <f>SUMIF($D$32:$D$57,"Realized",K$32:K$57)+SUMIF($D$32:$D$57,"Write-off",K$32:K$57)</f>
        <v>2600</v>
      </c>
      <c r="M62" s="529">
        <f>SUMIF($D$32:$D$57,"Realized",M$32:M$57)+SUMIF($D$32:$D$57,"Write-off",M$32:M$57)</f>
        <v>5792</v>
      </c>
      <c r="N62" s="529">
        <f>SUMIF($D$32:$D$57,"Realized",N$32:N$57)+SUMIF($D$32:$D$57,"Write-off",N$32:N$57)</f>
        <v>1533</v>
      </c>
      <c r="O62" s="529">
        <f>SUMIF($D$32:$D$57,"Realized",O$32:O$57)+SUMIF($D$32:$D$57,"Write-off",O$32:O$57)</f>
        <v>7325</v>
      </c>
      <c r="P62" s="530">
        <f t="shared" si="3"/>
        <v>2.8173076923076925</v>
      </c>
      <c r="R62" s="531" t="s">
        <v>44</v>
      </c>
      <c r="S62" s="532" t="s">
        <v>44</v>
      </c>
      <c r="T62" s="528">
        <f>SUMIF($D$32:$D$57,"Realized",T$32:T$57)+SUMIF($D$32:$D$57,"Write-off",T$32:T$57)</f>
        <v>2649</v>
      </c>
      <c r="V62" s="529">
        <f>SUMIF($D$32:$D$57,"Realized",V$32:V$57)+SUMIF($D$32:$D$57,"Write-off",V$32:V$57)</f>
        <v>5790</v>
      </c>
      <c r="W62" s="529">
        <f>SUMIF($D$32:$D$57,"Realized",W$32:W$57)+SUMIF($D$32:$D$57,"Write-off",W$32:W$57)</f>
        <v>0</v>
      </c>
      <c r="X62" s="529">
        <f>SUMIF($D$32:$D$57,"Realized",X$32:X$57)+SUMIF($D$32:$D$57,"Write-off",X$32:X$57)</f>
        <v>5790</v>
      </c>
      <c r="Y62" s="530">
        <f t="shared" si="12"/>
        <v>2.185730464326161</v>
      </c>
      <c r="AA62" s="533">
        <f t="shared" si="13"/>
        <v>-1535</v>
      </c>
      <c r="AB62" s="534">
        <f t="shared" si="14"/>
        <v>-0.20955631399317409</v>
      </c>
      <c r="AN62" s="535"/>
    </row>
    <row r="65" spans="1:40" s="536" customFormat="1">
      <c r="A65" s="536" t="s">
        <v>279</v>
      </c>
      <c r="K65" s="537"/>
      <c r="T65" s="537"/>
      <c r="AC65" s="537"/>
      <c r="AN65" s="537"/>
    </row>
    <row r="66" spans="1:40" ht="13.5" customHeight="1">
      <c r="K66" s="538" t="s">
        <v>236</v>
      </c>
      <c r="L66" s="539"/>
      <c r="M66" s="539"/>
      <c r="N66" s="539"/>
      <c r="O66" s="539"/>
      <c r="P66" s="539"/>
      <c r="Q66" s="540"/>
      <c r="R66" s="540"/>
      <c r="S66" s="539"/>
      <c r="T66" s="503" t="s">
        <v>237</v>
      </c>
      <c r="U66" s="504"/>
      <c r="V66" s="504"/>
      <c r="W66" s="504"/>
      <c r="X66" s="504"/>
      <c r="Y66" s="504"/>
      <c r="Z66" s="505"/>
      <c r="AA66" s="505"/>
      <c r="AB66" s="504"/>
      <c r="AC66" s="503" t="s">
        <v>238</v>
      </c>
      <c r="AD66" s="504"/>
      <c r="AE66" s="504"/>
      <c r="AF66" s="504"/>
      <c r="AG66" s="539"/>
      <c r="AH66" s="539"/>
      <c r="AI66" s="540"/>
      <c r="AJ66" s="540"/>
      <c r="AK66" s="540"/>
      <c r="AL66" s="540"/>
      <c r="AM66" s="539"/>
    </row>
    <row r="67" spans="1:40" s="141" customFormat="1" ht="39.75" customHeight="1">
      <c r="A67" s="138" t="s">
        <v>239</v>
      </c>
      <c r="B67" s="139" t="s">
        <v>240</v>
      </c>
      <c r="C67" s="139" t="s">
        <v>69</v>
      </c>
      <c r="D67" s="139" t="s">
        <v>241</v>
      </c>
      <c r="E67" s="139" t="s">
        <v>242</v>
      </c>
      <c r="F67" s="139" t="s">
        <v>243</v>
      </c>
      <c r="G67" s="139" t="s">
        <v>244</v>
      </c>
      <c r="H67" s="139" t="s">
        <v>245</v>
      </c>
      <c r="I67" s="139" t="s">
        <v>246</v>
      </c>
      <c r="J67" s="501" t="s">
        <v>247</v>
      </c>
      <c r="K67" s="541" t="s">
        <v>280</v>
      </c>
      <c r="L67" s="542"/>
      <c r="M67" s="543"/>
      <c r="N67" s="542"/>
      <c r="O67" s="541" t="s">
        <v>281</v>
      </c>
      <c r="P67" s="542"/>
      <c r="Q67" s="543"/>
      <c r="R67" s="542"/>
      <c r="S67" s="544"/>
      <c r="T67" s="541" t="s">
        <v>280</v>
      </c>
      <c r="U67" s="542"/>
      <c r="V67" s="543"/>
      <c r="W67" s="542"/>
      <c r="X67" s="541" t="s">
        <v>281</v>
      </c>
      <c r="Y67" s="542"/>
      <c r="Z67" s="543"/>
      <c r="AA67" s="542"/>
      <c r="AB67" s="544"/>
      <c r="AC67" s="541" t="s">
        <v>280</v>
      </c>
      <c r="AD67" s="542"/>
      <c r="AE67" s="543"/>
      <c r="AF67" s="542"/>
      <c r="AG67" s="541" t="s">
        <v>281</v>
      </c>
      <c r="AH67" s="542"/>
      <c r="AI67" s="543"/>
      <c r="AJ67" s="542"/>
      <c r="AK67" s="545"/>
      <c r="AL67" s="545"/>
      <c r="AM67" s="544"/>
      <c r="AN67" s="510"/>
    </row>
    <row r="68" spans="1:40">
      <c r="A68" s="2" t="s">
        <v>1246</v>
      </c>
      <c r="B68" s="2" t="s">
        <v>1247</v>
      </c>
      <c r="C68" s="235" t="s">
        <v>99</v>
      </c>
      <c r="D68" s="374" t="s">
        <v>584</v>
      </c>
      <c r="E68" s="374">
        <v>43891</v>
      </c>
      <c r="F68" s="374"/>
      <c r="G68" s="374"/>
      <c r="H68" s="374" t="s">
        <v>44</v>
      </c>
      <c r="I68" s="235"/>
      <c r="J68" s="512" t="s">
        <v>44</v>
      </c>
      <c r="W68" s="553"/>
    </row>
    <row r="69" spans="1:40">
      <c r="A69" s="2" t="s">
        <v>1249</v>
      </c>
      <c r="B69" s="2" t="s">
        <v>1250</v>
      </c>
      <c r="C69" s="235" t="s">
        <v>260</v>
      </c>
      <c r="D69" s="374" t="s">
        <v>261</v>
      </c>
      <c r="E69" s="374">
        <v>42979</v>
      </c>
      <c r="F69" s="374"/>
      <c r="G69" s="374"/>
      <c r="H69" s="374">
        <v>44562</v>
      </c>
      <c r="I69" s="235"/>
      <c r="J69" s="518">
        <f>YEAR(H69)-YEAR(E69)</f>
        <v>5</v>
      </c>
      <c r="W69" s="368"/>
    </row>
    <row r="70" spans="1:40">
      <c r="A70" s="2" t="s">
        <v>1252</v>
      </c>
      <c r="B70" s="2" t="s">
        <v>1253</v>
      </c>
      <c r="C70" s="235" t="s">
        <v>264</v>
      </c>
      <c r="D70" s="374" t="s">
        <v>584</v>
      </c>
      <c r="E70" s="374">
        <v>43344</v>
      </c>
      <c r="F70" s="374"/>
      <c r="G70" s="374"/>
      <c r="H70" s="374" t="s">
        <v>44</v>
      </c>
      <c r="I70" s="235"/>
      <c r="J70" s="518" t="s">
        <v>44</v>
      </c>
      <c r="W70" s="368"/>
    </row>
    <row r="71" spans="1:40">
      <c r="A71" s="2" t="s">
        <v>1255</v>
      </c>
      <c r="B71" s="2" t="s">
        <v>1256</v>
      </c>
      <c r="C71" s="235" t="s">
        <v>99</v>
      </c>
      <c r="D71" s="374" t="s">
        <v>584</v>
      </c>
      <c r="E71" s="374">
        <v>43952</v>
      </c>
      <c r="F71" s="374"/>
      <c r="G71" s="374"/>
      <c r="H71" s="374" t="s">
        <v>44</v>
      </c>
      <c r="I71" s="235"/>
      <c r="J71" s="518" t="s">
        <v>44</v>
      </c>
      <c r="W71" s="368"/>
    </row>
    <row r="72" spans="1:40">
      <c r="A72" s="2" t="s">
        <v>1258</v>
      </c>
      <c r="B72" s="2" t="s">
        <v>1259</v>
      </c>
      <c r="C72" s="235" t="s">
        <v>99</v>
      </c>
      <c r="D72" s="374" t="s">
        <v>584</v>
      </c>
      <c r="E72" s="374">
        <v>44166</v>
      </c>
      <c r="F72" s="374"/>
      <c r="G72" s="374"/>
      <c r="H72" s="374" t="s">
        <v>44</v>
      </c>
      <c r="I72" s="235"/>
      <c r="J72" s="518" t="s">
        <v>44</v>
      </c>
      <c r="W72" s="368"/>
    </row>
    <row r="73" spans="1:40">
      <c r="A73" s="2" t="s">
        <v>1261</v>
      </c>
      <c r="B73" s="2" t="s">
        <v>1262</v>
      </c>
      <c r="C73" s="235" t="s">
        <v>264</v>
      </c>
      <c r="D73" s="374" t="s">
        <v>276</v>
      </c>
      <c r="E73" s="374">
        <v>42705</v>
      </c>
      <c r="F73" s="374"/>
      <c r="G73" s="374"/>
      <c r="H73" s="374" t="s">
        <v>44</v>
      </c>
      <c r="I73" s="235"/>
      <c r="J73" s="518" t="s">
        <v>44</v>
      </c>
      <c r="W73" s="368"/>
    </row>
    <row r="74" spans="1:40">
      <c r="A74" s="2" t="s">
        <v>1263</v>
      </c>
      <c r="B74" s="2" t="s">
        <v>1264</v>
      </c>
      <c r="C74" s="235" t="s">
        <v>114</v>
      </c>
      <c r="D74" s="374" t="s">
        <v>261</v>
      </c>
      <c r="E74" s="374">
        <v>43132</v>
      </c>
      <c r="F74" s="374"/>
      <c r="G74" s="374"/>
      <c r="H74" s="374">
        <v>44743</v>
      </c>
      <c r="I74" s="235"/>
      <c r="J74" s="518">
        <f t="shared" ref="J74:J75" si="15">YEAR(H74)-YEAR(E74)</f>
        <v>4</v>
      </c>
      <c r="W74" s="368"/>
    </row>
    <row r="75" spans="1:40">
      <c r="A75" s="2" t="s">
        <v>1266</v>
      </c>
      <c r="B75" s="2" t="s">
        <v>1267</v>
      </c>
      <c r="C75" s="235" t="s">
        <v>114</v>
      </c>
      <c r="D75" s="374" t="s">
        <v>261</v>
      </c>
      <c r="E75" s="374">
        <v>43405</v>
      </c>
      <c r="F75" s="374"/>
      <c r="G75" s="374"/>
      <c r="H75" s="374">
        <v>43983</v>
      </c>
      <c r="I75" s="235"/>
      <c r="J75" s="518">
        <f t="shared" si="15"/>
        <v>2</v>
      </c>
      <c r="W75" s="368"/>
    </row>
    <row r="76" spans="1:40">
      <c r="A76" s="2" t="s">
        <v>1268</v>
      </c>
      <c r="B76" s="2" t="s">
        <v>1269</v>
      </c>
      <c r="C76" s="235" t="s">
        <v>273</v>
      </c>
      <c r="D76" s="374" t="s">
        <v>276</v>
      </c>
      <c r="E76" s="374">
        <v>43678</v>
      </c>
      <c r="F76" s="374"/>
      <c r="G76" s="374"/>
      <c r="H76" s="374" t="s">
        <v>44</v>
      </c>
      <c r="I76" s="235"/>
      <c r="J76" s="518" t="s">
        <v>44</v>
      </c>
      <c r="T76" s="367" t="s">
        <v>1314</v>
      </c>
      <c r="W76" s="368"/>
      <c r="X76" s="2" t="s">
        <v>1315</v>
      </c>
    </row>
    <row r="77" spans="1:40">
      <c r="A77" s="2" t="s">
        <v>1271</v>
      </c>
      <c r="B77" s="2" t="s">
        <v>1272</v>
      </c>
      <c r="C77" s="235" t="s">
        <v>273</v>
      </c>
      <c r="D77" s="374" t="s">
        <v>276</v>
      </c>
      <c r="E77" s="374">
        <v>43739</v>
      </c>
      <c r="F77" s="374"/>
      <c r="G77" s="374"/>
      <c r="H77" s="374" t="s">
        <v>44</v>
      </c>
      <c r="I77" s="235"/>
      <c r="J77" s="518" t="s">
        <v>44</v>
      </c>
      <c r="T77" s="367" t="s">
        <v>1316</v>
      </c>
      <c r="W77" s="368"/>
      <c r="X77" s="2" t="s">
        <v>1317</v>
      </c>
    </row>
    <row r="78" spans="1:40">
      <c r="A78" s="2" t="s">
        <v>1274</v>
      </c>
      <c r="B78" s="2" t="s">
        <v>1275</v>
      </c>
      <c r="C78" s="235" t="s">
        <v>113</v>
      </c>
      <c r="D78" s="374" t="s">
        <v>276</v>
      </c>
      <c r="E78" s="374">
        <v>44228</v>
      </c>
      <c r="F78" s="374"/>
      <c r="G78" s="374"/>
      <c r="H78" s="374" t="s">
        <v>44</v>
      </c>
      <c r="I78" s="235"/>
      <c r="J78" s="518" t="s">
        <v>44</v>
      </c>
      <c r="W78" s="368"/>
    </row>
    <row r="79" spans="1:40">
      <c r="A79" s="2" t="s">
        <v>1276</v>
      </c>
      <c r="B79" s="2" t="s">
        <v>1277</v>
      </c>
      <c r="C79" s="235" t="s">
        <v>1278</v>
      </c>
      <c r="D79" s="374" t="s">
        <v>584</v>
      </c>
      <c r="E79" s="374">
        <v>43831</v>
      </c>
      <c r="F79" s="374"/>
      <c r="G79" s="374"/>
      <c r="H79" s="374" t="s">
        <v>44</v>
      </c>
      <c r="I79" s="235"/>
      <c r="J79" s="518" t="s">
        <v>44</v>
      </c>
      <c r="W79" s="368"/>
    </row>
    <row r="80" spans="1:40">
      <c r="A80" s="2" t="s">
        <v>1279</v>
      </c>
      <c r="B80" s="2" t="s">
        <v>1280</v>
      </c>
      <c r="C80" s="235" t="s">
        <v>99</v>
      </c>
      <c r="D80" s="374" t="s">
        <v>276</v>
      </c>
      <c r="E80" s="374">
        <v>43252</v>
      </c>
      <c r="F80" s="374"/>
      <c r="G80" s="374"/>
      <c r="H80" s="374" t="s">
        <v>44</v>
      </c>
      <c r="I80" s="235"/>
      <c r="J80" s="518" t="s">
        <v>44</v>
      </c>
      <c r="T80" s="367" t="s">
        <v>1318</v>
      </c>
      <c r="W80" s="368"/>
      <c r="X80" s="2" t="s">
        <v>1319</v>
      </c>
    </row>
    <row r="81" spans="1:40">
      <c r="A81" s="2" t="s">
        <v>1281</v>
      </c>
      <c r="B81" s="2" t="s">
        <v>1282</v>
      </c>
      <c r="C81" s="235" t="s">
        <v>99</v>
      </c>
      <c r="D81" s="374" t="s">
        <v>261</v>
      </c>
      <c r="E81" s="374">
        <v>42887</v>
      </c>
      <c r="F81" s="374"/>
      <c r="G81" s="374"/>
      <c r="H81" s="374">
        <v>44805</v>
      </c>
      <c r="I81" s="235"/>
      <c r="J81" s="518">
        <f>YEAR(H81)-YEAR(E81)</f>
        <v>5</v>
      </c>
      <c r="W81" s="368"/>
    </row>
    <row r="82" spans="1:40">
      <c r="A82" s="2" t="s">
        <v>1283</v>
      </c>
      <c r="B82" s="2" t="s">
        <v>1284</v>
      </c>
      <c r="C82" s="235" t="s">
        <v>264</v>
      </c>
      <c r="D82" s="374" t="s">
        <v>584</v>
      </c>
      <c r="E82" s="374">
        <v>42856</v>
      </c>
      <c r="F82" s="374"/>
      <c r="G82" s="374"/>
      <c r="H82" s="374" t="s">
        <v>44</v>
      </c>
      <c r="I82" s="235"/>
      <c r="J82" s="518" t="s">
        <v>44</v>
      </c>
      <c r="W82" s="368"/>
    </row>
    <row r="83" spans="1:40">
      <c r="A83" s="2" t="s">
        <v>1285</v>
      </c>
      <c r="B83" s="2" t="s">
        <v>1286</v>
      </c>
      <c r="C83" s="235" t="s">
        <v>260</v>
      </c>
      <c r="D83" s="374" t="s">
        <v>276</v>
      </c>
      <c r="E83" s="374">
        <v>44166</v>
      </c>
      <c r="F83" s="374"/>
      <c r="G83" s="374"/>
      <c r="H83" s="374" t="s">
        <v>44</v>
      </c>
      <c r="I83" s="235"/>
      <c r="J83" s="518" t="s">
        <v>44</v>
      </c>
      <c r="W83" s="368"/>
    </row>
    <row r="84" spans="1:40">
      <c r="A84" s="2" t="s">
        <v>1288</v>
      </c>
      <c r="B84" s="2" t="s">
        <v>1289</v>
      </c>
      <c r="C84" s="235" t="s">
        <v>99</v>
      </c>
      <c r="D84" s="374" t="s">
        <v>276</v>
      </c>
      <c r="E84" s="374">
        <v>44287</v>
      </c>
      <c r="F84" s="374"/>
      <c r="G84" s="374"/>
      <c r="H84" s="374" t="s">
        <v>44</v>
      </c>
      <c r="I84" s="235"/>
      <c r="J84" s="518" t="s">
        <v>44</v>
      </c>
      <c r="T84" s="367" t="s">
        <v>1320</v>
      </c>
      <c r="W84" s="368"/>
    </row>
    <row r="85" spans="1:40">
      <c r="A85" s="2" t="s">
        <v>1290</v>
      </c>
      <c r="B85" s="2" t="s">
        <v>1291</v>
      </c>
      <c r="C85" s="235" t="s">
        <v>113</v>
      </c>
      <c r="D85" s="374" t="s">
        <v>261</v>
      </c>
      <c r="E85" s="374">
        <v>43709</v>
      </c>
      <c r="F85" s="374"/>
      <c r="G85" s="374"/>
      <c r="H85" s="374">
        <v>44652</v>
      </c>
      <c r="I85" s="235"/>
      <c r="J85" s="518">
        <f t="shared" ref="J85:J86" si="16">YEAR(H85)-YEAR(E85)</f>
        <v>3</v>
      </c>
      <c r="W85" s="368"/>
    </row>
    <row r="86" spans="1:40">
      <c r="A86" s="2" t="s">
        <v>1293</v>
      </c>
      <c r="B86" s="2" t="s">
        <v>1294</v>
      </c>
      <c r="C86" s="235" t="s">
        <v>1295</v>
      </c>
      <c r="D86" s="374" t="s">
        <v>261</v>
      </c>
      <c r="E86" s="374">
        <v>42917</v>
      </c>
      <c r="F86" s="374"/>
      <c r="G86" s="374"/>
      <c r="H86" s="374">
        <v>44621</v>
      </c>
      <c r="I86" s="235"/>
      <c r="J86" s="518">
        <f t="shared" si="16"/>
        <v>5</v>
      </c>
      <c r="W86" s="368"/>
    </row>
    <row r="87" spans="1:40">
      <c r="A87" s="2" t="s">
        <v>1297</v>
      </c>
      <c r="B87" s="2" t="s">
        <v>1298</v>
      </c>
      <c r="C87" s="235" t="s">
        <v>260</v>
      </c>
      <c r="D87" s="374" t="s">
        <v>276</v>
      </c>
      <c r="E87" s="374">
        <v>43647</v>
      </c>
      <c r="F87" s="374"/>
      <c r="G87" s="374"/>
      <c r="H87" s="374" t="s">
        <v>44</v>
      </c>
      <c r="I87" s="235"/>
      <c r="J87" s="518" t="s">
        <v>44</v>
      </c>
      <c r="W87" s="368"/>
    </row>
    <row r="88" spans="1:40">
      <c r="A88" s="2" t="s">
        <v>1299</v>
      </c>
      <c r="B88" s="2" t="s">
        <v>1300</v>
      </c>
      <c r="C88" s="235" t="s">
        <v>113</v>
      </c>
      <c r="D88" s="374" t="s">
        <v>261</v>
      </c>
      <c r="E88" s="374">
        <v>42767</v>
      </c>
      <c r="F88" s="374"/>
      <c r="G88" s="374"/>
      <c r="H88" s="374">
        <v>44105</v>
      </c>
      <c r="I88" s="235"/>
      <c r="J88" s="518">
        <f t="shared" ref="J88:J89" si="17">YEAR(H88)-YEAR(E88)</f>
        <v>3</v>
      </c>
      <c r="W88" s="368"/>
    </row>
    <row r="89" spans="1:40">
      <c r="A89" s="2" t="s">
        <v>1301</v>
      </c>
      <c r="B89" s="2" t="s">
        <v>1302</v>
      </c>
      <c r="C89" s="235" t="s">
        <v>1303</v>
      </c>
      <c r="D89" s="374" t="s">
        <v>261</v>
      </c>
      <c r="E89" s="374">
        <v>42705</v>
      </c>
      <c r="F89" s="374"/>
      <c r="G89" s="374"/>
      <c r="H89" s="374">
        <v>44470</v>
      </c>
      <c r="I89" s="235"/>
      <c r="J89" s="518">
        <f t="shared" si="17"/>
        <v>5</v>
      </c>
      <c r="W89" s="368"/>
    </row>
    <row r="90" spans="1:40">
      <c r="A90" s="2" t="s">
        <v>1305</v>
      </c>
      <c r="B90" s="2" t="s">
        <v>1306</v>
      </c>
      <c r="C90" s="235" t="s">
        <v>1278</v>
      </c>
      <c r="D90" s="374" t="s">
        <v>663</v>
      </c>
      <c r="E90" s="374">
        <v>43617</v>
      </c>
      <c r="F90" s="374"/>
      <c r="G90" s="374"/>
      <c r="H90" s="374" t="s">
        <v>44</v>
      </c>
      <c r="I90" s="235"/>
      <c r="J90" s="518" t="s">
        <v>44</v>
      </c>
      <c r="T90" s="367" t="s">
        <v>1321</v>
      </c>
      <c r="W90" s="368"/>
      <c r="X90" s="2" t="s">
        <v>1322</v>
      </c>
    </row>
    <row r="91" spans="1:40">
      <c r="A91" s="2" t="s">
        <v>1308</v>
      </c>
      <c r="B91" s="2" t="s">
        <v>1309</v>
      </c>
      <c r="C91" s="235" t="s">
        <v>99</v>
      </c>
      <c r="D91" s="374" t="s">
        <v>276</v>
      </c>
      <c r="E91" s="374">
        <v>43221</v>
      </c>
      <c r="F91" s="374"/>
      <c r="G91" s="374"/>
      <c r="H91" s="374" t="s">
        <v>44</v>
      </c>
      <c r="I91" s="235"/>
      <c r="J91" s="518" t="s">
        <v>44</v>
      </c>
      <c r="W91" s="368"/>
    </row>
    <row r="92" spans="1:40">
      <c r="A92" s="2" t="s">
        <v>1310</v>
      </c>
      <c r="B92" s="2" t="s">
        <v>1311</v>
      </c>
      <c r="C92" s="235" t="s">
        <v>273</v>
      </c>
      <c r="D92" s="374" t="s">
        <v>276</v>
      </c>
      <c r="E92" s="374">
        <v>42948</v>
      </c>
      <c r="F92" s="374"/>
      <c r="G92" s="374"/>
      <c r="H92" s="374" t="s">
        <v>44</v>
      </c>
      <c r="I92" s="235"/>
      <c r="J92" s="518" t="s">
        <v>44</v>
      </c>
      <c r="W92" s="368"/>
    </row>
    <row r="93" spans="1:40" s="357" customFormat="1">
      <c r="A93" s="357" t="s">
        <v>1312</v>
      </c>
      <c r="B93" s="357" t="s">
        <v>1313</v>
      </c>
      <c r="C93" s="332" t="s">
        <v>264</v>
      </c>
      <c r="D93" s="562" t="s">
        <v>584</v>
      </c>
      <c r="E93" s="562">
        <v>43313</v>
      </c>
      <c r="F93" s="562"/>
      <c r="G93" s="562"/>
      <c r="H93" s="562" t="s">
        <v>44</v>
      </c>
      <c r="I93" s="332"/>
      <c r="J93" s="563" t="s">
        <v>44</v>
      </c>
      <c r="K93" s="369"/>
      <c r="T93" s="369"/>
      <c r="W93" s="370"/>
      <c r="AC93" s="369"/>
      <c r="AN93" s="369"/>
    </row>
  </sheetData>
  <conditionalFormatting sqref="R32:S57">
    <cfRule type="cellIs" dxfId="19" priority="5" operator="lessThan">
      <formula>0</formula>
    </cfRule>
    <cfRule type="cellIs" dxfId="18" priority="6" operator="greaterThan">
      <formula>0</formula>
    </cfRule>
  </conditionalFormatting>
  <conditionalFormatting sqref="AA32:AB57">
    <cfRule type="cellIs" dxfId="17" priority="9" operator="lessThan">
      <formula>0</formula>
    </cfRule>
    <cfRule type="cellIs" dxfId="16" priority="10" operator="greaterThan">
      <formula>0</formula>
    </cfRule>
  </conditionalFormatting>
  <conditionalFormatting sqref="AA59:AB59">
    <cfRule type="cellIs" dxfId="15" priority="3" operator="lessThan">
      <formula>0</formula>
    </cfRule>
    <cfRule type="cellIs" dxfId="14" priority="4" operator="greaterThan">
      <formula>0</formula>
    </cfRule>
  </conditionalFormatting>
  <conditionalFormatting sqref="AA61:AB62">
    <cfRule type="cellIs" dxfId="13" priority="1" operator="lessThan">
      <formula>0</formula>
    </cfRule>
    <cfRule type="cellIs" dxfId="12" priority="2" operator="greaterThan">
      <formula>0</formula>
    </cfRule>
  </conditionalFormatting>
  <conditionalFormatting sqref="AJ32:AM33">
    <cfRule type="cellIs" dxfId="11" priority="7" operator="lessThan">
      <formula>0</formula>
    </cfRule>
    <cfRule type="cellIs" dxfId="10" priority="8" operator="greaterThan">
      <formula>0</formula>
    </cfRule>
  </conditionalFormatting>
  <printOptions horizontalCentered="1"/>
  <pageMargins left="0.23622047244094491" right="0" top="0.35433070866141736" bottom="0.19685039370078741" header="0.15748031496062992" footer="0.15748031496062992"/>
  <pageSetup paperSize="8" scale="37" orientation="landscape" r:id="rId1"/>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E188E-D60A-4019-8447-A8ACD47E04DD}">
  <sheetPr>
    <tabColor theme="8"/>
  </sheetPr>
  <dimension ref="B1:R33"/>
  <sheetViews>
    <sheetView topLeftCell="A7" zoomScale="85" zoomScaleNormal="85" workbookViewId="0">
      <selection activeCell="G19" sqref="G19"/>
    </sheetView>
  </sheetViews>
  <sheetFormatPr defaultColWidth="9" defaultRowHeight="11.25"/>
  <cols>
    <col min="1" max="1" width="2" style="2" customWidth="1"/>
    <col min="2" max="2" width="18.7109375" style="2" customWidth="1"/>
    <col min="3" max="3" width="35.28515625" style="2" customWidth="1"/>
    <col min="4" max="4" width="11.42578125" style="2" bestFit="1" customWidth="1"/>
    <col min="5" max="6" width="14" style="2" customWidth="1"/>
    <col min="7" max="7" width="23.140625" style="2" bestFit="1" customWidth="1"/>
    <col min="8" max="8" width="18.7109375" style="2" customWidth="1"/>
    <col min="9" max="9" width="13.7109375" style="2" customWidth="1"/>
    <col min="10" max="10" width="14" style="2" customWidth="1"/>
    <col min="11" max="11" width="15.28515625" style="2" customWidth="1"/>
    <col min="12" max="12" width="15.7109375" style="255" bestFit="1" customWidth="1"/>
    <col min="13" max="13" width="23.28515625" style="2" bestFit="1" customWidth="1"/>
    <col min="14" max="14" width="15.7109375" style="2" customWidth="1"/>
    <col min="15" max="16" width="14.7109375" style="2" bestFit="1" customWidth="1"/>
    <col min="17" max="17" width="12.28515625" style="2" customWidth="1"/>
    <col min="18" max="16384" width="9" style="2"/>
  </cols>
  <sheetData>
    <row r="1" spans="2:17">
      <c r="B1" s="75" t="s">
        <v>282</v>
      </c>
      <c r="M1" s="635">
        <f>C3</f>
        <v>45657</v>
      </c>
      <c r="N1" s="636"/>
      <c r="O1" s="198" t="s">
        <v>283</v>
      </c>
      <c r="P1" s="199" t="s">
        <v>284</v>
      </c>
    </row>
    <row r="2" spans="2:17" ht="12" thickBot="1">
      <c r="M2" s="172" t="s">
        <v>285</v>
      </c>
      <c r="N2" s="173">
        <f>M31</f>
        <v>-20996048</v>
      </c>
      <c r="O2" s="201">
        <f>-3113548-17882500</f>
        <v>-20996048</v>
      </c>
      <c r="P2" s="205">
        <f>N2-O2</f>
        <v>0</v>
      </c>
    </row>
    <row r="3" spans="2:17" ht="12" thickBot="1">
      <c r="B3" s="202" t="s">
        <v>286</v>
      </c>
      <c r="C3" s="272">
        <f>'West Street VII'!E1</f>
        <v>45657</v>
      </c>
      <c r="D3" s="328"/>
      <c r="M3" s="172" t="s">
        <v>287</v>
      </c>
      <c r="N3" s="173">
        <f>P31</f>
        <v>14856555</v>
      </c>
      <c r="O3" s="201">
        <v>14856555</v>
      </c>
      <c r="P3" s="205">
        <f>N3-O3</f>
        <v>0</v>
      </c>
    </row>
    <row r="4" spans="2:17">
      <c r="M4" s="175" t="s">
        <v>288</v>
      </c>
      <c r="N4" s="176">
        <f>L33</f>
        <v>14507335</v>
      </c>
    </row>
    <row r="5" spans="2:17" s="75" customFormat="1">
      <c r="B5" s="75" t="s">
        <v>289</v>
      </c>
      <c r="C5" s="75" t="str">
        <f>'[5]West Street VII'!B2</f>
        <v>West Street Capital Partners VII Offshore, L.P.</v>
      </c>
      <c r="L5" s="257"/>
      <c r="M5" s="172" t="s">
        <v>75</v>
      </c>
      <c r="N5" s="180">
        <f>XIRR(L11:L33,E11:E33)</f>
        <v>0.14580788016319277</v>
      </c>
    </row>
    <row r="6" spans="2:17">
      <c r="B6" s="75" t="s">
        <v>291</v>
      </c>
      <c r="C6" s="75" t="s">
        <v>24</v>
      </c>
      <c r="D6" s="75"/>
    </row>
    <row r="7" spans="2:17">
      <c r="B7" s="75" t="s">
        <v>52</v>
      </c>
      <c r="C7" s="181">
        <v>25000000</v>
      </c>
      <c r="D7" s="182"/>
    </row>
    <row r="8" spans="2:17">
      <c r="B8" s="75"/>
      <c r="C8" s="182"/>
      <c r="D8" s="182"/>
    </row>
    <row r="10" spans="2:17" s="186" customFormat="1" ht="22.5">
      <c r="B10" s="183" t="s">
        <v>292</v>
      </c>
      <c r="C10" s="183" t="s">
        <v>0</v>
      </c>
      <c r="D10" s="183" t="s">
        <v>293</v>
      </c>
      <c r="E10" s="183" t="s">
        <v>294</v>
      </c>
      <c r="F10" s="183" t="s">
        <v>295</v>
      </c>
      <c r="G10" s="183" t="s">
        <v>176</v>
      </c>
      <c r="H10" s="184" t="s">
        <v>296</v>
      </c>
      <c r="I10" s="185" t="s">
        <v>435</v>
      </c>
      <c r="J10" s="185" t="s">
        <v>436</v>
      </c>
      <c r="K10" s="185" t="s">
        <v>299</v>
      </c>
      <c r="L10" s="258" t="s">
        <v>300</v>
      </c>
      <c r="M10" s="185" t="s">
        <v>301</v>
      </c>
      <c r="N10" s="185" t="s">
        <v>302</v>
      </c>
      <c r="O10" s="185" t="s">
        <v>437</v>
      </c>
      <c r="P10" s="185" t="s">
        <v>438</v>
      </c>
      <c r="Q10" s="184" t="s">
        <v>195</v>
      </c>
    </row>
    <row r="11" spans="2:17">
      <c r="B11" s="2" t="s">
        <v>307</v>
      </c>
      <c r="C11" s="235" t="s">
        <v>1323</v>
      </c>
      <c r="D11" s="187">
        <v>44196</v>
      </c>
      <c r="E11" s="187">
        <v>44196</v>
      </c>
      <c r="F11" s="2">
        <f t="shared" ref="F11:F23" si="0">YEAR(E11)</f>
        <v>2020</v>
      </c>
      <c r="H11" s="108">
        <v>-17882500</v>
      </c>
      <c r="I11" s="211"/>
      <c r="J11" s="211"/>
      <c r="K11" s="241"/>
      <c r="L11" s="91">
        <f t="shared" ref="L11:L29" si="1">SUM(H11:K11)</f>
        <v>-17882500</v>
      </c>
      <c r="M11" s="170">
        <f>L11</f>
        <v>-17882500</v>
      </c>
      <c r="N11" s="170">
        <f t="shared" ref="N11:N31" si="2">$C$7+M11</f>
        <v>7117500</v>
      </c>
      <c r="O11" s="171">
        <f>IF(L11&gt;0,L11,0)</f>
        <v>0</v>
      </c>
      <c r="P11" s="171">
        <f>O11</f>
        <v>0</v>
      </c>
    </row>
    <row r="12" spans="2:17">
      <c r="B12" s="2" t="s">
        <v>307</v>
      </c>
      <c r="C12" s="235" t="s">
        <v>1323</v>
      </c>
      <c r="D12" s="187">
        <v>44225</v>
      </c>
      <c r="E12" s="187">
        <v>44235</v>
      </c>
      <c r="F12" s="2">
        <f t="shared" si="0"/>
        <v>2021</v>
      </c>
      <c r="G12" s="2" t="s">
        <v>1324</v>
      </c>
      <c r="H12" s="108">
        <v>-1112500</v>
      </c>
      <c r="I12" s="211"/>
      <c r="J12" s="211"/>
      <c r="L12" s="91">
        <f t="shared" si="1"/>
        <v>-1112500</v>
      </c>
      <c r="M12" s="170">
        <f t="shared" ref="M12:M31" si="3">M11+IF(L12&lt;0,L12,0)</f>
        <v>-18995000</v>
      </c>
      <c r="N12" s="170">
        <f t="shared" si="2"/>
        <v>6005000</v>
      </c>
      <c r="O12" s="171">
        <f>IF(L12&gt;0,L12,0)</f>
        <v>0</v>
      </c>
      <c r="P12" s="171">
        <f t="shared" ref="P12:P31" si="4">P11+O12</f>
        <v>0</v>
      </c>
    </row>
    <row r="13" spans="2:17">
      <c r="B13" s="2" t="s">
        <v>307</v>
      </c>
      <c r="C13" s="235" t="s">
        <v>1323</v>
      </c>
      <c r="D13" s="187">
        <v>44293</v>
      </c>
      <c r="E13" s="187">
        <v>44305</v>
      </c>
      <c r="F13" s="2">
        <f t="shared" si="0"/>
        <v>2021</v>
      </c>
      <c r="G13" s="2" t="s">
        <v>1325</v>
      </c>
      <c r="H13" s="108">
        <v>-750000</v>
      </c>
      <c r="I13" s="108"/>
      <c r="J13" s="108"/>
      <c r="L13" s="91">
        <f t="shared" si="1"/>
        <v>-750000</v>
      </c>
      <c r="M13" s="170">
        <f t="shared" si="3"/>
        <v>-19745000</v>
      </c>
      <c r="N13" s="170">
        <f t="shared" si="2"/>
        <v>5255000</v>
      </c>
      <c r="O13" s="171">
        <f>IF(L13&gt;0,L13,0)</f>
        <v>0</v>
      </c>
      <c r="P13" s="171">
        <f t="shared" si="4"/>
        <v>0</v>
      </c>
    </row>
    <row r="14" spans="2:17">
      <c r="B14" s="2" t="s">
        <v>49</v>
      </c>
      <c r="C14" s="235" t="s">
        <v>1326</v>
      </c>
      <c r="D14" s="187">
        <v>44467</v>
      </c>
      <c r="E14" s="187">
        <v>44469</v>
      </c>
      <c r="F14" s="2">
        <f t="shared" si="0"/>
        <v>2021</v>
      </c>
      <c r="G14" s="2" t="s">
        <v>1327</v>
      </c>
      <c r="H14" s="108">
        <v>901830</v>
      </c>
      <c r="I14" s="108">
        <v>-181900</v>
      </c>
      <c r="J14" s="108">
        <v>-174686</v>
      </c>
      <c r="L14" s="91">
        <f t="shared" si="1"/>
        <v>545244</v>
      </c>
      <c r="M14" s="170">
        <f t="shared" si="3"/>
        <v>-19745000</v>
      </c>
      <c r="N14" s="108">
        <f t="shared" si="2"/>
        <v>5255000</v>
      </c>
      <c r="O14" s="171">
        <f>IF(L14&gt;0,L14,0)</f>
        <v>545244</v>
      </c>
      <c r="P14" s="171">
        <f t="shared" si="4"/>
        <v>545244</v>
      </c>
    </row>
    <row r="15" spans="2:17">
      <c r="B15" s="2" t="s">
        <v>307</v>
      </c>
      <c r="C15" s="235" t="s">
        <v>1323</v>
      </c>
      <c r="D15" s="187">
        <v>44467</v>
      </c>
      <c r="E15" s="187">
        <v>44469</v>
      </c>
      <c r="F15" s="2">
        <f t="shared" si="0"/>
        <v>2021</v>
      </c>
      <c r="G15" s="2" t="s">
        <v>1327</v>
      </c>
      <c r="H15" s="108">
        <v>-187500</v>
      </c>
      <c r="I15" s="108"/>
      <c r="J15" s="108"/>
      <c r="L15" s="91">
        <f t="shared" si="1"/>
        <v>-187500</v>
      </c>
      <c r="M15" s="170">
        <f t="shared" si="3"/>
        <v>-19932500</v>
      </c>
      <c r="N15" s="170">
        <f t="shared" si="2"/>
        <v>5067500</v>
      </c>
      <c r="O15" s="171">
        <f>IF(L15&gt;0,L15,0)</f>
        <v>0</v>
      </c>
      <c r="P15" s="171">
        <f t="shared" si="4"/>
        <v>545244</v>
      </c>
    </row>
    <row r="16" spans="2:17">
      <c r="B16" s="2" t="s">
        <v>49</v>
      </c>
      <c r="C16" s="235" t="s">
        <v>1326</v>
      </c>
      <c r="D16" s="187">
        <v>44491</v>
      </c>
      <c r="E16" s="187">
        <v>44495</v>
      </c>
      <c r="F16" s="2">
        <f t="shared" si="0"/>
        <v>2021</v>
      </c>
      <c r="G16" s="2" t="s">
        <v>1301</v>
      </c>
      <c r="H16" s="108">
        <f>1417830-66990</f>
        <v>1350840</v>
      </c>
      <c r="I16" s="108">
        <v>-170525</v>
      </c>
      <c r="J16" s="108">
        <f>-174686</f>
        <v>-174686</v>
      </c>
      <c r="K16" s="211"/>
      <c r="L16" s="91">
        <f t="shared" si="1"/>
        <v>1005629</v>
      </c>
      <c r="M16" s="170">
        <f t="shared" si="3"/>
        <v>-19932500</v>
      </c>
      <c r="N16" s="170">
        <f t="shared" si="2"/>
        <v>5067500</v>
      </c>
      <c r="O16" s="171">
        <f>IF(L16&gt;0,L16,0)+66990</f>
        <v>1072619</v>
      </c>
      <c r="P16" s="171">
        <f t="shared" si="4"/>
        <v>1617863</v>
      </c>
    </row>
    <row r="17" spans="2:18">
      <c r="B17" s="2" t="s">
        <v>49</v>
      </c>
      <c r="C17" s="235" t="s">
        <v>1326</v>
      </c>
      <c r="D17" s="187">
        <v>44545</v>
      </c>
      <c r="E17" s="187">
        <v>44550</v>
      </c>
      <c r="F17" s="2">
        <f t="shared" si="0"/>
        <v>2021</v>
      </c>
      <c r="G17" s="2" t="s">
        <v>1328</v>
      </c>
      <c r="H17" s="314">
        <v>369541</v>
      </c>
      <c r="I17" s="108"/>
      <c r="J17" s="108"/>
      <c r="K17" s="211"/>
      <c r="L17" s="91">
        <f t="shared" si="1"/>
        <v>369541</v>
      </c>
      <c r="M17" s="108">
        <f t="shared" si="3"/>
        <v>-19932500</v>
      </c>
      <c r="N17" s="108">
        <f t="shared" si="2"/>
        <v>5067500</v>
      </c>
      <c r="O17" s="171">
        <f t="shared" ref="O17:O31" si="5">IF(L17&gt;0,L17,0)</f>
        <v>369541</v>
      </c>
      <c r="P17" s="171">
        <f t="shared" si="4"/>
        <v>1987404</v>
      </c>
    </row>
    <row r="18" spans="2:18">
      <c r="B18" s="2" t="s">
        <v>49</v>
      </c>
      <c r="C18" s="235" t="s">
        <v>1326</v>
      </c>
      <c r="D18" s="187">
        <v>44595</v>
      </c>
      <c r="E18" s="187">
        <v>44599</v>
      </c>
      <c r="F18" s="2">
        <f t="shared" si="0"/>
        <v>2022</v>
      </c>
      <c r="G18" s="2" t="s">
        <v>1329</v>
      </c>
      <c r="H18" s="314">
        <v>1474550</v>
      </c>
      <c r="I18" s="314">
        <v>-85318</v>
      </c>
      <c r="J18" s="314"/>
      <c r="K18" s="314"/>
      <c r="L18" s="91">
        <f t="shared" si="1"/>
        <v>1389232</v>
      </c>
      <c r="M18" s="108">
        <f>M17+IF(L18&lt;0,L18,0)</f>
        <v>-19932500</v>
      </c>
      <c r="N18" s="108">
        <f t="shared" si="2"/>
        <v>5067500</v>
      </c>
      <c r="O18" s="171">
        <f t="shared" si="5"/>
        <v>1389232</v>
      </c>
      <c r="P18" s="171">
        <f t="shared" si="4"/>
        <v>3376636</v>
      </c>
    </row>
    <row r="19" spans="2:18">
      <c r="B19" s="2" t="s">
        <v>49</v>
      </c>
      <c r="C19" s="235" t="s">
        <v>1326</v>
      </c>
      <c r="D19" s="187">
        <v>44643</v>
      </c>
      <c r="E19" s="187">
        <v>44648</v>
      </c>
      <c r="F19" s="2">
        <f t="shared" si="0"/>
        <v>2022</v>
      </c>
      <c r="G19" s="2" t="s">
        <v>1330</v>
      </c>
      <c r="H19" s="314">
        <v>4906435</v>
      </c>
      <c r="I19" s="108"/>
      <c r="J19" s="108"/>
      <c r="K19" s="211"/>
      <c r="L19" s="91">
        <f t="shared" si="1"/>
        <v>4906435</v>
      </c>
      <c r="M19" s="108">
        <f t="shared" si="3"/>
        <v>-19932500</v>
      </c>
      <c r="N19" s="108">
        <f t="shared" si="2"/>
        <v>5067500</v>
      </c>
      <c r="O19" s="171">
        <f t="shared" si="5"/>
        <v>4906435</v>
      </c>
      <c r="P19" s="171">
        <f t="shared" si="4"/>
        <v>8283071</v>
      </c>
    </row>
    <row r="20" spans="2:18">
      <c r="B20" s="2" t="s">
        <v>307</v>
      </c>
      <c r="C20" s="235" t="s">
        <v>1323</v>
      </c>
      <c r="D20" s="187">
        <v>44643</v>
      </c>
      <c r="E20" s="187">
        <v>44648</v>
      </c>
      <c r="F20" s="2">
        <f t="shared" si="0"/>
        <v>2022</v>
      </c>
      <c r="G20" s="2" t="s">
        <v>1331</v>
      </c>
      <c r="H20" s="314">
        <v>-250000</v>
      </c>
      <c r="I20" s="314"/>
      <c r="J20" s="108"/>
      <c r="K20" s="211"/>
      <c r="L20" s="91">
        <f t="shared" si="1"/>
        <v>-250000</v>
      </c>
      <c r="M20" s="108">
        <f t="shared" si="3"/>
        <v>-20182500</v>
      </c>
      <c r="N20" s="108">
        <f t="shared" si="2"/>
        <v>4817500</v>
      </c>
      <c r="O20" s="171">
        <f t="shared" si="5"/>
        <v>0</v>
      </c>
      <c r="P20" s="171">
        <f t="shared" si="4"/>
        <v>8283071</v>
      </c>
    </row>
    <row r="21" spans="2:18">
      <c r="B21" s="2" t="s">
        <v>49</v>
      </c>
      <c r="C21" s="235" t="s">
        <v>1326</v>
      </c>
      <c r="D21" s="187">
        <v>44677</v>
      </c>
      <c r="E21" s="187">
        <v>44679</v>
      </c>
      <c r="F21" s="2">
        <f t="shared" si="0"/>
        <v>2022</v>
      </c>
      <c r="G21" s="2" t="s">
        <v>1310</v>
      </c>
      <c r="H21" s="314">
        <v>553092</v>
      </c>
      <c r="I21" s="108"/>
      <c r="J21" s="108"/>
      <c r="K21" s="211"/>
      <c r="L21" s="91">
        <f t="shared" si="1"/>
        <v>553092</v>
      </c>
      <c r="M21" s="170">
        <f t="shared" si="3"/>
        <v>-20182500</v>
      </c>
      <c r="N21" s="170">
        <f t="shared" si="2"/>
        <v>4817500</v>
      </c>
      <c r="O21" s="171">
        <f t="shared" si="5"/>
        <v>553092</v>
      </c>
      <c r="P21" s="171">
        <f t="shared" si="4"/>
        <v>8836163</v>
      </c>
    </row>
    <row r="22" spans="2:18">
      <c r="B22" s="2" t="s">
        <v>49</v>
      </c>
      <c r="C22" s="235" t="s">
        <v>1326</v>
      </c>
      <c r="D22" s="187">
        <v>44700</v>
      </c>
      <c r="E22" s="187">
        <v>44704</v>
      </c>
      <c r="F22" s="2">
        <f t="shared" si="0"/>
        <v>2022</v>
      </c>
      <c r="G22" s="2" t="s">
        <v>1332</v>
      </c>
      <c r="H22" s="314">
        <v>2360249</v>
      </c>
      <c r="J22" s="108"/>
      <c r="K22" s="211"/>
      <c r="L22" s="91">
        <f t="shared" si="1"/>
        <v>2360249</v>
      </c>
      <c r="M22" s="170">
        <f t="shared" si="3"/>
        <v>-20182500</v>
      </c>
      <c r="N22" s="170">
        <f t="shared" si="2"/>
        <v>4817500</v>
      </c>
      <c r="O22" s="171">
        <f t="shared" si="5"/>
        <v>2360249</v>
      </c>
      <c r="P22" s="171">
        <f t="shared" si="4"/>
        <v>11196412</v>
      </c>
    </row>
    <row r="23" spans="2:18">
      <c r="B23" s="2" t="s">
        <v>49</v>
      </c>
      <c r="C23" s="235" t="s">
        <v>1326</v>
      </c>
      <c r="D23" s="187">
        <v>44739</v>
      </c>
      <c r="E23" s="187">
        <v>44741</v>
      </c>
      <c r="F23" s="2">
        <f t="shared" si="0"/>
        <v>2022</v>
      </c>
      <c r="G23" s="2" t="s">
        <v>1328</v>
      </c>
      <c r="H23" s="314">
        <v>339028</v>
      </c>
      <c r="J23" s="108"/>
      <c r="K23" s="211"/>
      <c r="L23" s="91">
        <f t="shared" si="1"/>
        <v>339028</v>
      </c>
      <c r="M23" s="170">
        <f t="shared" si="3"/>
        <v>-20182500</v>
      </c>
      <c r="N23" s="170">
        <f t="shared" si="2"/>
        <v>4817500</v>
      </c>
      <c r="O23" s="171">
        <f t="shared" si="5"/>
        <v>339028</v>
      </c>
      <c r="P23" s="171">
        <f t="shared" si="4"/>
        <v>11535440</v>
      </c>
    </row>
    <row r="24" spans="2:18">
      <c r="B24" s="2" t="s">
        <v>49</v>
      </c>
      <c r="C24" s="235" t="s">
        <v>1326</v>
      </c>
      <c r="D24" s="187">
        <v>44768</v>
      </c>
      <c r="E24" s="187">
        <v>44770</v>
      </c>
      <c r="F24" s="2">
        <v>2022</v>
      </c>
      <c r="G24" s="2" t="s">
        <v>1310</v>
      </c>
      <c r="H24" s="108">
        <v>421239</v>
      </c>
      <c r="I24" s="314">
        <v>-92161</v>
      </c>
      <c r="J24" s="211"/>
      <c r="L24" s="91">
        <f t="shared" si="1"/>
        <v>329078</v>
      </c>
      <c r="M24" s="170">
        <f t="shared" si="3"/>
        <v>-20182500</v>
      </c>
      <c r="N24" s="170">
        <f t="shared" si="2"/>
        <v>4817500</v>
      </c>
      <c r="O24" s="171">
        <f t="shared" si="5"/>
        <v>329078</v>
      </c>
      <c r="P24" s="171">
        <f t="shared" si="4"/>
        <v>11864518</v>
      </c>
    </row>
    <row r="25" spans="2:18">
      <c r="B25" s="2" t="s">
        <v>49</v>
      </c>
      <c r="C25" s="235" t="s">
        <v>1326</v>
      </c>
      <c r="D25" s="187">
        <v>44805</v>
      </c>
      <c r="E25" s="187">
        <v>44810</v>
      </c>
      <c r="F25" s="2">
        <f>YEAR(E25)</f>
        <v>2022</v>
      </c>
      <c r="G25" s="2" t="s">
        <v>1328</v>
      </c>
      <c r="H25" s="108">
        <v>960583</v>
      </c>
      <c r="I25" s="314"/>
      <c r="J25" s="211"/>
      <c r="L25" s="91">
        <f t="shared" si="1"/>
        <v>960583</v>
      </c>
      <c r="M25" s="170">
        <f t="shared" si="3"/>
        <v>-20182500</v>
      </c>
      <c r="N25" s="170">
        <f t="shared" si="2"/>
        <v>4817500</v>
      </c>
      <c r="O25" s="171">
        <f t="shared" si="5"/>
        <v>960583</v>
      </c>
      <c r="P25" s="171">
        <f t="shared" si="4"/>
        <v>12825101</v>
      </c>
    </row>
    <row r="26" spans="2:18">
      <c r="B26" s="2" t="s">
        <v>49</v>
      </c>
      <c r="C26" s="235" t="s">
        <v>1326</v>
      </c>
      <c r="D26" s="187">
        <v>44861</v>
      </c>
      <c r="E26" s="187">
        <v>44865</v>
      </c>
      <c r="F26" s="2">
        <f>YEAR(E26)</f>
        <v>2022</v>
      </c>
      <c r="G26" s="2" t="s">
        <v>1327</v>
      </c>
      <c r="H26" s="108">
        <v>886052</v>
      </c>
      <c r="I26" s="314"/>
      <c r="J26" s="211"/>
      <c r="L26" s="91">
        <f t="shared" si="1"/>
        <v>886052</v>
      </c>
      <c r="M26" s="170">
        <f t="shared" si="3"/>
        <v>-20182500</v>
      </c>
      <c r="N26" s="170">
        <f t="shared" si="2"/>
        <v>4817500</v>
      </c>
      <c r="O26" s="171">
        <f t="shared" si="5"/>
        <v>886052</v>
      </c>
      <c r="P26" s="171">
        <f t="shared" si="4"/>
        <v>13711153</v>
      </c>
      <c r="R26" s="2" t="s">
        <v>514</v>
      </c>
    </row>
    <row r="27" spans="2:18">
      <c r="B27" s="2" t="s">
        <v>307</v>
      </c>
      <c r="C27" s="235" t="s">
        <v>1326</v>
      </c>
      <c r="D27" s="187">
        <v>45224</v>
      </c>
      <c r="E27" s="187">
        <v>45224</v>
      </c>
      <c r="F27" s="2">
        <f>YEAR(E27)</f>
        <v>2023</v>
      </c>
      <c r="H27" s="170">
        <v>-163548</v>
      </c>
      <c r="I27" s="314"/>
      <c r="J27" s="132"/>
      <c r="L27" s="255">
        <f t="shared" si="1"/>
        <v>-163548</v>
      </c>
      <c r="M27" s="170">
        <f t="shared" si="3"/>
        <v>-20346048</v>
      </c>
      <c r="N27" s="170">
        <f t="shared" si="2"/>
        <v>4653952</v>
      </c>
      <c r="O27" s="171">
        <f t="shared" si="5"/>
        <v>0</v>
      </c>
      <c r="P27" s="171">
        <f t="shared" si="4"/>
        <v>13711153</v>
      </c>
    </row>
    <row r="28" spans="2:18">
      <c r="B28" s="2" t="s">
        <v>49</v>
      </c>
      <c r="C28" s="235" t="s">
        <v>1326</v>
      </c>
      <c r="D28" s="187">
        <v>45224</v>
      </c>
      <c r="E28" s="187">
        <v>45224</v>
      </c>
      <c r="F28" s="2">
        <f>YEAR(E28)</f>
        <v>2023</v>
      </c>
      <c r="G28" s="2" t="s">
        <v>1271</v>
      </c>
      <c r="H28" s="170">
        <v>506961</v>
      </c>
      <c r="I28" s="314">
        <v>-154556</v>
      </c>
      <c r="J28" s="132"/>
      <c r="L28" s="255">
        <f t="shared" si="1"/>
        <v>352405</v>
      </c>
      <c r="M28" s="170">
        <f t="shared" si="3"/>
        <v>-20346048</v>
      </c>
      <c r="N28" s="170">
        <f t="shared" si="2"/>
        <v>4653952</v>
      </c>
      <c r="O28" s="171">
        <f t="shared" si="5"/>
        <v>352405</v>
      </c>
      <c r="P28" s="171">
        <f t="shared" si="4"/>
        <v>14063558</v>
      </c>
      <c r="R28" s="2" t="s">
        <v>846</v>
      </c>
    </row>
    <row r="29" spans="2:18" ht="15">
      <c r="B29" s="2" t="s">
        <v>307</v>
      </c>
      <c r="C29" s="235" t="s">
        <v>1323</v>
      </c>
      <c r="D29" s="187">
        <v>45489</v>
      </c>
      <c r="E29" s="187">
        <v>45499</v>
      </c>
      <c r="F29" s="2">
        <f t="shared" ref="F29:F31" si="6">YEAR(E29)</f>
        <v>2024</v>
      </c>
      <c r="G29" s="2" t="s">
        <v>1333</v>
      </c>
      <c r="H29" s="170">
        <v>-650000</v>
      </c>
      <c r="I29" s="314"/>
      <c r="J29" s="132"/>
      <c r="L29" s="421">
        <f t="shared" si="1"/>
        <v>-650000</v>
      </c>
      <c r="M29" s="170">
        <f t="shared" si="3"/>
        <v>-20996048</v>
      </c>
      <c r="N29" s="170">
        <f t="shared" si="2"/>
        <v>4003952</v>
      </c>
      <c r="O29" s="171">
        <f t="shared" si="5"/>
        <v>0</v>
      </c>
      <c r="P29" s="171">
        <f t="shared" si="4"/>
        <v>14063558</v>
      </c>
    </row>
    <row r="30" spans="2:18" ht="15">
      <c r="B30" s="2" t="s">
        <v>49</v>
      </c>
      <c r="C30" s="235" t="s">
        <v>1326</v>
      </c>
      <c r="D30" s="187">
        <v>45489</v>
      </c>
      <c r="E30" s="187">
        <v>45499</v>
      </c>
      <c r="F30" s="2">
        <f t="shared" si="6"/>
        <v>2024</v>
      </c>
      <c r="G30" s="2" t="s">
        <v>1334</v>
      </c>
      <c r="H30" s="170">
        <v>160535</v>
      </c>
      <c r="I30" s="314">
        <v>-115692</v>
      </c>
      <c r="J30" s="132"/>
      <c r="L30" s="421">
        <f>SUM(H30:K30)</f>
        <v>44843</v>
      </c>
      <c r="M30" s="170">
        <f t="shared" si="3"/>
        <v>-20996048</v>
      </c>
      <c r="N30" s="170">
        <f t="shared" si="2"/>
        <v>4003952</v>
      </c>
      <c r="O30" s="171">
        <f t="shared" si="5"/>
        <v>44843</v>
      </c>
      <c r="P30" s="171">
        <f t="shared" si="4"/>
        <v>14108401</v>
      </c>
      <c r="R30" s="2" t="s">
        <v>617</v>
      </c>
    </row>
    <row r="31" spans="2:18" ht="15">
      <c r="B31" s="2" t="s">
        <v>49</v>
      </c>
      <c r="C31" s="235" t="s">
        <v>1326</v>
      </c>
      <c r="D31" s="187">
        <v>45611</v>
      </c>
      <c r="E31" s="187">
        <v>45611</v>
      </c>
      <c r="F31" s="2">
        <f t="shared" si="6"/>
        <v>2024</v>
      </c>
      <c r="G31" s="2" t="s">
        <v>1335</v>
      </c>
      <c r="H31" s="170">
        <v>748154</v>
      </c>
      <c r="I31" s="314"/>
      <c r="J31" s="132"/>
      <c r="L31" s="421">
        <f>SUM(H31:K31)</f>
        <v>748154</v>
      </c>
      <c r="M31" s="170">
        <f t="shared" si="3"/>
        <v>-20996048</v>
      </c>
      <c r="N31" s="170">
        <f t="shared" si="2"/>
        <v>4003952</v>
      </c>
      <c r="O31" s="171">
        <f t="shared" si="5"/>
        <v>748154</v>
      </c>
      <c r="P31" s="171">
        <f t="shared" si="4"/>
        <v>14856555</v>
      </c>
      <c r="R31" s="2" t="s">
        <v>403</v>
      </c>
    </row>
    <row r="32" spans="2:18">
      <c r="C32" s="235"/>
      <c r="D32" s="187"/>
      <c r="E32" s="187"/>
      <c r="H32" s="170"/>
      <c r="I32" s="314"/>
      <c r="J32" s="132"/>
      <c r="M32" s="170"/>
      <c r="N32" s="170"/>
      <c r="O32" s="171"/>
      <c r="P32" s="171"/>
    </row>
    <row r="33" spans="2:18" s="75" customFormat="1">
      <c r="B33" s="191"/>
      <c r="C33" s="191" t="s">
        <v>227</v>
      </c>
      <c r="D33" s="192"/>
      <c r="E33" s="192">
        <f>C3</f>
        <v>45657</v>
      </c>
      <c r="F33" s="191"/>
      <c r="G33" s="191"/>
      <c r="H33" s="191"/>
      <c r="I33" s="194"/>
      <c r="J33" s="194"/>
      <c r="K33" s="194"/>
      <c r="L33" s="263">
        <v>14507335</v>
      </c>
      <c r="M33" s="193"/>
      <c r="N33" s="193"/>
      <c r="O33" s="193"/>
      <c r="P33" s="191"/>
      <c r="Q33" s="191"/>
      <c r="R33" s="2"/>
    </row>
  </sheetData>
  <autoFilter ref="A10:R28" xr:uid="{5C3E188E-D60A-4019-8447-A8ACD47E04DD}"/>
  <mergeCells count="1">
    <mergeCell ref="M1:N1"/>
  </mergeCells>
  <phoneticPr fontId="62" type="noConversion"/>
  <hyperlinks>
    <hyperlink ref="L29" r:id="rId1" display="../../../../Forms/AllItems.aspx?CT=1722236910052&amp;OR=OWA%2DNT%2DMail&amp;CID=4ee197c8%2D4f6b%2D8418%2D90d3%2Dff79d36307e2&amp;id=%2Fsites%2FACH33%2DACH33%2DSGInvestment%2DCCGBVI%2FShared%20Documents%2FACH33%20%2D%20SG%20Investment%20%2D%20CCGBVI%2F1%2E%20Private%20Equity%2F1%20%2D%20Funds%2F1%20%2D%20USD%20Funds%2FWest%20Street%2F1%2E%20West%20Street%20Capital%20Partners%20VII%20Offshore%2F2%2E%20Capital%20Call%20Notice%2F2024%2E07%2E26%5FCapitalCall%2Epdf&amp;viewid=048c04e9%2D146b%2D425b%2D9d09%2D84676d2821bc&amp;parent=%2Fsites%2FACH33%2DACH33%2DSGInvestment%2DCCGBVI%2FShared%20Documents%2FACH33%20%2D%20SG%20Investment%20%2D%20CCGBVI%2F1%2E%20Private%20Equity%2F1%20%2D%20Funds%2F1%20%2D%20USD%20Funds%2FWest%20Street%2F1%2E%20West%20Street%20Capital%20Partners%20VII%20Offshore%2F2%2E%20Capital%20Call%20Notice" xr:uid="{4B7411C7-18A5-439E-9A0E-548DC967DAC7}"/>
    <hyperlink ref="L30" r:id="rId2" display="../../../../Forms/AllItems.aspx?CT=1722236910052&amp;OR=OWA%2DNT%2DMail&amp;CID=4ee197c8%2D4f6b%2D8418%2D90d3%2Dff79d36307e2&amp;id=%2Fsites%2FACH33%2DACH33%2DSGInvestment%2DCCGBVI%2FShared%20Documents%2FACH33%20%2D%20SG%20Investment%20%2D%20CCGBVI%2F1%2E%20Private%20Equity%2F1%20%2D%20Funds%2F1%20%2D%20USD%20Funds%2FWest%20Street%2F1%2E%20West%20Street%20Capital%20Partners%20VII%20Offshore%2F2%2E%20Capital%20Call%20Notice%2F2024%2E07%2E26%5FCapitalCall%2Epdf&amp;viewid=048c04e9%2D146b%2D425b%2D9d09%2D84676d2821bc&amp;parent=%2Fsites%2FACH33%2DACH33%2DSGInvestment%2DCCGBVI%2FShared%20Documents%2FACH33%20%2D%20SG%20Investment%20%2D%20CCGBVI%2F1%2E%20Private%20Equity%2F1%20%2D%20Funds%2F1%20%2D%20USD%20Funds%2FWest%20Street%2F1%2E%20West%20Street%20Capital%20Partners%20VII%20Offshore%2F2%2E%20Capital%20Call%20Notice" xr:uid="{0D611B06-65AF-49AB-A8CA-E0BF181C0A3D}"/>
    <hyperlink ref="L31" r:id="rId3" location="13.pdf" display="file://C:\Users\XingQiNeo\ACH\ACH33 - ACH33 - SG Investment - CCGBVI - Documents\ACH33 - SG Investment - CCGBVI\1. Private Equity\1 - Funds\1 - USD Funds\West Street\1. West Street Capital Partners VII\2. Distribution Notice\2024.11.15 - DD - 13.pdf" xr:uid="{EA775711-580B-4E25-A38D-173AC3BC4060}"/>
  </hyperlinks>
  <pageMargins left="0.7" right="0.7" top="0.75" bottom="0.75" header="0.3" footer="0.3"/>
  <pageSetup paperSize="9" orientation="portrait" r:id="rId4"/>
  <legacyDrawing r:id="rId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230A5-1D1F-471A-A8B6-55FD7DB4605A}">
  <sheetPr>
    <tabColor theme="8"/>
    <outlinePr showOutlineSymbols="0"/>
    <pageSetUpPr fitToPage="1"/>
  </sheetPr>
  <dimension ref="A1:AN101"/>
  <sheetViews>
    <sheetView workbookViewId="0">
      <selection activeCell="F33" sqref="F33:J44"/>
    </sheetView>
  </sheetViews>
  <sheetFormatPr defaultColWidth="9" defaultRowHeight="11.25" outlineLevelRow="1" outlineLevelCol="3"/>
  <cols>
    <col min="1" max="1" width="32.140625" style="2" customWidth="1"/>
    <col min="2" max="2" width="79.42578125" style="2" bestFit="1" customWidth="1"/>
    <col min="3" max="3" width="15.7109375" style="2" customWidth="1"/>
    <col min="4" max="4" width="31.140625" style="2" customWidth="1"/>
    <col min="5" max="5" width="14.42578125" style="2" bestFit="1" customWidth="1"/>
    <col min="6" max="7" width="10.7109375" style="2" customWidth="1"/>
    <col min="8" max="8" width="38" style="2" bestFit="1" customWidth="1"/>
    <col min="9" max="9" width="19.28515625" style="2" bestFit="1" customWidth="1"/>
    <col min="10" max="10" width="19.28515625" style="2" customWidth="1"/>
    <col min="11" max="11" width="12.7109375" style="367" customWidth="1" outlineLevel="3"/>
    <col min="12" max="12" width="12.7109375" style="2" customWidth="1" outlineLevel="3"/>
    <col min="13" max="15" width="14.7109375" style="2" customWidth="1" outlineLevel="3"/>
    <col min="16" max="17" width="7.7109375" style="2" customWidth="1" outlineLevel="3"/>
    <col min="18" max="19" width="15.7109375" style="2" customWidth="1" outlineLevel="3"/>
    <col min="20" max="20" width="12.7109375" style="367" customWidth="1"/>
    <col min="21" max="21" width="12.7109375" style="2" customWidth="1"/>
    <col min="22" max="24" width="14.7109375" style="2" customWidth="1"/>
    <col min="25" max="26" width="7.7109375" style="2" customWidth="1"/>
    <col min="27" max="28" width="15.7109375" style="2" customWidth="1"/>
    <col min="29" max="29" width="12.7109375" style="367" customWidth="1"/>
    <col min="30" max="30" width="12.7109375" style="2" customWidth="1"/>
    <col min="31" max="33" width="14.7109375" style="2" customWidth="1"/>
    <col min="34" max="35" width="7.7109375" style="2" customWidth="1"/>
    <col min="36" max="39" width="15.7109375" style="2" customWidth="1"/>
    <col min="40" max="40" width="9" style="367"/>
    <col min="41" max="16384" width="9" style="2"/>
  </cols>
  <sheetData>
    <row r="1" spans="1:20">
      <c r="A1" s="117" t="s">
        <v>179</v>
      </c>
      <c r="B1" s="118"/>
      <c r="C1" s="74"/>
      <c r="D1" s="117" t="s">
        <v>180</v>
      </c>
      <c r="E1" s="219">
        <v>45657</v>
      </c>
      <c r="H1" s="117" t="s">
        <v>181</v>
      </c>
      <c r="I1" s="118"/>
      <c r="J1" s="74"/>
    </row>
    <row r="2" spans="1:20" outlineLevel="1">
      <c r="A2" s="2" t="s">
        <v>182</v>
      </c>
      <c r="B2" s="120" t="s">
        <v>1336</v>
      </c>
      <c r="D2" s="2" t="s">
        <v>183</v>
      </c>
      <c r="E2" s="326">
        <f>W63</f>
        <v>10019</v>
      </c>
      <c r="H2" s="2" t="s">
        <v>184</v>
      </c>
      <c r="I2" s="120" t="s">
        <v>1337</v>
      </c>
      <c r="J2" s="120"/>
    </row>
    <row r="3" spans="1:20" outlineLevel="1">
      <c r="A3" s="2" t="s">
        <v>186</v>
      </c>
      <c r="B3" s="329">
        <v>44136</v>
      </c>
      <c r="D3" s="2" t="s">
        <v>187</v>
      </c>
      <c r="E3" s="577">
        <v>2849.8351680000001</v>
      </c>
      <c r="H3" s="2" t="s">
        <v>188</v>
      </c>
      <c r="I3" s="120" t="s">
        <v>1337</v>
      </c>
      <c r="J3" s="120"/>
    </row>
    <row r="4" spans="1:20" outlineLevel="1">
      <c r="A4" s="2" t="s">
        <v>190</v>
      </c>
      <c r="B4" s="329">
        <v>44774</v>
      </c>
      <c r="D4" s="2" t="s">
        <v>191</v>
      </c>
      <c r="E4" s="125">
        <v>1.29</v>
      </c>
      <c r="H4" s="2" t="s">
        <v>192</v>
      </c>
      <c r="I4" s="320">
        <v>0.08</v>
      </c>
      <c r="J4" s="320"/>
    </row>
    <row r="5" spans="1:20" outlineLevel="1">
      <c r="A5" s="2" t="s">
        <v>193</v>
      </c>
      <c r="B5" s="120">
        <v>2020</v>
      </c>
      <c r="D5" s="2" t="s">
        <v>194</v>
      </c>
      <c r="E5" s="125">
        <v>1.18</v>
      </c>
      <c r="H5" s="2" t="s">
        <v>195</v>
      </c>
      <c r="I5" s="126">
        <v>0.2</v>
      </c>
      <c r="J5" s="126"/>
    </row>
    <row r="6" spans="1:20" outlineLevel="1">
      <c r="A6" s="2" t="s">
        <v>196</v>
      </c>
      <c r="B6" s="120" t="s">
        <v>1238</v>
      </c>
      <c r="D6" s="2" t="s">
        <v>198</v>
      </c>
      <c r="E6" s="299">
        <v>0.09</v>
      </c>
      <c r="H6" s="117" t="s">
        <v>199</v>
      </c>
      <c r="I6" s="118"/>
      <c r="J6" s="74"/>
    </row>
    <row r="7" spans="1:20" outlineLevel="1">
      <c r="A7" s="2" t="s">
        <v>200</v>
      </c>
      <c r="B7" s="120" t="s">
        <v>1238</v>
      </c>
      <c r="D7" s="2" t="s">
        <v>202</v>
      </c>
      <c r="E7" s="127">
        <v>0.06</v>
      </c>
      <c r="H7" s="2" t="s">
        <v>203</v>
      </c>
      <c r="I7" s="2" t="s">
        <v>408</v>
      </c>
    </row>
    <row r="8" spans="1:20" outlineLevel="1">
      <c r="A8" s="2" t="s">
        <v>205</v>
      </c>
      <c r="B8" s="120" t="s">
        <v>206</v>
      </c>
      <c r="D8" s="2" t="s">
        <v>1239</v>
      </c>
      <c r="E8" s="125">
        <f>'West Street VIII'!E14/'West Street VIII'!E12</f>
        <v>1.9637462235649546E-2</v>
      </c>
      <c r="H8" s="2" t="s">
        <v>208</v>
      </c>
      <c r="I8" s="2" t="s">
        <v>408</v>
      </c>
    </row>
    <row r="9" spans="1:20" outlineLevel="1">
      <c r="A9" s="2" t="s">
        <v>65</v>
      </c>
      <c r="B9" s="120" t="s">
        <v>939</v>
      </c>
      <c r="D9" s="128" t="s">
        <v>1241</v>
      </c>
      <c r="E9" s="222"/>
    </row>
    <row r="10" spans="1:20" outlineLevel="1">
      <c r="A10" s="2" t="s">
        <v>212</v>
      </c>
      <c r="B10" s="120" t="s">
        <v>1242</v>
      </c>
      <c r="D10" s="2" t="s">
        <v>214</v>
      </c>
      <c r="E10" s="298">
        <v>50</v>
      </c>
    </row>
    <row r="11" spans="1:20" outlineLevel="1">
      <c r="A11" s="2" t="s">
        <v>215</v>
      </c>
      <c r="B11" s="120" t="s">
        <v>1243</v>
      </c>
      <c r="D11" s="2" t="s">
        <v>216</v>
      </c>
      <c r="E11" s="299">
        <f>E10/9685</f>
        <v>5.1626226122870418E-3</v>
      </c>
    </row>
    <row r="12" spans="1:20" outlineLevel="1">
      <c r="A12" s="2" t="s">
        <v>217</v>
      </c>
      <c r="B12" s="120" t="s">
        <v>24</v>
      </c>
      <c r="D12" s="2" t="s">
        <v>218</v>
      </c>
      <c r="E12" s="121">
        <f>-'West Street VIII (CF)'!N2/10^6</f>
        <v>33.1</v>
      </c>
      <c r="T12" s="502"/>
    </row>
    <row r="13" spans="1:20" outlineLevel="1">
      <c r="A13" s="2" t="s">
        <v>219</v>
      </c>
      <c r="B13" s="120" t="s">
        <v>1338</v>
      </c>
      <c r="D13" s="2" t="s">
        <v>221</v>
      </c>
      <c r="E13" s="298">
        <f>E10-E12</f>
        <v>16.899999999999999</v>
      </c>
      <c r="N13" s="314"/>
      <c r="T13" s="502"/>
    </row>
    <row r="14" spans="1:20" outlineLevel="1">
      <c r="A14" s="2" t="s">
        <v>222</v>
      </c>
      <c r="B14" s="120" t="s">
        <v>928</v>
      </c>
      <c r="D14" s="2" t="s">
        <v>224</v>
      </c>
      <c r="E14" s="133">
        <f>'West Street VIII (CF)'!N3/10^6</f>
        <v>0.65</v>
      </c>
      <c r="N14" s="314"/>
      <c r="T14" s="502"/>
    </row>
    <row r="15" spans="1:20" outlineLevel="1">
      <c r="A15" s="2" t="s">
        <v>225</v>
      </c>
      <c r="B15" s="120" t="s">
        <v>1339</v>
      </c>
      <c r="D15" s="2" t="s">
        <v>227</v>
      </c>
      <c r="E15" s="293">
        <f>'West Street VIII (CF)'!N4/10^6</f>
        <v>38.945352</v>
      </c>
      <c r="N15" s="314"/>
    </row>
    <row r="16" spans="1:20" outlineLevel="1">
      <c r="A16" s="2" t="s">
        <v>228</v>
      </c>
      <c r="B16" s="134">
        <v>44196</v>
      </c>
      <c r="D16" s="2" t="s">
        <v>229</v>
      </c>
      <c r="E16" s="127">
        <f>E12/E10</f>
        <v>0.66200000000000003</v>
      </c>
      <c r="N16" s="314"/>
    </row>
    <row r="17" spans="1:40" outlineLevel="1">
      <c r="A17" s="2" t="s">
        <v>230</v>
      </c>
      <c r="B17" s="120" t="s">
        <v>231</v>
      </c>
      <c r="D17" s="2" t="s">
        <v>232</v>
      </c>
      <c r="E17" s="284">
        <f>E14/E12</f>
        <v>1.9637462235649546E-2</v>
      </c>
    </row>
    <row r="18" spans="1:40" outlineLevel="1">
      <c r="A18" s="117" t="s">
        <v>233</v>
      </c>
      <c r="B18" s="118"/>
      <c r="D18" s="2" t="s">
        <v>234</v>
      </c>
      <c r="E18" s="137">
        <f>(E14+E15)/E12</f>
        <v>1.1962341993957704</v>
      </c>
    </row>
    <row r="19" spans="1:40" outlineLevel="1">
      <c r="A19" s="2" t="s">
        <v>235</v>
      </c>
      <c r="B19" s="120">
        <v>30</v>
      </c>
      <c r="D19" s="2" t="s">
        <v>177</v>
      </c>
      <c r="E19" s="294">
        <f>'West Street VIII (CF)'!N5</f>
        <v>8.5717692971229553E-2</v>
      </c>
    </row>
    <row r="20" spans="1:40" ht="13.5" customHeight="1">
      <c r="E20" s="294"/>
    </row>
    <row r="30" spans="1:40" ht="13.5" customHeight="1">
      <c r="K30" s="503" t="s">
        <v>236</v>
      </c>
      <c r="L30" s="504"/>
      <c r="M30" s="504"/>
      <c r="N30" s="504"/>
      <c r="O30" s="504"/>
      <c r="P30" s="504"/>
      <c r="Q30" s="505"/>
      <c r="R30" s="505"/>
      <c r="S30" s="504"/>
      <c r="T30" s="503" t="s">
        <v>237</v>
      </c>
      <c r="U30" s="504"/>
      <c r="V30" s="504"/>
      <c r="W30" s="504"/>
      <c r="X30" s="504"/>
      <c r="Y30" s="504"/>
      <c r="Z30" s="505"/>
      <c r="AA30" s="505"/>
      <c r="AB30" s="504"/>
      <c r="AC30" s="503" t="s">
        <v>238</v>
      </c>
      <c r="AD30" s="504"/>
      <c r="AE30" s="504"/>
      <c r="AF30" s="504"/>
      <c r="AG30" s="504"/>
      <c r="AH30" s="504"/>
      <c r="AI30" s="505"/>
      <c r="AJ30" s="505"/>
      <c r="AK30" s="505"/>
      <c r="AL30" s="505"/>
      <c r="AM30" s="504"/>
    </row>
    <row r="31" spans="1:40" s="141" customFormat="1" ht="39.75" customHeight="1">
      <c r="A31" s="138" t="s">
        <v>239</v>
      </c>
      <c r="B31" s="139" t="s">
        <v>240</v>
      </c>
      <c r="C31" s="139" t="s">
        <v>69</v>
      </c>
      <c r="D31" s="139" t="s">
        <v>241</v>
      </c>
      <c r="E31" s="139" t="s">
        <v>242</v>
      </c>
      <c r="F31" s="139" t="s">
        <v>243</v>
      </c>
      <c r="G31" s="139" t="s">
        <v>244</v>
      </c>
      <c r="H31" s="139" t="s">
        <v>245</v>
      </c>
      <c r="I31" s="139" t="s">
        <v>246</v>
      </c>
      <c r="J31" s="501" t="s">
        <v>247</v>
      </c>
      <c r="K31" s="506" t="s">
        <v>248</v>
      </c>
      <c r="L31" s="506" t="s">
        <v>249</v>
      </c>
      <c r="M31" s="507" t="s">
        <v>250</v>
      </c>
      <c r="N31" s="506" t="s">
        <v>251</v>
      </c>
      <c r="O31" s="507" t="s">
        <v>252</v>
      </c>
      <c r="P31" s="506" t="s">
        <v>115</v>
      </c>
      <c r="Q31" s="507" t="s">
        <v>253</v>
      </c>
      <c r="R31" s="508" t="s">
        <v>254</v>
      </c>
      <c r="S31" s="509" t="s">
        <v>255</v>
      </c>
      <c r="T31" s="506" t="s">
        <v>248</v>
      </c>
      <c r="U31" s="506" t="s">
        <v>249</v>
      </c>
      <c r="V31" s="507" t="s">
        <v>250</v>
      </c>
      <c r="W31" s="506" t="s">
        <v>251</v>
      </c>
      <c r="X31" s="507" t="s">
        <v>252</v>
      </c>
      <c r="Y31" s="506" t="s">
        <v>115</v>
      </c>
      <c r="Z31" s="507" t="s">
        <v>253</v>
      </c>
      <c r="AA31" s="508" t="s">
        <v>254</v>
      </c>
      <c r="AB31" s="509" t="s">
        <v>255</v>
      </c>
      <c r="AC31" s="506" t="s">
        <v>248</v>
      </c>
      <c r="AD31" s="506" t="s">
        <v>249</v>
      </c>
      <c r="AE31" s="507" t="s">
        <v>250</v>
      </c>
      <c r="AF31" s="506" t="s">
        <v>251</v>
      </c>
      <c r="AG31" s="507" t="s">
        <v>252</v>
      </c>
      <c r="AH31" s="506" t="s">
        <v>115</v>
      </c>
      <c r="AI31" s="507" t="s">
        <v>253</v>
      </c>
      <c r="AJ31" s="508" t="s">
        <v>254</v>
      </c>
      <c r="AK31" s="509" t="s">
        <v>255</v>
      </c>
      <c r="AL31" s="508" t="s">
        <v>256</v>
      </c>
      <c r="AM31" s="509" t="s">
        <v>257</v>
      </c>
      <c r="AN31" s="510"/>
    </row>
    <row r="32" spans="1:40">
      <c r="A32" s="2" t="s">
        <v>1340</v>
      </c>
      <c r="B32" s="2" t="s">
        <v>1341</v>
      </c>
      <c r="C32" s="235" t="s">
        <v>273</v>
      </c>
      <c r="D32" s="374" t="s">
        <v>584</v>
      </c>
      <c r="E32" s="374">
        <v>44378</v>
      </c>
      <c r="F32" s="374" t="s">
        <v>44</v>
      </c>
      <c r="G32" s="374" t="s">
        <v>44</v>
      </c>
      <c r="H32" s="374" t="s">
        <v>44</v>
      </c>
      <c r="I32" s="235" t="s">
        <v>44</v>
      </c>
      <c r="J32" s="512" t="s">
        <v>44</v>
      </c>
      <c r="K32" s="513">
        <v>127</v>
      </c>
      <c r="L32" s="514" t="s">
        <v>44</v>
      </c>
      <c r="M32" s="513">
        <v>0</v>
      </c>
      <c r="N32" s="513">
        <v>127</v>
      </c>
      <c r="O32" s="513">
        <f>M32+N32</f>
        <v>127</v>
      </c>
      <c r="P32" s="268">
        <f>O32/K32</f>
        <v>1</v>
      </c>
      <c r="Q32" s="515" t="s">
        <v>44</v>
      </c>
      <c r="R32" s="513">
        <v>0</v>
      </c>
      <c r="S32" s="515" t="s">
        <v>44</v>
      </c>
      <c r="T32" s="516">
        <v>127</v>
      </c>
      <c r="U32" s="514" t="s">
        <v>44</v>
      </c>
      <c r="V32" s="513">
        <v>0</v>
      </c>
      <c r="W32" s="513">
        <v>139</v>
      </c>
      <c r="X32" s="513">
        <v>139</v>
      </c>
      <c r="Y32" s="268">
        <v>1.094488188976378</v>
      </c>
      <c r="Z32" s="515" t="s">
        <v>1342</v>
      </c>
      <c r="AA32" s="513">
        <f>X32-O32</f>
        <v>12</v>
      </c>
      <c r="AB32" s="515">
        <f>IFERROR(X32/O32-1,0)</f>
        <v>9.4488188976378007E-2</v>
      </c>
      <c r="AC32" s="517"/>
      <c r="AD32" s="514"/>
      <c r="AE32" s="513"/>
      <c r="AF32" s="513"/>
      <c r="AG32" s="513"/>
      <c r="AH32" s="268"/>
      <c r="AI32" s="513"/>
      <c r="AJ32" s="513"/>
      <c r="AK32" s="515"/>
      <c r="AL32" s="513"/>
      <c r="AM32" s="515"/>
    </row>
    <row r="33" spans="1:39" s="367" customFormat="1">
      <c r="A33" s="2" t="s">
        <v>1343</v>
      </c>
      <c r="B33" s="2" t="s">
        <v>1344</v>
      </c>
      <c r="C33" s="235" t="s">
        <v>99</v>
      </c>
      <c r="D33" s="374" t="s">
        <v>584</v>
      </c>
      <c r="E33" s="374">
        <v>45413</v>
      </c>
      <c r="F33" s="374" t="s">
        <v>44</v>
      </c>
      <c r="G33" s="374" t="s">
        <v>44</v>
      </c>
      <c r="H33" s="374" t="s">
        <v>44</v>
      </c>
      <c r="I33" s="235" t="s">
        <v>44</v>
      </c>
      <c r="J33" s="518" t="s">
        <v>44</v>
      </c>
      <c r="K33" s="513">
        <v>0</v>
      </c>
      <c r="L33" s="514" t="s">
        <v>44</v>
      </c>
      <c r="M33" s="513">
        <v>0</v>
      </c>
      <c r="N33" s="513">
        <v>0</v>
      </c>
      <c r="O33" s="513">
        <f>N33+M33</f>
        <v>0</v>
      </c>
      <c r="P33" s="269" t="s">
        <v>44</v>
      </c>
      <c r="Q33" s="515" t="s">
        <v>44</v>
      </c>
      <c r="R33" s="513">
        <v>0</v>
      </c>
      <c r="S33" s="515" t="s">
        <v>44</v>
      </c>
      <c r="T33" s="519">
        <v>257</v>
      </c>
      <c r="U33" s="514" t="s">
        <v>44</v>
      </c>
      <c r="V33" s="513">
        <v>0</v>
      </c>
      <c r="W33" s="513">
        <v>250</v>
      </c>
      <c r="X33" s="513">
        <v>250</v>
      </c>
      <c r="Y33" s="268">
        <v>0.97276264591439687</v>
      </c>
      <c r="Z33" s="515" t="s">
        <v>44</v>
      </c>
      <c r="AA33" s="513">
        <f t="shared" ref="AA33:AA61" si="0">X33-O33</f>
        <v>250</v>
      </c>
      <c r="AB33" s="515">
        <f t="shared" ref="AB33:AB61" si="1">IFERROR(X33/O33-1,0)</f>
        <v>0</v>
      </c>
      <c r="AC33" s="517"/>
      <c r="AD33" s="514"/>
      <c r="AE33" s="513"/>
      <c r="AF33" s="513"/>
      <c r="AG33" s="513"/>
      <c r="AH33" s="268"/>
      <c r="AI33" s="513"/>
      <c r="AJ33" s="513"/>
      <c r="AK33" s="515"/>
      <c r="AL33" s="513"/>
      <c r="AM33" s="515"/>
    </row>
    <row r="34" spans="1:39" s="367" customFormat="1">
      <c r="A34" s="2" t="s">
        <v>1345</v>
      </c>
      <c r="B34" s="2" t="s">
        <v>1346</v>
      </c>
      <c r="C34" s="235" t="s">
        <v>99</v>
      </c>
      <c r="D34" s="374" t="s">
        <v>584</v>
      </c>
      <c r="E34" s="374">
        <v>44896</v>
      </c>
      <c r="F34" s="374" t="s">
        <v>44</v>
      </c>
      <c r="G34" s="374" t="s">
        <v>44</v>
      </c>
      <c r="H34" s="374" t="s">
        <v>44</v>
      </c>
      <c r="I34" s="235" t="s">
        <v>44</v>
      </c>
      <c r="J34" s="518" t="s">
        <v>44</v>
      </c>
      <c r="K34" s="513">
        <v>165</v>
      </c>
      <c r="L34" s="514" t="s">
        <v>44</v>
      </c>
      <c r="M34" s="513">
        <v>0</v>
      </c>
      <c r="N34" s="513">
        <v>162</v>
      </c>
      <c r="O34" s="513">
        <f t="shared" ref="O34:O61" si="2">N34+M34</f>
        <v>162</v>
      </c>
      <c r="P34" s="269">
        <f t="shared" ref="P34:P66" si="3">O34/K34</f>
        <v>0.98181818181818181</v>
      </c>
      <c r="Q34" s="515" t="s">
        <v>44</v>
      </c>
      <c r="R34" s="513">
        <v>0</v>
      </c>
      <c r="S34" s="515" t="s">
        <v>44</v>
      </c>
      <c r="T34" s="519">
        <v>165</v>
      </c>
      <c r="U34" s="514" t="s">
        <v>44</v>
      </c>
      <c r="V34" s="513">
        <v>0</v>
      </c>
      <c r="W34" s="513">
        <v>162</v>
      </c>
      <c r="X34" s="513">
        <v>162</v>
      </c>
      <c r="Y34" s="268">
        <v>0.98181818181818181</v>
      </c>
      <c r="Z34" s="515" t="s">
        <v>44</v>
      </c>
      <c r="AA34" s="513">
        <f t="shared" si="0"/>
        <v>0</v>
      </c>
      <c r="AB34" s="515">
        <f t="shared" si="1"/>
        <v>0</v>
      </c>
      <c r="AC34" s="517"/>
      <c r="AD34" s="514"/>
      <c r="AE34" s="513"/>
      <c r="AF34" s="513"/>
      <c r="AG34" s="513"/>
      <c r="AH34" s="268"/>
      <c r="AI34" s="513"/>
      <c r="AJ34" s="513"/>
      <c r="AK34" s="515"/>
      <c r="AL34" s="513"/>
      <c r="AM34" s="515"/>
    </row>
    <row r="35" spans="1:39" s="367" customFormat="1">
      <c r="A35" s="2" t="s">
        <v>1347</v>
      </c>
      <c r="B35" s="2" t="s">
        <v>1348</v>
      </c>
      <c r="C35" s="235" t="s">
        <v>113</v>
      </c>
      <c r="D35" s="374" t="s">
        <v>584</v>
      </c>
      <c r="E35" s="374">
        <v>45261</v>
      </c>
      <c r="F35" s="374" t="s">
        <v>44</v>
      </c>
      <c r="G35" s="374" t="s">
        <v>44</v>
      </c>
      <c r="H35" s="374" t="s">
        <v>44</v>
      </c>
      <c r="I35" s="235" t="s">
        <v>44</v>
      </c>
      <c r="J35" s="518" t="s">
        <v>44</v>
      </c>
      <c r="K35" s="513">
        <v>370</v>
      </c>
      <c r="L35" s="514" t="s">
        <v>44</v>
      </c>
      <c r="M35" s="513">
        <v>0</v>
      </c>
      <c r="N35" s="513">
        <v>361</v>
      </c>
      <c r="O35" s="513">
        <f t="shared" si="2"/>
        <v>361</v>
      </c>
      <c r="P35" s="269">
        <f t="shared" si="3"/>
        <v>0.9756756756756757</v>
      </c>
      <c r="Q35" s="515" t="s">
        <v>44</v>
      </c>
      <c r="R35" s="513">
        <v>0</v>
      </c>
      <c r="S35" s="515" t="s">
        <v>44</v>
      </c>
      <c r="T35" s="519">
        <v>349</v>
      </c>
      <c r="U35" s="514" t="s">
        <v>44</v>
      </c>
      <c r="V35" s="513">
        <v>0</v>
      </c>
      <c r="W35" s="513">
        <v>418</v>
      </c>
      <c r="X35" s="513">
        <v>418</v>
      </c>
      <c r="Y35" s="268">
        <v>1.1977077363896849</v>
      </c>
      <c r="Z35" s="515" t="s">
        <v>1349</v>
      </c>
      <c r="AA35" s="513">
        <f t="shared" si="0"/>
        <v>57</v>
      </c>
      <c r="AB35" s="515">
        <f t="shared" si="1"/>
        <v>0.15789473684210531</v>
      </c>
      <c r="AC35" s="517"/>
      <c r="AD35" s="514"/>
      <c r="AE35" s="513"/>
      <c r="AF35" s="513"/>
      <c r="AG35" s="513"/>
      <c r="AH35" s="268"/>
      <c r="AI35" s="513"/>
      <c r="AJ35" s="513"/>
      <c r="AK35" s="515"/>
      <c r="AL35" s="513"/>
      <c r="AM35" s="515"/>
    </row>
    <row r="36" spans="1:39" s="367" customFormat="1">
      <c r="A36" s="2" t="s">
        <v>1350</v>
      </c>
      <c r="B36" s="2" t="s">
        <v>1351</v>
      </c>
      <c r="C36" s="235" t="s">
        <v>99</v>
      </c>
      <c r="D36" s="374" t="s">
        <v>584</v>
      </c>
      <c r="E36" s="374">
        <v>44621</v>
      </c>
      <c r="F36" s="374" t="s">
        <v>44</v>
      </c>
      <c r="G36" s="374" t="s">
        <v>44</v>
      </c>
      <c r="H36" s="374" t="s">
        <v>44</v>
      </c>
      <c r="I36" s="235" t="s">
        <v>44</v>
      </c>
      <c r="J36" s="518" t="s">
        <v>44</v>
      </c>
      <c r="K36" s="513">
        <v>121</v>
      </c>
      <c r="L36" s="514" t="s">
        <v>44</v>
      </c>
      <c r="M36" s="513">
        <v>0</v>
      </c>
      <c r="N36" s="513">
        <v>135</v>
      </c>
      <c r="O36" s="513">
        <f t="shared" si="2"/>
        <v>135</v>
      </c>
      <c r="P36" s="269">
        <f t="shared" si="3"/>
        <v>1.115702479338843</v>
      </c>
      <c r="Q36" s="515">
        <v>7.0000000000000007E-2</v>
      </c>
      <c r="R36" s="513">
        <v>0</v>
      </c>
      <c r="S36" s="515" t="s">
        <v>44</v>
      </c>
      <c r="T36" s="519">
        <v>121</v>
      </c>
      <c r="U36" s="514" t="s">
        <v>44</v>
      </c>
      <c r="V36" s="513">
        <v>0</v>
      </c>
      <c r="W36" s="513">
        <v>144</v>
      </c>
      <c r="X36" s="513">
        <v>144</v>
      </c>
      <c r="Y36" s="268">
        <v>1.1900826446280992</v>
      </c>
      <c r="Z36" s="515" t="s">
        <v>1352</v>
      </c>
      <c r="AA36" s="513">
        <f t="shared" si="0"/>
        <v>9</v>
      </c>
      <c r="AB36" s="515">
        <f t="shared" si="1"/>
        <v>6.6666666666666652E-2</v>
      </c>
      <c r="AC36" s="517"/>
      <c r="AD36" s="514"/>
      <c r="AE36" s="513"/>
      <c r="AF36" s="513"/>
      <c r="AG36" s="513"/>
      <c r="AH36" s="268"/>
      <c r="AI36" s="513"/>
      <c r="AJ36" s="513"/>
      <c r="AK36" s="515"/>
      <c r="AL36" s="513"/>
      <c r="AM36" s="515"/>
    </row>
    <row r="37" spans="1:39" s="367" customFormat="1">
      <c r="A37" s="2" t="s">
        <v>1353</v>
      </c>
      <c r="B37" s="2" t="s">
        <v>1354</v>
      </c>
      <c r="C37" s="235" t="s">
        <v>114</v>
      </c>
      <c r="D37" s="374" t="s">
        <v>584</v>
      </c>
      <c r="E37" s="374">
        <v>44531</v>
      </c>
      <c r="F37" s="374" t="s">
        <v>44</v>
      </c>
      <c r="G37" s="374" t="s">
        <v>44</v>
      </c>
      <c r="H37" s="374" t="s">
        <v>44</v>
      </c>
      <c r="I37" s="235" t="s">
        <v>44</v>
      </c>
      <c r="J37" s="518" t="s">
        <v>44</v>
      </c>
      <c r="K37" s="513">
        <v>77</v>
      </c>
      <c r="L37" s="514" t="s">
        <v>44</v>
      </c>
      <c r="M37" s="513">
        <v>0</v>
      </c>
      <c r="N37" s="513">
        <v>96</v>
      </c>
      <c r="O37" s="513">
        <f t="shared" si="2"/>
        <v>96</v>
      </c>
      <c r="P37" s="269">
        <f t="shared" si="3"/>
        <v>1.2467532467532467</v>
      </c>
      <c r="Q37" s="515">
        <v>0.28000000000000003</v>
      </c>
      <c r="R37" s="513">
        <v>0</v>
      </c>
      <c r="S37" s="515" t="s">
        <v>44</v>
      </c>
      <c r="T37" s="519">
        <v>124</v>
      </c>
      <c r="U37" s="514" t="s">
        <v>44</v>
      </c>
      <c r="V37" s="513">
        <v>0</v>
      </c>
      <c r="W37" s="513">
        <v>155</v>
      </c>
      <c r="X37" s="513">
        <v>155</v>
      </c>
      <c r="Y37" s="268">
        <v>1.25</v>
      </c>
      <c r="Z37" s="515" t="s">
        <v>1355</v>
      </c>
      <c r="AA37" s="513">
        <f t="shared" si="0"/>
        <v>59</v>
      </c>
      <c r="AB37" s="515">
        <f t="shared" si="1"/>
        <v>0.61458333333333326</v>
      </c>
      <c r="AC37" s="517"/>
      <c r="AD37" s="514"/>
      <c r="AE37" s="513"/>
      <c r="AF37" s="513"/>
      <c r="AG37" s="513"/>
      <c r="AH37" s="268"/>
      <c r="AI37" s="513"/>
      <c r="AJ37" s="513"/>
      <c r="AK37" s="515"/>
      <c r="AL37" s="513"/>
      <c r="AM37" s="515"/>
    </row>
    <row r="38" spans="1:39" s="367" customFormat="1">
      <c r="A38" s="2" t="s">
        <v>1356</v>
      </c>
      <c r="B38" s="2" t="s">
        <v>1357</v>
      </c>
      <c r="C38" s="235" t="s">
        <v>99</v>
      </c>
      <c r="D38" s="374" t="s">
        <v>584</v>
      </c>
      <c r="E38" s="374">
        <v>44682</v>
      </c>
      <c r="F38" s="374" t="s">
        <v>44</v>
      </c>
      <c r="G38" s="374" t="s">
        <v>44</v>
      </c>
      <c r="H38" s="374" t="s">
        <v>44</v>
      </c>
      <c r="I38" s="235" t="s">
        <v>44</v>
      </c>
      <c r="J38" s="518" t="s">
        <v>44</v>
      </c>
      <c r="K38" s="513">
        <v>284</v>
      </c>
      <c r="L38" s="514" t="s">
        <v>44</v>
      </c>
      <c r="M38" s="513">
        <v>0</v>
      </c>
      <c r="N38" s="513">
        <v>360</v>
      </c>
      <c r="O38" s="513">
        <f t="shared" si="2"/>
        <v>360</v>
      </c>
      <c r="P38" s="269">
        <f t="shared" si="3"/>
        <v>1.267605633802817</v>
      </c>
      <c r="Q38" s="515">
        <v>0.16</v>
      </c>
      <c r="R38" s="513">
        <v>0</v>
      </c>
      <c r="S38" s="515" t="s">
        <v>44</v>
      </c>
      <c r="T38" s="519">
        <v>284</v>
      </c>
      <c r="U38" s="514" t="s">
        <v>44</v>
      </c>
      <c r="V38" s="513">
        <v>0</v>
      </c>
      <c r="W38" s="513">
        <v>360</v>
      </c>
      <c r="X38" s="513">
        <v>360</v>
      </c>
      <c r="Y38" s="268">
        <v>1.267605633802817</v>
      </c>
      <c r="Z38" s="515" t="s">
        <v>1270</v>
      </c>
      <c r="AA38" s="513">
        <f t="shared" si="0"/>
        <v>0</v>
      </c>
      <c r="AB38" s="515">
        <f t="shared" si="1"/>
        <v>0</v>
      </c>
      <c r="AD38" s="2"/>
      <c r="AE38" s="2"/>
      <c r="AF38" s="2"/>
      <c r="AG38" s="2"/>
      <c r="AH38" s="2"/>
      <c r="AI38" s="2"/>
      <c r="AJ38" s="2"/>
      <c r="AK38" s="2"/>
      <c r="AL38" s="2"/>
      <c r="AM38" s="2"/>
    </row>
    <row r="39" spans="1:39" s="367" customFormat="1">
      <c r="A39" s="2" t="s">
        <v>1358</v>
      </c>
      <c r="B39" s="2" t="s">
        <v>1359</v>
      </c>
      <c r="C39" s="235" t="s">
        <v>99</v>
      </c>
      <c r="D39" s="374" t="s">
        <v>584</v>
      </c>
      <c r="E39" s="374">
        <v>45108</v>
      </c>
      <c r="F39" s="374" t="s">
        <v>44</v>
      </c>
      <c r="G39" s="374" t="s">
        <v>44</v>
      </c>
      <c r="H39" s="374" t="s">
        <v>44</v>
      </c>
      <c r="I39" s="235" t="s">
        <v>44</v>
      </c>
      <c r="J39" s="518" t="s">
        <v>44</v>
      </c>
      <c r="K39" s="513">
        <v>280</v>
      </c>
      <c r="L39" s="514" t="s">
        <v>44</v>
      </c>
      <c r="M39" s="513">
        <v>0</v>
      </c>
      <c r="N39" s="513">
        <v>276</v>
      </c>
      <c r="O39" s="513">
        <f t="shared" si="2"/>
        <v>276</v>
      </c>
      <c r="P39" s="269">
        <f t="shared" si="3"/>
        <v>0.98571428571428577</v>
      </c>
      <c r="Q39" s="515" t="s">
        <v>44</v>
      </c>
      <c r="R39" s="513">
        <v>0</v>
      </c>
      <c r="S39" s="515" t="s">
        <v>44</v>
      </c>
      <c r="T39" s="519">
        <v>281</v>
      </c>
      <c r="U39" s="514" t="s">
        <v>44</v>
      </c>
      <c r="V39" s="513">
        <v>0</v>
      </c>
      <c r="W39" s="513">
        <v>281</v>
      </c>
      <c r="X39" s="513">
        <v>281</v>
      </c>
      <c r="Y39" s="268">
        <v>1</v>
      </c>
      <c r="Z39" s="515" t="s">
        <v>44</v>
      </c>
      <c r="AA39" s="513">
        <f t="shared" si="0"/>
        <v>5</v>
      </c>
      <c r="AB39" s="515">
        <f t="shared" si="1"/>
        <v>1.8115942028985588E-2</v>
      </c>
      <c r="AD39" s="2"/>
      <c r="AE39" s="2"/>
      <c r="AF39" s="2"/>
      <c r="AG39" s="2"/>
      <c r="AH39" s="2"/>
      <c r="AI39" s="2"/>
      <c r="AJ39" s="2"/>
      <c r="AK39" s="2"/>
      <c r="AL39" s="2"/>
      <c r="AM39" s="2"/>
    </row>
    <row r="40" spans="1:39" s="367" customFormat="1">
      <c r="A40" s="2" t="s">
        <v>1360</v>
      </c>
      <c r="B40" s="2" t="s">
        <v>1361</v>
      </c>
      <c r="C40" s="235" t="s">
        <v>273</v>
      </c>
      <c r="D40" s="374" t="s">
        <v>584</v>
      </c>
      <c r="E40" s="374">
        <v>44470</v>
      </c>
      <c r="F40" s="374" t="s">
        <v>44</v>
      </c>
      <c r="G40" s="374" t="s">
        <v>44</v>
      </c>
      <c r="H40" s="374" t="s">
        <v>44</v>
      </c>
      <c r="I40" s="235" t="s">
        <v>44</v>
      </c>
      <c r="J40" s="518" t="s">
        <v>44</v>
      </c>
      <c r="K40" s="513">
        <v>334</v>
      </c>
      <c r="L40" s="514" t="s">
        <v>44</v>
      </c>
      <c r="M40" s="513">
        <v>0</v>
      </c>
      <c r="N40" s="513">
        <v>401</v>
      </c>
      <c r="O40" s="513">
        <f t="shared" si="2"/>
        <v>401</v>
      </c>
      <c r="P40" s="269">
        <f t="shared" si="3"/>
        <v>1.2005988023952097</v>
      </c>
      <c r="Q40" s="515">
        <v>0.09</v>
      </c>
      <c r="R40" s="513">
        <v>0</v>
      </c>
      <c r="S40" s="515" t="s">
        <v>44</v>
      </c>
      <c r="T40" s="519">
        <v>334</v>
      </c>
      <c r="U40" s="514" t="s">
        <v>44</v>
      </c>
      <c r="V40" s="513">
        <v>0</v>
      </c>
      <c r="W40" s="513">
        <v>451</v>
      </c>
      <c r="X40" s="513">
        <v>451</v>
      </c>
      <c r="Y40" s="268">
        <v>1.3502994011976048</v>
      </c>
      <c r="Z40" s="515" t="s">
        <v>1270</v>
      </c>
      <c r="AA40" s="513">
        <f t="shared" si="0"/>
        <v>50</v>
      </c>
      <c r="AB40" s="515">
        <f t="shared" si="1"/>
        <v>0.12468827930174564</v>
      </c>
      <c r="AD40" s="2"/>
      <c r="AE40" s="2"/>
      <c r="AF40" s="2"/>
      <c r="AG40" s="2"/>
      <c r="AH40" s="2"/>
      <c r="AI40" s="2"/>
      <c r="AJ40" s="2"/>
      <c r="AK40" s="2"/>
      <c r="AL40" s="2"/>
      <c r="AM40" s="2"/>
    </row>
    <row r="41" spans="1:39" s="367" customFormat="1">
      <c r="A41" s="2" t="s">
        <v>1271</v>
      </c>
      <c r="B41" s="2" t="s">
        <v>1272</v>
      </c>
      <c r="C41" s="235" t="s">
        <v>273</v>
      </c>
      <c r="D41" s="374" t="s">
        <v>276</v>
      </c>
      <c r="E41" s="374">
        <v>44621</v>
      </c>
      <c r="F41" s="374" t="s">
        <v>44</v>
      </c>
      <c r="G41" s="374" t="s">
        <v>44</v>
      </c>
      <c r="H41" s="374" t="s">
        <v>44</v>
      </c>
      <c r="I41" s="235" t="s">
        <v>44</v>
      </c>
      <c r="J41" s="518" t="s">
        <v>44</v>
      </c>
      <c r="K41" s="513">
        <v>94</v>
      </c>
      <c r="L41" s="514" t="s">
        <v>44</v>
      </c>
      <c r="M41" s="513">
        <v>31</v>
      </c>
      <c r="N41" s="513">
        <v>148</v>
      </c>
      <c r="O41" s="513">
        <f t="shared" si="2"/>
        <v>179</v>
      </c>
      <c r="P41" s="269">
        <f t="shared" si="3"/>
        <v>1.9042553191489362</v>
      </c>
      <c r="Q41" s="515">
        <v>0.45</v>
      </c>
      <c r="R41" s="513">
        <v>0</v>
      </c>
      <c r="S41" s="515" t="s">
        <v>44</v>
      </c>
      <c r="T41" s="519">
        <v>94</v>
      </c>
      <c r="U41" s="514" t="s">
        <v>44</v>
      </c>
      <c r="V41" s="513">
        <v>31</v>
      </c>
      <c r="W41" s="513">
        <v>144</v>
      </c>
      <c r="X41" s="513">
        <v>175</v>
      </c>
      <c r="Y41" s="268">
        <v>1.8617021276595744</v>
      </c>
      <c r="Z41" s="515" t="s">
        <v>1362</v>
      </c>
      <c r="AA41" s="513">
        <f t="shared" si="0"/>
        <v>-4</v>
      </c>
      <c r="AB41" s="515">
        <f t="shared" si="1"/>
        <v>-2.2346368715083775E-2</v>
      </c>
      <c r="AD41" s="2"/>
      <c r="AE41" s="2"/>
      <c r="AF41" s="2"/>
      <c r="AG41" s="2"/>
      <c r="AH41" s="2"/>
      <c r="AI41" s="2"/>
      <c r="AJ41" s="2"/>
      <c r="AK41" s="2"/>
      <c r="AL41" s="2"/>
      <c r="AM41" s="2"/>
    </row>
    <row r="42" spans="1:39" s="367" customFormat="1">
      <c r="A42" s="2" t="s">
        <v>1363</v>
      </c>
      <c r="B42" s="2" t="s">
        <v>1364</v>
      </c>
      <c r="C42" s="235" t="s">
        <v>273</v>
      </c>
      <c r="D42" s="374" t="s">
        <v>584</v>
      </c>
      <c r="E42" s="374">
        <v>44501</v>
      </c>
      <c r="F42" s="374" t="s">
        <v>44</v>
      </c>
      <c r="G42" s="374" t="s">
        <v>44</v>
      </c>
      <c r="H42" s="374" t="s">
        <v>44</v>
      </c>
      <c r="I42" s="235" t="s">
        <v>44</v>
      </c>
      <c r="J42" s="518" t="s">
        <v>44</v>
      </c>
      <c r="K42" s="513">
        <v>341</v>
      </c>
      <c r="L42" s="514" t="s">
        <v>44</v>
      </c>
      <c r="M42" s="513">
        <v>0</v>
      </c>
      <c r="N42" s="513">
        <v>409</v>
      </c>
      <c r="O42" s="513">
        <f t="shared" si="2"/>
        <v>409</v>
      </c>
      <c r="P42" s="269">
        <f t="shared" si="3"/>
        <v>1.1994134897360704</v>
      </c>
      <c r="Q42" s="515">
        <v>0.09</v>
      </c>
      <c r="R42" s="513">
        <v>0</v>
      </c>
      <c r="S42" s="515" t="s">
        <v>44</v>
      </c>
      <c r="T42" s="519">
        <v>341</v>
      </c>
      <c r="U42" s="514" t="s">
        <v>44</v>
      </c>
      <c r="V42" s="513">
        <v>0</v>
      </c>
      <c r="W42" s="513">
        <v>460</v>
      </c>
      <c r="X42" s="513">
        <v>460</v>
      </c>
      <c r="Y42" s="268">
        <v>1.3489736070381231</v>
      </c>
      <c r="Z42" s="515" t="s">
        <v>1270</v>
      </c>
      <c r="AA42" s="513">
        <f t="shared" si="0"/>
        <v>51</v>
      </c>
      <c r="AB42" s="515">
        <f t="shared" si="1"/>
        <v>0.12469437652811743</v>
      </c>
      <c r="AD42" s="2"/>
      <c r="AE42" s="2"/>
      <c r="AF42" s="2"/>
      <c r="AG42" s="2"/>
      <c r="AH42" s="2"/>
      <c r="AI42" s="2"/>
      <c r="AJ42" s="2"/>
      <c r="AK42" s="2"/>
      <c r="AL42" s="2"/>
      <c r="AM42" s="2"/>
    </row>
    <row r="43" spans="1:39" s="367" customFormat="1">
      <c r="A43" s="2" t="s">
        <v>1274</v>
      </c>
      <c r="B43" s="2" t="s">
        <v>1365</v>
      </c>
      <c r="C43" s="235" t="s">
        <v>728</v>
      </c>
      <c r="D43" s="374" t="s">
        <v>276</v>
      </c>
      <c r="E43" s="374">
        <v>44228</v>
      </c>
      <c r="F43" s="374" t="s">
        <v>44</v>
      </c>
      <c r="G43" s="374" t="s">
        <v>44</v>
      </c>
      <c r="H43" s="374" t="s">
        <v>44</v>
      </c>
      <c r="I43" s="235" t="s">
        <v>44</v>
      </c>
      <c r="J43" s="518" t="s">
        <v>44</v>
      </c>
      <c r="K43" s="513">
        <v>344</v>
      </c>
      <c r="L43" s="514" t="s">
        <v>44</v>
      </c>
      <c r="M43" s="513">
        <v>19</v>
      </c>
      <c r="N43" s="513">
        <v>516</v>
      </c>
      <c r="O43" s="513">
        <f t="shared" si="2"/>
        <v>535</v>
      </c>
      <c r="P43" s="269">
        <f t="shared" si="3"/>
        <v>1.555232558139535</v>
      </c>
      <c r="Q43" s="515">
        <v>0.17</v>
      </c>
      <c r="R43" s="513">
        <v>0</v>
      </c>
      <c r="S43" s="515" t="s">
        <v>44</v>
      </c>
      <c r="T43" s="519">
        <v>385</v>
      </c>
      <c r="U43" s="514" t="s">
        <v>44</v>
      </c>
      <c r="V43" s="513">
        <v>27</v>
      </c>
      <c r="W43" s="513">
        <v>635</v>
      </c>
      <c r="X43" s="513">
        <v>662</v>
      </c>
      <c r="Y43" s="268">
        <v>1.7194805194805194</v>
      </c>
      <c r="Z43" s="515" t="s">
        <v>1257</v>
      </c>
      <c r="AA43" s="513">
        <f t="shared" si="0"/>
        <v>127</v>
      </c>
      <c r="AB43" s="515">
        <f t="shared" si="1"/>
        <v>0.23738317757009342</v>
      </c>
      <c r="AD43" s="2"/>
      <c r="AE43" s="2"/>
      <c r="AF43" s="2"/>
      <c r="AG43" s="2"/>
      <c r="AH43" s="2"/>
      <c r="AI43" s="2"/>
      <c r="AJ43" s="2"/>
      <c r="AK43" s="2"/>
      <c r="AL43" s="2"/>
      <c r="AM43" s="2"/>
    </row>
    <row r="44" spans="1:39" s="367" customFormat="1">
      <c r="A44" s="2" t="s">
        <v>1366</v>
      </c>
      <c r="B44" s="2" t="s">
        <v>1367</v>
      </c>
      <c r="C44" s="235" t="s">
        <v>114</v>
      </c>
      <c r="D44" s="374" t="s">
        <v>584</v>
      </c>
      <c r="E44" s="374">
        <v>45139</v>
      </c>
      <c r="F44" s="374" t="s">
        <v>44</v>
      </c>
      <c r="G44" s="374" t="s">
        <v>44</v>
      </c>
      <c r="H44" s="374" t="s">
        <v>44</v>
      </c>
      <c r="I44" s="235" t="s">
        <v>44</v>
      </c>
      <c r="J44" s="518" t="s">
        <v>44</v>
      </c>
      <c r="K44" s="513">
        <v>200</v>
      </c>
      <c r="L44" s="514" t="s">
        <v>44</v>
      </c>
      <c r="M44" s="513">
        <v>0</v>
      </c>
      <c r="N44" s="513">
        <v>200</v>
      </c>
      <c r="O44" s="513">
        <f t="shared" si="2"/>
        <v>200</v>
      </c>
      <c r="P44" s="269">
        <f t="shared" si="3"/>
        <v>1</v>
      </c>
      <c r="Q44" s="515">
        <v>0</v>
      </c>
      <c r="R44" s="513">
        <v>0</v>
      </c>
      <c r="S44" s="515" t="s">
        <v>44</v>
      </c>
      <c r="T44" s="519">
        <v>200</v>
      </c>
      <c r="U44" s="514" t="s">
        <v>44</v>
      </c>
      <c r="V44" s="513">
        <v>0</v>
      </c>
      <c r="W44" s="513">
        <v>200</v>
      </c>
      <c r="X44" s="513">
        <v>200</v>
      </c>
      <c r="Y44" s="268">
        <v>1</v>
      </c>
      <c r="Z44" s="515" t="s">
        <v>44</v>
      </c>
      <c r="AA44" s="513">
        <f t="shared" si="0"/>
        <v>0</v>
      </c>
      <c r="AB44" s="515">
        <f t="shared" si="1"/>
        <v>0</v>
      </c>
      <c r="AD44" s="2"/>
      <c r="AE44" s="2"/>
      <c r="AF44" s="2"/>
      <c r="AG44" s="2"/>
      <c r="AH44" s="2"/>
      <c r="AI44" s="2"/>
      <c r="AJ44" s="2"/>
      <c r="AK44" s="2"/>
      <c r="AL44" s="2"/>
      <c r="AM44" s="2"/>
    </row>
    <row r="45" spans="1:39" s="367" customFormat="1">
      <c r="A45" s="2" t="s">
        <v>1368</v>
      </c>
      <c r="B45" s="2" t="s">
        <v>1369</v>
      </c>
      <c r="C45" s="235" t="s">
        <v>260</v>
      </c>
      <c r="D45" s="374" t="s">
        <v>584</v>
      </c>
      <c r="E45" s="374">
        <v>45474</v>
      </c>
      <c r="F45" s="374" t="s">
        <v>44</v>
      </c>
      <c r="G45" s="374" t="s">
        <v>44</v>
      </c>
      <c r="H45" s="374" t="s">
        <v>44</v>
      </c>
      <c r="I45" s="235" t="s">
        <v>44</v>
      </c>
      <c r="J45" s="518" t="s">
        <v>44</v>
      </c>
      <c r="K45" s="513">
        <v>195</v>
      </c>
      <c r="L45" s="514" t="s">
        <v>44</v>
      </c>
      <c r="M45" s="513">
        <v>0</v>
      </c>
      <c r="N45" s="513">
        <v>292</v>
      </c>
      <c r="O45" s="513">
        <f t="shared" si="2"/>
        <v>292</v>
      </c>
      <c r="P45" s="269">
        <f t="shared" si="3"/>
        <v>1.4974358974358974</v>
      </c>
      <c r="Q45" s="515">
        <v>0.18</v>
      </c>
      <c r="R45" s="513">
        <v>0</v>
      </c>
      <c r="S45" s="515" t="s">
        <v>44</v>
      </c>
      <c r="T45" s="519">
        <v>195</v>
      </c>
      <c r="U45" s="514" t="s">
        <v>44</v>
      </c>
      <c r="V45" s="513">
        <v>0</v>
      </c>
      <c r="W45" s="513">
        <v>322</v>
      </c>
      <c r="X45" s="513">
        <v>322</v>
      </c>
      <c r="Y45" s="268">
        <v>1.6512820512820512</v>
      </c>
      <c r="Z45" s="515" t="s">
        <v>1370</v>
      </c>
      <c r="AA45" s="513">
        <f t="shared" si="0"/>
        <v>30</v>
      </c>
      <c r="AB45" s="515">
        <f t="shared" si="1"/>
        <v>0.10273972602739723</v>
      </c>
      <c r="AD45" s="2"/>
      <c r="AE45" s="2"/>
      <c r="AF45" s="2"/>
      <c r="AG45" s="2"/>
      <c r="AH45" s="2"/>
      <c r="AI45" s="2"/>
      <c r="AJ45" s="2"/>
      <c r="AK45" s="2"/>
      <c r="AL45" s="2"/>
      <c r="AM45" s="2"/>
    </row>
    <row r="46" spans="1:39" s="367" customFormat="1">
      <c r="A46" s="2" t="s">
        <v>1371</v>
      </c>
      <c r="B46" s="2" t="s">
        <v>1372</v>
      </c>
      <c r="C46" s="235" t="s">
        <v>113</v>
      </c>
      <c r="D46" s="374" t="s">
        <v>584</v>
      </c>
      <c r="E46" s="374">
        <v>45170</v>
      </c>
      <c r="F46" s="374" t="s">
        <v>44</v>
      </c>
      <c r="G46" s="374" t="s">
        <v>44</v>
      </c>
      <c r="H46" s="374" t="s">
        <v>44</v>
      </c>
      <c r="I46" s="235" t="s">
        <v>44</v>
      </c>
      <c r="J46" s="518" t="s">
        <v>44</v>
      </c>
      <c r="K46" s="513">
        <v>317</v>
      </c>
      <c r="L46" s="514" t="s">
        <v>44</v>
      </c>
      <c r="M46" s="513">
        <v>0</v>
      </c>
      <c r="N46" s="513">
        <v>326</v>
      </c>
      <c r="O46" s="513">
        <f t="shared" si="2"/>
        <v>326</v>
      </c>
      <c r="P46" s="269">
        <f t="shared" si="3"/>
        <v>1.0283911671924291</v>
      </c>
      <c r="Q46" s="515" t="s">
        <v>44</v>
      </c>
      <c r="R46" s="513">
        <v>0</v>
      </c>
      <c r="S46" s="515" t="s">
        <v>44</v>
      </c>
      <c r="T46" s="519">
        <v>317</v>
      </c>
      <c r="U46" s="514" t="s">
        <v>44</v>
      </c>
      <c r="V46" s="513">
        <v>0</v>
      </c>
      <c r="W46" s="513">
        <v>432</v>
      </c>
      <c r="X46" s="513">
        <v>432</v>
      </c>
      <c r="Y46" s="268">
        <v>1.362776025236593</v>
      </c>
      <c r="Z46" s="515" t="s">
        <v>1373</v>
      </c>
      <c r="AA46" s="513">
        <f t="shared" si="0"/>
        <v>106</v>
      </c>
      <c r="AB46" s="515">
        <f t="shared" si="1"/>
        <v>0.32515337423312873</v>
      </c>
      <c r="AD46" s="2"/>
      <c r="AE46" s="2"/>
      <c r="AF46" s="2"/>
      <c r="AG46" s="2"/>
      <c r="AH46" s="2"/>
      <c r="AI46" s="2"/>
      <c r="AJ46" s="2"/>
      <c r="AK46" s="2"/>
      <c r="AL46" s="2"/>
      <c r="AM46" s="2"/>
    </row>
    <row r="47" spans="1:39" s="367" customFormat="1">
      <c r="A47" s="2" t="s">
        <v>1285</v>
      </c>
      <c r="B47" s="2" t="s">
        <v>1374</v>
      </c>
      <c r="C47" s="235" t="s">
        <v>260</v>
      </c>
      <c r="D47" s="374" t="s">
        <v>276</v>
      </c>
      <c r="E47" s="374">
        <v>44166</v>
      </c>
      <c r="F47" s="374" t="s">
        <v>44</v>
      </c>
      <c r="G47" s="374" t="s">
        <v>44</v>
      </c>
      <c r="H47" s="374" t="s">
        <v>44</v>
      </c>
      <c r="I47" s="235" t="s">
        <v>44</v>
      </c>
      <c r="J47" s="518" t="s">
        <v>44</v>
      </c>
      <c r="K47" s="513">
        <v>316</v>
      </c>
      <c r="L47" s="514" t="s">
        <v>44</v>
      </c>
      <c r="M47" s="513">
        <v>48</v>
      </c>
      <c r="N47" s="513">
        <v>395</v>
      </c>
      <c r="O47" s="513">
        <f t="shared" si="2"/>
        <v>443</v>
      </c>
      <c r="P47" s="269">
        <f t="shared" si="3"/>
        <v>1.4018987341772151</v>
      </c>
      <c r="Q47" s="515">
        <v>0.12</v>
      </c>
      <c r="R47" s="513">
        <v>0</v>
      </c>
      <c r="S47" s="515" t="s">
        <v>44</v>
      </c>
      <c r="T47" s="519">
        <v>316</v>
      </c>
      <c r="U47" s="514" t="s">
        <v>44</v>
      </c>
      <c r="V47" s="513">
        <v>126</v>
      </c>
      <c r="W47" s="513">
        <v>397</v>
      </c>
      <c r="X47" s="513">
        <v>523</v>
      </c>
      <c r="Y47" s="268">
        <v>1.6550632911392404</v>
      </c>
      <c r="Z47" s="515" t="s">
        <v>1287</v>
      </c>
      <c r="AA47" s="513">
        <f t="shared" si="0"/>
        <v>80</v>
      </c>
      <c r="AB47" s="515">
        <f t="shared" si="1"/>
        <v>0.18058690744920991</v>
      </c>
      <c r="AD47" s="2"/>
      <c r="AE47" s="2"/>
      <c r="AF47" s="2"/>
      <c r="AG47" s="2"/>
      <c r="AH47" s="2"/>
      <c r="AI47" s="2"/>
      <c r="AJ47" s="2"/>
      <c r="AK47" s="2"/>
      <c r="AL47" s="2"/>
      <c r="AM47" s="2"/>
    </row>
    <row r="48" spans="1:39" s="367" customFormat="1">
      <c r="A48" s="2" t="s">
        <v>1375</v>
      </c>
      <c r="B48" s="2" t="s">
        <v>1376</v>
      </c>
      <c r="C48" s="235" t="s">
        <v>728</v>
      </c>
      <c r="D48" s="374" t="s">
        <v>584</v>
      </c>
      <c r="E48" s="374">
        <v>45505</v>
      </c>
      <c r="F48" s="374" t="s">
        <v>44</v>
      </c>
      <c r="G48" s="374" t="s">
        <v>44</v>
      </c>
      <c r="H48" s="374" t="s">
        <v>44</v>
      </c>
      <c r="I48" s="235" t="s">
        <v>44</v>
      </c>
      <c r="J48" s="518" t="s">
        <v>44</v>
      </c>
      <c r="K48" s="513">
        <v>0</v>
      </c>
      <c r="L48" s="514" t="s">
        <v>44</v>
      </c>
      <c r="M48" s="513">
        <v>0</v>
      </c>
      <c r="N48" s="513">
        <v>0</v>
      </c>
      <c r="O48" s="513">
        <f t="shared" si="2"/>
        <v>0</v>
      </c>
      <c r="P48" s="269" t="s">
        <v>44</v>
      </c>
      <c r="Q48" s="515" t="s">
        <v>44</v>
      </c>
      <c r="R48" s="513">
        <v>0</v>
      </c>
      <c r="S48" s="515" t="s">
        <v>44</v>
      </c>
      <c r="T48" s="519">
        <v>330</v>
      </c>
      <c r="U48" s="514" t="s">
        <v>44</v>
      </c>
      <c r="V48" s="513">
        <v>0</v>
      </c>
      <c r="W48" s="513">
        <v>321</v>
      </c>
      <c r="X48" s="513">
        <v>321</v>
      </c>
      <c r="Y48" s="268">
        <v>0.97272727272727277</v>
      </c>
      <c r="Z48" s="515" t="s">
        <v>44</v>
      </c>
      <c r="AA48" s="513">
        <f t="shared" si="0"/>
        <v>321</v>
      </c>
      <c r="AB48" s="515">
        <f t="shared" si="1"/>
        <v>0</v>
      </c>
      <c r="AD48" s="2"/>
      <c r="AE48" s="2"/>
      <c r="AF48" s="2"/>
      <c r="AG48" s="2"/>
      <c r="AH48" s="2"/>
      <c r="AI48" s="2"/>
      <c r="AJ48" s="2"/>
      <c r="AK48" s="2"/>
      <c r="AL48" s="2"/>
      <c r="AM48" s="2"/>
    </row>
    <row r="49" spans="1:40" s="367" customFormat="1">
      <c r="A49" s="2" t="s">
        <v>1377</v>
      </c>
      <c r="B49" s="2" t="s">
        <v>1289</v>
      </c>
      <c r="C49" s="235" t="s">
        <v>99</v>
      </c>
      <c r="D49" s="374" t="s">
        <v>276</v>
      </c>
      <c r="E49" s="374">
        <v>44287</v>
      </c>
      <c r="F49" s="374" t="s">
        <v>44</v>
      </c>
      <c r="G49" s="374" t="s">
        <v>44</v>
      </c>
      <c r="H49" s="374" t="s">
        <v>44</v>
      </c>
      <c r="I49" s="235" t="s">
        <v>44</v>
      </c>
      <c r="J49" s="518" t="s">
        <v>44</v>
      </c>
      <c r="K49" s="513">
        <v>425</v>
      </c>
      <c r="L49" s="514" t="s">
        <v>44</v>
      </c>
      <c r="M49" s="513">
        <v>63</v>
      </c>
      <c r="N49" s="513">
        <v>449</v>
      </c>
      <c r="O49" s="513">
        <f t="shared" si="2"/>
        <v>512</v>
      </c>
      <c r="P49" s="269">
        <f t="shared" si="3"/>
        <v>1.2047058823529411</v>
      </c>
      <c r="Q49" s="515">
        <v>0.1</v>
      </c>
      <c r="R49" s="513">
        <v>0</v>
      </c>
      <c r="S49" s="515" t="s">
        <v>44</v>
      </c>
      <c r="T49" s="519">
        <v>464</v>
      </c>
      <c r="U49" s="514" t="s">
        <v>44</v>
      </c>
      <c r="V49" s="513">
        <v>68</v>
      </c>
      <c r="W49" s="513">
        <v>598</v>
      </c>
      <c r="X49" s="513">
        <v>666</v>
      </c>
      <c r="Y49" s="268">
        <v>1.4353448275862069</v>
      </c>
      <c r="Z49" s="515" t="s">
        <v>1260</v>
      </c>
      <c r="AA49" s="513">
        <f t="shared" si="0"/>
        <v>154</v>
      </c>
      <c r="AB49" s="515">
        <f t="shared" si="1"/>
        <v>0.30078125</v>
      </c>
      <c r="AD49" s="2"/>
      <c r="AE49" s="2"/>
      <c r="AF49" s="2"/>
      <c r="AG49" s="2"/>
      <c r="AH49" s="2"/>
      <c r="AI49" s="2"/>
      <c r="AJ49" s="2"/>
      <c r="AK49" s="2"/>
      <c r="AL49" s="2"/>
      <c r="AM49" s="2"/>
    </row>
    <row r="50" spans="1:40" s="367" customFormat="1">
      <c r="A50" s="2" t="s">
        <v>1378</v>
      </c>
      <c r="B50" s="2" t="s">
        <v>1379</v>
      </c>
      <c r="C50" s="235" t="s">
        <v>113</v>
      </c>
      <c r="D50" s="374" t="s">
        <v>584</v>
      </c>
      <c r="E50" s="374">
        <v>44866</v>
      </c>
      <c r="F50" s="374" t="s">
        <v>44</v>
      </c>
      <c r="G50" s="374" t="s">
        <v>44</v>
      </c>
      <c r="H50" s="374" t="s">
        <v>44</v>
      </c>
      <c r="I50" s="235" t="s">
        <v>44</v>
      </c>
      <c r="J50" s="518" t="s">
        <v>44</v>
      </c>
      <c r="K50" s="513">
        <v>299</v>
      </c>
      <c r="L50" s="514" t="s">
        <v>44</v>
      </c>
      <c r="M50" s="513">
        <v>0</v>
      </c>
      <c r="N50" s="513">
        <v>300</v>
      </c>
      <c r="O50" s="513">
        <f t="shared" si="2"/>
        <v>300</v>
      </c>
      <c r="P50" s="269">
        <f t="shared" si="3"/>
        <v>1.0033444816053512</v>
      </c>
      <c r="Q50" s="515">
        <v>0.01</v>
      </c>
      <c r="R50" s="513">
        <v>0</v>
      </c>
      <c r="S50" s="515" t="s">
        <v>44</v>
      </c>
      <c r="T50" s="519">
        <v>325</v>
      </c>
      <c r="U50" s="514" t="s">
        <v>44</v>
      </c>
      <c r="V50" s="513">
        <v>0</v>
      </c>
      <c r="W50" s="513">
        <v>398</v>
      </c>
      <c r="X50" s="513">
        <v>398</v>
      </c>
      <c r="Y50" s="268">
        <v>1.2246153846153847</v>
      </c>
      <c r="Z50" s="515" t="s">
        <v>1380</v>
      </c>
      <c r="AA50" s="513">
        <f t="shared" si="0"/>
        <v>98</v>
      </c>
      <c r="AB50" s="515">
        <f t="shared" si="1"/>
        <v>0.32666666666666666</v>
      </c>
      <c r="AD50" s="2"/>
      <c r="AE50" s="2"/>
      <c r="AF50" s="2"/>
      <c r="AG50" s="2"/>
      <c r="AH50" s="2"/>
      <c r="AI50" s="2"/>
      <c r="AJ50" s="2"/>
      <c r="AK50" s="2"/>
      <c r="AL50" s="2"/>
      <c r="AM50" s="2"/>
    </row>
    <row r="51" spans="1:40" s="367" customFormat="1">
      <c r="A51" s="2" t="s">
        <v>1381</v>
      </c>
      <c r="B51" s="2" t="s">
        <v>1382</v>
      </c>
      <c r="C51" s="235" t="s">
        <v>1383</v>
      </c>
      <c r="D51" s="374" t="s">
        <v>276</v>
      </c>
      <c r="E51" s="374">
        <v>44682</v>
      </c>
      <c r="F51" s="374" t="s">
        <v>44</v>
      </c>
      <c r="G51" s="374" t="s">
        <v>44</v>
      </c>
      <c r="H51" s="374" t="s">
        <v>44</v>
      </c>
      <c r="I51" s="235" t="s">
        <v>44</v>
      </c>
      <c r="J51" s="518" t="s">
        <v>44</v>
      </c>
      <c r="K51" s="513">
        <v>213</v>
      </c>
      <c r="L51" s="514" t="s">
        <v>44</v>
      </c>
      <c r="M51" s="513">
        <v>15</v>
      </c>
      <c r="N51" s="513">
        <v>253</v>
      </c>
      <c r="O51" s="513">
        <f t="shared" si="2"/>
        <v>268</v>
      </c>
      <c r="P51" s="269">
        <f t="shared" si="3"/>
        <v>1.2582159624413145</v>
      </c>
      <c r="Q51" s="515">
        <v>0.16</v>
      </c>
      <c r="R51" s="513">
        <v>0</v>
      </c>
      <c r="S51" s="515" t="s">
        <v>44</v>
      </c>
      <c r="T51" s="519">
        <v>213</v>
      </c>
      <c r="U51" s="514" t="s">
        <v>44</v>
      </c>
      <c r="V51" s="513">
        <v>21</v>
      </c>
      <c r="W51" s="513">
        <v>328</v>
      </c>
      <c r="X51" s="513">
        <v>349</v>
      </c>
      <c r="Y51" s="268">
        <v>1.6384976525821595</v>
      </c>
      <c r="Z51" s="515" t="s">
        <v>1265</v>
      </c>
      <c r="AA51" s="513">
        <f t="shared" si="0"/>
        <v>81</v>
      </c>
      <c r="AB51" s="515">
        <f t="shared" si="1"/>
        <v>0.30223880597014929</v>
      </c>
      <c r="AD51" s="2"/>
      <c r="AE51" s="2"/>
      <c r="AF51" s="2"/>
      <c r="AG51" s="2"/>
      <c r="AH51" s="2"/>
      <c r="AI51" s="2"/>
      <c r="AJ51" s="2"/>
      <c r="AK51" s="2"/>
      <c r="AL51" s="2"/>
      <c r="AM51" s="2"/>
    </row>
    <row r="52" spans="1:40" s="367" customFormat="1">
      <c r="A52" s="2" t="s">
        <v>1384</v>
      </c>
      <c r="B52" s="2" t="s">
        <v>1385</v>
      </c>
      <c r="C52" s="235" t="s">
        <v>113</v>
      </c>
      <c r="D52" s="374" t="s">
        <v>584</v>
      </c>
      <c r="E52" s="374">
        <v>45566</v>
      </c>
      <c r="F52" s="374" t="s">
        <v>44</v>
      </c>
      <c r="G52" s="374" t="s">
        <v>44</v>
      </c>
      <c r="H52" s="374" t="s">
        <v>44</v>
      </c>
      <c r="I52" s="235" t="s">
        <v>44</v>
      </c>
      <c r="J52" s="518" t="s">
        <v>44</v>
      </c>
      <c r="K52" s="513">
        <v>0</v>
      </c>
      <c r="L52" s="514" t="s">
        <v>44</v>
      </c>
      <c r="M52" s="513">
        <v>0</v>
      </c>
      <c r="N52" s="513">
        <v>0</v>
      </c>
      <c r="O52" s="513">
        <f t="shared" si="2"/>
        <v>0</v>
      </c>
      <c r="P52" s="269" t="s">
        <v>44</v>
      </c>
      <c r="Q52" s="515" t="s">
        <v>44</v>
      </c>
      <c r="R52" s="513">
        <v>0</v>
      </c>
      <c r="S52" s="515" t="s">
        <v>44</v>
      </c>
      <c r="T52" s="519">
        <v>189</v>
      </c>
      <c r="U52" s="514" t="s">
        <v>44</v>
      </c>
      <c r="V52" s="513">
        <v>0</v>
      </c>
      <c r="W52" s="513">
        <v>185</v>
      </c>
      <c r="X52" s="513">
        <v>185</v>
      </c>
      <c r="Y52" s="268">
        <v>0.97883597883597884</v>
      </c>
      <c r="Z52" s="515" t="s">
        <v>44</v>
      </c>
      <c r="AA52" s="513">
        <f t="shared" si="0"/>
        <v>185</v>
      </c>
      <c r="AB52" s="515">
        <f t="shared" si="1"/>
        <v>0</v>
      </c>
      <c r="AD52" s="2"/>
      <c r="AE52" s="2"/>
      <c r="AF52" s="2"/>
      <c r="AG52" s="2"/>
      <c r="AH52" s="2"/>
      <c r="AI52" s="2"/>
      <c r="AJ52" s="2"/>
      <c r="AK52" s="2"/>
      <c r="AL52" s="2"/>
      <c r="AM52" s="2"/>
    </row>
    <row r="53" spans="1:40" s="367" customFormat="1">
      <c r="A53" s="2" t="s">
        <v>1386</v>
      </c>
      <c r="B53" s="2" t="s">
        <v>1387</v>
      </c>
      <c r="C53" s="235" t="s">
        <v>99</v>
      </c>
      <c r="D53" s="374" t="s">
        <v>584</v>
      </c>
      <c r="E53" s="374">
        <v>45200</v>
      </c>
      <c r="F53" s="374" t="s">
        <v>44</v>
      </c>
      <c r="G53" s="374" t="s">
        <v>44</v>
      </c>
      <c r="H53" s="374" t="s">
        <v>44</v>
      </c>
      <c r="I53" s="235" t="s">
        <v>44</v>
      </c>
      <c r="J53" s="518" t="s">
        <v>44</v>
      </c>
      <c r="K53" s="513">
        <v>556</v>
      </c>
      <c r="L53" s="514" t="s">
        <v>44</v>
      </c>
      <c r="M53" s="513">
        <v>0</v>
      </c>
      <c r="N53" s="513">
        <v>539</v>
      </c>
      <c r="O53" s="513">
        <f t="shared" si="2"/>
        <v>539</v>
      </c>
      <c r="P53" s="269">
        <f t="shared" si="3"/>
        <v>0.96942446043165464</v>
      </c>
      <c r="Q53" s="515" t="s">
        <v>44</v>
      </c>
      <c r="R53" s="513">
        <v>0</v>
      </c>
      <c r="S53" s="515" t="s">
        <v>44</v>
      </c>
      <c r="T53" s="519">
        <v>403</v>
      </c>
      <c r="U53" s="514" t="s">
        <v>44</v>
      </c>
      <c r="V53" s="513">
        <v>0</v>
      </c>
      <c r="W53" s="513">
        <v>484</v>
      </c>
      <c r="X53" s="513">
        <v>484</v>
      </c>
      <c r="Y53" s="268">
        <v>1.2009925558312655</v>
      </c>
      <c r="Z53" s="515" t="s">
        <v>1370</v>
      </c>
      <c r="AA53" s="513">
        <f t="shared" si="0"/>
        <v>-55</v>
      </c>
      <c r="AB53" s="515">
        <f t="shared" si="1"/>
        <v>-0.10204081632653061</v>
      </c>
      <c r="AD53" s="2"/>
      <c r="AE53" s="2"/>
      <c r="AF53" s="2"/>
      <c r="AG53" s="2"/>
      <c r="AH53" s="2"/>
      <c r="AI53" s="2"/>
      <c r="AJ53" s="2"/>
      <c r="AK53" s="2"/>
      <c r="AL53" s="2"/>
      <c r="AM53" s="2"/>
    </row>
    <row r="54" spans="1:40" s="367" customFormat="1">
      <c r="A54" s="2" t="s">
        <v>1388</v>
      </c>
      <c r="B54" s="2" t="s">
        <v>1389</v>
      </c>
      <c r="C54" s="235" t="s">
        <v>728</v>
      </c>
      <c r="D54" s="374" t="s">
        <v>276</v>
      </c>
      <c r="E54" s="374">
        <v>44501</v>
      </c>
      <c r="F54" s="374" t="s">
        <v>44</v>
      </c>
      <c r="G54" s="374" t="s">
        <v>44</v>
      </c>
      <c r="H54" s="374" t="s">
        <v>44</v>
      </c>
      <c r="I54" s="235" t="s">
        <v>44</v>
      </c>
      <c r="J54" s="518" t="s">
        <v>44</v>
      </c>
      <c r="K54" s="513">
        <v>317</v>
      </c>
      <c r="L54" s="514" t="s">
        <v>44</v>
      </c>
      <c r="M54" s="513">
        <v>37</v>
      </c>
      <c r="N54" s="513">
        <v>373</v>
      </c>
      <c r="O54" s="513">
        <f t="shared" si="2"/>
        <v>410</v>
      </c>
      <c r="P54" s="269">
        <f t="shared" si="3"/>
        <v>1.2933753943217665</v>
      </c>
      <c r="Q54" s="515">
        <v>0.14000000000000001</v>
      </c>
      <c r="R54" s="513">
        <v>0</v>
      </c>
      <c r="S54" s="515" t="s">
        <v>44</v>
      </c>
      <c r="T54" s="519">
        <v>317</v>
      </c>
      <c r="U54" s="514" t="s">
        <v>44</v>
      </c>
      <c r="V54" s="513">
        <v>-12</v>
      </c>
      <c r="W54" s="513">
        <v>522</v>
      </c>
      <c r="X54" s="513">
        <v>510</v>
      </c>
      <c r="Y54" s="268">
        <v>1.6088328075709779</v>
      </c>
      <c r="Z54" s="515" t="s">
        <v>1390</v>
      </c>
      <c r="AA54" s="513">
        <f t="shared" si="0"/>
        <v>100</v>
      </c>
      <c r="AB54" s="515">
        <f t="shared" si="1"/>
        <v>0.24390243902439024</v>
      </c>
      <c r="AD54" s="2"/>
      <c r="AE54" s="2"/>
      <c r="AF54" s="2"/>
      <c r="AG54" s="2"/>
      <c r="AH54" s="2"/>
      <c r="AI54" s="2"/>
      <c r="AJ54" s="2"/>
      <c r="AK54" s="2"/>
      <c r="AL54" s="2"/>
      <c r="AM54" s="2"/>
    </row>
    <row r="55" spans="1:40" s="367" customFormat="1">
      <c r="A55" s="2" t="s">
        <v>1391</v>
      </c>
      <c r="B55" s="2" t="s">
        <v>1392</v>
      </c>
      <c r="C55" s="235" t="s">
        <v>273</v>
      </c>
      <c r="D55" s="374" t="s">
        <v>584</v>
      </c>
      <c r="E55" s="374">
        <v>44896</v>
      </c>
      <c r="F55" s="374" t="s">
        <v>44</v>
      </c>
      <c r="G55" s="374" t="s">
        <v>44</v>
      </c>
      <c r="H55" s="374" t="s">
        <v>44</v>
      </c>
      <c r="I55" s="235" t="s">
        <v>44</v>
      </c>
      <c r="J55" s="518" t="s">
        <v>44</v>
      </c>
      <c r="K55" s="513">
        <v>507</v>
      </c>
      <c r="L55" s="514" t="s">
        <v>44</v>
      </c>
      <c r="M55" s="513">
        <v>0</v>
      </c>
      <c r="N55" s="513">
        <v>571</v>
      </c>
      <c r="O55" s="513">
        <f t="shared" si="2"/>
        <v>571</v>
      </c>
      <c r="P55" s="269">
        <f t="shared" si="3"/>
        <v>1.126232741617357</v>
      </c>
      <c r="Q55" s="515">
        <v>0.12</v>
      </c>
      <c r="R55" s="513">
        <v>0</v>
      </c>
      <c r="S55" s="515" t="s">
        <v>44</v>
      </c>
      <c r="T55" s="519">
        <v>508</v>
      </c>
      <c r="U55" s="514" t="s">
        <v>44</v>
      </c>
      <c r="V55" s="513">
        <v>0</v>
      </c>
      <c r="W55" s="513">
        <v>652</v>
      </c>
      <c r="X55" s="513">
        <v>652</v>
      </c>
      <c r="Y55" s="268">
        <v>1.2834645669291338</v>
      </c>
      <c r="Z55" s="515" t="s">
        <v>1390</v>
      </c>
      <c r="AA55" s="513">
        <f t="shared" si="0"/>
        <v>81</v>
      </c>
      <c r="AB55" s="515">
        <f t="shared" si="1"/>
        <v>0.14185639229422065</v>
      </c>
      <c r="AD55" s="2"/>
      <c r="AE55" s="2"/>
      <c r="AF55" s="2"/>
      <c r="AG55" s="2"/>
      <c r="AH55" s="2"/>
      <c r="AI55" s="2"/>
      <c r="AJ55" s="2"/>
      <c r="AK55" s="2"/>
      <c r="AL55" s="2"/>
      <c r="AM55" s="2"/>
    </row>
    <row r="56" spans="1:40" s="367" customFormat="1">
      <c r="A56" s="2" t="s">
        <v>1305</v>
      </c>
      <c r="B56" s="2" t="s">
        <v>1306</v>
      </c>
      <c r="C56" s="235" t="s">
        <v>1278</v>
      </c>
      <c r="D56" s="374" t="s">
        <v>663</v>
      </c>
      <c r="E56" s="374">
        <v>44348</v>
      </c>
      <c r="F56" s="374" t="s">
        <v>44</v>
      </c>
      <c r="G56" s="374" t="s">
        <v>44</v>
      </c>
      <c r="H56" s="374" t="s">
        <v>44</v>
      </c>
      <c r="I56" s="235" t="s">
        <v>44</v>
      </c>
      <c r="J56" s="518" t="s">
        <v>44</v>
      </c>
      <c r="K56" s="513">
        <v>346</v>
      </c>
      <c r="L56" s="514" t="s">
        <v>44</v>
      </c>
      <c r="M56" s="513">
        <v>0</v>
      </c>
      <c r="N56" s="513">
        <v>397</v>
      </c>
      <c r="O56" s="513">
        <f t="shared" si="2"/>
        <v>397</v>
      </c>
      <c r="P56" s="269">
        <f t="shared" si="3"/>
        <v>1.1473988439306357</v>
      </c>
      <c r="Q56" s="515">
        <v>0.06</v>
      </c>
      <c r="R56" s="513">
        <v>0</v>
      </c>
      <c r="S56" s="515" t="s">
        <v>44</v>
      </c>
      <c r="T56" s="519">
        <v>346</v>
      </c>
      <c r="U56" s="514" t="s">
        <v>44</v>
      </c>
      <c r="V56" s="513">
        <v>0</v>
      </c>
      <c r="W56" s="513">
        <v>0</v>
      </c>
      <c r="X56" s="513">
        <v>0</v>
      </c>
      <c r="Y56" s="268">
        <v>0</v>
      </c>
      <c r="Z56" s="515" t="s">
        <v>44</v>
      </c>
      <c r="AA56" s="513">
        <f t="shared" si="0"/>
        <v>-397</v>
      </c>
      <c r="AB56" s="515">
        <f t="shared" si="1"/>
        <v>-1</v>
      </c>
      <c r="AD56" s="2"/>
      <c r="AE56" s="2"/>
      <c r="AF56" s="2"/>
      <c r="AG56" s="2"/>
      <c r="AH56" s="2"/>
      <c r="AI56" s="2"/>
      <c r="AJ56" s="2"/>
      <c r="AK56" s="2"/>
      <c r="AL56" s="2"/>
      <c r="AM56" s="2"/>
    </row>
    <row r="57" spans="1:40" s="367" customFormat="1">
      <c r="A57" s="2" t="s">
        <v>1393</v>
      </c>
      <c r="B57" s="2" t="s">
        <v>1394</v>
      </c>
      <c r="C57" s="235" t="s">
        <v>1303</v>
      </c>
      <c r="D57" s="374" t="s">
        <v>276</v>
      </c>
      <c r="E57" s="374">
        <v>44317</v>
      </c>
      <c r="F57" s="374" t="s">
        <v>44</v>
      </c>
      <c r="G57" s="374" t="s">
        <v>44</v>
      </c>
      <c r="H57" s="374" t="s">
        <v>44</v>
      </c>
      <c r="I57" s="235" t="s">
        <v>44</v>
      </c>
      <c r="J57" s="518" t="s">
        <v>44</v>
      </c>
      <c r="K57" s="513">
        <v>365</v>
      </c>
      <c r="L57" s="514" t="s">
        <v>44</v>
      </c>
      <c r="M57" s="513">
        <v>51</v>
      </c>
      <c r="N57" s="513">
        <v>275</v>
      </c>
      <c r="O57" s="513">
        <f t="shared" si="2"/>
        <v>326</v>
      </c>
      <c r="P57" s="269">
        <f t="shared" si="3"/>
        <v>0.89315068493150684</v>
      </c>
      <c r="Q57" s="515" t="s">
        <v>44</v>
      </c>
      <c r="R57" s="513">
        <v>0</v>
      </c>
      <c r="S57" s="515" t="s">
        <v>44</v>
      </c>
      <c r="T57" s="519">
        <v>365</v>
      </c>
      <c r="U57" s="514" t="s">
        <v>44</v>
      </c>
      <c r="V57" s="513">
        <v>40</v>
      </c>
      <c r="W57" s="513">
        <v>292</v>
      </c>
      <c r="X57" s="513">
        <v>332</v>
      </c>
      <c r="Y57" s="268">
        <v>0.90958904109589045</v>
      </c>
      <c r="Z57" s="515" t="s">
        <v>44</v>
      </c>
      <c r="AA57" s="513">
        <f t="shared" si="0"/>
        <v>6</v>
      </c>
      <c r="AB57" s="515">
        <f t="shared" si="1"/>
        <v>1.8404907975460016E-2</v>
      </c>
      <c r="AD57" s="2"/>
      <c r="AE57" s="2"/>
      <c r="AF57" s="2"/>
      <c r="AG57" s="2"/>
      <c r="AH57" s="2"/>
      <c r="AI57" s="2"/>
      <c r="AJ57" s="2"/>
      <c r="AK57" s="2"/>
      <c r="AL57" s="2"/>
      <c r="AM57" s="2"/>
    </row>
    <row r="58" spans="1:40" s="367" customFormat="1">
      <c r="A58" s="2" t="s">
        <v>1395</v>
      </c>
      <c r="B58" s="2" t="s">
        <v>1396</v>
      </c>
      <c r="C58" s="235" t="s">
        <v>114</v>
      </c>
      <c r="D58" s="374" t="s">
        <v>276</v>
      </c>
      <c r="E58" s="374">
        <v>44682</v>
      </c>
      <c r="F58" s="374" t="s">
        <v>44</v>
      </c>
      <c r="G58" s="374" t="s">
        <v>44</v>
      </c>
      <c r="H58" s="374" t="s">
        <v>44</v>
      </c>
      <c r="I58" s="235" t="s">
        <v>44</v>
      </c>
      <c r="J58" s="518" t="s">
        <v>44</v>
      </c>
      <c r="K58" s="513">
        <v>94</v>
      </c>
      <c r="L58" s="514" t="s">
        <v>44</v>
      </c>
      <c r="M58" s="513">
        <v>5</v>
      </c>
      <c r="N58" s="513">
        <v>91</v>
      </c>
      <c r="O58" s="513">
        <f t="shared" si="2"/>
        <v>96</v>
      </c>
      <c r="P58" s="269">
        <f t="shared" si="3"/>
        <v>1.0212765957446808</v>
      </c>
      <c r="Q58" s="515">
        <v>0.02</v>
      </c>
      <c r="R58" s="513">
        <v>0</v>
      </c>
      <c r="S58" s="515" t="s">
        <v>44</v>
      </c>
      <c r="T58" s="519">
        <v>94</v>
      </c>
      <c r="U58" s="514" t="s">
        <v>44</v>
      </c>
      <c r="V58" s="513">
        <v>6</v>
      </c>
      <c r="W58" s="513">
        <v>92</v>
      </c>
      <c r="X58" s="513">
        <v>98</v>
      </c>
      <c r="Y58" s="268">
        <v>1.0425531914893618</v>
      </c>
      <c r="Z58" s="515" t="s">
        <v>1397</v>
      </c>
      <c r="AA58" s="513">
        <f t="shared" si="0"/>
        <v>2</v>
      </c>
      <c r="AB58" s="515">
        <f t="shared" si="1"/>
        <v>2.0833333333333259E-2</v>
      </c>
      <c r="AD58" s="2"/>
      <c r="AE58" s="2"/>
      <c r="AF58" s="2"/>
      <c r="AG58" s="2"/>
      <c r="AH58" s="2"/>
      <c r="AI58" s="2"/>
      <c r="AJ58" s="2"/>
      <c r="AK58" s="2"/>
      <c r="AL58" s="2"/>
      <c r="AM58" s="2"/>
    </row>
    <row r="59" spans="1:40" s="367" customFormat="1">
      <c r="A59" s="2" t="s">
        <v>1398</v>
      </c>
      <c r="B59" s="2" t="s">
        <v>1399</v>
      </c>
      <c r="C59" s="235" t="s">
        <v>273</v>
      </c>
      <c r="D59" s="374" t="s">
        <v>276</v>
      </c>
      <c r="E59" s="374">
        <v>44317</v>
      </c>
      <c r="F59" s="374" t="s">
        <v>44</v>
      </c>
      <c r="G59" s="374" t="s">
        <v>44</v>
      </c>
      <c r="H59" s="374" t="s">
        <v>44</v>
      </c>
      <c r="I59" s="235" t="s">
        <v>44</v>
      </c>
      <c r="J59" s="518" t="s">
        <v>44</v>
      </c>
      <c r="K59" s="513">
        <v>257</v>
      </c>
      <c r="L59" s="514" t="s">
        <v>44</v>
      </c>
      <c r="M59" s="513">
        <v>3</v>
      </c>
      <c r="N59" s="513">
        <v>294</v>
      </c>
      <c r="O59" s="513">
        <f t="shared" si="2"/>
        <v>297</v>
      </c>
      <c r="P59" s="269">
        <f t="shared" si="3"/>
        <v>1.1556420233463034</v>
      </c>
      <c r="Q59" s="515">
        <v>0.06</v>
      </c>
      <c r="R59" s="513">
        <v>0</v>
      </c>
      <c r="S59" s="515" t="s">
        <v>44</v>
      </c>
      <c r="T59" s="519">
        <v>257</v>
      </c>
      <c r="U59" s="514" t="s">
        <v>44</v>
      </c>
      <c r="V59" s="513">
        <v>5</v>
      </c>
      <c r="W59" s="513">
        <v>377</v>
      </c>
      <c r="X59" s="513">
        <v>382</v>
      </c>
      <c r="Y59" s="268">
        <v>1.4863813229571985</v>
      </c>
      <c r="Z59" s="515" t="s">
        <v>1400</v>
      </c>
      <c r="AA59" s="513">
        <f t="shared" si="0"/>
        <v>85</v>
      </c>
      <c r="AB59" s="515">
        <f t="shared" si="1"/>
        <v>0.28619528619528611</v>
      </c>
      <c r="AD59" s="2"/>
      <c r="AE59" s="2"/>
      <c r="AF59" s="2"/>
      <c r="AG59" s="2"/>
      <c r="AH59" s="2"/>
      <c r="AI59" s="2"/>
      <c r="AJ59" s="2"/>
      <c r="AK59" s="2"/>
      <c r="AL59" s="2"/>
      <c r="AM59" s="2"/>
    </row>
    <row r="60" spans="1:40" s="367" customFormat="1">
      <c r="A60" s="2" t="s">
        <v>1401</v>
      </c>
      <c r="B60" s="2" t="s">
        <v>1402</v>
      </c>
      <c r="C60" s="235" t="s">
        <v>273</v>
      </c>
      <c r="D60" s="374" t="s">
        <v>276</v>
      </c>
      <c r="E60" s="374">
        <v>44562</v>
      </c>
      <c r="F60" s="374" t="s">
        <v>44</v>
      </c>
      <c r="G60" s="374" t="s">
        <v>44</v>
      </c>
      <c r="H60" s="374" t="s">
        <v>44</v>
      </c>
      <c r="I60" s="235" t="s">
        <v>44</v>
      </c>
      <c r="J60" s="518" t="s">
        <v>44</v>
      </c>
      <c r="K60" s="513">
        <v>144</v>
      </c>
      <c r="L60" s="514" t="s">
        <v>44</v>
      </c>
      <c r="M60" s="513">
        <v>4</v>
      </c>
      <c r="N60" s="513">
        <v>149</v>
      </c>
      <c r="O60" s="513">
        <f t="shared" si="2"/>
        <v>153</v>
      </c>
      <c r="P60" s="269">
        <f t="shared" si="3"/>
        <v>1.0625</v>
      </c>
      <c r="Q60" s="515">
        <v>0.03</v>
      </c>
      <c r="R60" s="513">
        <v>0</v>
      </c>
      <c r="S60" s="515" t="s">
        <v>44</v>
      </c>
      <c r="T60" s="519">
        <v>144</v>
      </c>
      <c r="U60" s="514" t="s">
        <v>44</v>
      </c>
      <c r="V60" s="513">
        <v>4</v>
      </c>
      <c r="W60" s="513">
        <v>157</v>
      </c>
      <c r="X60" s="513">
        <v>161</v>
      </c>
      <c r="Y60" s="268">
        <v>1.1180555555555556</v>
      </c>
      <c r="Z60" s="515" t="s">
        <v>1403</v>
      </c>
      <c r="AA60" s="513">
        <f t="shared" si="0"/>
        <v>8</v>
      </c>
      <c r="AB60" s="515">
        <f t="shared" si="1"/>
        <v>5.2287581699346442E-2</v>
      </c>
      <c r="AD60" s="2"/>
      <c r="AE60" s="2"/>
      <c r="AF60" s="2"/>
      <c r="AG60" s="2"/>
      <c r="AH60" s="2"/>
      <c r="AI60" s="2"/>
      <c r="AJ60" s="2"/>
      <c r="AK60" s="2"/>
      <c r="AL60" s="2"/>
      <c r="AM60" s="2"/>
    </row>
    <row r="61" spans="1:40" s="367" customFormat="1">
      <c r="A61" s="2" t="s">
        <v>1404</v>
      </c>
      <c r="B61" s="2" t="s">
        <v>1405</v>
      </c>
      <c r="C61" s="235" t="s">
        <v>264</v>
      </c>
      <c r="D61" s="374" t="s">
        <v>276</v>
      </c>
      <c r="E61" s="374">
        <v>44562</v>
      </c>
      <c r="F61" s="374" t="s">
        <v>44</v>
      </c>
      <c r="G61" s="374" t="s">
        <v>44</v>
      </c>
      <c r="H61" s="374" t="s">
        <v>44</v>
      </c>
      <c r="I61" s="235" t="s">
        <v>44</v>
      </c>
      <c r="J61" s="518" t="s">
        <v>44</v>
      </c>
      <c r="K61" s="513">
        <v>308</v>
      </c>
      <c r="L61" s="514" t="s">
        <v>44</v>
      </c>
      <c r="M61" s="513">
        <v>71</v>
      </c>
      <c r="N61" s="513">
        <v>404</v>
      </c>
      <c r="O61" s="513">
        <f t="shared" si="2"/>
        <v>475</v>
      </c>
      <c r="P61" s="269">
        <f t="shared" si="3"/>
        <v>1.5422077922077921</v>
      </c>
      <c r="Q61" s="515">
        <v>0.25</v>
      </c>
      <c r="R61" s="513">
        <v>0</v>
      </c>
      <c r="S61" s="515" t="s">
        <v>44</v>
      </c>
      <c r="T61" s="519">
        <v>309</v>
      </c>
      <c r="U61" s="514" t="s">
        <v>44</v>
      </c>
      <c r="V61" s="513">
        <v>252</v>
      </c>
      <c r="W61" s="513">
        <v>663</v>
      </c>
      <c r="X61" s="513">
        <v>915</v>
      </c>
      <c r="Y61" s="268">
        <v>2.9611650485436893</v>
      </c>
      <c r="Z61" s="515" t="s">
        <v>1406</v>
      </c>
      <c r="AA61" s="513">
        <f t="shared" si="0"/>
        <v>440</v>
      </c>
      <c r="AB61" s="515">
        <f t="shared" si="1"/>
        <v>0.9263157894736842</v>
      </c>
      <c r="AD61" s="2"/>
      <c r="AE61" s="2"/>
      <c r="AF61" s="2"/>
      <c r="AG61" s="2"/>
      <c r="AH61" s="2"/>
      <c r="AI61" s="2"/>
      <c r="AJ61" s="2"/>
      <c r="AK61" s="2"/>
      <c r="AL61" s="2"/>
      <c r="AM61" s="2"/>
    </row>
    <row r="63" spans="1:40" s="520" customFormat="1" ht="12" thickBot="1">
      <c r="A63" s="520" t="s">
        <v>45</v>
      </c>
      <c r="K63" s="521">
        <f>SUM(K32:K61)</f>
        <v>7396</v>
      </c>
      <c r="M63" s="522">
        <f>SUM(M32:M61)</f>
        <v>347</v>
      </c>
      <c r="N63" s="522">
        <f>SUM(N32:N61)</f>
        <v>8299</v>
      </c>
      <c r="O63" s="522">
        <f>SUM(O32:O61)</f>
        <v>8646</v>
      </c>
      <c r="P63" s="523">
        <f t="shared" si="3"/>
        <v>1.1690102758247702</v>
      </c>
      <c r="Q63" s="524" t="s">
        <v>44</v>
      </c>
      <c r="R63" s="524" t="s">
        <v>44</v>
      </c>
      <c r="S63" s="524" t="s">
        <v>44</v>
      </c>
      <c r="T63" s="521">
        <f>SUM(T32:T61)</f>
        <v>8154</v>
      </c>
      <c r="V63" s="522">
        <f>SUM(V32:V61)</f>
        <v>568</v>
      </c>
      <c r="W63" s="522">
        <f>SUM(W32:W61)</f>
        <v>10019</v>
      </c>
      <c r="X63" s="522">
        <f>SUM(X32:X61)</f>
        <v>10587</v>
      </c>
      <c r="Y63" s="523">
        <f t="shared" ref="Y63" si="4">X63/T63</f>
        <v>1.2983811626195731</v>
      </c>
      <c r="Z63" s="525" t="s">
        <v>44</v>
      </c>
      <c r="AA63" s="525">
        <f t="shared" ref="AA63" si="5">X63-O63</f>
        <v>1941</v>
      </c>
      <c r="AB63" s="526">
        <f t="shared" ref="AB63" si="6">IFERROR(X63/O63-1,0)</f>
        <v>0.22449687716863287</v>
      </c>
      <c r="AC63" s="527"/>
      <c r="AN63" s="527"/>
    </row>
    <row r="65" spans="1:40" s="389" customFormat="1">
      <c r="A65" s="388" t="s">
        <v>277</v>
      </c>
      <c r="K65" s="528">
        <f>SUMIF($D$32:$D$61,"Unrealized",K$32:K$61)+SUMIF($D$32:$D$61,"Partial Realized",K$32:K$61)</f>
        <v>7050</v>
      </c>
      <c r="M65" s="529">
        <f>SUMIF($D$32:$D$61,"Unrealized",M$32:M$61)+SUMIF($D$32:$D$61,"Partial Realized",M$32:M$61)</f>
        <v>347</v>
      </c>
      <c r="N65" s="529">
        <f>SUMIF($D$32:$D$61,"Unrealized",N$32:N$61)+SUMIF($D$32:$D$61,"Partial Realized",N$32:N$61)</f>
        <v>7902</v>
      </c>
      <c r="O65" s="529">
        <f>SUMIF($D$32:$D$61,"Unrealized",O$32:O$61)+SUMIF($D$32:$D$61,"Partial Realized",O$32:O$61)</f>
        <v>8249</v>
      </c>
      <c r="P65" s="530">
        <f t="shared" si="3"/>
        <v>1.1700709219858156</v>
      </c>
      <c r="R65" s="531" t="s">
        <v>44</v>
      </c>
      <c r="S65" s="532" t="s">
        <v>44</v>
      </c>
      <c r="T65" s="528">
        <f>SUMIF($D$32:$D$61,"Unrealized",T$32:T$61)+SUMIF($D$32:$D$61,"Partial Realized",T$32:T$61)</f>
        <v>7808</v>
      </c>
      <c r="V65" s="529">
        <f>SUMIF($D$32:$D$61,"Unrealized",V$32:V$61)+SUMIF($D$32:$D$61,"Partial Realized",V$32:V$61)</f>
        <v>568</v>
      </c>
      <c r="W65" s="529">
        <f>SUMIF($D$32:$D$61,"Unrealized",W$32:W$61)+SUMIF($D$32:$D$61,"Partial Realized",W$32:W$61)</f>
        <v>10019</v>
      </c>
      <c r="X65" s="529">
        <f>SUMIF($D$32:$D$61,"Unrealized",X$32:X$61)+SUMIF($D$32:$D$61,"Partial Realized",X$32:X$61)</f>
        <v>10587</v>
      </c>
      <c r="Y65" s="530">
        <f t="shared" ref="Y65:Y66" si="7">X65/T65</f>
        <v>1.3559170081967213</v>
      </c>
      <c r="AA65" s="533">
        <f t="shared" ref="AA65:AA66" si="8">X65-O65</f>
        <v>2338</v>
      </c>
      <c r="AB65" s="534">
        <f t="shared" ref="AB65:AB66" si="9">IFERROR(X65/O65-1,0)</f>
        <v>0.28342829433870764</v>
      </c>
      <c r="AN65" s="535"/>
    </row>
    <row r="66" spans="1:40" s="389" customFormat="1">
      <c r="A66" s="388" t="s">
        <v>278</v>
      </c>
      <c r="K66" s="528">
        <f>SUMIF($D$32:$D$61,"Realized",K$32:K$61)+SUMIF($D$32:$D$61,"Write-off",K$32:K$61)</f>
        <v>346</v>
      </c>
      <c r="M66" s="529">
        <f>SUMIF($D$32:$D$61,"Realized",M$32:M$61)+SUMIF($D$32:$D$61,"Write-off",M$32:M$61)</f>
        <v>0</v>
      </c>
      <c r="N66" s="529">
        <f>SUMIF($D$32:$D$61,"Realized",N$32:N$61)+SUMIF($D$32:$D$61,"Write-off",N$32:N$61)</f>
        <v>397</v>
      </c>
      <c r="O66" s="529">
        <f>SUMIF($D$32:$D$61,"Realized",O$32:O$61)+SUMIF($D$32:$D$61,"Write-off",O$32:O$61)</f>
        <v>397</v>
      </c>
      <c r="P66" s="530">
        <f t="shared" si="3"/>
        <v>1.1473988439306357</v>
      </c>
      <c r="R66" s="531" t="s">
        <v>44</v>
      </c>
      <c r="S66" s="532" t="s">
        <v>44</v>
      </c>
      <c r="T66" s="528">
        <f>SUMIF($D$32:$D$61,"Realized",T$32:T$61)+SUMIF($D$32:$D$61,"Write-off",T$32:T$61)</f>
        <v>346</v>
      </c>
      <c r="V66" s="529">
        <f>SUMIF($D$32:$D$61,"Realized",V$32:V$61)+SUMIF($D$32:$D$61,"Write-off",V$32:V$61)</f>
        <v>0</v>
      </c>
      <c r="W66" s="529">
        <f>SUMIF($D$32:$D$61,"Realized",W$32:W$61)+SUMIF($D$32:$D$61,"Write-off",W$32:W$61)</f>
        <v>0</v>
      </c>
      <c r="X66" s="529">
        <f>SUMIF($D$32:$D$61,"Realized",X$32:X$61)+SUMIF($D$32:$D$61,"Write-off",X$32:X$61)</f>
        <v>0</v>
      </c>
      <c r="Y66" s="530">
        <f t="shared" si="7"/>
        <v>0</v>
      </c>
      <c r="AA66" s="533">
        <f t="shared" si="8"/>
        <v>-397</v>
      </c>
      <c r="AB66" s="534">
        <f t="shared" si="9"/>
        <v>-1</v>
      </c>
      <c r="AN66" s="535"/>
    </row>
    <row r="69" spans="1:40" s="536" customFormat="1">
      <c r="A69" s="536" t="s">
        <v>279</v>
      </c>
      <c r="K69" s="537"/>
      <c r="T69" s="537"/>
      <c r="AC69" s="537"/>
      <c r="AN69" s="537"/>
    </row>
    <row r="70" spans="1:40" ht="13.5" customHeight="1">
      <c r="K70" s="538" t="s">
        <v>236</v>
      </c>
      <c r="L70" s="539"/>
      <c r="M70" s="539"/>
      <c r="N70" s="539"/>
      <c r="O70" s="539"/>
      <c r="P70" s="539"/>
      <c r="Q70" s="540"/>
      <c r="R70" s="540"/>
      <c r="S70" s="539"/>
      <c r="T70" s="503" t="s">
        <v>237</v>
      </c>
      <c r="U70" s="504"/>
      <c r="V70" s="504"/>
      <c r="W70" s="504"/>
      <c r="X70" s="504"/>
      <c r="Y70" s="504"/>
      <c r="Z70" s="505"/>
      <c r="AA70" s="505"/>
      <c r="AB70" s="504"/>
      <c r="AC70" s="503" t="s">
        <v>238</v>
      </c>
      <c r="AD70" s="504"/>
      <c r="AE70" s="504"/>
      <c r="AF70" s="504"/>
      <c r="AG70" s="539"/>
      <c r="AH70" s="539"/>
      <c r="AI70" s="540"/>
      <c r="AJ70" s="540"/>
      <c r="AK70" s="540"/>
      <c r="AL70" s="540"/>
      <c r="AM70" s="539"/>
    </row>
    <row r="71" spans="1:40" s="141" customFormat="1" ht="39.75" customHeight="1">
      <c r="A71" s="138" t="s">
        <v>239</v>
      </c>
      <c r="B71" s="139" t="s">
        <v>240</v>
      </c>
      <c r="C71" s="139" t="s">
        <v>69</v>
      </c>
      <c r="D71" s="139" t="s">
        <v>241</v>
      </c>
      <c r="E71" s="139" t="s">
        <v>242</v>
      </c>
      <c r="F71" s="139" t="s">
        <v>243</v>
      </c>
      <c r="G71" s="139" t="s">
        <v>244</v>
      </c>
      <c r="H71" s="139" t="s">
        <v>245</v>
      </c>
      <c r="I71" s="139" t="s">
        <v>246</v>
      </c>
      <c r="J71" s="501" t="s">
        <v>247</v>
      </c>
      <c r="K71" s="541" t="s">
        <v>280</v>
      </c>
      <c r="L71" s="542"/>
      <c r="M71" s="543"/>
      <c r="N71" s="542"/>
      <c r="O71" s="541" t="s">
        <v>281</v>
      </c>
      <c r="P71" s="542"/>
      <c r="Q71" s="543"/>
      <c r="R71" s="542"/>
      <c r="S71" s="544"/>
      <c r="T71" s="541" t="s">
        <v>280</v>
      </c>
      <c r="U71" s="542"/>
      <c r="V71" s="543"/>
      <c r="W71" s="542"/>
      <c r="X71" s="541" t="s">
        <v>281</v>
      </c>
      <c r="Y71" s="542"/>
      <c r="Z71" s="543"/>
      <c r="AA71" s="542"/>
      <c r="AB71" s="544"/>
      <c r="AC71" s="541" t="s">
        <v>280</v>
      </c>
      <c r="AD71" s="542"/>
      <c r="AE71" s="543"/>
      <c r="AF71" s="542"/>
      <c r="AG71" s="541" t="s">
        <v>281</v>
      </c>
      <c r="AH71" s="542"/>
      <c r="AI71" s="543"/>
      <c r="AJ71" s="542"/>
      <c r="AK71" s="545"/>
      <c r="AL71" s="545"/>
      <c r="AM71" s="544"/>
      <c r="AN71" s="510"/>
    </row>
    <row r="72" spans="1:40">
      <c r="A72" s="2" t="s">
        <v>1340</v>
      </c>
      <c r="B72" s="2" t="s">
        <v>1341</v>
      </c>
      <c r="C72" s="235" t="s">
        <v>273</v>
      </c>
      <c r="D72" s="374" t="s">
        <v>584</v>
      </c>
      <c r="E72" s="374">
        <v>44378</v>
      </c>
      <c r="F72" s="374" t="s">
        <v>44</v>
      </c>
      <c r="G72" s="374" t="s">
        <v>44</v>
      </c>
      <c r="H72" s="374" t="s">
        <v>44</v>
      </c>
      <c r="I72" s="235" t="s">
        <v>44</v>
      </c>
      <c r="J72" s="512" t="s">
        <v>44</v>
      </c>
      <c r="W72" s="553"/>
      <c r="AB72" s="368"/>
    </row>
    <row r="73" spans="1:40">
      <c r="A73" s="2" t="s">
        <v>1343</v>
      </c>
      <c r="B73" s="2" t="s">
        <v>1344</v>
      </c>
      <c r="C73" s="235" t="s">
        <v>99</v>
      </c>
      <c r="D73" s="374" t="s">
        <v>584</v>
      </c>
      <c r="E73" s="374">
        <v>45413</v>
      </c>
      <c r="F73" s="374" t="s">
        <v>44</v>
      </c>
      <c r="G73" s="374" t="s">
        <v>44</v>
      </c>
      <c r="H73" s="374" t="s">
        <v>44</v>
      </c>
      <c r="I73" s="235" t="s">
        <v>44</v>
      </c>
      <c r="J73" s="518" t="s">
        <v>44</v>
      </c>
      <c r="W73" s="368"/>
      <c r="AB73" s="368"/>
    </row>
    <row r="74" spans="1:40">
      <c r="A74" s="2" t="s">
        <v>1345</v>
      </c>
      <c r="B74" s="2" t="s">
        <v>1346</v>
      </c>
      <c r="C74" s="235" t="s">
        <v>99</v>
      </c>
      <c r="D74" s="374" t="s">
        <v>584</v>
      </c>
      <c r="E74" s="374">
        <v>44896</v>
      </c>
      <c r="F74" s="374" t="s">
        <v>44</v>
      </c>
      <c r="G74" s="374" t="s">
        <v>44</v>
      </c>
      <c r="H74" s="374" t="s">
        <v>44</v>
      </c>
      <c r="I74" s="235" t="s">
        <v>44</v>
      </c>
      <c r="J74" s="518" t="s">
        <v>44</v>
      </c>
      <c r="W74" s="368"/>
      <c r="AB74" s="368"/>
    </row>
    <row r="75" spans="1:40">
      <c r="A75" s="2" t="s">
        <v>1347</v>
      </c>
      <c r="B75" s="2" t="s">
        <v>1348</v>
      </c>
      <c r="C75" s="235" t="s">
        <v>113</v>
      </c>
      <c r="D75" s="374" t="s">
        <v>584</v>
      </c>
      <c r="E75" s="374">
        <v>45261</v>
      </c>
      <c r="F75" s="374" t="s">
        <v>44</v>
      </c>
      <c r="G75" s="374" t="s">
        <v>44</v>
      </c>
      <c r="H75" s="374" t="s">
        <v>44</v>
      </c>
      <c r="I75" s="235" t="s">
        <v>44</v>
      </c>
      <c r="J75" s="518" t="s">
        <v>44</v>
      </c>
      <c r="W75" s="368"/>
      <c r="AB75" s="368"/>
    </row>
    <row r="76" spans="1:40">
      <c r="A76" s="2" t="s">
        <v>1350</v>
      </c>
      <c r="B76" s="2" t="s">
        <v>1351</v>
      </c>
      <c r="C76" s="235" t="s">
        <v>99</v>
      </c>
      <c r="D76" s="374" t="s">
        <v>584</v>
      </c>
      <c r="E76" s="374">
        <v>44621</v>
      </c>
      <c r="F76" s="374" t="s">
        <v>44</v>
      </c>
      <c r="G76" s="374" t="s">
        <v>44</v>
      </c>
      <c r="H76" s="374" t="s">
        <v>44</v>
      </c>
      <c r="I76" s="235" t="s">
        <v>44</v>
      </c>
      <c r="J76" s="518" t="s">
        <v>44</v>
      </c>
      <c r="W76" s="368"/>
      <c r="AB76" s="368"/>
    </row>
    <row r="77" spans="1:40">
      <c r="A77" s="2" t="s">
        <v>1353</v>
      </c>
      <c r="B77" s="2" t="s">
        <v>1354</v>
      </c>
      <c r="C77" s="235" t="s">
        <v>114</v>
      </c>
      <c r="D77" s="374" t="s">
        <v>584</v>
      </c>
      <c r="E77" s="374">
        <v>44531</v>
      </c>
      <c r="F77" s="374" t="s">
        <v>44</v>
      </c>
      <c r="G77" s="374" t="s">
        <v>44</v>
      </c>
      <c r="H77" s="374" t="s">
        <v>44</v>
      </c>
      <c r="I77" s="235" t="s">
        <v>44</v>
      </c>
      <c r="J77" s="518" t="s">
        <v>44</v>
      </c>
      <c r="T77" s="367" t="s">
        <v>1407</v>
      </c>
      <c r="W77" s="368"/>
      <c r="X77" s="2" t="s">
        <v>1408</v>
      </c>
      <c r="AB77" s="368"/>
    </row>
    <row r="78" spans="1:40">
      <c r="A78" s="2" t="s">
        <v>1356</v>
      </c>
      <c r="B78" s="2" t="s">
        <v>1357</v>
      </c>
      <c r="C78" s="235" t="s">
        <v>99</v>
      </c>
      <c r="D78" s="374" t="s">
        <v>584</v>
      </c>
      <c r="E78" s="374">
        <v>44682</v>
      </c>
      <c r="F78" s="374" t="s">
        <v>44</v>
      </c>
      <c r="G78" s="374" t="s">
        <v>44</v>
      </c>
      <c r="H78" s="374" t="s">
        <v>44</v>
      </c>
      <c r="I78" s="235" t="s">
        <v>44</v>
      </c>
      <c r="J78" s="518" t="s">
        <v>44</v>
      </c>
      <c r="W78" s="368"/>
      <c r="AB78" s="368"/>
    </row>
    <row r="79" spans="1:40">
      <c r="A79" s="2" t="s">
        <v>1358</v>
      </c>
      <c r="B79" s="2" t="s">
        <v>1359</v>
      </c>
      <c r="C79" s="235" t="s">
        <v>99</v>
      </c>
      <c r="D79" s="374" t="s">
        <v>584</v>
      </c>
      <c r="E79" s="374">
        <v>45108</v>
      </c>
      <c r="F79" s="374" t="s">
        <v>44</v>
      </c>
      <c r="G79" s="374" t="s">
        <v>44</v>
      </c>
      <c r="H79" s="374" t="s">
        <v>44</v>
      </c>
      <c r="I79" s="235" t="s">
        <v>44</v>
      </c>
      <c r="J79" s="518" t="s">
        <v>44</v>
      </c>
      <c r="W79" s="368"/>
      <c r="AB79" s="368"/>
    </row>
    <row r="80" spans="1:40">
      <c r="A80" s="2" t="s">
        <v>1360</v>
      </c>
      <c r="B80" s="2" t="s">
        <v>1361</v>
      </c>
      <c r="C80" s="235" t="s">
        <v>273</v>
      </c>
      <c r="D80" s="374" t="s">
        <v>584</v>
      </c>
      <c r="E80" s="374">
        <v>44470</v>
      </c>
      <c r="F80" s="374" t="s">
        <v>44</v>
      </c>
      <c r="G80" s="374" t="s">
        <v>44</v>
      </c>
      <c r="H80" s="374" t="s">
        <v>44</v>
      </c>
      <c r="I80" s="235" t="s">
        <v>44</v>
      </c>
      <c r="J80" s="518" t="s">
        <v>44</v>
      </c>
      <c r="T80" s="367" t="s">
        <v>1409</v>
      </c>
      <c r="W80" s="368"/>
      <c r="X80" s="2" t="s">
        <v>1410</v>
      </c>
      <c r="AB80" s="368"/>
    </row>
    <row r="81" spans="1:28">
      <c r="A81" s="2" t="s">
        <v>1271</v>
      </c>
      <c r="B81" s="2" t="s">
        <v>1272</v>
      </c>
      <c r="C81" s="235" t="s">
        <v>273</v>
      </c>
      <c r="D81" s="374" t="s">
        <v>276</v>
      </c>
      <c r="E81" s="374">
        <v>44621</v>
      </c>
      <c r="F81" s="374" t="s">
        <v>44</v>
      </c>
      <c r="G81" s="374" t="s">
        <v>44</v>
      </c>
      <c r="H81" s="374" t="s">
        <v>44</v>
      </c>
      <c r="I81" s="235" t="s">
        <v>44</v>
      </c>
      <c r="J81" s="518" t="s">
        <v>44</v>
      </c>
      <c r="T81" s="367" t="s">
        <v>1316</v>
      </c>
      <c r="W81" s="368"/>
      <c r="X81" s="2" t="s">
        <v>1317</v>
      </c>
      <c r="AB81" s="368"/>
    </row>
    <row r="82" spans="1:28">
      <c r="A82" s="2" t="s">
        <v>1363</v>
      </c>
      <c r="B82" s="2" t="s">
        <v>1364</v>
      </c>
      <c r="C82" s="235" t="s">
        <v>273</v>
      </c>
      <c r="D82" s="374" t="s">
        <v>584</v>
      </c>
      <c r="E82" s="374">
        <v>44501</v>
      </c>
      <c r="F82" s="374" t="s">
        <v>44</v>
      </c>
      <c r="G82" s="374" t="s">
        <v>44</v>
      </c>
      <c r="H82" s="374" t="s">
        <v>44</v>
      </c>
      <c r="I82" s="235" t="s">
        <v>44</v>
      </c>
      <c r="J82" s="518" t="s">
        <v>44</v>
      </c>
      <c r="W82" s="368"/>
      <c r="AB82" s="368"/>
    </row>
    <row r="83" spans="1:28">
      <c r="A83" s="2" t="s">
        <v>1274</v>
      </c>
      <c r="B83" s="2" t="s">
        <v>1365</v>
      </c>
      <c r="C83" s="235" t="s">
        <v>728</v>
      </c>
      <c r="D83" s="374" t="s">
        <v>276</v>
      </c>
      <c r="E83" s="374">
        <v>44228</v>
      </c>
      <c r="F83" s="374" t="s">
        <v>44</v>
      </c>
      <c r="G83" s="374" t="s">
        <v>44</v>
      </c>
      <c r="H83" s="374" t="s">
        <v>44</v>
      </c>
      <c r="I83" s="235" t="s">
        <v>44</v>
      </c>
      <c r="J83" s="518" t="s">
        <v>44</v>
      </c>
      <c r="W83" s="368"/>
      <c r="AB83" s="368"/>
    </row>
    <row r="84" spans="1:28">
      <c r="A84" s="2" t="s">
        <v>1366</v>
      </c>
      <c r="B84" s="2" t="s">
        <v>1367</v>
      </c>
      <c r="C84" s="235" t="s">
        <v>114</v>
      </c>
      <c r="D84" s="374" t="s">
        <v>584</v>
      </c>
      <c r="E84" s="374">
        <v>45139</v>
      </c>
      <c r="F84" s="374" t="s">
        <v>44</v>
      </c>
      <c r="G84" s="374" t="s">
        <v>44</v>
      </c>
      <c r="H84" s="374" t="s">
        <v>44</v>
      </c>
      <c r="I84" s="235" t="s">
        <v>44</v>
      </c>
      <c r="J84" s="518" t="s">
        <v>44</v>
      </c>
      <c r="W84" s="368"/>
      <c r="AB84" s="368"/>
    </row>
    <row r="85" spans="1:28">
      <c r="A85" s="2" t="s">
        <v>1368</v>
      </c>
      <c r="B85" s="2" t="s">
        <v>1369</v>
      </c>
      <c r="C85" s="235" t="s">
        <v>260</v>
      </c>
      <c r="D85" s="374" t="s">
        <v>584</v>
      </c>
      <c r="E85" s="374">
        <v>45474</v>
      </c>
      <c r="F85" s="374" t="s">
        <v>44</v>
      </c>
      <c r="G85" s="374" t="s">
        <v>44</v>
      </c>
      <c r="H85" s="374" t="s">
        <v>44</v>
      </c>
      <c r="I85" s="235" t="s">
        <v>44</v>
      </c>
      <c r="J85" s="518" t="s">
        <v>44</v>
      </c>
      <c r="T85" s="367" t="s">
        <v>1411</v>
      </c>
      <c r="W85" s="368"/>
      <c r="X85" s="2" t="s">
        <v>1412</v>
      </c>
      <c r="AB85" s="368"/>
    </row>
    <row r="86" spans="1:28">
      <c r="A86" s="2" t="s">
        <v>1371</v>
      </c>
      <c r="B86" s="2" t="s">
        <v>1372</v>
      </c>
      <c r="C86" s="235" t="s">
        <v>113</v>
      </c>
      <c r="D86" s="374" t="s">
        <v>584</v>
      </c>
      <c r="E86" s="374">
        <v>45170</v>
      </c>
      <c r="F86" s="374" t="s">
        <v>44</v>
      </c>
      <c r="G86" s="374" t="s">
        <v>44</v>
      </c>
      <c r="H86" s="374" t="s">
        <v>44</v>
      </c>
      <c r="I86" s="235" t="s">
        <v>44</v>
      </c>
      <c r="J86" s="518" t="s">
        <v>44</v>
      </c>
      <c r="W86" s="368"/>
      <c r="AB86" s="368"/>
    </row>
    <row r="87" spans="1:28">
      <c r="A87" s="2" t="s">
        <v>1285</v>
      </c>
      <c r="B87" s="2" t="s">
        <v>1374</v>
      </c>
      <c r="C87" s="235" t="s">
        <v>260</v>
      </c>
      <c r="D87" s="374" t="s">
        <v>276</v>
      </c>
      <c r="E87" s="374">
        <v>44166</v>
      </c>
      <c r="F87" s="374" t="s">
        <v>44</v>
      </c>
      <c r="G87" s="374" t="s">
        <v>44</v>
      </c>
      <c r="H87" s="374" t="s">
        <v>44</v>
      </c>
      <c r="I87" s="235" t="s">
        <v>44</v>
      </c>
      <c r="J87" s="518" t="s">
        <v>44</v>
      </c>
      <c r="W87" s="368"/>
      <c r="AB87" s="368"/>
    </row>
    <row r="88" spans="1:28">
      <c r="A88" s="2" t="s">
        <v>1375</v>
      </c>
      <c r="B88" s="2" t="s">
        <v>1376</v>
      </c>
      <c r="C88" s="235" t="s">
        <v>728</v>
      </c>
      <c r="D88" s="374" t="s">
        <v>584</v>
      </c>
      <c r="E88" s="374">
        <v>45505</v>
      </c>
      <c r="F88" s="374" t="s">
        <v>44</v>
      </c>
      <c r="G88" s="374" t="s">
        <v>44</v>
      </c>
      <c r="H88" s="374" t="s">
        <v>44</v>
      </c>
      <c r="I88" s="235" t="s">
        <v>44</v>
      </c>
      <c r="J88" s="518" t="s">
        <v>44</v>
      </c>
      <c r="W88" s="368"/>
      <c r="AB88" s="368"/>
    </row>
    <row r="89" spans="1:28">
      <c r="A89" s="2" t="s">
        <v>1377</v>
      </c>
      <c r="B89" s="2" t="s">
        <v>1289</v>
      </c>
      <c r="C89" s="235" t="s">
        <v>99</v>
      </c>
      <c r="D89" s="374" t="s">
        <v>276</v>
      </c>
      <c r="E89" s="374">
        <v>44287</v>
      </c>
      <c r="F89" s="374" t="s">
        <v>44</v>
      </c>
      <c r="G89" s="374" t="s">
        <v>44</v>
      </c>
      <c r="H89" s="374" t="s">
        <v>44</v>
      </c>
      <c r="I89" s="235" t="s">
        <v>44</v>
      </c>
      <c r="J89" s="518" t="s">
        <v>44</v>
      </c>
      <c r="T89" s="367" t="s">
        <v>1320</v>
      </c>
      <c r="W89" s="368"/>
      <c r="X89" s="2" t="s">
        <v>1413</v>
      </c>
      <c r="AB89" s="368"/>
    </row>
    <row r="90" spans="1:28">
      <c r="A90" s="2" t="s">
        <v>1378</v>
      </c>
      <c r="B90" s="2" t="s">
        <v>1379</v>
      </c>
      <c r="C90" s="235" t="s">
        <v>113</v>
      </c>
      <c r="D90" s="374" t="s">
        <v>584</v>
      </c>
      <c r="E90" s="374">
        <v>44866</v>
      </c>
      <c r="F90" s="374" t="s">
        <v>44</v>
      </c>
      <c r="G90" s="374" t="s">
        <v>44</v>
      </c>
      <c r="H90" s="374" t="s">
        <v>44</v>
      </c>
      <c r="I90" s="235" t="s">
        <v>44</v>
      </c>
      <c r="J90" s="518" t="s">
        <v>44</v>
      </c>
      <c r="T90" s="367" t="s">
        <v>1407</v>
      </c>
      <c r="W90" s="368"/>
      <c r="X90" s="2" t="s">
        <v>1414</v>
      </c>
      <c r="AB90" s="368"/>
    </row>
    <row r="91" spans="1:28">
      <c r="A91" s="2" t="s">
        <v>1381</v>
      </c>
      <c r="B91" s="2" t="s">
        <v>1382</v>
      </c>
      <c r="C91" s="235" t="s">
        <v>1383</v>
      </c>
      <c r="D91" s="374" t="s">
        <v>276</v>
      </c>
      <c r="E91" s="374">
        <v>44682</v>
      </c>
      <c r="F91" s="374" t="s">
        <v>44</v>
      </c>
      <c r="G91" s="374" t="s">
        <v>44</v>
      </c>
      <c r="H91" s="374" t="s">
        <v>44</v>
      </c>
      <c r="I91" s="235" t="s">
        <v>44</v>
      </c>
      <c r="J91" s="518" t="s">
        <v>44</v>
      </c>
      <c r="W91" s="368"/>
      <c r="AB91" s="368"/>
    </row>
    <row r="92" spans="1:28">
      <c r="A92" s="2" t="s">
        <v>1384</v>
      </c>
      <c r="B92" s="2" t="s">
        <v>1385</v>
      </c>
      <c r="C92" s="235" t="s">
        <v>113</v>
      </c>
      <c r="D92" s="374" t="s">
        <v>584</v>
      </c>
      <c r="E92" s="374">
        <v>45566</v>
      </c>
      <c r="F92" s="374" t="s">
        <v>44</v>
      </c>
      <c r="G92" s="374" t="s">
        <v>44</v>
      </c>
      <c r="H92" s="374" t="s">
        <v>44</v>
      </c>
      <c r="I92" s="235" t="s">
        <v>44</v>
      </c>
      <c r="J92" s="518" t="s">
        <v>44</v>
      </c>
      <c r="W92" s="368"/>
      <c r="AB92" s="368"/>
    </row>
    <row r="93" spans="1:28">
      <c r="A93" s="2" t="s">
        <v>1386</v>
      </c>
      <c r="B93" s="2" t="s">
        <v>1387</v>
      </c>
      <c r="C93" s="235" t="s">
        <v>99</v>
      </c>
      <c r="D93" s="374" t="s">
        <v>584</v>
      </c>
      <c r="E93" s="374">
        <v>45200</v>
      </c>
      <c r="F93" s="374" t="s">
        <v>44</v>
      </c>
      <c r="G93" s="374" t="s">
        <v>44</v>
      </c>
      <c r="H93" s="374" t="s">
        <v>44</v>
      </c>
      <c r="I93" s="235" t="s">
        <v>44</v>
      </c>
      <c r="J93" s="518" t="s">
        <v>44</v>
      </c>
      <c r="W93" s="368"/>
      <c r="AB93" s="368"/>
    </row>
    <row r="94" spans="1:28">
      <c r="A94" s="2" t="s">
        <v>1388</v>
      </c>
      <c r="B94" s="2" t="s">
        <v>1389</v>
      </c>
      <c r="C94" s="235" t="s">
        <v>728</v>
      </c>
      <c r="D94" s="374" t="s">
        <v>276</v>
      </c>
      <c r="E94" s="374">
        <v>44501</v>
      </c>
      <c r="F94" s="374" t="s">
        <v>44</v>
      </c>
      <c r="G94" s="374" t="s">
        <v>44</v>
      </c>
      <c r="H94" s="374" t="s">
        <v>44</v>
      </c>
      <c r="I94" s="235" t="s">
        <v>44</v>
      </c>
      <c r="J94" s="518" t="s">
        <v>44</v>
      </c>
      <c r="T94" s="367" t="s">
        <v>1415</v>
      </c>
      <c r="W94" s="368"/>
      <c r="X94" s="2" t="s">
        <v>1416</v>
      </c>
      <c r="AB94" s="368"/>
    </row>
    <row r="95" spans="1:28">
      <c r="A95" s="2" t="s">
        <v>1391</v>
      </c>
      <c r="B95" s="2" t="s">
        <v>1392</v>
      </c>
      <c r="C95" s="235" t="s">
        <v>273</v>
      </c>
      <c r="D95" s="374" t="s">
        <v>584</v>
      </c>
      <c r="E95" s="374">
        <v>44896</v>
      </c>
      <c r="F95" s="374" t="s">
        <v>44</v>
      </c>
      <c r="G95" s="374" t="s">
        <v>44</v>
      </c>
      <c r="H95" s="374" t="s">
        <v>44</v>
      </c>
      <c r="I95" s="235" t="s">
        <v>44</v>
      </c>
      <c r="J95" s="518" t="s">
        <v>44</v>
      </c>
      <c r="W95" s="368"/>
      <c r="AB95" s="368"/>
    </row>
    <row r="96" spans="1:28">
      <c r="A96" s="2" t="s">
        <v>1305</v>
      </c>
      <c r="B96" s="2" t="s">
        <v>1306</v>
      </c>
      <c r="C96" s="235" t="s">
        <v>1278</v>
      </c>
      <c r="D96" s="374" t="s">
        <v>663</v>
      </c>
      <c r="E96" s="374">
        <v>44348</v>
      </c>
      <c r="F96" s="374" t="s">
        <v>44</v>
      </c>
      <c r="G96" s="374" t="s">
        <v>44</v>
      </c>
      <c r="H96" s="374" t="s">
        <v>44</v>
      </c>
      <c r="I96" s="235" t="s">
        <v>44</v>
      </c>
      <c r="J96" s="518" t="s">
        <v>44</v>
      </c>
      <c r="T96" s="367" t="s">
        <v>1321</v>
      </c>
      <c r="W96" s="368"/>
      <c r="X96" s="2" t="s">
        <v>1322</v>
      </c>
      <c r="AB96" s="368"/>
    </row>
    <row r="97" spans="1:28">
      <c r="A97" s="2" t="s">
        <v>1393</v>
      </c>
      <c r="B97" s="2" t="s">
        <v>1394</v>
      </c>
      <c r="C97" s="235" t="s">
        <v>1303</v>
      </c>
      <c r="D97" s="374" t="s">
        <v>276</v>
      </c>
      <c r="E97" s="374">
        <v>44317</v>
      </c>
      <c r="F97" s="374" t="s">
        <v>44</v>
      </c>
      <c r="G97" s="374" t="s">
        <v>44</v>
      </c>
      <c r="H97" s="374" t="s">
        <v>44</v>
      </c>
      <c r="I97" s="235" t="s">
        <v>44</v>
      </c>
      <c r="J97" s="518" t="s">
        <v>44</v>
      </c>
      <c r="W97" s="368"/>
      <c r="AB97" s="368"/>
    </row>
    <row r="98" spans="1:28">
      <c r="A98" s="2" t="s">
        <v>1395</v>
      </c>
      <c r="B98" s="2" t="s">
        <v>1396</v>
      </c>
      <c r="C98" s="235" t="s">
        <v>114</v>
      </c>
      <c r="D98" s="374" t="s">
        <v>276</v>
      </c>
      <c r="E98" s="374">
        <v>44682</v>
      </c>
      <c r="F98" s="374" t="s">
        <v>44</v>
      </c>
      <c r="G98" s="374" t="s">
        <v>44</v>
      </c>
      <c r="H98" s="374" t="s">
        <v>44</v>
      </c>
      <c r="I98" s="235" t="s">
        <v>44</v>
      </c>
      <c r="J98" s="518" t="s">
        <v>44</v>
      </c>
      <c r="W98" s="368"/>
      <c r="AB98" s="368"/>
    </row>
    <row r="99" spans="1:28">
      <c r="A99" s="2" t="s">
        <v>1398</v>
      </c>
      <c r="B99" s="2" t="s">
        <v>1399</v>
      </c>
      <c r="C99" s="235" t="s">
        <v>273</v>
      </c>
      <c r="D99" s="374" t="s">
        <v>276</v>
      </c>
      <c r="E99" s="374">
        <v>44317</v>
      </c>
      <c r="F99" s="374" t="s">
        <v>44</v>
      </c>
      <c r="G99" s="374" t="s">
        <v>44</v>
      </c>
      <c r="H99" s="374" t="s">
        <v>44</v>
      </c>
      <c r="I99" s="235" t="s">
        <v>44</v>
      </c>
      <c r="J99" s="518" t="s">
        <v>44</v>
      </c>
      <c r="T99" s="367" t="s">
        <v>1417</v>
      </c>
      <c r="W99" s="368"/>
      <c r="X99" s="2" t="s">
        <v>1418</v>
      </c>
      <c r="AB99" s="368"/>
    </row>
    <row r="100" spans="1:28">
      <c r="A100" s="2" t="s">
        <v>1401</v>
      </c>
      <c r="B100" s="2" t="s">
        <v>1402</v>
      </c>
      <c r="C100" s="235" t="s">
        <v>273</v>
      </c>
      <c r="D100" s="374" t="s">
        <v>276</v>
      </c>
      <c r="E100" s="374">
        <v>44562</v>
      </c>
      <c r="F100" s="374" t="s">
        <v>44</v>
      </c>
      <c r="G100" s="374" t="s">
        <v>44</v>
      </c>
      <c r="H100" s="374" t="s">
        <v>44</v>
      </c>
      <c r="I100" s="235" t="s">
        <v>44</v>
      </c>
      <c r="J100" s="518" t="s">
        <v>44</v>
      </c>
      <c r="W100" s="368"/>
      <c r="AB100" s="368"/>
    </row>
    <row r="101" spans="1:28">
      <c r="A101" s="2" t="s">
        <v>1404</v>
      </c>
      <c r="B101" s="2" t="s">
        <v>1405</v>
      </c>
      <c r="C101" s="235" t="s">
        <v>264</v>
      </c>
      <c r="D101" s="374" t="s">
        <v>276</v>
      </c>
      <c r="E101" s="374">
        <v>44562</v>
      </c>
      <c r="F101" s="374" t="s">
        <v>44</v>
      </c>
      <c r="G101" s="374" t="s">
        <v>44</v>
      </c>
      <c r="H101" s="374" t="s">
        <v>44</v>
      </c>
      <c r="I101" s="235" t="s">
        <v>44</v>
      </c>
      <c r="J101" s="518" t="s">
        <v>44</v>
      </c>
      <c r="T101" s="369"/>
      <c r="U101" s="357"/>
      <c r="V101" s="357"/>
      <c r="W101" s="370"/>
      <c r="X101" s="357"/>
      <c r="Y101" s="357"/>
      <c r="Z101" s="357"/>
      <c r="AA101" s="357"/>
      <c r="AB101" s="370"/>
    </row>
  </sheetData>
  <conditionalFormatting sqref="R32:S61">
    <cfRule type="cellIs" dxfId="9" priority="5" operator="lessThan">
      <formula>0</formula>
    </cfRule>
    <cfRule type="cellIs" dxfId="8" priority="6" operator="greaterThan">
      <formula>0</formula>
    </cfRule>
  </conditionalFormatting>
  <conditionalFormatting sqref="AA32:AB61">
    <cfRule type="cellIs" dxfId="7" priority="9" operator="lessThan">
      <formula>0</formula>
    </cfRule>
    <cfRule type="cellIs" dxfId="6" priority="10" operator="greaterThan">
      <formula>0</formula>
    </cfRule>
  </conditionalFormatting>
  <conditionalFormatting sqref="AA63:AB63">
    <cfRule type="cellIs" dxfId="5" priority="3" operator="lessThan">
      <formula>0</formula>
    </cfRule>
    <cfRule type="cellIs" dxfId="4" priority="4" operator="greaterThan">
      <formula>0</formula>
    </cfRule>
  </conditionalFormatting>
  <conditionalFormatting sqref="AA65:AB66">
    <cfRule type="cellIs" dxfId="3" priority="1" operator="lessThan">
      <formula>0</formula>
    </cfRule>
    <cfRule type="cellIs" dxfId="2" priority="2" operator="greaterThan">
      <formula>0</formula>
    </cfRule>
  </conditionalFormatting>
  <conditionalFormatting sqref="AJ32:AM33">
    <cfRule type="cellIs" dxfId="1" priority="7" operator="lessThan">
      <formula>0</formula>
    </cfRule>
    <cfRule type="cellIs" dxfId="0" priority="8" operator="greaterThan">
      <formula>0</formula>
    </cfRule>
  </conditionalFormatting>
  <printOptions horizontalCentered="1"/>
  <pageMargins left="0.23622047244094491" right="0" top="0.35433070866141736" bottom="0.19685039370078741" header="0.15748031496062992" footer="0.15748031496062992"/>
  <pageSetup paperSize="8" scale="37" orientation="landscape"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B365F-CEB3-4FBD-85C6-C53AD1388D4B}">
  <sheetPr>
    <tabColor theme="8"/>
  </sheetPr>
  <dimension ref="B1:R28"/>
  <sheetViews>
    <sheetView workbookViewId="0">
      <selection activeCell="I38" sqref="I38"/>
    </sheetView>
  </sheetViews>
  <sheetFormatPr defaultColWidth="9" defaultRowHeight="11.25"/>
  <cols>
    <col min="1" max="1" width="2" style="2" customWidth="1"/>
    <col min="2" max="2" width="18.7109375" style="2" customWidth="1"/>
    <col min="3" max="3" width="16.7109375" style="2" customWidth="1"/>
    <col min="4" max="4" width="11.7109375" style="2" customWidth="1"/>
    <col min="5" max="6" width="14" style="2" customWidth="1"/>
    <col min="7" max="7" width="44.5703125" style="2" customWidth="1"/>
    <col min="8" max="8" width="18.7109375" style="2" customWidth="1"/>
    <col min="9" max="9" width="13.7109375" style="2" customWidth="1"/>
    <col min="10" max="10" width="14" style="2" customWidth="1"/>
    <col min="11" max="11" width="15.28515625" style="2" customWidth="1"/>
    <col min="12" max="12" width="16" style="2" bestFit="1" customWidth="1"/>
    <col min="13" max="13" width="23.7109375" style="2" bestFit="1" customWidth="1"/>
    <col min="14" max="14" width="16" style="2" bestFit="1" customWidth="1"/>
    <col min="15" max="15" width="14.7109375" style="2" bestFit="1" customWidth="1"/>
    <col min="16" max="16" width="13.7109375" style="2" bestFit="1" customWidth="1"/>
    <col min="17" max="17" width="12.28515625" style="2" customWidth="1"/>
    <col min="18" max="16384" width="9" style="2"/>
  </cols>
  <sheetData>
    <row r="1" spans="2:17">
      <c r="B1" s="75" t="s">
        <v>282</v>
      </c>
      <c r="M1" s="635">
        <f>C3</f>
        <v>45657</v>
      </c>
      <c r="N1" s="636"/>
      <c r="O1" s="198" t="s">
        <v>283</v>
      </c>
      <c r="P1" s="199" t="s">
        <v>284</v>
      </c>
    </row>
    <row r="2" spans="2:17" ht="12" thickBot="1">
      <c r="M2" s="172" t="s">
        <v>285</v>
      </c>
      <c r="N2" s="173">
        <f>M26</f>
        <v>-33100000</v>
      </c>
      <c r="O2" s="201">
        <v>-33100000</v>
      </c>
      <c r="P2" s="205">
        <f>N2-O2</f>
        <v>0</v>
      </c>
    </row>
    <row r="3" spans="2:17" ht="12" thickBot="1">
      <c r="B3" s="202" t="s">
        <v>286</v>
      </c>
      <c r="C3" s="272">
        <f>'West Street VIII'!E1</f>
        <v>45657</v>
      </c>
      <c r="D3" s="328"/>
      <c r="M3" s="172" t="s">
        <v>287</v>
      </c>
      <c r="N3" s="173">
        <f>P26</f>
        <v>650000</v>
      </c>
      <c r="O3" s="201">
        <v>650000</v>
      </c>
      <c r="P3" s="205">
        <f>N3-O3</f>
        <v>0</v>
      </c>
    </row>
    <row r="4" spans="2:17">
      <c r="M4" s="175" t="s">
        <v>288</v>
      </c>
      <c r="N4" s="176">
        <f>L28</f>
        <v>38945352</v>
      </c>
    </row>
    <row r="5" spans="2:17" s="75" customFormat="1">
      <c r="B5" s="75" t="s">
        <v>289</v>
      </c>
      <c r="C5" s="75" t="str">
        <f>'West Street VIII'!B2</f>
        <v>West Street Capital Partners VIII Offshore, L.P.</v>
      </c>
      <c r="M5" s="172" t="s">
        <v>75</v>
      </c>
      <c r="N5" s="180">
        <f>XIRR(L11:L28,E11:E28)</f>
        <v>8.5717692971229553E-2</v>
      </c>
    </row>
    <row r="6" spans="2:17">
      <c r="B6" s="75" t="s">
        <v>291</v>
      </c>
      <c r="C6" s="75" t="s">
        <v>24</v>
      </c>
      <c r="D6" s="75"/>
    </row>
    <row r="7" spans="2:17">
      <c r="B7" s="75" t="s">
        <v>52</v>
      </c>
      <c r="C7" s="181">
        <v>50000000</v>
      </c>
      <c r="D7" s="182"/>
    </row>
    <row r="8" spans="2:17">
      <c r="B8" s="75"/>
      <c r="C8" s="182"/>
      <c r="D8" s="182"/>
    </row>
    <row r="10" spans="2:17" s="186" customFormat="1" ht="22.5">
      <c r="B10" s="183" t="s">
        <v>292</v>
      </c>
      <c r="C10" s="183" t="s">
        <v>0</v>
      </c>
      <c r="D10" s="183" t="s">
        <v>293</v>
      </c>
      <c r="E10" s="183" t="s">
        <v>294</v>
      </c>
      <c r="F10" s="183" t="s">
        <v>295</v>
      </c>
      <c r="G10" s="183" t="s">
        <v>176</v>
      </c>
      <c r="H10" s="184" t="s">
        <v>296</v>
      </c>
      <c r="I10" s="185" t="s">
        <v>435</v>
      </c>
      <c r="J10" s="185" t="s">
        <v>436</v>
      </c>
      <c r="K10" s="185" t="s">
        <v>299</v>
      </c>
      <c r="L10" s="185" t="s">
        <v>300</v>
      </c>
      <c r="M10" s="185" t="s">
        <v>301</v>
      </c>
      <c r="N10" s="185" t="s">
        <v>302</v>
      </c>
      <c r="O10" s="185" t="s">
        <v>437</v>
      </c>
      <c r="P10" s="185" t="s">
        <v>438</v>
      </c>
      <c r="Q10" s="184" t="s">
        <v>195</v>
      </c>
    </row>
    <row r="11" spans="2:17">
      <c r="B11" s="2" t="s">
        <v>307</v>
      </c>
      <c r="C11" s="235" t="s">
        <v>308</v>
      </c>
      <c r="D11" s="187">
        <v>44179</v>
      </c>
      <c r="E11" s="187">
        <v>44186</v>
      </c>
      <c r="F11" s="2">
        <f t="shared" ref="F11:F18" si="0">YEAR(E11)</f>
        <v>2020</v>
      </c>
      <c r="G11" s="2" t="s">
        <v>1419</v>
      </c>
      <c r="H11" s="108">
        <v>-1500000</v>
      </c>
      <c r="I11" s="211"/>
      <c r="J11" s="211"/>
      <c r="K11" s="241"/>
      <c r="L11" s="211">
        <f t="shared" ref="L11:L26" si="1">SUM(H11:K11)</f>
        <v>-1500000</v>
      </c>
      <c r="M11" s="132">
        <f>L11</f>
        <v>-1500000</v>
      </c>
      <c r="N11" s="132">
        <f t="shared" ref="N11:N26" si="2">$C$7+M11</f>
        <v>48500000</v>
      </c>
      <c r="O11" s="131">
        <f>IF(L11&gt;0,L11,0)</f>
        <v>0</v>
      </c>
      <c r="P11" s="131">
        <f>O11</f>
        <v>0</v>
      </c>
    </row>
    <row r="12" spans="2:17">
      <c r="B12" s="2" t="s">
        <v>307</v>
      </c>
      <c r="C12" s="235" t="s">
        <v>310</v>
      </c>
      <c r="D12" s="187">
        <v>44322</v>
      </c>
      <c r="E12" s="187">
        <v>44333</v>
      </c>
      <c r="F12" s="2">
        <f t="shared" si="0"/>
        <v>2021</v>
      </c>
      <c r="G12" s="2" t="s">
        <v>1420</v>
      </c>
      <c r="H12" s="108">
        <v>-5500000</v>
      </c>
      <c r="I12" s="211"/>
      <c r="J12" s="211"/>
      <c r="L12" s="211">
        <f t="shared" si="1"/>
        <v>-5500000</v>
      </c>
      <c r="M12" s="132">
        <f t="shared" ref="M12:M26" si="3">M11+IF(L12&lt;0,L12,0)</f>
        <v>-7000000</v>
      </c>
      <c r="N12" s="132">
        <f t="shared" si="2"/>
        <v>43000000</v>
      </c>
      <c r="O12" s="131">
        <f>IF(L12&gt;0,L12,0)</f>
        <v>0</v>
      </c>
      <c r="P12" s="131">
        <f>P11+O12</f>
        <v>0</v>
      </c>
    </row>
    <row r="13" spans="2:17">
      <c r="B13" s="2" t="s">
        <v>307</v>
      </c>
      <c r="C13" s="235" t="s">
        <v>311</v>
      </c>
      <c r="D13" s="187">
        <v>44386</v>
      </c>
      <c r="E13" s="187">
        <v>44396</v>
      </c>
      <c r="F13" s="2">
        <f t="shared" si="0"/>
        <v>2021</v>
      </c>
      <c r="G13" s="2" t="s">
        <v>1421</v>
      </c>
      <c r="H13" s="108">
        <v>-1000000</v>
      </c>
      <c r="I13" s="211"/>
      <c r="J13" s="211"/>
      <c r="L13" s="211">
        <f t="shared" si="1"/>
        <v>-1000000</v>
      </c>
      <c r="M13" s="132">
        <f t="shared" si="3"/>
        <v>-8000000</v>
      </c>
      <c r="N13" s="132">
        <f t="shared" si="2"/>
        <v>42000000</v>
      </c>
      <c r="O13" s="131">
        <f>IF(L13&gt;0,L13,0)</f>
        <v>0</v>
      </c>
      <c r="P13" s="131">
        <f>P12+O13</f>
        <v>0</v>
      </c>
    </row>
    <row r="14" spans="2:17">
      <c r="B14" s="2" t="s">
        <v>307</v>
      </c>
      <c r="C14" s="235" t="s">
        <v>316</v>
      </c>
      <c r="D14" s="187">
        <v>44484</v>
      </c>
      <c r="E14" s="187">
        <v>44494</v>
      </c>
      <c r="F14" s="2">
        <f t="shared" si="0"/>
        <v>2021</v>
      </c>
      <c r="G14" s="2" t="s">
        <v>1422</v>
      </c>
      <c r="H14" s="108">
        <v>-2375000</v>
      </c>
      <c r="I14" s="211"/>
      <c r="J14" s="211"/>
      <c r="L14" s="211">
        <f t="shared" si="1"/>
        <v>-2375000</v>
      </c>
      <c r="M14" s="132">
        <f t="shared" si="3"/>
        <v>-10375000</v>
      </c>
      <c r="N14" s="132">
        <f t="shared" si="2"/>
        <v>39625000</v>
      </c>
      <c r="O14" s="131"/>
      <c r="P14" s="131"/>
    </row>
    <row r="15" spans="2:17">
      <c r="B15" s="2" t="s">
        <v>307</v>
      </c>
      <c r="C15" s="235" t="s">
        <v>320</v>
      </c>
      <c r="D15" s="187">
        <v>44512</v>
      </c>
      <c r="E15" s="187">
        <v>44522</v>
      </c>
      <c r="F15" s="2">
        <f t="shared" si="0"/>
        <v>2021</v>
      </c>
      <c r="G15" s="2" t="s">
        <v>1423</v>
      </c>
      <c r="H15" s="108">
        <v>-1000000</v>
      </c>
      <c r="I15" s="211"/>
      <c r="J15" s="211"/>
      <c r="L15" s="211">
        <f t="shared" si="1"/>
        <v>-1000000</v>
      </c>
      <c r="M15" s="132">
        <f t="shared" si="3"/>
        <v>-11375000</v>
      </c>
      <c r="N15" s="132">
        <f t="shared" si="2"/>
        <v>38625000</v>
      </c>
      <c r="O15" s="131"/>
      <c r="P15" s="131"/>
    </row>
    <row r="16" spans="2:17">
      <c r="B16" s="2" t="s">
        <v>307</v>
      </c>
      <c r="C16" s="235" t="s">
        <v>325</v>
      </c>
      <c r="D16" s="187">
        <v>44536</v>
      </c>
      <c r="E16" s="187">
        <v>44546</v>
      </c>
      <c r="F16" s="2">
        <f t="shared" si="0"/>
        <v>2021</v>
      </c>
      <c r="G16" s="2" t="s">
        <v>1424</v>
      </c>
      <c r="H16" s="108">
        <v>-500000</v>
      </c>
      <c r="I16" s="211"/>
      <c r="J16" s="211"/>
      <c r="L16" s="211">
        <f t="shared" si="1"/>
        <v>-500000</v>
      </c>
      <c r="M16" s="132">
        <f t="shared" si="3"/>
        <v>-11875000</v>
      </c>
      <c r="N16" s="132">
        <f t="shared" si="2"/>
        <v>38125000</v>
      </c>
      <c r="P16" s="131"/>
    </row>
    <row r="17" spans="2:18">
      <c r="B17" s="2" t="s">
        <v>307</v>
      </c>
      <c r="C17" s="235" t="s">
        <v>322</v>
      </c>
      <c r="D17" s="187">
        <v>44669</v>
      </c>
      <c r="E17" s="187">
        <v>44669</v>
      </c>
      <c r="F17" s="2">
        <f t="shared" si="0"/>
        <v>2022</v>
      </c>
      <c r="G17" s="2" t="s">
        <v>1425</v>
      </c>
      <c r="H17" s="108">
        <v>-1550000</v>
      </c>
      <c r="I17" s="211"/>
      <c r="J17" s="211"/>
      <c r="L17" s="211">
        <f t="shared" si="1"/>
        <v>-1550000</v>
      </c>
      <c r="M17" s="132">
        <f t="shared" si="3"/>
        <v>-13425000</v>
      </c>
      <c r="N17" s="132">
        <f t="shared" si="2"/>
        <v>36575000</v>
      </c>
      <c r="O17" s="171">
        <f t="shared" ref="O17:O23" si="4">IF(L17&gt;0,L17,0)</f>
        <v>0</v>
      </c>
      <c r="P17" s="171">
        <f t="shared" ref="P17:P26" si="5">P16+O17</f>
        <v>0</v>
      </c>
    </row>
    <row r="18" spans="2:18">
      <c r="B18" s="2" t="s">
        <v>307</v>
      </c>
      <c r="C18" s="235" t="s">
        <v>324</v>
      </c>
      <c r="D18" s="187">
        <v>44893</v>
      </c>
      <c r="E18" s="187">
        <f>D18</f>
        <v>44893</v>
      </c>
      <c r="F18" s="2">
        <f t="shared" si="0"/>
        <v>2022</v>
      </c>
      <c r="G18" s="2" t="s">
        <v>1426</v>
      </c>
      <c r="H18" s="108">
        <v>-5775000</v>
      </c>
      <c r="I18" s="314"/>
      <c r="J18" s="108"/>
      <c r="K18" s="211"/>
      <c r="L18" s="211">
        <f t="shared" si="1"/>
        <v>-5775000</v>
      </c>
      <c r="M18" s="132">
        <f t="shared" si="3"/>
        <v>-19200000</v>
      </c>
      <c r="N18" s="132">
        <f t="shared" si="2"/>
        <v>30800000</v>
      </c>
      <c r="O18" s="171">
        <f t="shared" si="4"/>
        <v>0</v>
      </c>
      <c r="P18" s="171">
        <f t="shared" si="5"/>
        <v>0</v>
      </c>
    </row>
    <row r="19" spans="2:18">
      <c r="B19" s="2" t="s">
        <v>49</v>
      </c>
      <c r="C19" s="235" t="s">
        <v>324</v>
      </c>
      <c r="D19" s="187">
        <v>44893</v>
      </c>
      <c r="E19" s="187">
        <v>44893</v>
      </c>
      <c r="F19" s="2">
        <v>2022</v>
      </c>
      <c r="G19" s="2" t="s">
        <v>1427</v>
      </c>
      <c r="H19" s="108">
        <v>650000</v>
      </c>
      <c r="I19" s="314"/>
      <c r="J19" s="108"/>
      <c r="K19" s="211"/>
      <c r="L19" s="211">
        <f t="shared" si="1"/>
        <v>650000</v>
      </c>
      <c r="M19" s="132">
        <f t="shared" si="3"/>
        <v>-19200000</v>
      </c>
      <c r="N19" s="132">
        <f t="shared" si="2"/>
        <v>30800000</v>
      </c>
      <c r="O19" s="171">
        <f t="shared" si="4"/>
        <v>650000</v>
      </c>
      <c r="P19" s="171">
        <f t="shared" si="5"/>
        <v>650000</v>
      </c>
    </row>
    <row r="20" spans="2:18">
      <c r="B20" s="2" t="s">
        <v>307</v>
      </c>
      <c r="C20" s="235" t="s">
        <v>327</v>
      </c>
      <c r="D20" s="187">
        <v>45103</v>
      </c>
      <c r="E20" s="187">
        <f t="shared" ref="E20:E26" si="6">D20</f>
        <v>45103</v>
      </c>
      <c r="F20" s="2">
        <f t="shared" ref="F20:F26" si="7">YEAR(E20)</f>
        <v>2023</v>
      </c>
      <c r="G20" s="2" t="s">
        <v>1428</v>
      </c>
      <c r="H20" s="170">
        <v>-1650000</v>
      </c>
      <c r="I20" s="314"/>
      <c r="J20" s="108"/>
      <c r="K20" s="211"/>
      <c r="L20" s="132">
        <f t="shared" si="1"/>
        <v>-1650000</v>
      </c>
      <c r="M20" s="132">
        <f t="shared" si="3"/>
        <v>-20850000</v>
      </c>
      <c r="N20" s="132">
        <f t="shared" si="2"/>
        <v>29150000</v>
      </c>
      <c r="O20" s="171">
        <f t="shared" si="4"/>
        <v>0</v>
      </c>
      <c r="P20" s="171">
        <f t="shared" si="5"/>
        <v>650000</v>
      </c>
    </row>
    <row r="21" spans="2:18">
      <c r="B21" s="2" t="s">
        <v>307</v>
      </c>
      <c r="C21" s="235" t="s">
        <v>329</v>
      </c>
      <c r="D21" s="187">
        <v>45149</v>
      </c>
      <c r="E21" s="187">
        <f t="shared" si="6"/>
        <v>45149</v>
      </c>
      <c r="F21" s="2">
        <f t="shared" si="7"/>
        <v>2023</v>
      </c>
      <c r="G21" s="2" t="s">
        <v>1366</v>
      </c>
      <c r="H21" s="170">
        <v>-1150000</v>
      </c>
      <c r="I21" s="314"/>
      <c r="J21" s="108"/>
      <c r="K21" s="211"/>
      <c r="L21" s="132">
        <f t="shared" si="1"/>
        <v>-1150000</v>
      </c>
      <c r="M21" s="132">
        <f t="shared" si="3"/>
        <v>-22000000</v>
      </c>
      <c r="N21" s="132">
        <f t="shared" si="2"/>
        <v>28000000</v>
      </c>
      <c r="O21" s="171">
        <f t="shared" si="4"/>
        <v>0</v>
      </c>
      <c r="P21" s="171">
        <f t="shared" si="5"/>
        <v>650000</v>
      </c>
      <c r="R21" s="2" t="s">
        <v>514</v>
      </c>
    </row>
    <row r="22" spans="2:18">
      <c r="B22" s="2" t="s">
        <v>307</v>
      </c>
      <c r="C22" s="235" t="s">
        <v>331</v>
      </c>
      <c r="D22" s="187">
        <v>45212</v>
      </c>
      <c r="E22" s="187">
        <f t="shared" si="6"/>
        <v>45212</v>
      </c>
      <c r="F22" s="2">
        <f t="shared" si="7"/>
        <v>2023</v>
      </c>
      <c r="G22" s="2" t="s">
        <v>1429</v>
      </c>
      <c r="H22" s="170">
        <v>-5500000</v>
      </c>
      <c r="I22" s="314"/>
      <c r="J22" s="170"/>
      <c r="K22" s="132"/>
      <c r="L22" s="132">
        <f t="shared" si="1"/>
        <v>-5500000</v>
      </c>
      <c r="M22" s="132">
        <f t="shared" si="3"/>
        <v>-27500000</v>
      </c>
      <c r="N22" s="132">
        <f t="shared" si="2"/>
        <v>22500000</v>
      </c>
      <c r="O22" s="171">
        <f t="shared" si="4"/>
        <v>0</v>
      </c>
      <c r="P22" s="171">
        <f t="shared" si="5"/>
        <v>650000</v>
      </c>
    </row>
    <row r="23" spans="2:18">
      <c r="B23" s="2" t="s">
        <v>307</v>
      </c>
      <c r="C23" s="235" t="s">
        <v>333</v>
      </c>
      <c r="D23" s="187">
        <v>45261</v>
      </c>
      <c r="E23" s="187">
        <f t="shared" si="6"/>
        <v>45261</v>
      </c>
      <c r="F23" s="2">
        <f t="shared" si="7"/>
        <v>2023</v>
      </c>
      <c r="G23" s="2" t="s">
        <v>1430</v>
      </c>
      <c r="H23" s="170">
        <v>-650000</v>
      </c>
      <c r="I23" s="314"/>
      <c r="J23" s="170"/>
      <c r="K23" s="132"/>
      <c r="L23" s="132">
        <f t="shared" si="1"/>
        <v>-650000</v>
      </c>
      <c r="M23" s="132">
        <f t="shared" si="3"/>
        <v>-28150000</v>
      </c>
      <c r="N23" s="132">
        <f t="shared" si="2"/>
        <v>21850000</v>
      </c>
      <c r="O23" s="171">
        <f t="shared" si="4"/>
        <v>0</v>
      </c>
      <c r="P23" s="171">
        <f t="shared" si="5"/>
        <v>650000</v>
      </c>
    </row>
    <row r="24" spans="2:18">
      <c r="B24" s="2" t="s">
        <v>307</v>
      </c>
      <c r="C24" s="235" t="s">
        <v>335</v>
      </c>
      <c r="D24" s="187">
        <v>45419</v>
      </c>
      <c r="E24" s="187">
        <f t="shared" si="6"/>
        <v>45419</v>
      </c>
      <c r="F24" s="2">
        <f t="shared" si="7"/>
        <v>2024</v>
      </c>
      <c r="G24" s="2" t="s">
        <v>1431</v>
      </c>
      <c r="H24" s="170">
        <v>-1500000</v>
      </c>
      <c r="I24" s="314"/>
      <c r="J24" s="170"/>
      <c r="K24" s="132"/>
      <c r="L24" s="132">
        <f t="shared" si="1"/>
        <v>-1500000</v>
      </c>
      <c r="M24" s="132">
        <f t="shared" si="3"/>
        <v>-29650000</v>
      </c>
      <c r="N24" s="132">
        <f t="shared" si="2"/>
        <v>20350000</v>
      </c>
      <c r="O24" s="171">
        <f>IF(L24&gt;0,L24,0)</f>
        <v>0</v>
      </c>
      <c r="P24" s="171">
        <f t="shared" si="5"/>
        <v>650000</v>
      </c>
      <c r="R24" s="2" t="s">
        <v>846</v>
      </c>
    </row>
    <row r="25" spans="2:18">
      <c r="B25" s="2" t="s">
        <v>307</v>
      </c>
      <c r="C25" s="235" t="s">
        <v>342</v>
      </c>
      <c r="D25" s="187">
        <v>45517</v>
      </c>
      <c r="E25" s="187">
        <f t="shared" si="6"/>
        <v>45517</v>
      </c>
      <c r="F25" s="2">
        <f t="shared" si="7"/>
        <v>2024</v>
      </c>
      <c r="G25" s="2" t="s">
        <v>1432</v>
      </c>
      <c r="H25" s="170">
        <v>-2150000</v>
      </c>
      <c r="I25" s="314"/>
      <c r="J25" s="170"/>
      <c r="K25" s="132"/>
      <c r="L25" s="132">
        <f t="shared" si="1"/>
        <v>-2150000</v>
      </c>
      <c r="M25" s="132">
        <f t="shared" si="3"/>
        <v>-31800000</v>
      </c>
      <c r="N25" s="132">
        <f t="shared" si="2"/>
        <v>18200000</v>
      </c>
      <c r="O25" s="171">
        <f>IF(L25&gt;0,L25,0)</f>
        <v>0</v>
      </c>
      <c r="P25" s="171">
        <f t="shared" si="5"/>
        <v>650000</v>
      </c>
      <c r="R25" s="2" t="s">
        <v>617</v>
      </c>
    </row>
    <row r="26" spans="2:18">
      <c r="B26" s="2" t="s">
        <v>307</v>
      </c>
      <c r="C26" s="235" t="s">
        <v>342</v>
      </c>
      <c r="D26" s="187">
        <v>45589</v>
      </c>
      <c r="E26" s="187">
        <f t="shared" si="6"/>
        <v>45589</v>
      </c>
      <c r="F26" s="2">
        <f t="shared" si="7"/>
        <v>2024</v>
      </c>
      <c r="G26" s="2" t="s">
        <v>1433</v>
      </c>
      <c r="H26" s="170">
        <v>-1300000</v>
      </c>
      <c r="I26" s="314"/>
      <c r="J26" s="170"/>
      <c r="K26" s="132"/>
      <c r="L26" s="132">
        <f t="shared" si="1"/>
        <v>-1300000</v>
      </c>
      <c r="M26" s="132">
        <f t="shared" si="3"/>
        <v>-33100000</v>
      </c>
      <c r="N26" s="132">
        <f t="shared" si="2"/>
        <v>16900000</v>
      </c>
      <c r="O26" s="171">
        <f>IF(L26&gt;0,L26,0)</f>
        <v>0</v>
      </c>
      <c r="P26" s="171">
        <f t="shared" si="5"/>
        <v>650000</v>
      </c>
      <c r="R26" s="2" t="s">
        <v>403</v>
      </c>
    </row>
    <row r="27" spans="2:18">
      <c r="C27" s="235"/>
      <c r="D27" s="187"/>
      <c r="E27" s="187"/>
      <c r="H27" s="170"/>
      <c r="I27" s="314"/>
      <c r="J27" s="170"/>
      <c r="K27" s="132"/>
      <c r="L27" s="132"/>
      <c r="M27" s="132"/>
      <c r="N27" s="132"/>
      <c r="O27" s="171"/>
      <c r="P27" s="171"/>
    </row>
    <row r="28" spans="2:18" s="75" customFormat="1">
      <c r="B28" s="191"/>
      <c r="C28" s="358" t="s">
        <v>227</v>
      </c>
      <c r="D28" s="192"/>
      <c r="E28" s="192">
        <f>C3</f>
        <v>45657</v>
      </c>
      <c r="F28" s="191"/>
      <c r="G28" s="191"/>
      <c r="H28" s="191"/>
      <c r="I28" s="194"/>
      <c r="J28" s="194"/>
      <c r="K28" s="194"/>
      <c r="L28" s="194">
        <v>38945352</v>
      </c>
      <c r="M28" s="194"/>
      <c r="N28" s="194"/>
      <c r="O28" s="193"/>
      <c r="P28" s="191"/>
      <c r="Q28" s="191"/>
      <c r="R28" s="2"/>
    </row>
  </sheetData>
  <autoFilter ref="A10:R24" xr:uid="{67EB365F-CEB3-4FBD-85C6-C53AD1388D4B}"/>
  <mergeCells count="1">
    <mergeCell ref="M1:N1"/>
  </mergeCells>
  <phoneticPr fontId="62" type="noConversion"/>
  <pageMargins left="0.7" right="0.7" top="0.75" bottom="0.75" header="0.3" footer="0.3"/>
  <pageSetup paperSize="9" orientation="portrait" r:id="rId1"/>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AD3AD-17F8-4471-B97B-3D15A053A236}">
  <sheetPr>
    <tabColor theme="5"/>
  </sheetPr>
  <dimension ref="B2:CK83"/>
  <sheetViews>
    <sheetView workbookViewId="0">
      <selection activeCell="AE16" sqref="AE16"/>
    </sheetView>
  </sheetViews>
  <sheetFormatPr defaultColWidth="9.140625" defaultRowHeight="11.25" outlineLevelRow="1" outlineLevelCol="1"/>
  <cols>
    <col min="1" max="1" width="2.28515625" style="2" customWidth="1"/>
    <col min="2" max="2" width="2.7109375" style="2" bestFit="1" customWidth="1"/>
    <col min="3" max="3" width="35.28515625" style="2" customWidth="1"/>
    <col min="4" max="4" width="1.7109375" style="2" customWidth="1"/>
    <col min="5" max="8" width="12.7109375" style="2" hidden="1" customWidth="1" outlineLevel="1"/>
    <col min="9" max="9" width="12.7109375" style="75" customWidth="1" collapsed="1"/>
    <col min="10" max="13" width="12.7109375" style="2" hidden="1" customWidth="1" outlineLevel="1"/>
    <col min="14" max="14" width="12.7109375" style="75" customWidth="1" collapsed="1"/>
    <col min="15" max="18" width="12.7109375" style="2" hidden="1" customWidth="1" outlineLevel="1"/>
    <col min="19" max="19" width="12.7109375" style="75" customWidth="1" collapsed="1"/>
    <col min="20" max="23" width="12.7109375" style="2" hidden="1" customWidth="1" outlineLevel="1"/>
    <col min="24" max="24" width="12.7109375" style="75" customWidth="1" collapsed="1"/>
    <col min="25" max="29" width="12.7109375" style="2" hidden="1" customWidth="1" outlineLevel="1"/>
    <col min="30" max="30" width="12.7109375" style="2" hidden="1" customWidth="1" outlineLevel="1" collapsed="1"/>
    <col min="31" max="31" width="12.7109375" style="75" customWidth="1" collapsed="1"/>
    <col min="32" max="35" width="12.7109375" style="2" hidden="1" customWidth="1" outlineLevel="1"/>
    <col min="36" max="36" width="12.7109375" style="75" customWidth="1" collapsed="1"/>
    <col min="37" max="40" width="12.7109375" style="2" hidden="1" customWidth="1" outlineLevel="1"/>
    <col min="41" max="41" width="12.7109375" style="75" customWidth="1" collapsed="1"/>
    <col min="42" max="45" width="12.7109375" style="2" hidden="1" customWidth="1" outlineLevel="1"/>
    <col min="46" max="46" width="12.7109375" style="75" customWidth="1" collapsed="1"/>
    <col min="47" max="50" width="12.7109375" style="2" hidden="1" customWidth="1" outlineLevel="1"/>
    <col min="51" max="51" width="12.7109375" style="75" customWidth="1" collapsed="1"/>
    <col min="52" max="55" width="12.7109375" style="2" hidden="1" customWidth="1" outlineLevel="1"/>
    <col min="56" max="56" width="12.7109375" style="75" customWidth="1" collapsed="1"/>
    <col min="57" max="60" width="12.7109375" style="2" hidden="1" customWidth="1" outlineLevel="1"/>
    <col min="61" max="61" width="12.7109375" style="75" customWidth="1" collapsed="1"/>
    <col min="62" max="62" width="1.7109375" style="165" customWidth="1"/>
    <col min="63" max="63" width="15.7109375" style="2" hidden="1" customWidth="1" outlineLevel="1" collapsed="1"/>
    <col min="64" max="65" width="15.7109375" style="2" hidden="1" customWidth="1" outlineLevel="1"/>
    <col min="66" max="66" width="12.7109375" style="75" customWidth="1" collapsed="1"/>
    <col min="67" max="68" width="12.7109375" style="75" hidden="1" customWidth="1" outlineLevel="1"/>
    <col min="69" max="69" width="9.140625" style="2" collapsed="1"/>
    <col min="70" max="85" width="9.140625" style="2"/>
    <col min="86" max="86" width="32.7109375" style="2" bestFit="1" customWidth="1"/>
    <col min="87" max="87" width="10.42578125" style="2" bestFit="1" customWidth="1"/>
    <col min="88" max="88" width="15.7109375" style="2" customWidth="1"/>
    <col min="89" max="89" width="9.5703125" style="2" bestFit="1" customWidth="1"/>
    <col min="90" max="16384" width="9.140625" style="2"/>
  </cols>
  <sheetData>
    <row r="2" spans="2:89" s="75" customFormat="1">
      <c r="BJ2" s="165"/>
    </row>
    <row r="3" spans="2:89" ht="13.5">
      <c r="B3" s="71" t="s">
        <v>1448</v>
      </c>
      <c r="C3" s="71"/>
      <c r="D3" s="489"/>
      <c r="E3" s="487"/>
      <c r="F3" s="487"/>
      <c r="G3" s="487"/>
      <c r="H3" s="487"/>
      <c r="I3" s="487" t="s">
        <v>1449</v>
      </c>
      <c r="J3" s="487"/>
      <c r="K3" s="487"/>
      <c r="L3" s="487"/>
      <c r="M3" s="487"/>
      <c r="N3" s="487" t="s">
        <v>1438</v>
      </c>
      <c r="O3" s="487"/>
      <c r="P3" s="487"/>
      <c r="Q3" s="487"/>
      <c r="R3" s="487"/>
      <c r="S3" s="487" t="s">
        <v>1439</v>
      </c>
      <c r="T3" s="487"/>
      <c r="U3" s="487"/>
      <c r="V3" s="487"/>
      <c r="W3" s="487"/>
      <c r="X3" s="487" t="s">
        <v>1440</v>
      </c>
      <c r="Y3" s="487"/>
      <c r="Z3" s="487"/>
      <c r="AA3" s="487"/>
      <c r="AB3" s="487"/>
      <c r="AC3" s="487"/>
      <c r="AD3" s="487"/>
      <c r="AE3" s="487" t="s">
        <v>1450</v>
      </c>
      <c r="AF3" s="488"/>
      <c r="AG3" s="488"/>
      <c r="AH3" s="488"/>
      <c r="AI3" s="488"/>
      <c r="AJ3" s="487" t="s">
        <v>1442</v>
      </c>
      <c r="AK3" s="488"/>
      <c r="AL3" s="488"/>
      <c r="AM3" s="488"/>
      <c r="AN3" s="488"/>
      <c r="AO3" s="487" t="s">
        <v>1443</v>
      </c>
      <c r="AP3" s="488"/>
      <c r="AQ3" s="488"/>
      <c r="AR3" s="488"/>
      <c r="AS3" s="488"/>
      <c r="AT3" s="487" t="s">
        <v>1444</v>
      </c>
      <c r="AU3" s="488"/>
      <c r="AV3" s="488"/>
      <c r="AW3" s="488"/>
      <c r="AX3" s="488"/>
      <c r="AY3" s="487" t="s">
        <v>1445</v>
      </c>
      <c r="AZ3" s="488"/>
      <c r="BA3" s="488"/>
      <c r="BB3" s="488"/>
      <c r="BC3" s="488"/>
      <c r="BD3" s="487" t="s">
        <v>1446</v>
      </c>
      <c r="BE3" s="488"/>
      <c r="BF3" s="488"/>
      <c r="BG3" s="488"/>
      <c r="BH3" s="488"/>
      <c r="BI3" s="487" t="s">
        <v>1447</v>
      </c>
      <c r="BJ3" s="494"/>
      <c r="BN3" s="468"/>
      <c r="BO3" s="468"/>
      <c r="BP3" s="468"/>
    </row>
    <row r="4" spans="2:89" ht="13.5">
      <c r="C4" s="75" t="s">
        <v>136</v>
      </c>
      <c r="E4" s="233"/>
      <c r="F4" s="233"/>
      <c r="G4" s="233"/>
      <c r="H4" s="233"/>
      <c r="I4" s="447"/>
      <c r="J4" s="233"/>
      <c r="K4" s="233"/>
      <c r="L4" s="233"/>
      <c r="M4" s="233"/>
      <c r="N4" s="447"/>
      <c r="O4" s="233"/>
      <c r="P4" s="233"/>
      <c r="Q4" s="233"/>
      <c r="R4" s="233"/>
      <c r="S4" s="447"/>
      <c r="T4" s="233"/>
      <c r="U4" s="233"/>
      <c r="V4" s="233"/>
      <c r="W4" s="233"/>
      <c r="X4" s="447"/>
      <c r="Y4" s="233"/>
      <c r="Z4" s="233"/>
      <c r="AA4" s="233"/>
      <c r="AB4" s="233"/>
      <c r="AC4" s="233"/>
      <c r="AD4" s="233"/>
      <c r="AE4" s="447"/>
      <c r="AF4" s="233"/>
      <c r="AG4" s="233"/>
      <c r="AH4" s="233"/>
      <c r="AI4" s="233"/>
      <c r="AJ4" s="447"/>
      <c r="AK4" s="233"/>
      <c r="AL4" s="233"/>
      <c r="AM4" s="233"/>
      <c r="AN4" s="233"/>
      <c r="AO4" s="447"/>
      <c r="AP4" s="233"/>
      <c r="AQ4" s="233"/>
      <c r="AR4" s="233"/>
      <c r="AS4" s="233"/>
      <c r="AT4" s="447"/>
      <c r="AU4" s="233"/>
      <c r="AV4" s="233"/>
      <c r="AW4" s="233"/>
      <c r="AX4" s="233"/>
      <c r="AY4" s="447"/>
      <c r="AZ4" s="233"/>
      <c r="BA4" s="233"/>
      <c r="BB4" s="233"/>
      <c r="BC4" s="233"/>
      <c r="BD4" s="447"/>
      <c r="BE4" s="233"/>
      <c r="BF4" s="233"/>
      <c r="BG4" s="233"/>
      <c r="BH4" s="233"/>
      <c r="BI4" s="447"/>
      <c r="BJ4" s="495"/>
      <c r="BN4" s="447"/>
      <c r="BO4" s="447"/>
      <c r="BP4" s="447"/>
    </row>
    <row r="5" spans="2:89" ht="27" outlineLevel="1">
      <c r="C5" s="75"/>
      <c r="E5" s="233" t="s">
        <v>567</v>
      </c>
      <c r="F5" s="233" t="s">
        <v>1451</v>
      </c>
      <c r="G5" s="163" t="s">
        <v>1452</v>
      </c>
      <c r="H5" s="233" t="s">
        <v>1453</v>
      </c>
      <c r="I5" s="447" t="s">
        <v>1454</v>
      </c>
      <c r="J5" s="233" t="s">
        <v>567</v>
      </c>
      <c r="K5" s="233" t="s">
        <v>1451</v>
      </c>
      <c r="L5" s="163" t="s">
        <v>1452</v>
      </c>
      <c r="M5" s="233" t="s">
        <v>1453</v>
      </c>
      <c r="N5" s="447" t="s">
        <v>1454</v>
      </c>
      <c r="O5" s="233" t="s">
        <v>567</v>
      </c>
      <c r="P5" s="233" t="s">
        <v>1451</v>
      </c>
      <c r="Q5" s="163" t="s">
        <v>1452</v>
      </c>
      <c r="R5" s="233" t="s">
        <v>1453</v>
      </c>
      <c r="S5" s="447" t="s">
        <v>1454</v>
      </c>
      <c r="T5" s="233" t="s">
        <v>567</v>
      </c>
      <c r="U5" s="233" t="s">
        <v>1451</v>
      </c>
      <c r="V5" s="163" t="s">
        <v>1452</v>
      </c>
      <c r="W5" s="233" t="s">
        <v>1453</v>
      </c>
      <c r="X5" s="447" t="s">
        <v>1454</v>
      </c>
      <c r="Y5" s="233" t="s">
        <v>1455</v>
      </c>
      <c r="Z5" s="233" t="s">
        <v>1456</v>
      </c>
      <c r="AA5" s="233" t="s">
        <v>1457</v>
      </c>
      <c r="AB5" s="233" t="s">
        <v>1458</v>
      </c>
      <c r="AC5" s="233" t="s">
        <v>1459</v>
      </c>
      <c r="AD5" s="233" t="s">
        <v>1453</v>
      </c>
      <c r="AE5" s="447" t="s">
        <v>1454</v>
      </c>
      <c r="AF5" s="233" t="s">
        <v>1455</v>
      </c>
      <c r="AG5" s="233" t="s">
        <v>1460</v>
      </c>
      <c r="AH5" s="233" t="s">
        <v>1459</v>
      </c>
      <c r="AI5" s="233" t="s">
        <v>1453</v>
      </c>
      <c r="AJ5" s="447" t="s">
        <v>1454</v>
      </c>
      <c r="AK5" s="233" t="s">
        <v>1455</v>
      </c>
      <c r="AL5" s="233" t="s">
        <v>1460</v>
      </c>
      <c r="AM5" s="233" t="s">
        <v>1459</v>
      </c>
      <c r="AN5" s="233" t="s">
        <v>1453</v>
      </c>
      <c r="AO5" s="447" t="s">
        <v>1454</v>
      </c>
      <c r="AP5" s="233" t="s">
        <v>1455</v>
      </c>
      <c r="AQ5" s="233" t="s">
        <v>1460</v>
      </c>
      <c r="AR5" s="233" t="s">
        <v>1459</v>
      </c>
      <c r="AS5" s="233" t="s">
        <v>1453</v>
      </c>
      <c r="AT5" s="447" t="s">
        <v>1454</v>
      </c>
      <c r="AU5" s="233" t="s">
        <v>1455</v>
      </c>
      <c r="AV5" s="233" t="s">
        <v>1460</v>
      </c>
      <c r="AW5" s="233" t="s">
        <v>1459</v>
      </c>
      <c r="AX5" s="233" t="s">
        <v>1453</v>
      </c>
      <c r="AY5" s="447" t="s">
        <v>1454</v>
      </c>
      <c r="AZ5" s="233" t="s">
        <v>1455</v>
      </c>
      <c r="BA5" s="233" t="s">
        <v>1460</v>
      </c>
      <c r="BB5" s="233" t="s">
        <v>1459</v>
      </c>
      <c r="BC5" s="233" t="s">
        <v>1453</v>
      </c>
      <c r="BD5" s="447" t="s">
        <v>1454</v>
      </c>
      <c r="BE5" s="233" t="s">
        <v>1455</v>
      </c>
      <c r="BF5" s="233" t="s">
        <v>1460</v>
      </c>
      <c r="BG5" s="233" t="s">
        <v>1459</v>
      </c>
      <c r="BH5" s="233" t="s">
        <v>1453</v>
      </c>
      <c r="BI5" s="447" t="s">
        <v>1454</v>
      </c>
      <c r="BJ5" s="493" t="s">
        <v>116</v>
      </c>
      <c r="BN5" s="493" t="s">
        <v>116</v>
      </c>
      <c r="BO5" s="492" t="s">
        <v>1461</v>
      </c>
      <c r="BP5" s="492" t="s">
        <v>178</v>
      </c>
      <c r="CH5" s="608" t="s">
        <v>1483</v>
      </c>
      <c r="CI5" s="183" t="s">
        <v>1484</v>
      </c>
      <c r="CJ5" s="183" t="s">
        <v>1485</v>
      </c>
      <c r="CK5" s="609" t="s">
        <v>1486</v>
      </c>
    </row>
    <row r="6" spans="2:89">
      <c r="B6" s="2">
        <v>1</v>
      </c>
      <c r="C6" s="449" t="s">
        <v>2</v>
      </c>
      <c r="E6" s="448">
        <f>+'BOYU Capital Fund I CF'!P86</f>
        <v>83931396.610000014</v>
      </c>
      <c r="F6" s="255">
        <v>0</v>
      </c>
      <c r="G6" s="255">
        <f>+F6+E6</f>
        <v>83931396.610000014</v>
      </c>
      <c r="H6" s="450" t="e">
        <f>+INDEX(#REF!,MATCH(C6,#REF!,0))</f>
        <v>#REF!</v>
      </c>
      <c r="I6" s="255" t="e">
        <f>+H6+G6</f>
        <v>#REF!</v>
      </c>
      <c r="J6" s="448">
        <f>+'BOYU Capital Fund I CF'!P91</f>
        <v>86734131.060000017</v>
      </c>
      <c r="K6" s="255">
        <v>0</v>
      </c>
      <c r="L6" s="255">
        <f>+K6+J6</f>
        <v>86734131.060000017</v>
      </c>
      <c r="M6" s="450">
        <v>2197442.9999999674</v>
      </c>
      <c r="N6" s="255">
        <f>+M6+L6</f>
        <v>88931574.059999987</v>
      </c>
      <c r="O6" s="448">
        <f>+'BOYU Capital Fund I CF'!P94</f>
        <v>87452112.270000011</v>
      </c>
      <c r="P6" s="255">
        <v>0</v>
      </c>
      <c r="Q6" s="255">
        <f>+P6+O6</f>
        <v>87452112.270000011</v>
      </c>
      <c r="R6" s="450">
        <v>4304809.9999999665</v>
      </c>
      <c r="S6" s="255">
        <f>+R6+Q6</f>
        <v>91756922.269999981</v>
      </c>
      <c r="T6" s="448">
        <f>+'BOYU Capital Fund I CF'!P98</f>
        <v>92038825.620000005</v>
      </c>
      <c r="U6" s="255">
        <v>0</v>
      </c>
      <c r="V6" s="255">
        <f>+U6+T6</f>
        <v>92038825.620000005</v>
      </c>
      <c r="W6" s="450">
        <v>54964.999999967549</v>
      </c>
      <c r="X6" s="255">
        <f>+W6+V6</f>
        <v>92093790.619999975</v>
      </c>
      <c r="Y6" s="462">
        <f>+T6</f>
        <v>92038825.620000005</v>
      </c>
      <c r="Z6" s="469">
        <v>0</v>
      </c>
      <c r="AA6" s="469">
        <v>0</v>
      </c>
      <c r="AB6" s="469">
        <v>0</v>
      </c>
      <c r="AC6" s="564">
        <f>+Y6+Z6+AA6+AB6</f>
        <v>92038825.620000005</v>
      </c>
      <c r="AD6" s="450">
        <f>+INDEX('Portfolio Listing'!$P$7:$P$28,MATCH(C6,'Portfolio Listing'!$C$7:$C$28,0))</f>
        <v>51248</v>
      </c>
      <c r="AE6" s="255">
        <f>+AC6+AD6</f>
        <v>92090073.620000005</v>
      </c>
      <c r="AF6" s="462">
        <f>+AC6</f>
        <v>92038825.620000005</v>
      </c>
      <c r="AG6" s="448"/>
      <c r="AH6" s="462">
        <f t="shared" ref="AH6:AH13" si="0">+AG6+AF6</f>
        <v>92038825.620000005</v>
      </c>
      <c r="AI6" s="450"/>
      <c r="AJ6" s="255">
        <f>+AH6+AI6</f>
        <v>92038825.620000005</v>
      </c>
      <c r="AK6" s="462">
        <f>+AH6</f>
        <v>92038825.620000005</v>
      </c>
      <c r="AL6" s="451"/>
      <c r="AM6" s="462">
        <f t="shared" ref="AM6:AM21" si="1">+AL6+AK6</f>
        <v>92038825.620000005</v>
      </c>
      <c r="AN6" s="450"/>
      <c r="AO6" s="255">
        <f>+AM6+AN6</f>
        <v>92038825.620000005</v>
      </c>
      <c r="AP6" s="462">
        <f>+AM6</f>
        <v>92038825.620000005</v>
      </c>
      <c r="AQ6" s="451"/>
      <c r="AR6" s="462">
        <f t="shared" ref="AR6:AR21" si="2">+AQ6+AP6</f>
        <v>92038825.620000005</v>
      </c>
      <c r="AS6" s="450"/>
      <c r="AT6" s="255">
        <f>+AR6+AS6</f>
        <v>92038825.620000005</v>
      </c>
      <c r="AU6" s="462">
        <f>+AR6</f>
        <v>92038825.620000005</v>
      </c>
      <c r="AV6" s="451"/>
      <c r="AW6" s="462">
        <f t="shared" ref="AW6:AW21" si="3">+AV6+AU6</f>
        <v>92038825.620000005</v>
      </c>
      <c r="AX6" s="450"/>
      <c r="AY6" s="255">
        <f>+AW6+AX6</f>
        <v>92038825.620000005</v>
      </c>
      <c r="AZ6" s="462">
        <f>+AW6</f>
        <v>92038825.620000005</v>
      </c>
      <c r="BA6" s="451"/>
      <c r="BB6" s="462">
        <f t="shared" ref="BB6:BB21" si="4">+BA6+AZ6</f>
        <v>92038825.620000005</v>
      </c>
      <c r="BC6" s="450"/>
      <c r="BD6" s="255">
        <f>+BB6+BC6</f>
        <v>92038825.620000005</v>
      </c>
      <c r="BE6" s="462">
        <f>+BB6</f>
        <v>92038825.620000005</v>
      </c>
      <c r="BF6" s="451"/>
      <c r="BG6" s="462">
        <f t="shared" ref="BG6:BG21" si="5">+BF6+BE6</f>
        <v>92038825.620000005</v>
      </c>
      <c r="BH6" s="450"/>
      <c r="BI6" s="255">
        <f>+BG6+BH6</f>
        <v>92038825.620000005</v>
      </c>
      <c r="BJ6" s="496"/>
      <c r="BK6" s="2" t="str">
        <f>+INDEX('Portfolio Summary'!H$6:H$28,MATCH($C6,'Portfolio Summary'!$C$6:$C$28,0))</f>
        <v>China</v>
      </c>
      <c r="BL6" s="2" t="str">
        <f>+INDEX('Portfolio Summary'!I$6:I$28,MATCH($C6,'Portfolio Summary'!$C$6:$C$28,0))</f>
        <v>Diversified</v>
      </c>
      <c r="BM6" s="2" t="str">
        <f>+INDEX('Portfolio Summary'!J$6:J$28,MATCH($C6,'Portfolio Summary'!$C$6:$C$28,0))</f>
        <v>PE - VC / Growth</v>
      </c>
      <c r="BN6" s="257"/>
      <c r="BO6" s="255">
        <f>+INDEX('Portfolio Listing'!$P$7:$P$25,MATCH(C6,'Portfolio Listing'!$C$7:$C$25,0))</f>
        <v>51248</v>
      </c>
      <c r="BP6" s="255">
        <f>+BO6-AD6</f>
        <v>0</v>
      </c>
      <c r="CH6" s="2" t="str">
        <f>C6</f>
        <v>BOYU Capital Fund I</v>
      </c>
      <c r="CI6" s="199">
        <f>AD6-W6</f>
        <v>-3716.9999999675492</v>
      </c>
      <c r="CJ6" s="199">
        <f>'Portfolio Summary'!AH41</f>
        <v>0</v>
      </c>
      <c r="CK6" s="610">
        <f>CI6+CJ6</f>
        <v>-3716.9999999675492</v>
      </c>
    </row>
    <row r="7" spans="2:89">
      <c r="B7" s="2">
        <f>+B6+1</f>
        <v>2</v>
      </c>
      <c r="C7" s="449" t="s">
        <v>3</v>
      </c>
      <c r="E7" s="448">
        <f>+'Ascendant CP I CF'!R55</f>
        <v>13350387.59</v>
      </c>
      <c r="F7" s="255">
        <v>0</v>
      </c>
      <c r="G7" s="255">
        <f t="shared" ref="G7:G24" si="6">+F7+E7</f>
        <v>13350387.59</v>
      </c>
      <c r="H7" s="450" t="e">
        <f>+INDEX(#REF!,MATCH(C7,#REF!,0))</f>
        <v>#REF!</v>
      </c>
      <c r="I7" s="255" t="e">
        <f t="shared" ref="I7:I24" si="7">+H7+G7</f>
        <v>#REF!</v>
      </c>
      <c r="J7" s="448">
        <f>+'Ascendant CP I CF'!R60</f>
        <v>19506270.990000002</v>
      </c>
      <c r="K7" s="255">
        <v>0</v>
      </c>
      <c r="L7" s="255">
        <f t="shared" ref="L7:L24" si="8">+K7+J7</f>
        <v>19506270.990000002</v>
      </c>
      <c r="M7" s="450">
        <v>866183.00000000792</v>
      </c>
      <c r="N7" s="255">
        <f t="shared" ref="N7:N24" si="9">+M7+L7</f>
        <v>20372453.99000001</v>
      </c>
      <c r="O7" s="448">
        <f>+'Ascendant CP I CF'!R62</f>
        <v>19704668.610000003</v>
      </c>
      <c r="P7" s="255">
        <v>0</v>
      </c>
      <c r="Q7" s="255">
        <f t="shared" ref="Q7:Q24" si="10">+P7+O7</f>
        <v>19704668.610000003</v>
      </c>
      <c r="R7" s="450">
        <v>722860.00000000792</v>
      </c>
      <c r="S7" s="255">
        <f t="shared" ref="S7:S24" si="11">+R7+Q7</f>
        <v>20427528.610000011</v>
      </c>
      <c r="T7" s="448">
        <f>+'Ascendant CP I CF'!R65</f>
        <v>20207464.430000003</v>
      </c>
      <c r="U7" s="255">
        <v>0</v>
      </c>
      <c r="V7" s="255">
        <f t="shared" ref="V7:V24" si="12">+U7+T7</f>
        <v>20207464.430000003</v>
      </c>
      <c r="W7" s="450">
        <v>235021.00000000568</v>
      </c>
      <c r="X7" s="255">
        <f t="shared" ref="X7:X24" si="13">+W7+V7</f>
        <v>20442485.430000011</v>
      </c>
      <c r="Y7" s="462">
        <f t="shared" ref="Y7:Y23" si="14">+T7</f>
        <v>20207464.430000003</v>
      </c>
      <c r="Z7" s="469">
        <v>0</v>
      </c>
      <c r="AA7" s="469">
        <v>0</v>
      </c>
      <c r="AB7" s="469">
        <v>0</v>
      </c>
      <c r="AC7" s="564">
        <f t="shared" ref="AC7:AC24" si="15">+Y7+Z7+AA7+AB7</f>
        <v>20207464.430000003</v>
      </c>
      <c r="AD7" s="448">
        <f>+INDEX('Portfolio Listing'!$P$7:$P$28,MATCH(C7,'Portfolio Listing'!$C$7:$C$28,0))</f>
        <v>249627</v>
      </c>
      <c r="AE7" s="255">
        <f>+AC7+AD7</f>
        <v>20457091.430000003</v>
      </c>
      <c r="AF7" s="462">
        <f>+AC7</f>
        <v>20207464.430000003</v>
      </c>
      <c r="AG7" s="451">
        <f>+Calcs!F12</f>
        <v>600000</v>
      </c>
      <c r="AH7" s="462">
        <f t="shared" si="0"/>
        <v>20807464.430000003</v>
      </c>
      <c r="AI7" s="448">
        <f>+Calcs!F14</f>
        <v>0</v>
      </c>
      <c r="AJ7" s="255">
        <f>+AH7+AI7</f>
        <v>20807464.430000003</v>
      </c>
      <c r="AK7" s="462">
        <f>+AH7</f>
        <v>20807464.430000003</v>
      </c>
      <c r="AL7" s="451">
        <f>+Calcs!G12</f>
        <v>0</v>
      </c>
      <c r="AM7" s="462">
        <f t="shared" si="1"/>
        <v>20807464.430000003</v>
      </c>
      <c r="AN7" s="448">
        <f>+Calcs!G13</f>
        <v>0</v>
      </c>
      <c r="AO7" s="255">
        <f>+AM7+AN7</f>
        <v>20807464.430000003</v>
      </c>
      <c r="AP7" s="462">
        <f>+AM7</f>
        <v>20807464.430000003</v>
      </c>
      <c r="AQ7" s="451">
        <f>+Calcs!H12</f>
        <v>0</v>
      </c>
      <c r="AR7" s="462">
        <f t="shared" si="2"/>
        <v>20807464.430000003</v>
      </c>
      <c r="AS7" s="448"/>
      <c r="AT7" s="255">
        <f>+AR7+AS7</f>
        <v>20807464.430000003</v>
      </c>
      <c r="AU7" s="462">
        <f>+AR7</f>
        <v>20807464.430000003</v>
      </c>
      <c r="AV7" s="451"/>
      <c r="AW7" s="462">
        <f t="shared" si="3"/>
        <v>20807464.430000003</v>
      </c>
      <c r="AX7" s="448"/>
      <c r="AY7" s="255">
        <f>+AW7+AX7</f>
        <v>20807464.430000003</v>
      </c>
      <c r="AZ7" s="462">
        <f>+AW7</f>
        <v>20807464.430000003</v>
      </c>
      <c r="BA7" s="451"/>
      <c r="BB7" s="462">
        <f t="shared" si="4"/>
        <v>20807464.430000003</v>
      </c>
      <c r="BC7" s="448"/>
      <c r="BD7" s="255">
        <f>+BB7+BC7</f>
        <v>20807464.430000003</v>
      </c>
      <c r="BE7" s="462">
        <f>+BB7</f>
        <v>20807464.430000003</v>
      </c>
      <c r="BF7" s="451"/>
      <c r="BG7" s="462">
        <f t="shared" si="5"/>
        <v>20807464.430000003</v>
      </c>
      <c r="BH7" s="448"/>
      <c r="BI7" s="255">
        <f>+BG7+BH7</f>
        <v>20807464.430000003</v>
      </c>
      <c r="BJ7" s="496"/>
      <c r="BK7" s="2" t="str">
        <f>+INDEX('Portfolio Summary'!H$6:H$28,MATCH($C7,'Portfolio Summary'!$C$6:$C$28,0))</f>
        <v>China</v>
      </c>
      <c r="BL7" s="2" t="str">
        <f>+INDEX('Portfolio Summary'!I$6:I$28,MATCH($C7,'Portfolio Summary'!$C$6:$C$28,0))</f>
        <v>Diversified</v>
      </c>
      <c r="BM7" s="2" t="str">
        <f>+INDEX('Portfolio Summary'!J$6:J$28,MATCH($C7,'Portfolio Summary'!$C$6:$C$28,0))</f>
        <v>PE - Buyout</v>
      </c>
      <c r="BN7" s="257"/>
      <c r="BO7" s="255">
        <f>+INDEX('Portfolio Listing'!$P$7:$P$25,MATCH(C7,'Portfolio Listing'!$C$7:$C$25,0))</f>
        <v>249627</v>
      </c>
      <c r="BP7" s="255">
        <f t="shared" ref="BP7:BP24" si="16">+BO7-AD7</f>
        <v>0</v>
      </c>
      <c r="CH7" s="2" t="str">
        <f t="shared" ref="CH7:CH24" si="17">C7</f>
        <v>Ascendent Fund</v>
      </c>
      <c r="CI7" s="199">
        <f t="shared" ref="CI7:CI24" si="18">AD7-W7</f>
        <v>14605.999999994325</v>
      </c>
      <c r="CJ7" s="199">
        <f>'Portfolio Summary'!AH42</f>
        <v>0</v>
      </c>
      <c r="CK7" s="610">
        <f t="shared" ref="CK7:CK24" si="19">CI7+CJ7</f>
        <v>14605.999999994325</v>
      </c>
    </row>
    <row r="8" spans="2:89">
      <c r="B8" s="2">
        <f t="shared" ref="B8:B24" si="20">+B7+1</f>
        <v>3</v>
      </c>
      <c r="C8" s="449" t="s">
        <v>4</v>
      </c>
      <c r="E8" s="451">
        <f>+'BOYU Offshore CF'!D102</f>
        <v>11884980</v>
      </c>
      <c r="F8" s="91">
        <v>0</v>
      </c>
      <c r="G8" s="91">
        <f t="shared" si="6"/>
        <v>11884980</v>
      </c>
      <c r="H8" s="469" t="e">
        <f>+INDEX(#REF!,MATCH(C8,#REF!,0))</f>
        <v>#REF!</v>
      </c>
      <c r="I8" s="91" t="e">
        <f t="shared" si="7"/>
        <v>#REF!</v>
      </c>
      <c r="J8" s="451">
        <f>+'BOYU Offshore CF'!D103</f>
        <v>16320345</v>
      </c>
      <c r="K8" s="91">
        <v>0</v>
      </c>
      <c r="L8" s="91">
        <f t="shared" si="8"/>
        <v>16320345</v>
      </c>
      <c r="M8" s="469">
        <v>5507911.5999999978</v>
      </c>
      <c r="N8" s="91">
        <f t="shared" si="9"/>
        <v>21828256.599999998</v>
      </c>
      <c r="O8" s="451">
        <f>+'BOYU Offshore CF'!D104</f>
        <v>16320345</v>
      </c>
      <c r="P8" s="91">
        <v>0</v>
      </c>
      <c r="Q8" s="91">
        <f t="shared" si="10"/>
        <v>16320345</v>
      </c>
      <c r="R8" s="469">
        <v>4824435.6199999973</v>
      </c>
      <c r="S8" s="91">
        <f t="shared" si="11"/>
        <v>21144780.619999997</v>
      </c>
      <c r="T8" s="451">
        <f>+'BOYU Offshore CF'!D105</f>
        <v>19040585.93</v>
      </c>
      <c r="U8" s="91">
        <v>0</v>
      </c>
      <c r="V8" s="91">
        <f t="shared" si="12"/>
        <v>19040585.93</v>
      </c>
      <c r="W8" s="469">
        <v>1968470.8700000057</v>
      </c>
      <c r="X8" s="91">
        <f t="shared" si="13"/>
        <v>21009056.800000004</v>
      </c>
      <c r="Y8" s="90">
        <f t="shared" si="14"/>
        <v>19040585.93</v>
      </c>
      <c r="Z8" s="451">
        <f>+'BOYU Offshore CF'!C106</f>
        <v>1155577.0682600001</v>
      </c>
      <c r="AA8" s="451"/>
      <c r="AB8" s="451"/>
      <c r="AC8" s="564">
        <f t="shared" si="15"/>
        <v>20196162.998259999</v>
      </c>
      <c r="AD8" s="451">
        <f>+INDEX('Portfolio Listing'!$P$7:$P$28,MATCH(C8,'Portfolio Listing'!$C$7:$C$28,0))</f>
        <v>793271.37</v>
      </c>
      <c r="AE8" s="91">
        <f t="shared" ref="AE8:AE23" si="21">+AC8+AD8</f>
        <v>20989434.36826</v>
      </c>
      <c r="AF8" s="90">
        <f t="shared" ref="AF8:AF23" si="22">+AC8</f>
        <v>20196162.998259999</v>
      </c>
      <c r="AG8" s="451">
        <f>+Calcs!F18</f>
        <v>310000</v>
      </c>
      <c r="AH8" s="90">
        <f t="shared" si="0"/>
        <v>20506162.998259999</v>
      </c>
      <c r="AI8" s="451">
        <f>+Calcs!F20</f>
        <v>0</v>
      </c>
      <c r="AJ8" s="91">
        <f t="shared" ref="AJ8:AJ23" si="23">+AH8+AI8</f>
        <v>20506162.998259999</v>
      </c>
      <c r="AK8" s="90">
        <f t="shared" ref="AK8:AK24" si="24">+AH8</f>
        <v>20506162.998259999</v>
      </c>
      <c r="AL8" s="451">
        <f>+Calcs!G18</f>
        <v>0</v>
      </c>
      <c r="AM8" s="90">
        <f t="shared" si="1"/>
        <v>20506162.998259999</v>
      </c>
      <c r="AN8" s="451">
        <f>+Calcs!G19</f>
        <v>0</v>
      </c>
      <c r="AO8" s="91">
        <f t="shared" ref="AO8:AO24" si="25">+AM8+AN8</f>
        <v>20506162.998259999</v>
      </c>
      <c r="AP8" s="90">
        <f t="shared" ref="AP8:AP24" si="26">+AM8</f>
        <v>20506162.998259999</v>
      </c>
      <c r="AQ8" s="451">
        <f>+Calcs!H18</f>
        <v>0</v>
      </c>
      <c r="AR8" s="90">
        <f t="shared" si="2"/>
        <v>20506162.998259999</v>
      </c>
      <c r="AS8" s="451">
        <f>+Calcs!R20</f>
        <v>0</v>
      </c>
      <c r="AT8" s="91">
        <f t="shared" ref="AT8:AT24" si="27">+AR8+AS8</f>
        <v>20506162.998259999</v>
      </c>
      <c r="AU8" s="90">
        <f t="shared" ref="AU8:AU24" si="28">+AR8</f>
        <v>20506162.998259999</v>
      </c>
      <c r="AV8" s="451"/>
      <c r="AW8" s="90">
        <f t="shared" si="3"/>
        <v>20506162.998259999</v>
      </c>
      <c r="AX8" s="451">
        <f>+Calcs!I19</f>
        <v>0</v>
      </c>
      <c r="AY8" s="91">
        <f t="shared" ref="AY8:AY24" si="29">+AW8+AX8</f>
        <v>20506162.998259999</v>
      </c>
      <c r="AZ8" s="90">
        <f t="shared" ref="AZ8:AZ24" si="30">+AW8</f>
        <v>20506162.998259999</v>
      </c>
      <c r="BA8" s="451"/>
      <c r="BB8" s="90">
        <f t="shared" si="4"/>
        <v>20506162.998259999</v>
      </c>
      <c r="BC8" s="451"/>
      <c r="BD8" s="91">
        <f t="shared" ref="BD8:BD24" si="31">+BB8+BC8</f>
        <v>20506162.998259999</v>
      </c>
      <c r="BE8" s="90">
        <f t="shared" ref="BE8:BE24" si="32">+BB8</f>
        <v>20506162.998259999</v>
      </c>
      <c r="BF8" s="451"/>
      <c r="BG8" s="90">
        <f t="shared" si="5"/>
        <v>20506162.998259999</v>
      </c>
      <c r="BH8" s="451"/>
      <c r="BI8" s="91">
        <f t="shared" ref="BI8:BI24" si="33">+BG8+BH8</f>
        <v>20506162.998259999</v>
      </c>
      <c r="BJ8" s="496"/>
      <c r="BK8" s="2" t="str">
        <f>+INDEX('Portfolio Summary'!H$6:H$28,MATCH($C8,'Portfolio Summary'!$C$6:$C$28,0))</f>
        <v>China</v>
      </c>
      <c r="BL8" s="2" t="str">
        <f>+INDEX('Portfolio Summary'!I$6:I$28,MATCH($C8,'Portfolio Summary'!$C$6:$C$28,0))</f>
        <v>Diversified</v>
      </c>
      <c r="BM8" s="2" t="str">
        <f>+INDEX('Portfolio Summary'!J$6:J$28,MATCH($C8,'Portfolio Summary'!$C$6:$C$28,0))</f>
        <v xml:space="preserve">HF </v>
      </c>
      <c r="BN8" s="107"/>
      <c r="BO8" s="91">
        <f>+INDEX('Portfolio Listing'!$P$7:$P$25,MATCH(C8,'Portfolio Listing'!$C$7:$C$25,0))</f>
        <v>793271.37</v>
      </c>
      <c r="BP8" s="91">
        <f t="shared" si="16"/>
        <v>0</v>
      </c>
      <c r="CH8" s="2" t="str">
        <f t="shared" si="17"/>
        <v xml:space="preserve">BOYU Capital Offshore Fund </v>
      </c>
      <c r="CI8" s="199">
        <f t="shared" si="18"/>
        <v>-1175199.5000000056</v>
      </c>
      <c r="CJ8" s="199">
        <f>'Portfolio Summary'!AH43</f>
        <v>0</v>
      </c>
      <c r="CK8" s="610">
        <f t="shared" si="19"/>
        <v>-1175199.5000000056</v>
      </c>
    </row>
    <row r="9" spans="2:89">
      <c r="B9" s="2">
        <f t="shared" si="20"/>
        <v>4</v>
      </c>
      <c r="C9" s="449" t="s">
        <v>17</v>
      </c>
      <c r="E9" s="451"/>
      <c r="F9" s="91">
        <v>0</v>
      </c>
      <c r="G9" s="91">
        <f t="shared" si="6"/>
        <v>0</v>
      </c>
      <c r="H9" s="469" t="e">
        <f>+INDEX(#REF!,MATCH(C9,#REF!,0))</f>
        <v>#REF!</v>
      </c>
      <c r="I9" s="91" t="e">
        <f t="shared" si="7"/>
        <v>#REF!</v>
      </c>
      <c r="J9" s="451">
        <f>+'E15 Fund I (CF) '!N15</f>
        <v>4158210.7900000005</v>
      </c>
      <c r="K9" s="91">
        <v>0</v>
      </c>
      <c r="L9" s="91">
        <f t="shared" si="8"/>
        <v>4158210.7900000005</v>
      </c>
      <c r="M9" s="469">
        <v>1197625.9999999993</v>
      </c>
      <c r="N9" s="91">
        <f t="shared" si="9"/>
        <v>5355836.79</v>
      </c>
      <c r="O9" s="451">
        <f>+'E15 Fund I (CF) '!N15</f>
        <v>4158210.7900000005</v>
      </c>
      <c r="P9" s="91">
        <v>0</v>
      </c>
      <c r="Q9" s="91">
        <f t="shared" si="10"/>
        <v>4158210.7900000005</v>
      </c>
      <c r="R9" s="469">
        <v>783834.9999999993</v>
      </c>
      <c r="S9" s="91">
        <f t="shared" si="11"/>
        <v>4942045.79</v>
      </c>
      <c r="T9" s="451">
        <f>+'E15 Fund I (CF) '!N15</f>
        <v>4158210.7900000005</v>
      </c>
      <c r="U9" s="91">
        <v>0</v>
      </c>
      <c r="V9" s="91">
        <f t="shared" si="12"/>
        <v>4158210.7900000005</v>
      </c>
      <c r="W9" s="469">
        <v>545686.9999999993</v>
      </c>
      <c r="X9" s="91">
        <f t="shared" si="13"/>
        <v>4703897.79</v>
      </c>
      <c r="Y9" s="90">
        <f t="shared" si="14"/>
        <v>4158210.7900000005</v>
      </c>
      <c r="Z9" s="469">
        <v>0</v>
      </c>
      <c r="AA9" s="451">
        <v>0</v>
      </c>
      <c r="AB9" s="451">
        <v>0</v>
      </c>
      <c r="AC9" s="564">
        <f t="shared" si="15"/>
        <v>4158210.7900000005</v>
      </c>
      <c r="AD9" s="451">
        <f>+INDEX('Portfolio Listing'!$P$7:$P$28,MATCH(C9,'Portfolio Listing'!$C$7:$C$28,0))</f>
        <v>569305</v>
      </c>
      <c r="AE9" s="91">
        <f t="shared" si="21"/>
        <v>4727515.790000001</v>
      </c>
      <c r="AF9" s="90">
        <f t="shared" si="22"/>
        <v>4158210.7900000005</v>
      </c>
      <c r="AG9" s="451">
        <f>+Calcs!F24</f>
        <v>700000</v>
      </c>
      <c r="AH9" s="90">
        <f t="shared" si="0"/>
        <v>4858210.790000001</v>
      </c>
      <c r="AI9" s="451">
        <f>+Calcs!F25</f>
        <v>0</v>
      </c>
      <c r="AJ9" s="91">
        <f t="shared" si="23"/>
        <v>4858210.790000001</v>
      </c>
      <c r="AK9" s="90">
        <f t="shared" si="24"/>
        <v>4858210.790000001</v>
      </c>
      <c r="AL9" s="451">
        <f>+Calcs!G24</f>
        <v>0</v>
      </c>
      <c r="AM9" s="90">
        <f t="shared" si="1"/>
        <v>4858210.790000001</v>
      </c>
      <c r="AN9" s="451">
        <f>+Calcs!G25</f>
        <v>0</v>
      </c>
      <c r="AO9" s="91">
        <f t="shared" si="25"/>
        <v>4858210.790000001</v>
      </c>
      <c r="AP9" s="90">
        <f t="shared" si="26"/>
        <v>4858210.790000001</v>
      </c>
      <c r="AQ9" s="451">
        <f>+Calcs!H24</f>
        <v>0</v>
      </c>
      <c r="AR9" s="90">
        <f t="shared" si="2"/>
        <v>4858210.790000001</v>
      </c>
      <c r="AS9" s="451"/>
      <c r="AT9" s="91">
        <f t="shared" si="27"/>
        <v>4858210.790000001</v>
      </c>
      <c r="AU9" s="90">
        <f t="shared" si="28"/>
        <v>4858210.790000001</v>
      </c>
      <c r="AV9" s="451"/>
      <c r="AW9" s="90">
        <f t="shared" si="3"/>
        <v>4858210.790000001</v>
      </c>
      <c r="AX9" s="451"/>
      <c r="AY9" s="91">
        <f t="shared" si="29"/>
        <v>4858210.790000001</v>
      </c>
      <c r="AZ9" s="90">
        <f t="shared" si="30"/>
        <v>4858210.790000001</v>
      </c>
      <c r="BA9" s="451"/>
      <c r="BB9" s="90">
        <f t="shared" si="4"/>
        <v>4858210.790000001</v>
      </c>
      <c r="BC9" s="451"/>
      <c r="BD9" s="91">
        <f t="shared" si="31"/>
        <v>4858210.790000001</v>
      </c>
      <c r="BE9" s="90">
        <f t="shared" si="32"/>
        <v>4858210.790000001</v>
      </c>
      <c r="BF9" s="451"/>
      <c r="BG9" s="90">
        <f t="shared" si="5"/>
        <v>4858210.790000001</v>
      </c>
      <c r="BH9" s="451"/>
      <c r="BI9" s="91">
        <f t="shared" si="33"/>
        <v>4858210.790000001</v>
      </c>
      <c r="BJ9" s="496"/>
      <c r="BK9" s="2" t="str">
        <f>+INDEX('Portfolio Summary'!H$6:H$28,MATCH($C9,'Portfolio Summary'!$C$6:$C$28,0))</f>
        <v>US</v>
      </c>
      <c r="BL9" s="2" t="str">
        <f>+INDEX('Portfolio Summary'!I$6:I$28,MATCH($C9,'Portfolio Summary'!$C$6:$C$28,0))</f>
        <v>Technology</v>
      </c>
      <c r="BM9" s="2" t="str">
        <f>+INDEX('Portfolio Summary'!J$6:J$28,MATCH($C9,'Portfolio Summary'!$C$6:$C$28,0))</f>
        <v>PE - VC / Growth</v>
      </c>
      <c r="BN9" s="107"/>
      <c r="BO9" s="91">
        <f>+INDEX('Portfolio Listing'!$P$7:$P$25,MATCH(C9,'Portfolio Listing'!$C$7:$C$25,0))</f>
        <v>569305</v>
      </c>
      <c r="BP9" s="91">
        <f t="shared" si="16"/>
        <v>0</v>
      </c>
      <c r="CH9" s="2" t="str">
        <f t="shared" si="17"/>
        <v>E15 Fund I</v>
      </c>
      <c r="CI9" s="199">
        <f t="shared" si="18"/>
        <v>23618.000000000698</v>
      </c>
      <c r="CJ9" s="199">
        <f>'Portfolio Summary'!AH45</f>
        <v>0</v>
      </c>
      <c r="CK9" s="610">
        <f t="shared" si="19"/>
        <v>23618.000000000698</v>
      </c>
    </row>
    <row r="10" spans="2:89">
      <c r="B10" s="2">
        <f t="shared" si="20"/>
        <v>5</v>
      </c>
      <c r="C10" s="449" t="s">
        <v>20</v>
      </c>
      <c r="E10" s="451"/>
      <c r="F10" s="91">
        <v>0</v>
      </c>
      <c r="G10" s="91">
        <f t="shared" si="6"/>
        <v>0</v>
      </c>
      <c r="H10" s="469" t="e">
        <f>+INDEX(#REF!,MATCH(C10,#REF!,0))</f>
        <v>#REF!</v>
      </c>
      <c r="I10" s="91" t="e">
        <f t="shared" si="7"/>
        <v>#REF!</v>
      </c>
      <c r="J10" s="451">
        <f>+'West Street VII (CF)'!P17</f>
        <v>1987404</v>
      </c>
      <c r="K10" s="91">
        <v>0</v>
      </c>
      <c r="L10" s="91">
        <f t="shared" si="8"/>
        <v>1987404</v>
      </c>
      <c r="M10" s="469">
        <v>29033023</v>
      </c>
      <c r="N10" s="91">
        <f t="shared" si="9"/>
        <v>31020427</v>
      </c>
      <c r="O10" s="451">
        <f>+'West Street VII (CF)'!P26</f>
        <v>13711153</v>
      </c>
      <c r="P10" s="91">
        <v>0</v>
      </c>
      <c r="Q10" s="91">
        <f t="shared" si="10"/>
        <v>13711153</v>
      </c>
      <c r="R10" s="469">
        <v>18483294</v>
      </c>
      <c r="S10" s="91">
        <f t="shared" si="11"/>
        <v>32194447</v>
      </c>
      <c r="T10" s="451">
        <f>+'West Street VII (CF)'!P28</f>
        <v>14063558</v>
      </c>
      <c r="U10" s="91">
        <v>0</v>
      </c>
      <c r="V10" s="91">
        <f t="shared" si="12"/>
        <v>14063558</v>
      </c>
      <c r="W10" s="469">
        <v>19153871</v>
      </c>
      <c r="X10" s="91">
        <f t="shared" si="13"/>
        <v>33217429</v>
      </c>
      <c r="Y10" s="90">
        <f t="shared" si="14"/>
        <v>14063558</v>
      </c>
      <c r="Z10" s="451">
        <f>+SUM('West Street VII (CF)'!O30:O31)</f>
        <v>792997</v>
      </c>
      <c r="AA10" s="451">
        <v>0</v>
      </c>
      <c r="AB10" s="451">
        <v>0</v>
      </c>
      <c r="AC10" s="564">
        <f t="shared" si="15"/>
        <v>14856555</v>
      </c>
      <c r="AD10" s="451">
        <f>+INDEX('Portfolio Listing'!$P$7:$P$28,MATCH(C10,'Portfolio Listing'!$C$7:$C$28,0))</f>
        <v>14507335</v>
      </c>
      <c r="AE10" s="91">
        <f t="shared" si="21"/>
        <v>29363890</v>
      </c>
      <c r="AF10" s="90">
        <f t="shared" si="22"/>
        <v>14856555</v>
      </c>
      <c r="AG10" s="451">
        <f>+Calcs!F30</f>
        <v>2267217</v>
      </c>
      <c r="AH10" s="90">
        <f t="shared" si="0"/>
        <v>17123772</v>
      </c>
      <c r="AI10" s="451">
        <f>+Calcs!F31</f>
        <v>18831529.942190565</v>
      </c>
      <c r="AJ10" s="91">
        <f>+AH10+AI10</f>
        <v>35955301.942190565</v>
      </c>
      <c r="AK10" s="90">
        <f t="shared" si="24"/>
        <v>17123772</v>
      </c>
      <c r="AL10" s="451">
        <f>+Calcs!G30</f>
        <v>10981072.666666666</v>
      </c>
      <c r="AM10" s="90">
        <f t="shared" si="1"/>
        <v>28104844.666666664</v>
      </c>
      <c r="AN10" s="451">
        <f>+Calcs!G31</f>
        <v>16374630.808425983</v>
      </c>
      <c r="AO10" s="91">
        <f t="shared" si="25"/>
        <v>44479475.475092649</v>
      </c>
      <c r="AP10" s="90">
        <f t="shared" si="26"/>
        <v>28104844.666666664</v>
      </c>
      <c r="AQ10" s="451">
        <f>+Calcs!H30</f>
        <v>10981072.666666666</v>
      </c>
      <c r="AR10" s="90">
        <f t="shared" si="2"/>
        <v>39085917.333333328</v>
      </c>
      <c r="AS10" s="451">
        <f>+Calcs!H31</f>
        <v>8995976.9196130354</v>
      </c>
      <c r="AT10" s="91">
        <f t="shared" si="27"/>
        <v>48081894.252946362</v>
      </c>
      <c r="AU10" s="90">
        <f t="shared" si="28"/>
        <v>39085917.333333328</v>
      </c>
      <c r="AV10" s="451">
        <f>+Calcs!I30</f>
        <v>10981072.666666666</v>
      </c>
      <c r="AW10" s="90">
        <f t="shared" si="3"/>
        <v>50066989.999999993</v>
      </c>
      <c r="AX10" s="451">
        <f>+Calcs!I31</f>
        <v>0</v>
      </c>
      <c r="AY10" s="91">
        <f t="shared" si="29"/>
        <v>50066989.999999993</v>
      </c>
      <c r="AZ10" s="90">
        <f t="shared" si="30"/>
        <v>50066989.999999993</v>
      </c>
      <c r="BA10" s="451">
        <f>+Calcs!J30</f>
        <v>0</v>
      </c>
      <c r="BB10" s="90">
        <f t="shared" si="4"/>
        <v>50066989.999999993</v>
      </c>
      <c r="BC10" s="451">
        <f>+Calcs!J31</f>
        <v>0</v>
      </c>
      <c r="BD10" s="91">
        <f t="shared" si="31"/>
        <v>50066989.999999993</v>
      </c>
      <c r="BE10" s="90">
        <f t="shared" si="32"/>
        <v>50066989.999999993</v>
      </c>
      <c r="BF10" s="451">
        <f>+Calcs!K30</f>
        <v>0</v>
      </c>
      <c r="BG10" s="90">
        <f t="shared" si="5"/>
        <v>50066989.999999993</v>
      </c>
      <c r="BH10" s="451"/>
      <c r="BI10" s="91">
        <f t="shared" si="33"/>
        <v>50066989.999999993</v>
      </c>
      <c r="BJ10" s="496"/>
      <c r="BK10" s="2" t="str">
        <f>+INDEX('Portfolio Summary'!H$6:H$28,MATCH($C10,'Portfolio Summary'!$C$6:$C$28,0))</f>
        <v xml:space="preserve">Global </v>
      </c>
      <c r="BL10" s="2" t="str">
        <f>+INDEX('Portfolio Summary'!I$6:I$28,MATCH($C10,'Portfolio Summary'!$C$6:$C$28,0))</f>
        <v>Diversified</v>
      </c>
      <c r="BM10" s="2" t="str">
        <f>+INDEX('Portfolio Summary'!J$6:J$28,MATCH($C10,'Portfolio Summary'!$C$6:$C$28,0))</f>
        <v>PE - Buyout</v>
      </c>
      <c r="BN10" s="107"/>
      <c r="BO10" s="91">
        <f>+INDEX('Portfolio Listing'!$P$7:$P$25,MATCH(C10,'Portfolio Listing'!$C$7:$C$25,0))</f>
        <v>14507335</v>
      </c>
      <c r="BP10" s="91">
        <f t="shared" si="16"/>
        <v>0</v>
      </c>
      <c r="CH10" s="2" t="str">
        <f t="shared" si="17"/>
        <v xml:space="preserve">West Street Capital Partners VII </v>
      </c>
      <c r="CI10" s="199">
        <f t="shared" si="18"/>
        <v>-4646536</v>
      </c>
      <c r="CJ10" s="199">
        <f>'Portfolio Summary'!AH46</f>
        <v>-650000</v>
      </c>
      <c r="CK10" s="610">
        <f t="shared" si="19"/>
        <v>-5296536</v>
      </c>
    </row>
    <row r="11" spans="2:89">
      <c r="B11" s="2">
        <f t="shared" si="20"/>
        <v>6</v>
      </c>
      <c r="C11" s="449" t="s">
        <v>5</v>
      </c>
      <c r="E11" s="451">
        <f>+'C Ventures II CF '!O18</f>
        <v>214285.72</v>
      </c>
      <c r="F11" s="91">
        <v>0</v>
      </c>
      <c r="G11" s="91">
        <f t="shared" si="6"/>
        <v>214285.72</v>
      </c>
      <c r="H11" s="469" t="e">
        <f>+INDEX(#REF!,MATCH(C11,#REF!,0))</f>
        <v>#REF!</v>
      </c>
      <c r="I11" s="91" t="e">
        <f t="shared" si="7"/>
        <v>#REF!</v>
      </c>
      <c r="J11" s="451">
        <f>+'C Ventures II CF '!O29</f>
        <v>662263.37</v>
      </c>
      <c r="K11" s="91">
        <v>0</v>
      </c>
      <c r="L11" s="91">
        <f t="shared" si="8"/>
        <v>662263.37</v>
      </c>
      <c r="M11" s="469">
        <v>22359666.000000004</v>
      </c>
      <c r="N11" s="91">
        <f t="shared" si="9"/>
        <v>23021929.370000005</v>
      </c>
      <c r="O11" s="451">
        <f>+'C Ventures II CF '!O34</f>
        <v>2083936.78</v>
      </c>
      <c r="P11" s="91">
        <v>0</v>
      </c>
      <c r="Q11" s="91">
        <f t="shared" si="10"/>
        <v>2083936.78</v>
      </c>
      <c r="R11" s="469">
        <v>19879992.000000004</v>
      </c>
      <c r="S11" s="91">
        <f>+R11+Q11</f>
        <v>21963928.780000005</v>
      </c>
      <c r="T11" s="451">
        <f>+'C Ventures II CF '!O38</f>
        <v>5324898.99</v>
      </c>
      <c r="U11" s="91">
        <v>0</v>
      </c>
      <c r="V11" s="91">
        <f t="shared" si="12"/>
        <v>5324898.99</v>
      </c>
      <c r="W11" s="469">
        <v>17834556.060000006</v>
      </c>
      <c r="X11" s="91">
        <f t="shared" si="13"/>
        <v>23159455.050000004</v>
      </c>
      <c r="Y11" s="90">
        <f t="shared" si="14"/>
        <v>5324898.99</v>
      </c>
      <c r="Z11" s="451">
        <v>0</v>
      </c>
      <c r="AA11" s="451"/>
      <c r="AB11" s="451"/>
      <c r="AC11" s="90">
        <f t="shared" si="15"/>
        <v>5324898.99</v>
      </c>
      <c r="AD11" s="451">
        <f>+INDEX('Portfolio Listing'!$P$7:$P$28,MATCH(C11,'Portfolio Listing'!$C$7:$C$28,0))</f>
        <v>16039004.68</v>
      </c>
      <c r="AE11" s="91">
        <f t="shared" si="21"/>
        <v>21363903.670000002</v>
      </c>
      <c r="AF11" s="90">
        <f t="shared" si="22"/>
        <v>5324898.99</v>
      </c>
      <c r="AG11" s="451">
        <f>+Calcs!F36</f>
        <v>2000000</v>
      </c>
      <c r="AH11" s="90">
        <f t="shared" si="0"/>
        <v>7324898.9900000002</v>
      </c>
      <c r="AI11" s="451">
        <f>+Calcs!F37</f>
        <v>14794707.347928993</v>
      </c>
      <c r="AJ11" s="91">
        <f t="shared" si="23"/>
        <v>22119606.337928995</v>
      </c>
      <c r="AK11" s="90">
        <f t="shared" si="24"/>
        <v>7324898.9900000002</v>
      </c>
      <c r="AL11" s="451">
        <f>+Calcs!G36</f>
        <v>10870893.66</v>
      </c>
      <c r="AM11" s="90">
        <f t="shared" si="1"/>
        <v>18195792.649999999</v>
      </c>
      <c r="AN11" s="451">
        <f>+Calcs!G37</f>
        <v>8362225.8923076913</v>
      </c>
      <c r="AO11" s="91">
        <f t="shared" si="25"/>
        <v>26558018.54230769</v>
      </c>
      <c r="AP11" s="90">
        <f t="shared" si="26"/>
        <v>18195792.649999999</v>
      </c>
      <c r="AQ11" s="451">
        <f>+Calcs!H36</f>
        <v>10870893.66</v>
      </c>
      <c r="AR11" s="90">
        <f t="shared" si="2"/>
        <v>29066686.309999999</v>
      </c>
      <c r="AS11" s="451">
        <f>+Calcs!H37</f>
        <v>0</v>
      </c>
      <c r="AT11" s="91">
        <f t="shared" si="27"/>
        <v>29066686.309999999</v>
      </c>
      <c r="AU11" s="90">
        <f t="shared" si="28"/>
        <v>29066686.309999999</v>
      </c>
      <c r="AV11" s="451">
        <f>+Calcs!I36</f>
        <v>0</v>
      </c>
      <c r="AW11" s="90">
        <f t="shared" si="3"/>
        <v>29066686.309999999</v>
      </c>
      <c r="AX11" s="451">
        <f>+Calcs!I37</f>
        <v>0</v>
      </c>
      <c r="AY11" s="91">
        <f t="shared" si="29"/>
        <v>29066686.309999999</v>
      </c>
      <c r="AZ11" s="90">
        <f t="shared" si="30"/>
        <v>29066686.309999999</v>
      </c>
      <c r="BA11" s="451">
        <f>+Calcs!J36</f>
        <v>0</v>
      </c>
      <c r="BB11" s="90">
        <f t="shared" si="4"/>
        <v>29066686.309999999</v>
      </c>
      <c r="BC11" s="451">
        <f>+Calcs!J37</f>
        <v>0</v>
      </c>
      <c r="BD11" s="91">
        <f t="shared" si="31"/>
        <v>29066686.309999999</v>
      </c>
      <c r="BE11" s="90">
        <f t="shared" si="32"/>
        <v>29066686.309999999</v>
      </c>
      <c r="BF11" s="451">
        <f>+Calcs!K36</f>
        <v>0</v>
      </c>
      <c r="BG11" s="90">
        <f t="shared" si="5"/>
        <v>29066686.309999999</v>
      </c>
      <c r="BH11" s="451"/>
      <c r="BI11" s="91">
        <f t="shared" si="33"/>
        <v>29066686.309999999</v>
      </c>
      <c r="BJ11" s="496"/>
      <c r="BK11" s="2" t="str">
        <f>+INDEX('Portfolio Summary'!H$6:H$28,MATCH($C11,'Portfolio Summary'!$C$6:$C$28,0))</f>
        <v>China</v>
      </c>
      <c r="BL11" s="2" t="str">
        <f>+INDEX('Portfolio Summary'!I$6:I$28,MATCH($C11,'Portfolio Summary'!$C$6:$C$28,0))</f>
        <v>Technology</v>
      </c>
      <c r="BM11" s="2" t="str">
        <f>+INDEX('Portfolio Summary'!J$6:J$28,MATCH($C11,'Portfolio Summary'!$C$6:$C$28,0))</f>
        <v>PE - VC / Growth</v>
      </c>
      <c r="BN11" s="107"/>
      <c r="BO11" s="91">
        <f>+INDEX('Portfolio Listing'!$P$7:$P$25,MATCH(C11,'Portfolio Listing'!$C$7:$C$25,0))</f>
        <v>16039004.68</v>
      </c>
      <c r="BP11" s="91">
        <f t="shared" si="16"/>
        <v>0</v>
      </c>
      <c r="CH11" s="2" t="str">
        <f t="shared" si="17"/>
        <v>C Ventures Fund II</v>
      </c>
      <c r="CI11" s="199">
        <f t="shared" si="18"/>
        <v>-1795551.3800000064</v>
      </c>
      <c r="CJ11" s="199">
        <f>'Portfolio Summary'!AH47</f>
        <v>-580784.89</v>
      </c>
      <c r="CK11" s="610">
        <f t="shared" si="19"/>
        <v>-2376336.2700000065</v>
      </c>
    </row>
    <row r="12" spans="2:89">
      <c r="B12" s="2">
        <f t="shared" si="20"/>
        <v>7</v>
      </c>
      <c r="C12" s="449" t="s">
        <v>6</v>
      </c>
      <c r="E12" s="451">
        <f>+'DCP I (CF)'!P36</f>
        <v>3302389.3200000003</v>
      </c>
      <c r="F12" s="91">
        <v>0</v>
      </c>
      <c r="G12" s="91">
        <f t="shared" si="6"/>
        <v>3302389.3200000003</v>
      </c>
      <c r="H12" s="469" t="e">
        <f>+INDEX(#REF!,MATCH(C12,#REF!,0))</f>
        <v>#REF!</v>
      </c>
      <c r="I12" s="91" t="e">
        <f t="shared" si="7"/>
        <v>#REF!</v>
      </c>
      <c r="J12" s="451">
        <f>+'DCP I (CF)'!P45</f>
        <v>6356566.4699999997</v>
      </c>
      <c r="K12" s="91">
        <v>0</v>
      </c>
      <c r="L12" s="91">
        <f t="shared" si="8"/>
        <v>6356566.4699999997</v>
      </c>
      <c r="M12" s="469">
        <v>40853894</v>
      </c>
      <c r="N12" s="91">
        <f t="shared" si="9"/>
        <v>47210460.469999999</v>
      </c>
      <c r="O12" s="451">
        <f>+'DCP I (CF)'!P54</f>
        <v>9789421.6500000004</v>
      </c>
      <c r="P12" s="91">
        <v>0</v>
      </c>
      <c r="Q12" s="91">
        <f t="shared" si="10"/>
        <v>9789421.6500000004</v>
      </c>
      <c r="R12" s="469">
        <v>46549326.999999993</v>
      </c>
      <c r="S12" s="91">
        <f t="shared" si="11"/>
        <v>56338748.649999991</v>
      </c>
      <c r="T12" s="451">
        <f>+'DCP I (CF)'!P68</f>
        <v>23277306.050000004</v>
      </c>
      <c r="U12" s="91">
        <v>0</v>
      </c>
      <c r="V12" s="91">
        <f t="shared" si="12"/>
        <v>23277306.050000004</v>
      </c>
      <c r="W12" s="469">
        <v>44565258.000000007</v>
      </c>
      <c r="X12" s="91">
        <f t="shared" si="13"/>
        <v>67842564.050000012</v>
      </c>
      <c r="Y12" s="90">
        <f t="shared" si="14"/>
        <v>23277306.050000004</v>
      </c>
      <c r="Z12" s="451">
        <f>+SUM('DCP I (CF)'!O69:O87)+'DCP I (CF)'!R87</f>
        <v>5322064.82</v>
      </c>
      <c r="AA12" s="451"/>
      <c r="AB12" s="451"/>
      <c r="AC12" s="90">
        <f t="shared" si="15"/>
        <v>28599370.870000005</v>
      </c>
      <c r="AD12" s="451">
        <f>+INDEX('Portfolio Listing'!$P$7:$P$28,MATCH(C12,'Portfolio Listing'!$C$7:$C$28,0))</f>
        <v>41287985</v>
      </c>
      <c r="AE12" s="91">
        <f t="shared" si="21"/>
        <v>69887355.870000005</v>
      </c>
      <c r="AF12" s="90">
        <f t="shared" si="22"/>
        <v>28599370.870000005</v>
      </c>
      <c r="AG12" s="451">
        <f>+Calcs!F42</f>
        <v>5654979.9500000011</v>
      </c>
      <c r="AH12" s="90">
        <f t="shared" si="0"/>
        <v>34254350.820000008</v>
      </c>
      <c r="AI12" s="451">
        <f>+Calcs!F43</f>
        <v>32975787.612586595</v>
      </c>
      <c r="AJ12" s="91">
        <f t="shared" si="23"/>
        <v>67230138.43258661</v>
      </c>
      <c r="AK12" s="90">
        <f t="shared" si="24"/>
        <v>34254350.820000008</v>
      </c>
      <c r="AL12" s="451">
        <f>+Calcs!G42</f>
        <v>13966655.797499999</v>
      </c>
      <c r="AM12" s="90">
        <f t="shared" si="1"/>
        <v>48221006.617500007</v>
      </c>
      <c r="AN12" s="451">
        <f>+Calcs!G43</f>
        <v>27253078.718233243</v>
      </c>
      <c r="AO12" s="91">
        <f t="shared" si="25"/>
        <v>75474085.33573325</v>
      </c>
      <c r="AP12" s="90">
        <f t="shared" si="26"/>
        <v>48221006.617500007</v>
      </c>
      <c r="AQ12" s="451">
        <f>+Calcs!H42</f>
        <v>13966655.797499999</v>
      </c>
      <c r="AR12" s="90">
        <f t="shared" si="2"/>
        <v>62187662.415000007</v>
      </c>
      <c r="AS12" s="451">
        <f>+Calcs!H43</f>
        <v>20099692.600291565</v>
      </c>
      <c r="AT12" s="91">
        <f t="shared" si="27"/>
        <v>82287355.015291572</v>
      </c>
      <c r="AU12" s="90">
        <f t="shared" si="28"/>
        <v>62187662.415000007</v>
      </c>
      <c r="AV12" s="451">
        <f>+Calcs!I42</f>
        <v>13966655.797499999</v>
      </c>
      <c r="AW12" s="90">
        <f t="shared" si="3"/>
        <v>76154318.212500006</v>
      </c>
      <c r="AX12" s="451">
        <f>+Calcs!I43</f>
        <v>11173324.638</v>
      </c>
      <c r="AY12" s="91">
        <f t="shared" si="29"/>
        <v>87327642.850500003</v>
      </c>
      <c r="AZ12" s="90">
        <f t="shared" si="30"/>
        <v>76154318.212500006</v>
      </c>
      <c r="BA12" s="451">
        <f>+Calcs!J42</f>
        <v>13966655.797499999</v>
      </c>
      <c r="BB12" s="90">
        <f t="shared" si="4"/>
        <v>90120974.010000005</v>
      </c>
      <c r="BC12" s="451">
        <f>+Calcs!J43</f>
        <v>0</v>
      </c>
      <c r="BD12" s="91">
        <f t="shared" si="31"/>
        <v>90120974.010000005</v>
      </c>
      <c r="BE12" s="90">
        <f t="shared" si="32"/>
        <v>90120974.010000005</v>
      </c>
      <c r="BF12" s="451">
        <f>+Calcs!K42</f>
        <v>0</v>
      </c>
      <c r="BG12" s="90">
        <f t="shared" si="5"/>
        <v>90120974.010000005</v>
      </c>
      <c r="BH12" s="451"/>
      <c r="BI12" s="91">
        <f t="shared" si="33"/>
        <v>90120974.010000005</v>
      </c>
      <c r="BJ12" s="496"/>
      <c r="BK12" s="2" t="str">
        <f>+INDEX('Portfolio Summary'!H$6:H$28,MATCH($C12,'Portfolio Summary'!$C$6:$C$28,0))</f>
        <v>China</v>
      </c>
      <c r="BL12" s="2" t="str">
        <f>+INDEX('Portfolio Summary'!I$6:I$28,MATCH($C12,'Portfolio Summary'!$C$6:$C$28,0))</f>
        <v>Diversified</v>
      </c>
      <c r="BM12" s="2" t="str">
        <f>+INDEX('Portfolio Summary'!J$6:J$28,MATCH($C12,'Portfolio Summary'!$C$6:$C$28,0))</f>
        <v>PE - Buyout</v>
      </c>
      <c r="BN12" s="107"/>
      <c r="BO12" s="91">
        <f>+INDEX('Portfolio Listing'!$P$7:$P$25,MATCH(C12,'Portfolio Listing'!$C$7:$C$25,0))</f>
        <v>41287985</v>
      </c>
      <c r="BP12" s="91">
        <f t="shared" si="16"/>
        <v>0</v>
      </c>
      <c r="CH12" s="2" t="str">
        <f t="shared" si="17"/>
        <v>DCP Capital Partners</v>
      </c>
      <c r="CI12" s="199">
        <f t="shared" si="18"/>
        <v>-3277273.0000000075</v>
      </c>
      <c r="CJ12" s="199">
        <f>'Portfolio Summary'!AH48</f>
        <v>-3051999.81</v>
      </c>
      <c r="CK12" s="610">
        <f t="shared" si="19"/>
        <v>-6329272.810000008</v>
      </c>
    </row>
    <row r="13" spans="2:89">
      <c r="B13" s="2">
        <f t="shared" si="20"/>
        <v>8</v>
      </c>
      <c r="C13" s="449" t="s">
        <v>18</v>
      </c>
      <c r="E13" s="451"/>
      <c r="F13" s="91">
        <v>0</v>
      </c>
      <c r="G13" s="91">
        <f t="shared" si="6"/>
        <v>0</v>
      </c>
      <c r="H13" s="469" t="e">
        <f>+INDEX(#REF!,MATCH(C13,#REF!,0))</f>
        <v>#REF!</v>
      </c>
      <c r="I13" s="91" t="e">
        <f t="shared" si="7"/>
        <v>#REF!</v>
      </c>
      <c r="J13" s="451">
        <f>+'E15 Fund 1.5(CF) '!Q13</f>
        <v>3034269.1300000004</v>
      </c>
      <c r="K13" s="91">
        <v>0</v>
      </c>
      <c r="L13" s="91">
        <f t="shared" si="8"/>
        <v>3034269.1300000004</v>
      </c>
      <c r="M13" s="469">
        <v>1197625.9999999993</v>
      </c>
      <c r="N13" s="91">
        <f t="shared" si="9"/>
        <v>4231895.13</v>
      </c>
      <c r="O13" s="451">
        <f>+J13</f>
        <v>3034269.1300000004</v>
      </c>
      <c r="P13" s="91">
        <v>0</v>
      </c>
      <c r="Q13" s="91">
        <f t="shared" si="10"/>
        <v>3034269.1300000004</v>
      </c>
      <c r="R13" s="469">
        <v>783834.9999999993</v>
      </c>
      <c r="S13" s="91">
        <f t="shared" si="11"/>
        <v>3818104.13</v>
      </c>
      <c r="T13" s="451">
        <f>+O13</f>
        <v>3034269.1300000004</v>
      </c>
      <c r="U13" s="91">
        <v>0</v>
      </c>
      <c r="V13" s="91">
        <f t="shared" si="12"/>
        <v>3034269.1300000004</v>
      </c>
      <c r="W13" s="469">
        <v>545686.9999999993</v>
      </c>
      <c r="X13" s="91">
        <f t="shared" si="13"/>
        <v>3579956.13</v>
      </c>
      <c r="Y13" s="90">
        <f t="shared" si="14"/>
        <v>3034269.1300000004</v>
      </c>
      <c r="Z13" s="451">
        <v>0</v>
      </c>
      <c r="AA13" s="451"/>
      <c r="AB13" s="451"/>
      <c r="AC13" s="90">
        <f t="shared" si="15"/>
        <v>3034269.1300000004</v>
      </c>
      <c r="AD13" s="469">
        <f>+INDEX('Portfolio Listing'!$P$7:$P$28,MATCH(C13,'Portfolio Listing'!$C$7:$C$28,0))</f>
        <v>42858</v>
      </c>
      <c r="AE13" s="91">
        <f t="shared" si="21"/>
        <v>3077127.1300000004</v>
      </c>
      <c r="AF13" s="90">
        <f t="shared" si="22"/>
        <v>3034269.1300000004</v>
      </c>
      <c r="AG13" s="451"/>
      <c r="AH13" s="90">
        <f t="shared" si="0"/>
        <v>3034269.1300000004</v>
      </c>
      <c r="AI13" s="469">
        <f>+AD13</f>
        <v>42858</v>
      </c>
      <c r="AJ13" s="91">
        <f t="shared" si="23"/>
        <v>3077127.1300000004</v>
      </c>
      <c r="AK13" s="90">
        <f t="shared" si="24"/>
        <v>3034269.1300000004</v>
      </c>
      <c r="AL13" s="451"/>
      <c r="AM13" s="90">
        <f t="shared" si="1"/>
        <v>3034269.1300000004</v>
      </c>
      <c r="AN13" s="469"/>
      <c r="AO13" s="91">
        <f t="shared" si="25"/>
        <v>3034269.1300000004</v>
      </c>
      <c r="AP13" s="90">
        <f t="shared" si="26"/>
        <v>3034269.1300000004</v>
      </c>
      <c r="AQ13" s="451"/>
      <c r="AR13" s="90">
        <f t="shared" si="2"/>
        <v>3034269.1300000004</v>
      </c>
      <c r="AS13" s="469"/>
      <c r="AT13" s="91">
        <f t="shared" si="27"/>
        <v>3034269.1300000004</v>
      </c>
      <c r="AU13" s="90">
        <f t="shared" si="28"/>
        <v>3034269.1300000004</v>
      </c>
      <c r="AV13" s="451"/>
      <c r="AW13" s="90">
        <f t="shared" si="3"/>
        <v>3034269.1300000004</v>
      </c>
      <c r="AX13" s="469"/>
      <c r="AY13" s="91">
        <f t="shared" si="29"/>
        <v>3034269.1300000004</v>
      </c>
      <c r="AZ13" s="90">
        <f t="shared" si="30"/>
        <v>3034269.1300000004</v>
      </c>
      <c r="BA13" s="451"/>
      <c r="BB13" s="90">
        <f t="shared" si="4"/>
        <v>3034269.1300000004</v>
      </c>
      <c r="BC13" s="469"/>
      <c r="BD13" s="91">
        <f t="shared" si="31"/>
        <v>3034269.1300000004</v>
      </c>
      <c r="BE13" s="90">
        <f t="shared" si="32"/>
        <v>3034269.1300000004</v>
      </c>
      <c r="BF13" s="451"/>
      <c r="BG13" s="90">
        <f t="shared" si="5"/>
        <v>3034269.1300000004</v>
      </c>
      <c r="BH13" s="469"/>
      <c r="BI13" s="91">
        <f t="shared" si="33"/>
        <v>3034269.1300000004</v>
      </c>
      <c r="BJ13" s="496"/>
      <c r="BK13" s="2" t="str">
        <f>+INDEX('Portfolio Summary'!H$6:H$28,MATCH($C13,'Portfolio Summary'!$C$6:$C$28,0))</f>
        <v>US</v>
      </c>
      <c r="BL13" s="2" t="str">
        <f>+INDEX('Portfolio Summary'!I$6:I$28,MATCH($C13,'Portfolio Summary'!$C$6:$C$28,0))</f>
        <v>Technology</v>
      </c>
      <c r="BM13" s="2" t="str">
        <f>+INDEX('Portfolio Summary'!J$6:J$28,MATCH($C13,'Portfolio Summary'!$C$6:$C$28,0))</f>
        <v>PE - VC / Growth</v>
      </c>
      <c r="BN13" s="107"/>
      <c r="BO13" s="91">
        <f>+INDEX('Portfolio Listing'!$P$7:$P$25,MATCH(C13,'Portfolio Listing'!$C$7:$C$25,0))</f>
        <v>42858</v>
      </c>
      <c r="BP13" s="91">
        <f t="shared" si="16"/>
        <v>0</v>
      </c>
      <c r="CH13" s="2" t="str">
        <f t="shared" si="17"/>
        <v>E15 Fund 1.5</v>
      </c>
      <c r="CI13" s="199">
        <f t="shared" si="18"/>
        <v>-502828.9999999993</v>
      </c>
      <c r="CJ13" s="199">
        <f>'Portfolio Summary'!AH49</f>
        <v>0</v>
      </c>
      <c r="CK13" s="610">
        <f t="shared" si="19"/>
        <v>-502828.9999999993</v>
      </c>
    </row>
    <row r="14" spans="2:89">
      <c r="B14" s="2">
        <f t="shared" si="20"/>
        <v>9</v>
      </c>
      <c r="C14" s="449" t="s">
        <v>7</v>
      </c>
      <c r="E14" s="451">
        <f>+'Skycus China CF'!P15</f>
        <v>0</v>
      </c>
      <c r="F14" s="91">
        <v>0</v>
      </c>
      <c r="G14" s="91">
        <f t="shared" si="6"/>
        <v>0</v>
      </c>
      <c r="H14" s="469" t="e">
        <f>+INDEX(#REF!,MATCH(C14,#REF!,0))</f>
        <v>#REF!</v>
      </c>
      <c r="I14" s="91" t="e">
        <f t="shared" si="7"/>
        <v>#REF!</v>
      </c>
      <c r="J14" s="451">
        <f>+'Skycus China CF'!P18</f>
        <v>2920577.9099999997</v>
      </c>
      <c r="K14" s="91">
        <v>0</v>
      </c>
      <c r="L14" s="91">
        <f t="shared" si="8"/>
        <v>2920577.9099999997</v>
      </c>
      <c r="M14" s="469">
        <v>41934576.390000008</v>
      </c>
      <c r="N14" s="91">
        <f t="shared" si="9"/>
        <v>44855154.300000004</v>
      </c>
      <c r="O14" s="451">
        <f>+'Skycus China CF'!P18</f>
        <v>2920577.9099999997</v>
      </c>
      <c r="P14" s="91">
        <v>0</v>
      </c>
      <c r="Q14" s="91">
        <f t="shared" si="10"/>
        <v>2920577.9099999997</v>
      </c>
      <c r="R14" s="469">
        <v>40076195.180000007</v>
      </c>
      <c r="S14" s="91">
        <f t="shared" si="11"/>
        <v>42996773.090000004</v>
      </c>
      <c r="T14" s="451">
        <f>+'Skycus China CF'!P19</f>
        <v>3772657.8499999996</v>
      </c>
      <c r="U14" s="91">
        <v>0</v>
      </c>
      <c r="V14" s="91">
        <f t="shared" si="12"/>
        <v>3772657.8499999996</v>
      </c>
      <c r="W14" s="469">
        <v>39937348.960000008</v>
      </c>
      <c r="X14" s="91">
        <f t="shared" si="13"/>
        <v>43710006.81000001</v>
      </c>
      <c r="Y14" s="90">
        <f t="shared" si="14"/>
        <v>3772657.8499999996</v>
      </c>
      <c r="Z14" s="451">
        <f>+SUM('Skycus China CF'!O20:O22)</f>
        <v>1555253.67</v>
      </c>
      <c r="AA14" s="451"/>
      <c r="AB14" s="451"/>
      <c r="AC14" s="90">
        <f t="shared" si="15"/>
        <v>5327911.5199999996</v>
      </c>
      <c r="AD14" s="451">
        <f>+INDEX('Portfolio Listing'!$P$7:$P$28,MATCH(C14,'Portfolio Listing'!$C$7:$C$28,0))</f>
        <v>39396375.590000004</v>
      </c>
      <c r="AE14" s="91">
        <f t="shared" si="21"/>
        <v>44724287.109999999</v>
      </c>
      <c r="AF14" s="90">
        <f t="shared" si="22"/>
        <v>5327911.5199999996</v>
      </c>
      <c r="AG14" s="451">
        <f>+Calcs!F54</f>
        <v>15600000</v>
      </c>
      <c r="AH14" s="90">
        <f t="shared" ref="AH14:AH21" si="34">+AG14+AF14</f>
        <v>20927911.52</v>
      </c>
      <c r="AI14" s="451">
        <f>+Calcs!F55</f>
        <v>21515455.968463205</v>
      </c>
      <c r="AJ14" s="91">
        <f t="shared" si="23"/>
        <v>42443367.488463208</v>
      </c>
      <c r="AK14" s="90">
        <f t="shared" si="24"/>
        <v>20927911.52</v>
      </c>
      <c r="AL14" s="451">
        <f>+Calcs!G54</f>
        <v>11024029.493333334</v>
      </c>
      <c r="AM14" s="90">
        <f t="shared" si="1"/>
        <v>31951941.013333336</v>
      </c>
      <c r="AN14" s="451">
        <f>+Calcs!G55</f>
        <v>15870290.46724567</v>
      </c>
      <c r="AO14" s="91">
        <f t="shared" si="25"/>
        <v>47822231.480579004</v>
      </c>
      <c r="AP14" s="90">
        <f t="shared" si="26"/>
        <v>31951941.013333336</v>
      </c>
      <c r="AQ14" s="451">
        <f>+Calcs!H54</f>
        <v>11024029.493333334</v>
      </c>
      <c r="AR14" s="90">
        <f t="shared" si="2"/>
        <v>42975970.506666668</v>
      </c>
      <c r="AS14" s="451">
        <f>+Calcs!H55</f>
        <v>8813833.5907237586</v>
      </c>
      <c r="AT14" s="91">
        <f t="shared" si="27"/>
        <v>51789804.097390428</v>
      </c>
      <c r="AU14" s="90">
        <f t="shared" si="28"/>
        <v>42975970.506666668</v>
      </c>
      <c r="AV14" s="451">
        <f>+Calcs!I54</f>
        <v>11024029.493333334</v>
      </c>
      <c r="AW14" s="90">
        <f t="shared" si="3"/>
        <v>54000000</v>
      </c>
      <c r="AX14" s="451"/>
      <c r="AY14" s="91">
        <f t="shared" si="29"/>
        <v>54000000</v>
      </c>
      <c r="AZ14" s="90">
        <f t="shared" si="30"/>
        <v>54000000</v>
      </c>
      <c r="BA14" s="451">
        <f>+Calcs!J54</f>
        <v>0</v>
      </c>
      <c r="BB14" s="90">
        <f t="shared" si="4"/>
        <v>54000000</v>
      </c>
      <c r="BC14" s="451"/>
      <c r="BD14" s="91">
        <f t="shared" si="31"/>
        <v>54000000</v>
      </c>
      <c r="BE14" s="90">
        <f t="shared" si="32"/>
        <v>54000000</v>
      </c>
      <c r="BF14" s="451">
        <f>+Calcs!K54</f>
        <v>0</v>
      </c>
      <c r="BG14" s="90">
        <f t="shared" si="5"/>
        <v>54000000</v>
      </c>
      <c r="BH14" s="451"/>
      <c r="BI14" s="91">
        <f t="shared" si="33"/>
        <v>54000000</v>
      </c>
      <c r="BJ14" s="496"/>
      <c r="BK14" s="2" t="str">
        <f>+INDEX('Portfolio Summary'!H$6:H$28,MATCH($C14,'Portfolio Summary'!$C$6:$C$28,0))</f>
        <v>China</v>
      </c>
      <c r="BL14" s="2" t="str">
        <f>+INDEX('Portfolio Summary'!I$6:I$28,MATCH($C14,'Portfolio Summary'!$C$6:$C$28,0))</f>
        <v>Diversified</v>
      </c>
      <c r="BM14" s="2" t="str">
        <f>+INDEX('Portfolio Summary'!J$6:J$28,MATCH($C14,'Portfolio Summary'!$C$6:$C$28,0))</f>
        <v>PE - VC / Growth</v>
      </c>
      <c r="BN14" s="107"/>
      <c r="BO14" s="91">
        <f>+INDEX('Portfolio Listing'!$P$7:$P$25,MATCH(C14,'Portfolio Listing'!$C$7:$C$25,0))</f>
        <v>39396375.590000004</v>
      </c>
      <c r="BP14" s="91">
        <f t="shared" si="16"/>
        <v>0</v>
      </c>
      <c r="CH14" s="2" t="str">
        <f t="shared" si="17"/>
        <v>Skycus China Fund</v>
      </c>
      <c r="CI14" s="199">
        <f t="shared" si="18"/>
        <v>-540973.37000000477</v>
      </c>
      <c r="CJ14" s="199">
        <f>'Portfolio Summary'!AH50</f>
        <v>0</v>
      </c>
      <c r="CK14" s="610">
        <f t="shared" si="19"/>
        <v>-540973.37000000477</v>
      </c>
    </row>
    <row r="15" spans="2:89">
      <c r="B15" s="2">
        <f t="shared" si="20"/>
        <v>10</v>
      </c>
      <c r="C15" s="449" t="s">
        <v>1435</v>
      </c>
      <c r="E15" s="451">
        <f>+'HSG Growth VIII (CF)'!N10</f>
        <v>0</v>
      </c>
      <c r="F15" s="91">
        <v>0</v>
      </c>
      <c r="G15" s="91">
        <f t="shared" si="6"/>
        <v>0</v>
      </c>
      <c r="H15" s="469" t="e">
        <f>+INDEX(#REF!,MATCH(C15,#REF!,0))</f>
        <v>#REF!</v>
      </c>
      <c r="I15" s="91" t="e">
        <f t="shared" si="7"/>
        <v>#REF!</v>
      </c>
      <c r="J15" s="451">
        <v>0</v>
      </c>
      <c r="K15" s="91">
        <v>0</v>
      </c>
      <c r="L15" s="91">
        <f t="shared" si="8"/>
        <v>0</v>
      </c>
      <c r="M15" s="469">
        <v>4020715</v>
      </c>
      <c r="N15" s="91">
        <f t="shared" si="9"/>
        <v>4020715</v>
      </c>
      <c r="O15" s="451">
        <v>0</v>
      </c>
      <c r="P15" s="91">
        <v>0</v>
      </c>
      <c r="Q15" s="91">
        <f t="shared" si="10"/>
        <v>0</v>
      </c>
      <c r="R15" s="469">
        <v>4401683</v>
      </c>
      <c r="S15" s="91">
        <f t="shared" si="11"/>
        <v>4401683</v>
      </c>
      <c r="T15" s="451">
        <v>0</v>
      </c>
      <c r="U15" s="91">
        <v>0</v>
      </c>
      <c r="V15" s="91">
        <f t="shared" si="12"/>
        <v>0</v>
      </c>
      <c r="W15" s="469">
        <v>4807578</v>
      </c>
      <c r="X15" s="91">
        <f t="shared" si="13"/>
        <v>4807578</v>
      </c>
      <c r="Y15" s="90">
        <f t="shared" si="14"/>
        <v>0</v>
      </c>
      <c r="Z15" s="451">
        <v>0</v>
      </c>
      <c r="AA15" s="451"/>
      <c r="AB15" s="451"/>
      <c r="AC15" s="90">
        <f t="shared" si="15"/>
        <v>0</v>
      </c>
      <c r="AD15" s="451">
        <f>+'Portfolio Listing'!P16</f>
        <v>4623800</v>
      </c>
      <c r="AE15" s="91">
        <f t="shared" si="21"/>
        <v>4623800</v>
      </c>
      <c r="AF15" s="90">
        <f t="shared" si="22"/>
        <v>0</v>
      </c>
      <c r="AG15" s="451">
        <f>+Calcs!F60</f>
        <v>2250000</v>
      </c>
      <c r="AH15" s="90">
        <f t="shared" si="34"/>
        <v>2250000</v>
      </c>
      <c r="AI15" s="451">
        <f>+Calcs!F61</f>
        <v>5040030.9990022127</v>
      </c>
      <c r="AJ15" s="91">
        <f t="shared" si="23"/>
        <v>7290030.9990022127</v>
      </c>
      <c r="AK15" s="90">
        <f t="shared" si="24"/>
        <v>2250000</v>
      </c>
      <c r="AL15" s="451">
        <f>+Calcs!G60</f>
        <v>2070000</v>
      </c>
      <c r="AM15" s="90">
        <f t="shared" si="1"/>
        <v>4320000</v>
      </c>
      <c r="AN15" s="451">
        <f>+Calcs!G61</f>
        <v>4482040.2987028761</v>
      </c>
      <c r="AO15" s="91">
        <f t="shared" si="25"/>
        <v>8802040.298702877</v>
      </c>
      <c r="AP15" s="90">
        <f t="shared" si="26"/>
        <v>4320000</v>
      </c>
      <c r="AQ15" s="451">
        <f>+Calcs!H60</f>
        <v>2070000</v>
      </c>
      <c r="AR15" s="90">
        <f t="shared" si="2"/>
        <v>6390000</v>
      </c>
      <c r="AS15" s="451">
        <f>+Calcs!H61</f>
        <v>3756652.3883137396</v>
      </c>
      <c r="AT15" s="91">
        <f t="shared" si="27"/>
        <v>10146652.38831374</v>
      </c>
      <c r="AU15" s="90">
        <f t="shared" si="28"/>
        <v>6390000</v>
      </c>
      <c r="AV15" s="451">
        <f>+Calcs!I60</f>
        <v>2070000</v>
      </c>
      <c r="AW15" s="90">
        <f t="shared" si="3"/>
        <v>8460000</v>
      </c>
      <c r="AX15" s="451">
        <f>+Calcs!I61</f>
        <v>2817159.7633136092</v>
      </c>
      <c r="AY15" s="91">
        <f t="shared" si="29"/>
        <v>11277159.76331361</v>
      </c>
      <c r="AZ15" s="90">
        <f t="shared" si="30"/>
        <v>8460000</v>
      </c>
      <c r="BA15" s="451">
        <f>+Calcs!J60</f>
        <v>2070000</v>
      </c>
      <c r="BB15" s="90">
        <f t="shared" si="4"/>
        <v>10530000</v>
      </c>
      <c r="BC15" s="451">
        <f>+Calcs!J61</f>
        <v>1592307.692307692</v>
      </c>
      <c r="BD15" s="91">
        <f t="shared" si="31"/>
        <v>12122307.692307692</v>
      </c>
      <c r="BE15" s="90">
        <f t="shared" si="32"/>
        <v>10530000</v>
      </c>
      <c r="BF15" s="451">
        <f>+Calcs!K60</f>
        <v>2070000</v>
      </c>
      <c r="BG15" s="90">
        <f t="shared" si="5"/>
        <v>12600000</v>
      </c>
      <c r="BH15" s="451"/>
      <c r="BI15" s="260">
        <f t="shared" si="33"/>
        <v>12600000</v>
      </c>
      <c r="BJ15" s="496"/>
      <c r="BK15" s="2" t="e">
        <f>+INDEX('Portfolio Summary'!H$6:H$28,MATCH($C15,'Portfolio Summary'!$C$6:$C$28,0))</f>
        <v>#N/A</v>
      </c>
      <c r="BL15" s="2" t="e">
        <f>+INDEX('Portfolio Summary'!I$6:I$28,MATCH($C15,'Portfolio Summary'!$C$6:$C$28,0))</f>
        <v>#N/A</v>
      </c>
      <c r="BM15" s="2" t="e">
        <f>+INDEX('Portfolio Summary'!J$6:J$28,MATCH($C15,'Portfolio Summary'!$C$6:$C$28,0))</f>
        <v>#N/A</v>
      </c>
      <c r="BN15" s="107"/>
      <c r="BO15" s="91">
        <f>+'Portfolio Listing'!P16</f>
        <v>4623800</v>
      </c>
      <c r="BP15" s="91">
        <f t="shared" si="16"/>
        <v>0</v>
      </c>
      <c r="CH15" s="2" t="str">
        <f t="shared" si="17"/>
        <v xml:space="preserve">Hongshan Capital Venture Partners Fund VIII </v>
      </c>
      <c r="CI15" s="199">
        <f t="shared" si="18"/>
        <v>-183778</v>
      </c>
      <c r="CJ15" s="199">
        <f>'Portfolio Summary'!AH51</f>
        <v>0</v>
      </c>
      <c r="CK15" s="610">
        <f t="shared" si="19"/>
        <v>-183778</v>
      </c>
    </row>
    <row r="16" spans="2:89">
      <c r="B16" s="2">
        <f t="shared" si="20"/>
        <v>11</v>
      </c>
      <c r="C16" s="449" t="s">
        <v>1434</v>
      </c>
      <c r="E16" s="451">
        <f>+'HSG Growth VI (CF) '!N10</f>
        <v>0</v>
      </c>
      <c r="F16" s="91">
        <v>0</v>
      </c>
      <c r="G16" s="91">
        <f t="shared" si="6"/>
        <v>0</v>
      </c>
      <c r="H16" s="469" t="e">
        <f>+INDEX(#REF!,MATCH(C16,#REF!,0))</f>
        <v>#REF!</v>
      </c>
      <c r="I16" s="91" t="e">
        <f t="shared" si="7"/>
        <v>#REF!</v>
      </c>
      <c r="J16" s="451">
        <f>+'HSG Growth VI (CF) '!O16</f>
        <v>121791</v>
      </c>
      <c r="K16" s="91">
        <v>0</v>
      </c>
      <c r="L16" s="91">
        <f t="shared" si="8"/>
        <v>121791</v>
      </c>
      <c r="M16" s="469">
        <v>14531563</v>
      </c>
      <c r="N16" s="91">
        <f t="shared" si="9"/>
        <v>14653354</v>
      </c>
      <c r="O16" s="451">
        <f>+'HSG Growth VI (CF) '!O19</f>
        <v>121791</v>
      </c>
      <c r="P16" s="91">
        <v>0</v>
      </c>
      <c r="Q16" s="91">
        <f t="shared" si="10"/>
        <v>121791</v>
      </c>
      <c r="R16" s="469">
        <v>16133127</v>
      </c>
      <c r="S16" s="91">
        <f t="shared" si="11"/>
        <v>16254918</v>
      </c>
      <c r="T16" s="451">
        <f>+'HSG Growth VI (CF) '!O20</f>
        <v>121791</v>
      </c>
      <c r="U16" s="91">
        <v>0</v>
      </c>
      <c r="V16" s="91">
        <f t="shared" si="12"/>
        <v>121791</v>
      </c>
      <c r="W16" s="469">
        <v>17410298</v>
      </c>
      <c r="X16" s="91">
        <f t="shared" si="13"/>
        <v>17532089</v>
      </c>
      <c r="Y16" s="90">
        <f t="shared" si="14"/>
        <v>121791</v>
      </c>
      <c r="Z16" s="451">
        <v>0</v>
      </c>
      <c r="AA16" s="451"/>
      <c r="AB16" s="451"/>
      <c r="AC16" s="90">
        <f t="shared" si="15"/>
        <v>121791</v>
      </c>
      <c r="AD16" s="451">
        <f>+'Portfolio Listing'!P17</f>
        <v>18019138</v>
      </c>
      <c r="AE16" s="91">
        <f t="shared" si="21"/>
        <v>18140929</v>
      </c>
      <c r="AF16" s="90">
        <f t="shared" si="22"/>
        <v>121791</v>
      </c>
      <c r="AG16" s="451">
        <f>+Calcs!F66</f>
        <v>5755000</v>
      </c>
      <c r="AH16" s="90">
        <f t="shared" si="34"/>
        <v>5876791</v>
      </c>
      <c r="AI16" s="451">
        <f>+Calcs!F67</f>
        <v>13777683.950523041</v>
      </c>
      <c r="AJ16" s="91">
        <f t="shared" si="23"/>
        <v>19654474.950523041</v>
      </c>
      <c r="AK16" s="90">
        <f t="shared" si="24"/>
        <v>5876791</v>
      </c>
      <c r="AL16" s="451">
        <f>+Calcs!G66</f>
        <v>5124641.8</v>
      </c>
      <c r="AM16" s="90">
        <f t="shared" si="1"/>
        <v>11001432.800000001</v>
      </c>
      <c r="AN16" s="451">
        <f>+Calcs!G67</f>
        <v>12097463.138153803</v>
      </c>
      <c r="AO16" s="91">
        <f t="shared" si="25"/>
        <v>23098895.938153803</v>
      </c>
      <c r="AP16" s="90">
        <f t="shared" si="26"/>
        <v>11001432.800000001</v>
      </c>
      <c r="AQ16" s="451">
        <f>+Calcs!H66</f>
        <v>5124641.8</v>
      </c>
      <c r="AR16" s="90">
        <f t="shared" si="2"/>
        <v>16126074.600000001</v>
      </c>
      <c r="AS16" s="451">
        <f>+Calcs!H67</f>
        <v>9997187.1226922534</v>
      </c>
      <c r="AT16" s="91">
        <f t="shared" si="27"/>
        <v>26123261.722692255</v>
      </c>
      <c r="AU16" s="90">
        <f t="shared" si="28"/>
        <v>16126074.600000001</v>
      </c>
      <c r="AV16" s="451">
        <f>+Calcs!I66</f>
        <v>5124641.8</v>
      </c>
      <c r="AW16" s="90">
        <f t="shared" si="3"/>
        <v>21250716.400000002</v>
      </c>
      <c r="AX16" s="451">
        <f>+Calcs!I67</f>
        <v>7379484.1920000007</v>
      </c>
      <c r="AY16" s="91">
        <f t="shared" si="29"/>
        <v>28630200.592000004</v>
      </c>
      <c r="AZ16" s="90">
        <f t="shared" si="30"/>
        <v>21250716.400000002</v>
      </c>
      <c r="BA16" s="451">
        <f>+Calcs!J66</f>
        <v>5124641.8</v>
      </c>
      <c r="BB16" s="90">
        <f t="shared" si="4"/>
        <v>26375358.200000003</v>
      </c>
      <c r="BC16" s="451">
        <f>+Calcs!J67</f>
        <v>4099713.4400000004</v>
      </c>
      <c r="BD16" s="91">
        <f t="shared" si="31"/>
        <v>30475071.640000004</v>
      </c>
      <c r="BE16" s="90">
        <f t="shared" si="32"/>
        <v>26375358.200000003</v>
      </c>
      <c r="BF16" s="451">
        <f>+Calcs!K66</f>
        <v>5124641.8</v>
      </c>
      <c r="BG16" s="90">
        <f t="shared" si="5"/>
        <v>31500000.000000004</v>
      </c>
      <c r="BH16" s="451"/>
      <c r="BI16" s="260">
        <f t="shared" si="33"/>
        <v>31500000.000000004</v>
      </c>
      <c r="BJ16" s="496"/>
      <c r="BK16" s="2" t="e">
        <f>+INDEX('Portfolio Summary'!H$6:H$28,MATCH($C16,'Portfolio Summary'!$C$6:$C$28,0))</f>
        <v>#N/A</v>
      </c>
      <c r="BL16" s="2" t="e">
        <f>+INDEX('Portfolio Summary'!I$6:I$28,MATCH($C16,'Portfolio Summary'!$C$6:$C$28,0))</f>
        <v>#N/A</v>
      </c>
      <c r="BM16" s="2" t="e">
        <f>+INDEX('Portfolio Summary'!J$6:J$28,MATCH($C16,'Portfolio Summary'!$C$6:$C$28,0))</f>
        <v>#N/A</v>
      </c>
      <c r="BN16" s="107"/>
      <c r="BO16" s="91">
        <f>+'Portfolio Listing'!P17</f>
        <v>18019138</v>
      </c>
      <c r="BP16" s="91">
        <f t="shared" si="16"/>
        <v>0</v>
      </c>
      <c r="CH16" s="2" t="str">
        <f t="shared" si="17"/>
        <v xml:space="preserve">HongShan Capital Growth Partners Fund VI </v>
      </c>
      <c r="CI16" s="199">
        <f t="shared" si="18"/>
        <v>608840</v>
      </c>
      <c r="CJ16" s="199">
        <f>'Portfolio Summary'!AH52</f>
        <v>0</v>
      </c>
      <c r="CK16" s="610">
        <f t="shared" si="19"/>
        <v>608840</v>
      </c>
    </row>
    <row r="17" spans="2:89">
      <c r="B17" s="2">
        <f t="shared" si="20"/>
        <v>12</v>
      </c>
      <c r="C17" s="449" t="s">
        <v>21</v>
      </c>
      <c r="E17" s="451"/>
      <c r="F17" s="91">
        <v>0</v>
      </c>
      <c r="G17" s="91">
        <f t="shared" si="6"/>
        <v>0</v>
      </c>
      <c r="H17" s="469" t="e">
        <f>+INDEX(#REF!,MATCH(C17,#REF!,0))</f>
        <v>#REF!</v>
      </c>
      <c r="I17" s="91" t="e">
        <f t="shared" si="7"/>
        <v>#REF!</v>
      </c>
      <c r="J17" s="451">
        <f>+'West Street VIII (CF)'!P16</f>
        <v>0</v>
      </c>
      <c r="K17" s="91">
        <v>0</v>
      </c>
      <c r="L17" s="91">
        <f t="shared" si="8"/>
        <v>0</v>
      </c>
      <c r="M17" s="469">
        <v>12127630</v>
      </c>
      <c r="N17" s="91">
        <f t="shared" si="9"/>
        <v>12127630</v>
      </c>
      <c r="O17" s="451">
        <f>+'West Street VIII (CF)'!P18</f>
        <v>0</v>
      </c>
      <c r="P17" s="91">
        <v>0</v>
      </c>
      <c r="Q17" s="91">
        <f t="shared" si="10"/>
        <v>0</v>
      </c>
      <c r="R17" s="469">
        <v>18943680</v>
      </c>
      <c r="S17" s="91">
        <f t="shared" si="11"/>
        <v>18943680</v>
      </c>
      <c r="T17" s="451">
        <f>+'West Street VIII (CF)'!P23</f>
        <v>650000</v>
      </c>
      <c r="U17" s="91">
        <v>0</v>
      </c>
      <c r="V17" s="91">
        <f t="shared" si="12"/>
        <v>650000</v>
      </c>
      <c r="W17" s="469">
        <v>30606491</v>
      </c>
      <c r="X17" s="91">
        <f t="shared" si="13"/>
        <v>31256491</v>
      </c>
      <c r="Y17" s="90">
        <f t="shared" si="14"/>
        <v>650000</v>
      </c>
      <c r="Z17" s="451">
        <v>0</v>
      </c>
      <c r="AA17" s="451"/>
      <c r="AB17" s="451"/>
      <c r="AC17" s="90">
        <f t="shared" si="15"/>
        <v>650000</v>
      </c>
      <c r="AD17" s="451">
        <f>+INDEX('Portfolio Listing'!$P$7:$P$28,MATCH(C17,'Portfolio Listing'!$C$7:$C$28,0))</f>
        <v>38945352</v>
      </c>
      <c r="AE17" s="91">
        <f t="shared" si="21"/>
        <v>39595352</v>
      </c>
      <c r="AF17" s="90">
        <f t="shared" si="22"/>
        <v>650000</v>
      </c>
      <c r="AG17" s="451">
        <f>+Calcs!F72</f>
        <v>0</v>
      </c>
      <c r="AH17" s="90">
        <f t="shared" si="34"/>
        <v>650000</v>
      </c>
      <c r="AI17" s="451">
        <f>+Calcs!F73</f>
        <v>40796876.663223565</v>
      </c>
      <c r="AJ17" s="91">
        <f t="shared" si="23"/>
        <v>41446876.663223565</v>
      </c>
      <c r="AK17" s="90">
        <f t="shared" si="24"/>
        <v>650000</v>
      </c>
      <c r="AL17" s="451">
        <f>+Calcs!G72</f>
        <v>19870000</v>
      </c>
      <c r="AM17" s="90">
        <f t="shared" si="1"/>
        <v>20520000</v>
      </c>
      <c r="AN17" s="451">
        <f>+Calcs!G73</f>
        <v>42526240.094911166</v>
      </c>
      <c r="AO17" s="91">
        <f t="shared" si="25"/>
        <v>63046240.094911166</v>
      </c>
      <c r="AP17" s="90">
        <f t="shared" si="26"/>
        <v>20520000</v>
      </c>
      <c r="AQ17" s="451">
        <f>+Calcs!H72</f>
        <v>19870000</v>
      </c>
      <c r="AR17" s="90">
        <f t="shared" si="2"/>
        <v>40390000</v>
      </c>
      <c r="AS17" s="451">
        <f>+Calcs!H73</f>
        <v>40557235.562037282</v>
      </c>
      <c r="AT17" s="91">
        <f t="shared" si="27"/>
        <v>80947235.562037289</v>
      </c>
      <c r="AU17" s="90">
        <f t="shared" si="28"/>
        <v>40390000</v>
      </c>
      <c r="AV17" s="451">
        <f>+Calcs!I72</f>
        <v>19870000</v>
      </c>
      <c r="AW17" s="90">
        <f t="shared" si="3"/>
        <v>60260000</v>
      </c>
      <c r="AX17" s="451">
        <f>+Calcs!I73</f>
        <v>29636791.185165286</v>
      </c>
      <c r="AY17" s="91">
        <f t="shared" si="29"/>
        <v>89896791.185165286</v>
      </c>
      <c r="AZ17" s="90">
        <f t="shared" si="30"/>
        <v>60260000</v>
      </c>
      <c r="BA17" s="451">
        <f>+Calcs!J72</f>
        <v>19870000</v>
      </c>
      <c r="BB17" s="90">
        <f t="shared" si="4"/>
        <v>80130000</v>
      </c>
      <c r="BC17" s="451">
        <f>+Calcs!J73</f>
        <v>16286885.245901644</v>
      </c>
      <c r="BD17" s="91">
        <f t="shared" si="31"/>
        <v>96416885.245901644</v>
      </c>
      <c r="BE17" s="90">
        <f t="shared" si="32"/>
        <v>80130000</v>
      </c>
      <c r="BF17" s="451">
        <f>+Calcs!K72</f>
        <v>19870000</v>
      </c>
      <c r="BG17" s="90">
        <f t="shared" si="5"/>
        <v>100000000</v>
      </c>
      <c r="BH17" s="451"/>
      <c r="BI17" s="91">
        <f t="shared" si="33"/>
        <v>100000000</v>
      </c>
      <c r="BJ17" s="496"/>
      <c r="BK17" s="2" t="str">
        <f>+INDEX('Portfolio Summary'!H$6:H$28,MATCH($C17,'Portfolio Summary'!$C$6:$C$28,0))</f>
        <v xml:space="preserve">Global </v>
      </c>
      <c r="BL17" s="2" t="str">
        <f>+INDEX('Portfolio Summary'!I$6:I$28,MATCH($C17,'Portfolio Summary'!$C$6:$C$28,0))</f>
        <v>Diversified</v>
      </c>
      <c r="BM17" s="2" t="str">
        <f>+INDEX('Portfolio Summary'!J$6:J$28,MATCH($C17,'Portfolio Summary'!$C$6:$C$28,0))</f>
        <v>PE - Buyout</v>
      </c>
      <c r="BN17" s="107"/>
      <c r="BO17" s="91">
        <f>+INDEX('Portfolio Listing'!$P$7:$P$25,MATCH(C17,'Portfolio Listing'!$C$7:$C$25,0))</f>
        <v>38945352</v>
      </c>
      <c r="BP17" s="91">
        <f t="shared" si="16"/>
        <v>0</v>
      </c>
      <c r="BQ17" s="242"/>
      <c r="CH17" s="2" t="str">
        <f t="shared" si="17"/>
        <v xml:space="preserve">West Street Capital Partners VIII </v>
      </c>
      <c r="CI17" s="199">
        <f t="shared" si="18"/>
        <v>8338861</v>
      </c>
      <c r="CJ17" s="199">
        <f>'Portfolio Summary'!AH53</f>
        <v>-4950000</v>
      </c>
      <c r="CK17" s="610">
        <f t="shared" si="19"/>
        <v>3388861</v>
      </c>
    </row>
    <row r="18" spans="2:89">
      <c r="B18" s="2">
        <f t="shared" si="20"/>
        <v>13</v>
      </c>
      <c r="C18" s="449" t="s">
        <v>10</v>
      </c>
      <c r="E18" s="451"/>
      <c r="F18" s="91">
        <v>0</v>
      </c>
      <c r="G18" s="91">
        <f t="shared" si="6"/>
        <v>0</v>
      </c>
      <c r="H18" s="469" t="e">
        <f>+INDEX(#REF!,MATCH(C18,#REF!,0))</f>
        <v>#REF!</v>
      </c>
      <c r="I18" s="91" t="e">
        <f t="shared" si="7"/>
        <v>#REF!</v>
      </c>
      <c r="J18" s="451">
        <f>+'DCP II (CF) '!P10</f>
        <v>0</v>
      </c>
      <c r="K18" s="91">
        <v>0</v>
      </c>
      <c r="L18" s="91">
        <f t="shared" si="8"/>
        <v>0</v>
      </c>
      <c r="M18" s="469">
        <v>1790689</v>
      </c>
      <c r="N18" s="91">
        <f t="shared" si="9"/>
        <v>1790689</v>
      </c>
      <c r="O18" s="451">
        <f>+'DCP II (CF) '!P12</f>
        <v>0</v>
      </c>
      <c r="P18" s="91">
        <v>0</v>
      </c>
      <c r="Q18" s="91">
        <f t="shared" si="10"/>
        <v>0</v>
      </c>
      <c r="R18" s="469">
        <v>5839433</v>
      </c>
      <c r="S18" s="91">
        <f t="shared" si="11"/>
        <v>5839433</v>
      </c>
      <c r="T18" s="451">
        <f>+'DCP II (CF) '!P15</f>
        <v>89423.06</v>
      </c>
      <c r="U18" s="91">
        <v>0</v>
      </c>
      <c r="V18" s="91">
        <f t="shared" si="12"/>
        <v>89423.06</v>
      </c>
      <c r="W18" s="469">
        <v>14196798.999999998</v>
      </c>
      <c r="X18" s="91">
        <f t="shared" si="13"/>
        <v>14286222.059999999</v>
      </c>
      <c r="Y18" s="90">
        <f t="shared" si="14"/>
        <v>89423.06</v>
      </c>
      <c r="Z18" s="451">
        <f>+Calcs!E78</f>
        <v>2586900.38</v>
      </c>
      <c r="AA18" s="451"/>
      <c r="AB18" s="451"/>
      <c r="AC18" s="90">
        <f t="shared" si="15"/>
        <v>2676323.44</v>
      </c>
      <c r="AD18" s="451">
        <f>+INDEX('Portfolio Listing'!$P$7:$P$28,MATCH(C18,'Portfolio Listing'!$C$7:$C$28,0))</f>
        <v>25000583</v>
      </c>
      <c r="AE18" s="91">
        <f t="shared" si="21"/>
        <v>27676906.440000001</v>
      </c>
      <c r="AF18" s="90">
        <f t="shared" si="22"/>
        <v>2676323.44</v>
      </c>
      <c r="AG18" s="451">
        <f>+Calcs!F78</f>
        <v>2000000</v>
      </c>
      <c r="AH18" s="90">
        <f t="shared" si="34"/>
        <v>4676323.4399999995</v>
      </c>
      <c r="AI18" s="451">
        <f>+Calcs!F79</f>
        <v>53953630.095118135</v>
      </c>
      <c r="AJ18" s="91">
        <f t="shared" si="23"/>
        <v>58629953.535118133</v>
      </c>
      <c r="AK18" s="90">
        <f t="shared" si="24"/>
        <v>4676323.4399999995</v>
      </c>
      <c r="AL18" s="451">
        <f>+Calcs!G78</f>
        <v>24975881.717142858</v>
      </c>
      <c r="AM18" s="90">
        <f t="shared" si="1"/>
        <v>29652205.157142855</v>
      </c>
      <c r="AN18" s="451">
        <f>+Calcs!G79</f>
        <v>62022730.572923928</v>
      </c>
      <c r="AO18" s="91">
        <f t="shared" si="25"/>
        <v>91674935.730066776</v>
      </c>
      <c r="AP18" s="90">
        <f t="shared" si="26"/>
        <v>29652205.157142855</v>
      </c>
      <c r="AQ18" s="451">
        <f>+Calcs!H78</f>
        <v>24975881.717142858</v>
      </c>
      <c r="AR18" s="90">
        <f t="shared" si="2"/>
        <v>54628086.874285713</v>
      </c>
      <c r="AS18" s="451">
        <f>+Calcs!H79</f>
        <v>67121090.176059365</v>
      </c>
      <c r="AT18" s="91">
        <f t="shared" si="27"/>
        <v>121749177.05034508</v>
      </c>
      <c r="AU18" s="90">
        <f t="shared" si="28"/>
        <v>54628086.874285713</v>
      </c>
      <c r="AV18" s="451">
        <f>+Calcs!I78</f>
        <v>24975881.717142858</v>
      </c>
      <c r="AW18" s="90">
        <f t="shared" si="3"/>
        <v>79603968.591428578</v>
      </c>
      <c r="AX18" s="451">
        <f>+Calcs!I79</f>
        <v>58976789.96755176</v>
      </c>
      <c r="AY18" s="91">
        <f t="shared" si="29"/>
        <v>138580758.55898035</v>
      </c>
      <c r="AZ18" s="90">
        <f t="shared" si="30"/>
        <v>79603968.591428578</v>
      </c>
      <c r="BA18" s="451">
        <f>+Calcs!J78</f>
        <v>24975881.717142858</v>
      </c>
      <c r="BB18" s="90">
        <f t="shared" si="4"/>
        <v>104579850.30857143</v>
      </c>
      <c r="BC18" s="451">
        <f>+Calcs!J79</f>
        <v>48745105.742296837</v>
      </c>
      <c r="BD18" s="91">
        <f t="shared" si="31"/>
        <v>153324956.05086827</v>
      </c>
      <c r="BE18" s="90">
        <f t="shared" si="32"/>
        <v>104579850.30857143</v>
      </c>
      <c r="BF18" s="451">
        <f>+Calcs!K78</f>
        <v>24975881.717142858</v>
      </c>
      <c r="BG18" s="90">
        <f t="shared" si="5"/>
        <v>129555732.02571428</v>
      </c>
      <c r="BH18" s="451">
        <f>+Calcs!K79</f>
        <v>35955500.460728191</v>
      </c>
      <c r="BI18" s="91">
        <f t="shared" si="33"/>
        <v>165511232.48644248</v>
      </c>
      <c r="BJ18" s="496"/>
      <c r="BK18" s="2" t="str">
        <f>+INDEX('Portfolio Summary'!H$6:H$28,MATCH($C18,'Portfolio Summary'!$C$6:$C$28,0))</f>
        <v>China</v>
      </c>
      <c r="BL18" s="2" t="str">
        <f>+INDEX('Portfolio Summary'!I$6:I$28,MATCH($C18,'Portfolio Summary'!$C$6:$C$28,0))</f>
        <v>Diversified</v>
      </c>
      <c r="BM18" s="2" t="str">
        <f>+INDEX('Portfolio Summary'!J$6:J$28,MATCH($C18,'Portfolio Summary'!$C$6:$C$28,0))</f>
        <v>PE - Buyout</v>
      </c>
      <c r="BN18" s="107"/>
      <c r="BO18" s="91">
        <f>+INDEX('Portfolio Listing'!$P$7:$P$25,MATCH(C18,'Portfolio Listing'!$C$7:$C$25,0))</f>
        <v>25000583</v>
      </c>
      <c r="BP18" s="91">
        <f t="shared" si="16"/>
        <v>0</v>
      </c>
      <c r="BQ18" s="242"/>
      <c r="CH18" s="2" t="str">
        <f t="shared" si="17"/>
        <v>DCP Capital Partners II</v>
      </c>
      <c r="CI18" s="199">
        <f t="shared" si="18"/>
        <v>10803784.000000002</v>
      </c>
      <c r="CJ18" s="199">
        <f>'Portfolio Summary'!AH54</f>
        <v>-14030034.969999999</v>
      </c>
      <c r="CK18" s="610">
        <f t="shared" si="19"/>
        <v>-3226250.9699999969</v>
      </c>
    </row>
    <row r="19" spans="2:89">
      <c r="B19" s="2">
        <f t="shared" si="20"/>
        <v>14</v>
      </c>
      <c r="C19" s="470" t="s">
        <v>11</v>
      </c>
      <c r="E19" s="451">
        <f>+'Lionet Fund CF'!P11</f>
        <v>0</v>
      </c>
      <c r="F19" s="91">
        <v>0</v>
      </c>
      <c r="G19" s="91">
        <f t="shared" si="6"/>
        <v>0</v>
      </c>
      <c r="H19" s="469" t="e">
        <f>+INDEX(#REF!,MATCH(C19,#REF!,0))</f>
        <v>#REF!</v>
      </c>
      <c r="I19" s="91" t="e">
        <f t="shared" si="7"/>
        <v>#REF!</v>
      </c>
      <c r="J19" s="451">
        <f>+'Lionet Fund CF'!P19</f>
        <v>607971.19999999995</v>
      </c>
      <c r="K19" s="91">
        <v>0</v>
      </c>
      <c r="L19" s="91">
        <f t="shared" si="8"/>
        <v>607971.19999999995</v>
      </c>
      <c r="M19" s="469">
        <v>16017704.49</v>
      </c>
      <c r="N19" s="91">
        <f t="shared" si="9"/>
        <v>16625675.689999999</v>
      </c>
      <c r="O19" s="451">
        <f>+J19</f>
        <v>607971.19999999995</v>
      </c>
      <c r="P19" s="91">
        <v>0</v>
      </c>
      <c r="Q19" s="91">
        <f t="shared" si="10"/>
        <v>607971.19999999995</v>
      </c>
      <c r="R19" s="469">
        <v>15982641.469999999</v>
      </c>
      <c r="S19" s="91">
        <f t="shared" si="11"/>
        <v>16590612.669999998</v>
      </c>
      <c r="T19" s="451">
        <f>+'Lionet Fund CF'!P22</f>
        <v>820311.94</v>
      </c>
      <c r="U19" s="91">
        <v>0</v>
      </c>
      <c r="V19" s="91">
        <f t="shared" si="12"/>
        <v>820311.94</v>
      </c>
      <c r="W19" s="469">
        <v>13798091.859999998</v>
      </c>
      <c r="X19" s="91">
        <f t="shared" si="13"/>
        <v>14618403.799999997</v>
      </c>
      <c r="Y19" s="90">
        <f t="shared" si="14"/>
        <v>820311.94</v>
      </c>
      <c r="Z19" s="451">
        <f>+SUM('Lionet Fund CF'!O23:O27)</f>
        <v>1377295.1800000002</v>
      </c>
      <c r="AA19" s="451"/>
      <c r="AB19" s="451"/>
      <c r="AC19" s="90">
        <f t="shared" si="15"/>
        <v>2197607.12</v>
      </c>
      <c r="AD19" s="451">
        <f>+INDEX('Portfolio Listing'!$P$7:$P$28,MATCH(C19,'Portfolio Listing'!$C$7:$C$28,0))</f>
        <v>11059808.720000001</v>
      </c>
      <c r="AE19" s="91">
        <f t="shared" si="21"/>
        <v>13257415.84</v>
      </c>
      <c r="AF19" s="90">
        <f t="shared" si="22"/>
        <v>2197607.12</v>
      </c>
      <c r="AG19" s="451">
        <f>+Calcs!F84</f>
        <v>2133742.2599999998</v>
      </c>
      <c r="AH19" s="90">
        <f t="shared" si="34"/>
        <v>4331349.38</v>
      </c>
      <c r="AI19" s="451">
        <f>+Calcs!F85</f>
        <v>10402978.52460479</v>
      </c>
      <c r="AJ19" s="91">
        <f t="shared" si="23"/>
        <v>14734327.904604789</v>
      </c>
      <c r="AK19" s="90">
        <f t="shared" si="24"/>
        <v>4331349.38</v>
      </c>
      <c r="AL19" s="451">
        <f>+Calcs!G84</f>
        <v>3633730.1240000003</v>
      </c>
      <c r="AM19" s="90">
        <f t="shared" si="1"/>
        <v>7965079.5040000007</v>
      </c>
      <c r="AN19" s="451">
        <f>+Calcs!G85</f>
        <v>9057903.676017845</v>
      </c>
      <c r="AO19" s="91">
        <f t="shared" si="25"/>
        <v>17022983.180017844</v>
      </c>
      <c r="AP19" s="90">
        <f t="shared" si="26"/>
        <v>7965079.5040000007</v>
      </c>
      <c r="AQ19" s="451">
        <f>+Calcs!H84</f>
        <v>3633730.1240000003</v>
      </c>
      <c r="AR19" s="90">
        <f t="shared" si="2"/>
        <v>11598809.628</v>
      </c>
      <c r="AS19" s="451">
        <f>+Calcs!H85</f>
        <v>7416912.3607417699</v>
      </c>
      <c r="AT19" s="91">
        <f t="shared" si="27"/>
        <v>19015721.98874177</v>
      </c>
      <c r="AU19" s="90">
        <f t="shared" si="28"/>
        <v>11598809.628</v>
      </c>
      <c r="AV19" s="451">
        <f>+Calcs!I84</f>
        <v>3633730.1240000003</v>
      </c>
      <c r="AW19" s="90">
        <f t="shared" si="3"/>
        <v>15232539.752</v>
      </c>
      <c r="AX19" s="451">
        <f>+Calcs!I85</f>
        <v>5419833.9661918841</v>
      </c>
      <c r="AY19" s="91">
        <f t="shared" si="29"/>
        <v>20652373.718191884</v>
      </c>
      <c r="AZ19" s="90">
        <f t="shared" si="30"/>
        <v>15232539.752</v>
      </c>
      <c r="BA19" s="451">
        <f>+Calcs!J84</f>
        <v>3633730.1240000003</v>
      </c>
      <c r="BB19" s="90">
        <f t="shared" si="4"/>
        <v>18866269.876000002</v>
      </c>
      <c r="BC19" s="451">
        <f>+Calcs!J85</f>
        <v>2978467.3147540982</v>
      </c>
      <c r="BD19" s="91">
        <f t="shared" si="31"/>
        <v>21844737.190754101</v>
      </c>
      <c r="BE19" s="90">
        <f t="shared" si="32"/>
        <v>18866269.876000002</v>
      </c>
      <c r="BF19" s="451">
        <f>+Calcs!K84</f>
        <v>3633730.1240000003</v>
      </c>
      <c r="BG19" s="90">
        <f t="shared" si="5"/>
        <v>22500000.000000004</v>
      </c>
      <c r="BH19" s="451"/>
      <c r="BI19" s="91">
        <f t="shared" si="33"/>
        <v>22500000.000000004</v>
      </c>
      <c r="BJ19" s="496"/>
      <c r="BK19" s="2" t="str">
        <f>+INDEX('Portfolio Summary'!H$6:H$28,MATCH($C19,'Portfolio Summary'!$C$6:$C$28,0))</f>
        <v>China</v>
      </c>
      <c r="BL19" s="2" t="str">
        <f>+INDEX('Portfolio Summary'!I$6:I$28,MATCH($C19,'Portfolio Summary'!$C$6:$C$28,0))</f>
        <v>Diversified</v>
      </c>
      <c r="BM19" s="2" t="str">
        <f>+INDEX('Portfolio Summary'!J$6:J$28,MATCH($C19,'Portfolio Summary'!$C$6:$C$28,0))</f>
        <v>PE - VC / Growth</v>
      </c>
      <c r="BN19" s="107"/>
      <c r="BO19" s="91">
        <f>+INDEX('Portfolio Listing'!$P$7:$P$25,MATCH(C19,'Portfolio Listing'!$C$7:$C$25,0))</f>
        <v>11059808.720000001</v>
      </c>
      <c r="BP19" s="91">
        <f t="shared" si="16"/>
        <v>0</v>
      </c>
      <c r="CH19" s="2" t="str">
        <f t="shared" si="17"/>
        <v>Skycus USD Fund II (AKA “Lionet Fund LP”)</v>
      </c>
      <c r="CI19" s="199">
        <f t="shared" si="18"/>
        <v>-2738283.1399999969</v>
      </c>
      <c r="CJ19" s="199">
        <f>'Portfolio Summary'!AH55</f>
        <v>0</v>
      </c>
      <c r="CK19" s="610">
        <f t="shared" si="19"/>
        <v>-2738283.1399999969</v>
      </c>
    </row>
    <row r="20" spans="2:89">
      <c r="B20" s="2">
        <f t="shared" si="20"/>
        <v>15</v>
      </c>
      <c r="C20" s="449" t="s">
        <v>12</v>
      </c>
      <c r="E20" s="451"/>
      <c r="F20" s="91">
        <v>0</v>
      </c>
      <c r="G20" s="91">
        <f t="shared" si="6"/>
        <v>0</v>
      </c>
      <c r="H20" s="469" t="e">
        <f>+INDEX(#REF!,MATCH(C20,#REF!,0))</f>
        <v>#REF!</v>
      </c>
      <c r="I20" s="91" t="e">
        <f t="shared" si="7"/>
        <v>#REF!</v>
      </c>
      <c r="J20" s="451">
        <f>+'Boyu Real Estate CF'!O22</f>
        <v>185788.78999999998</v>
      </c>
      <c r="K20" s="91">
        <v>0</v>
      </c>
      <c r="L20" s="91">
        <f t="shared" si="8"/>
        <v>185788.78999999998</v>
      </c>
      <c r="M20" s="469">
        <v>4838221.9999999991</v>
      </c>
      <c r="N20" s="91">
        <f t="shared" si="9"/>
        <v>5024010.7899999991</v>
      </c>
      <c r="O20" s="451">
        <f>+'Boyu Real Estate CF'!O29</f>
        <v>283333.32999999996</v>
      </c>
      <c r="P20" s="91">
        <v>0</v>
      </c>
      <c r="Q20" s="91">
        <f t="shared" si="10"/>
        <v>283333.32999999996</v>
      </c>
      <c r="R20" s="469">
        <v>4966795.9999999991</v>
      </c>
      <c r="S20" s="91">
        <f t="shared" si="11"/>
        <v>5250129.3299999991</v>
      </c>
      <c r="T20" s="451">
        <f>+'Boyu Real Estate CF'!O34</f>
        <v>995489.23</v>
      </c>
      <c r="U20" s="91">
        <v>0</v>
      </c>
      <c r="V20" s="91">
        <f t="shared" si="12"/>
        <v>995489.23</v>
      </c>
      <c r="W20" s="469">
        <v>11618562.000000002</v>
      </c>
      <c r="X20" s="91">
        <f t="shared" si="13"/>
        <v>12614051.230000002</v>
      </c>
      <c r="Y20" s="90">
        <f t="shared" si="14"/>
        <v>995489.23</v>
      </c>
      <c r="Z20" s="451">
        <f>+Calcs!E90</f>
        <v>0</v>
      </c>
      <c r="AA20" s="451"/>
      <c r="AB20" s="451"/>
      <c r="AC20" s="90">
        <f t="shared" si="15"/>
        <v>995489.23</v>
      </c>
      <c r="AD20" s="451">
        <f>+INDEX('Portfolio Listing'!$P$7:$P$28,MATCH(C20,'Portfolio Listing'!$C$7:$C$28,0))</f>
        <v>15342150</v>
      </c>
      <c r="AE20" s="91">
        <f t="shared" si="21"/>
        <v>16337639.23</v>
      </c>
      <c r="AF20" s="90">
        <f t="shared" si="22"/>
        <v>995489.23</v>
      </c>
      <c r="AG20" s="451">
        <f>+Calcs!F90</f>
        <v>0</v>
      </c>
      <c r="AH20" s="90">
        <f t="shared" si="34"/>
        <v>995489.23</v>
      </c>
      <c r="AI20" s="451">
        <f>+Calcs!F91</f>
        <v>28077884.155005012</v>
      </c>
      <c r="AJ20" s="91">
        <f t="shared" si="23"/>
        <v>29073373.385005012</v>
      </c>
      <c r="AK20" s="90">
        <f t="shared" si="24"/>
        <v>995489.23</v>
      </c>
      <c r="AL20" s="451">
        <f>+Calcs!G90</f>
        <v>13228533.134</v>
      </c>
      <c r="AM20" s="90">
        <f t="shared" si="1"/>
        <v>14224022.364</v>
      </c>
      <c r="AN20" s="451">
        <f>+Calcs!G91</f>
        <v>31227878.592492301</v>
      </c>
      <c r="AO20" s="91">
        <f t="shared" si="25"/>
        <v>45451900.956492305</v>
      </c>
      <c r="AP20" s="90">
        <f t="shared" si="26"/>
        <v>14224022.364</v>
      </c>
      <c r="AQ20" s="451">
        <f>+Calcs!H90</f>
        <v>13228533.134</v>
      </c>
      <c r="AR20" s="90">
        <f t="shared" si="2"/>
        <v>27452555.498</v>
      </c>
      <c r="AS20" s="451">
        <f>+Calcs!H91</f>
        <v>25806315.106615368</v>
      </c>
      <c r="AT20" s="91">
        <f t="shared" si="27"/>
        <v>53258870.604615368</v>
      </c>
      <c r="AU20" s="90">
        <f t="shared" si="28"/>
        <v>27452555.498</v>
      </c>
      <c r="AV20" s="451">
        <f>+Calcs!I90</f>
        <v>13228533.134</v>
      </c>
      <c r="AW20" s="90">
        <f t="shared" si="3"/>
        <v>40681088.631999999</v>
      </c>
      <c r="AX20" s="451">
        <f>+Calcs!I91</f>
        <v>19049087.712960001</v>
      </c>
      <c r="AY20" s="91">
        <f t="shared" si="29"/>
        <v>59730176.344960004</v>
      </c>
      <c r="AZ20" s="90">
        <f t="shared" si="30"/>
        <v>40681088.631999999</v>
      </c>
      <c r="BA20" s="451">
        <f>+Calcs!J90</f>
        <v>13228533.134</v>
      </c>
      <c r="BB20" s="90">
        <f t="shared" si="4"/>
        <v>53909621.766000003</v>
      </c>
      <c r="BC20" s="451">
        <f>+Calcs!J91</f>
        <v>10582826.507199999</v>
      </c>
      <c r="BD20" s="91">
        <f t="shared" si="31"/>
        <v>64492448.273200005</v>
      </c>
      <c r="BE20" s="90">
        <f t="shared" si="32"/>
        <v>53909621.766000003</v>
      </c>
      <c r="BF20" s="451">
        <f>+Calcs!K90</f>
        <v>13228533.134</v>
      </c>
      <c r="BG20" s="90">
        <f t="shared" si="5"/>
        <v>67138154.900000006</v>
      </c>
      <c r="BH20" s="469"/>
      <c r="BI20" s="91">
        <f t="shared" si="33"/>
        <v>67138154.900000006</v>
      </c>
      <c r="BJ20" s="496"/>
      <c r="BK20" s="2" t="str">
        <f>+INDEX('Portfolio Summary'!H$6:H$28,MATCH($C20,'Portfolio Summary'!$C$6:$C$28,0))</f>
        <v>China</v>
      </c>
      <c r="BL20" s="2" t="str">
        <f>+INDEX('Portfolio Summary'!I$6:I$28,MATCH($C20,'Portfolio Summary'!$C$6:$C$28,0))</f>
        <v>Logistic/ Data Center</v>
      </c>
      <c r="BM20" s="2" t="str">
        <f>+INDEX('Portfolio Summary'!J$6:J$28,MATCH($C20,'Portfolio Summary'!$C$6:$C$28,0))</f>
        <v xml:space="preserve">PE - Real Estate </v>
      </c>
      <c r="BN20" s="107"/>
      <c r="BO20" s="91">
        <f>+INDEX('Portfolio Listing'!$P$7:$P$25,MATCH(C20,'Portfolio Listing'!$C$7:$C$25,0))</f>
        <v>15342150</v>
      </c>
      <c r="BP20" s="91">
        <f t="shared" si="16"/>
        <v>0</v>
      </c>
      <c r="CH20" s="2" t="str">
        <f t="shared" si="17"/>
        <v>BOYU Real Estate Fund I</v>
      </c>
      <c r="CI20" s="199">
        <f t="shared" si="18"/>
        <v>3723587.9999999981</v>
      </c>
      <c r="CJ20" s="199">
        <f>'Portfolio Summary'!AH56</f>
        <v>-4559102.5</v>
      </c>
      <c r="CK20" s="610">
        <f t="shared" si="19"/>
        <v>-835514.50000000186</v>
      </c>
    </row>
    <row r="21" spans="2:89">
      <c r="B21" s="2">
        <f t="shared" si="20"/>
        <v>16</v>
      </c>
      <c r="C21" s="449" t="s">
        <v>19</v>
      </c>
      <c r="E21" s="448"/>
      <c r="F21" s="255">
        <v>0</v>
      </c>
      <c r="G21" s="255">
        <f t="shared" si="6"/>
        <v>0</v>
      </c>
      <c r="H21" s="450" t="e">
        <f>+INDEX(#REF!,MATCH(C21,#REF!,0))</f>
        <v>#REF!</v>
      </c>
      <c r="I21" s="255" t="e">
        <f t="shared" si="7"/>
        <v>#REF!</v>
      </c>
      <c r="J21" s="448">
        <f>+'E15 Fund II CF'!N13</f>
        <v>0</v>
      </c>
      <c r="K21" s="255">
        <v>0</v>
      </c>
      <c r="L21" s="255">
        <f t="shared" si="8"/>
        <v>0</v>
      </c>
      <c r="M21" s="450">
        <v>27551569.000000004</v>
      </c>
      <c r="N21" s="255">
        <f t="shared" si="9"/>
        <v>27551569.000000004</v>
      </c>
      <c r="O21" s="448">
        <f>+'E15 Fund II CF'!N18</f>
        <v>23939079</v>
      </c>
      <c r="P21" s="255">
        <v>0</v>
      </c>
      <c r="Q21" s="255">
        <f t="shared" si="10"/>
        <v>23939079</v>
      </c>
      <c r="R21" s="450">
        <v>3125865</v>
      </c>
      <c r="S21" s="255">
        <f t="shared" si="11"/>
        <v>27064944</v>
      </c>
      <c r="T21" s="448">
        <f>+'E15 Fund II CF'!N23</f>
        <v>24622247.559999999</v>
      </c>
      <c r="U21" s="255">
        <v>0</v>
      </c>
      <c r="V21" s="255">
        <f t="shared" si="12"/>
        <v>24622247.559999999</v>
      </c>
      <c r="W21" s="450">
        <v>2714147.9999999995</v>
      </c>
      <c r="X21" s="255">
        <f t="shared" si="13"/>
        <v>27336395.559999999</v>
      </c>
      <c r="Y21" s="462">
        <f t="shared" si="14"/>
        <v>24622247.559999999</v>
      </c>
      <c r="Z21" s="451">
        <f>+Calcs!E96</f>
        <v>0</v>
      </c>
      <c r="AA21" s="451"/>
      <c r="AB21" s="451"/>
      <c r="AC21" s="462">
        <f t="shared" si="15"/>
        <v>24622247.559999999</v>
      </c>
      <c r="AD21" s="448">
        <f>+INDEX('Portfolio Listing'!$P$7:$P$28,MATCH(C21,'Portfolio Listing'!$C$7:$C$28,0))</f>
        <v>2680999.9999999995</v>
      </c>
      <c r="AE21" s="255">
        <f t="shared" si="21"/>
        <v>27303247.559999999</v>
      </c>
      <c r="AF21" s="462">
        <f t="shared" si="22"/>
        <v>24622247.559999999</v>
      </c>
      <c r="AG21" s="451">
        <f>+Calcs!F96</f>
        <v>0</v>
      </c>
      <c r="AH21" s="462">
        <f t="shared" si="34"/>
        <v>24622247.559999999</v>
      </c>
      <c r="AI21" s="448">
        <f>+Calcs!F97</f>
        <v>946561.62717060058</v>
      </c>
      <c r="AJ21" s="255">
        <f t="shared" si="23"/>
        <v>25568809.187170599</v>
      </c>
      <c r="AK21" s="462">
        <f t="shared" si="24"/>
        <v>24622247.559999999</v>
      </c>
      <c r="AL21" s="451">
        <f>+Calcs!G96</f>
        <v>0</v>
      </c>
      <c r="AM21" s="462">
        <f t="shared" si="1"/>
        <v>24622247.559999999</v>
      </c>
      <c r="AN21" s="448">
        <f>+Calcs!G97</f>
        <v>1230530.1153217806</v>
      </c>
      <c r="AO21" s="255">
        <f t="shared" si="25"/>
        <v>25852777.67532178</v>
      </c>
      <c r="AP21" s="462">
        <f t="shared" si="26"/>
        <v>24622247.559999999</v>
      </c>
      <c r="AQ21" s="451">
        <f>+Calcs!H96</f>
        <v>1324091.2010276173</v>
      </c>
      <c r="AR21" s="462">
        <f t="shared" si="2"/>
        <v>25946338.761027616</v>
      </c>
      <c r="AS21" s="448">
        <f>+Calcs!H97</f>
        <v>695234.45907704334</v>
      </c>
      <c r="AT21" s="255">
        <f t="shared" si="27"/>
        <v>26641573.220104657</v>
      </c>
      <c r="AU21" s="462">
        <f t="shared" si="28"/>
        <v>25946338.761027616</v>
      </c>
      <c r="AV21" s="451">
        <f>+Calcs!I96</f>
        <v>1324091.2010276173</v>
      </c>
      <c r="AW21" s="462">
        <f t="shared" si="3"/>
        <v>27270429.962055232</v>
      </c>
      <c r="AX21" s="448"/>
      <c r="AY21" s="255">
        <f t="shared" si="29"/>
        <v>27270429.962055232</v>
      </c>
      <c r="AZ21" s="462">
        <f t="shared" si="30"/>
        <v>27270429.962055232</v>
      </c>
      <c r="BA21" s="451">
        <f>+Calcs!J96</f>
        <v>0</v>
      </c>
      <c r="BB21" s="462">
        <f t="shared" si="4"/>
        <v>27270429.962055232</v>
      </c>
      <c r="BC21" s="448"/>
      <c r="BD21" s="255">
        <f t="shared" si="31"/>
        <v>27270429.962055232</v>
      </c>
      <c r="BE21" s="462">
        <f t="shared" si="32"/>
        <v>27270429.962055232</v>
      </c>
      <c r="BF21" s="451">
        <f>+Calcs!K96</f>
        <v>0</v>
      </c>
      <c r="BG21" s="462">
        <f t="shared" si="5"/>
        <v>27270429.962055232</v>
      </c>
      <c r="BH21" s="450"/>
      <c r="BI21" s="255">
        <f t="shared" si="33"/>
        <v>27270429.962055232</v>
      </c>
      <c r="BJ21" s="496"/>
      <c r="BK21" s="2" t="str">
        <f>+INDEX('Portfolio Summary'!H$6:H$28,MATCH($C21,'Portfolio Summary'!$C$6:$C$28,0))</f>
        <v xml:space="preserve">Global </v>
      </c>
      <c r="BL21" s="2" t="str">
        <f>+INDEX('Portfolio Summary'!I$6:I$28,MATCH($C21,'Portfolio Summary'!$C$6:$C$28,0))</f>
        <v>Technology</v>
      </c>
      <c r="BM21" s="2" t="str">
        <f>+INDEX('Portfolio Summary'!J$6:J$28,MATCH($C21,'Portfolio Summary'!$C$6:$C$28,0))</f>
        <v>PE - VC / Growth</v>
      </c>
      <c r="BN21" s="257"/>
      <c r="BO21" s="255">
        <f>+INDEX('Portfolio Listing'!$P$7:$P$25,MATCH(C21,'Portfolio Listing'!$C$7:$C$25,0))</f>
        <v>2680999.9999999995</v>
      </c>
      <c r="BP21" s="255">
        <f t="shared" si="16"/>
        <v>0</v>
      </c>
      <c r="CH21" s="2" t="str">
        <f t="shared" si="17"/>
        <v>E15 Fund II</v>
      </c>
      <c r="CI21" s="199">
        <f t="shared" si="18"/>
        <v>-33148</v>
      </c>
      <c r="CJ21" s="199">
        <f>'Portfolio Summary'!AH57</f>
        <v>-126227</v>
      </c>
      <c r="CK21" s="610">
        <f t="shared" si="19"/>
        <v>-159375</v>
      </c>
    </row>
    <row r="22" spans="2:89">
      <c r="B22" s="2">
        <f t="shared" si="20"/>
        <v>17</v>
      </c>
      <c r="C22" s="449" t="s">
        <v>13</v>
      </c>
      <c r="E22" s="451"/>
      <c r="F22" s="91">
        <v>0</v>
      </c>
      <c r="G22" s="255">
        <f t="shared" si="6"/>
        <v>0</v>
      </c>
      <c r="H22" s="450" t="e">
        <f>+INDEX(#REF!,MATCH(C22,#REF!,0))</f>
        <v>#REF!</v>
      </c>
      <c r="I22" s="91" t="e">
        <f t="shared" si="7"/>
        <v>#REF!</v>
      </c>
      <c r="J22" s="451">
        <v>0</v>
      </c>
      <c r="K22" s="91">
        <v>0</v>
      </c>
      <c r="L22" s="255">
        <f t="shared" si="8"/>
        <v>0</v>
      </c>
      <c r="M22" s="469">
        <v>0</v>
      </c>
      <c r="N22" s="91">
        <f t="shared" si="9"/>
        <v>0</v>
      </c>
      <c r="O22" s="451">
        <v>0</v>
      </c>
      <c r="P22" s="91">
        <v>0</v>
      </c>
      <c r="Q22" s="255">
        <f t="shared" si="10"/>
        <v>0</v>
      </c>
      <c r="R22" s="469">
        <v>0</v>
      </c>
      <c r="S22" s="255">
        <f t="shared" si="11"/>
        <v>0</v>
      </c>
      <c r="T22" s="451">
        <v>0</v>
      </c>
      <c r="U22" s="91">
        <v>0</v>
      </c>
      <c r="V22" s="255">
        <f t="shared" si="12"/>
        <v>0</v>
      </c>
      <c r="W22" s="469">
        <v>0</v>
      </c>
      <c r="X22" s="91">
        <f t="shared" si="13"/>
        <v>0</v>
      </c>
      <c r="Y22" s="90">
        <f t="shared" si="14"/>
        <v>0</v>
      </c>
      <c r="Z22" s="451">
        <f>+Calcs!E102</f>
        <v>0</v>
      </c>
      <c r="AA22" s="451"/>
      <c r="AB22" s="451"/>
      <c r="AC22" s="90">
        <f t="shared" si="15"/>
        <v>0</v>
      </c>
      <c r="AD22" s="451">
        <f>+INDEX('Portfolio Listing'!$P$7:$P$28,MATCH(C22,'Portfolio Listing'!$C$7:$C$28,0))</f>
        <v>3779467</v>
      </c>
      <c r="AE22" s="91">
        <f t="shared" si="21"/>
        <v>3779467</v>
      </c>
      <c r="AF22" s="90">
        <f t="shared" si="22"/>
        <v>0</v>
      </c>
      <c r="AG22" s="451">
        <f>+Calcs!F102</f>
        <v>125000</v>
      </c>
      <c r="AH22" s="90">
        <f>+AG22+AF22</f>
        <v>125000</v>
      </c>
      <c r="AI22" s="451">
        <f>+Calcs!F103</f>
        <v>11135099.771375144</v>
      </c>
      <c r="AJ22" s="91">
        <f t="shared" si="23"/>
        <v>11260099.771375144</v>
      </c>
      <c r="AK22" s="90">
        <f t="shared" si="24"/>
        <v>125000</v>
      </c>
      <c r="AL22" s="451">
        <f>+Calcs!G102</f>
        <v>0</v>
      </c>
      <c r="AM22" s="90">
        <f>+AL22+AK22</f>
        <v>125000</v>
      </c>
      <c r="AN22" s="451">
        <f>+Calcs!G103</f>
        <v>15737806.22818684</v>
      </c>
      <c r="AO22" s="91">
        <f t="shared" si="25"/>
        <v>15862806.22818684</v>
      </c>
      <c r="AP22" s="90">
        <f t="shared" si="26"/>
        <v>125000</v>
      </c>
      <c r="AQ22" s="451">
        <f>+Calcs!H102</f>
        <v>6250000</v>
      </c>
      <c r="AR22" s="90">
        <f>+AQ22+AP22</f>
        <v>6375000</v>
      </c>
      <c r="AS22" s="451">
        <f>+Calcs!H103</f>
        <v>15576764.697061121</v>
      </c>
      <c r="AT22" s="91">
        <f t="shared" si="27"/>
        <v>21951764.697061121</v>
      </c>
      <c r="AU22" s="90">
        <f t="shared" si="28"/>
        <v>6375000</v>
      </c>
      <c r="AV22" s="451">
        <f>+Calcs!I102</f>
        <v>6250000</v>
      </c>
      <c r="AW22" s="90">
        <f>+AV22+AU22</f>
        <v>12625000</v>
      </c>
      <c r="AX22" s="451">
        <f>+Calcs!I103</f>
        <v>12764008.881800678</v>
      </c>
      <c r="AY22" s="91">
        <f t="shared" si="29"/>
        <v>25389008.881800678</v>
      </c>
      <c r="AZ22" s="90">
        <f t="shared" si="30"/>
        <v>12625000</v>
      </c>
      <c r="BA22" s="451">
        <f>+Calcs!J102</f>
        <v>6250000</v>
      </c>
      <c r="BB22" s="90">
        <f>+BA22+AZ22</f>
        <v>18875000</v>
      </c>
      <c r="BC22" s="451">
        <f>+Calcs!J103</f>
        <v>9322090.8357968275</v>
      </c>
      <c r="BD22" s="91">
        <f t="shared" si="31"/>
        <v>28197090.835796826</v>
      </c>
      <c r="BE22" s="90">
        <f t="shared" si="32"/>
        <v>18875000</v>
      </c>
      <c r="BF22" s="451">
        <f>+Calcs!K102</f>
        <v>6250000</v>
      </c>
      <c r="BG22" s="90">
        <f>+BF22+BE22</f>
        <v>25125000</v>
      </c>
      <c r="BH22" s="451">
        <f>+Calcs!K103</f>
        <v>5122950.81967213</v>
      </c>
      <c r="BI22" s="91">
        <f t="shared" si="33"/>
        <v>30247950.81967213</v>
      </c>
      <c r="BJ22" s="496"/>
      <c r="BK22" s="2" t="str">
        <f>+INDEX('Portfolio Summary'!H$6:H$28,MATCH($C22,'Portfolio Summary'!$C$6:$C$28,0))</f>
        <v>US</v>
      </c>
      <c r="BL22" s="2" t="str">
        <f>+INDEX('Portfolio Summary'!I$6:I$28,MATCH($C22,'Portfolio Summary'!$C$6:$C$28,0))</f>
        <v>Real Estate</v>
      </c>
      <c r="BM22" s="2" t="str">
        <f>+INDEX('Portfolio Summary'!J$6:J$28,MATCH($C22,'Portfolio Summary'!$C$6:$C$28,0))</f>
        <v>PE - Special Situations</v>
      </c>
      <c r="BN22" s="107"/>
      <c r="BO22" s="255">
        <f>+INDEX('Portfolio Listing'!$P$7:$P$25,MATCH(C22,'Portfolio Listing'!$C$7:$C$25,0))</f>
        <v>3779467</v>
      </c>
      <c r="BP22" s="255">
        <f t="shared" si="16"/>
        <v>0</v>
      </c>
      <c r="CH22" s="2" t="str">
        <f t="shared" si="17"/>
        <v>Cottonwood</v>
      </c>
      <c r="CI22" s="199">
        <f t="shared" si="18"/>
        <v>3779467</v>
      </c>
      <c r="CJ22" s="199">
        <f>'Portfolio Summary'!AH58</f>
        <v>-3150647.5</v>
      </c>
      <c r="CK22" s="610">
        <f t="shared" si="19"/>
        <v>628819.5</v>
      </c>
    </row>
    <row r="23" spans="2:89">
      <c r="B23" s="2">
        <f t="shared" si="20"/>
        <v>18</v>
      </c>
      <c r="C23" s="470" t="s">
        <v>14</v>
      </c>
      <c r="E23" s="91"/>
      <c r="F23" s="91"/>
      <c r="G23" s="255">
        <f t="shared" si="6"/>
        <v>0</v>
      </c>
      <c r="H23" s="450" t="e">
        <f>+INDEX(#REF!,MATCH(C23,#REF!,0))</f>
        <v>#REF!</v>
      </c>
      <c r="I23" s="91" t="e">
        <f t="shared" si="7"/>
        <v>#REF!</v>
      </c>
      <c r="J23" s="91"/>
      <c r="K23" s="91"/>
      <c r="L23" s="255">
        <f t="shared" si="8"/>
        <v>0</v>
      </c>
      <c r="M23" s="469">
        <v>0</v>
      </c>
      <c r="N23" s="91">
        <f t="shared" si="9"/>
        <v>0</v>
      </c>
      <c r="O23" s="91"/>
      <c r="P23" s="91"/>
      <c r="Q23" s="255">
        <f t="shared" si="10"/>
        <v>0</v>
      </c>
      <c r="R23" s="91">
        <v>0</v>
      </c>
      <c r="S23" s="255">
        <f t="shared" si="11"/>
        <v>0</v>
      </c>
      <c r="T23" s="91"/>
      <c r="U23" s="91"/>
      <c r="V23" s="255">
        <f t="shared" si="12"/>
        <v>0</v>
      </c>
      <c r="W23" s="469">
        <v>0</v>
      </c>
      <c r="X23" s="91">
        <f t="shared" si="13"/>
        <v>0</v>
      </c>
      <c r="Y23" s="90">
        <f t="shared" si="14"/>
        <v>0</v>
      </c>
      <c r="Z23" s="91">
        <f>+Calcs!E108</f>
        <v>0</v>
      </c>
      <c r="AA23" s="91"/>
      <c r="AB23" s="91"/>
      <c r="AC23" s="90">
        <f t="shared" si="15"/>
        <v>0</v>
      </c>
      <c r="AD23" s="451">
        <f>+INDEX('Portfolio Listing'!$P$7:$P$28,MATCH(C23,'Portfolio Listing'!$C$7:$C$28,0))</f>
        <v>2186280</v>
      </c>
      <c r="AE23" s="91">
        <f t="shared" si="21"/>
        <v>2186280</v>
      </c>
      <c r="AF23" s="90">
        <f t="shared" si="22"/>
        <v>0</v>
      </c>
      <c r="AG23" s="91">
        <f>+Calcs!F108</f>
        <v>0</v>
      </c>
      <c r="AH23" s="90">
        <f>+AG23+AF23</f>
        <v>0</v>
      </c>
      <c r="AI23" s="451">
        <f>+Calcs!F109</f>
        <v>162772.48742329216</v>
      </c>
      <c r="AJ23" s="91">
        <f t="shared" si="23"/>
        <v>162772.48742329216</v>
      </c>
      <c r="AK23" s="90">
        <f t="shared" si="24"/>
        <v>0</v>
      </c>
      <c r="AL23" s="91">
        <f>+Calcs!G108</f>
        <v>0</v>
      </c>
      <c r="AM23" s="90">
        <f>+AL23+AK23</f>
        <v>0</v>
      </c>
      <c r="AN23" s="451">
        <f>+Calcs!G109</f>
        <v>211604.23365027981</v>
      </c>
      <c r="AO23" s="91">
        <f t="shared" si="25"/>
        <v>211604.23365027981</v>
      </c>
      <c r="AP23" s="90">
        <f t="shared" si="26"/>
        <v>0</v>
      </c>
      <c r="AQ23" s="91">
        <f>+Calcs!H108</f>
        <v>0</v>
      </c>
      <c r="AR23" s="90">
        <f>+AQ23+AP23</f>
        <v>0</v>
      </c>
      <c r="AS23" s="451">
        <f>+Calcs!H109</f>
        <v>275085.50374536379</v>
      </c>
      <c r="AT23" s="91">
        <f t="shared" si="27"/>
        <v>275085.50374536379</v>
      </c>
      <c r="AU23" s="90">
        <f t="shared" si="28"/>
        <v>0</v>
      </c>
      <c r="AV23" s="91">
        <f>+Calcs!I108</f>
        <v>0</v>
      </c>
      <c r="AW23" s="90">
        <f>+AV23+AU23</f>
        <v>0</v>
      </c>
      <c r="AX23" s="451">
        <f>+Calcs!I109</f>
        <v>357868.30039354693</v>
      </c>
      <c r="AY23" s="91">
        <f t="shared" si="29"/>
        <v>357868.30039354693</v>
      </c>
      <c r="AZ23" s="90">
        <f t="shared" si="30"/>
        <v>0</v>
      </c>
      <c r="BA23" s="91">
        <f>+Calcs!J108</f>
        <v>1723594.25</v>
      </c>
      <c r="BB23" s="90">
        <f>+BA23+AZ23</f>
        <v>1723594.25</v>
      </c>
      <c r="BC23" s="451">
        <f>+Calcs!J109</f>
        <v>329783.02431253536</v>
      </c>
      <c r="BD23" s="91">
        <f t="shared" si="31"/>
        <v>2053377.2743125353</v>
      </c>
      <c r="BE23" s="90">
        <f t="shared" si="32"/>
        <v>1723594.25</v>
      </c>
      <c r="BF23" s="91">
        <f>+Calcs!K108</f>
        <v>1723594.25</v>
      </c>
      <c r="BG23" s="90">
        <f>+BF23+BE23</f>
        <v>3447188.5</v>
      </c>
      <c r="BH23" s="451">
        <f>+Calcs!K109</f>
        <v>293272.16540722013</v>
      </c>
      <c r="BI23" s="91">
        <f t="shared" si="33"/>
        <v>3740460.6654072199</v>
      </c>
      <c r="BJ23" s="496"/>
      <c r="BK23" s="2" t="str">
        <f>+INDEX('Portfolio Summary'!H$6:H$28,MATCH($C23,'Portfolio Summary'!$C$6:$C$28,0))</f>
        <v xml:space="preserve">Global </v>
      </c>
      <c r="BL23" s="2" t="str">
        <f>+INDEX('Portfolio Summary'!I$6:I$28,MATCH($C23,'Portfolio Summary'!$C$6:$C$28,0))</f>
        <v>Diversified</v>
      </c>
      <c r="BM23" s="2" t="str">
        <f>+INDEX('Portfolio Summary'!J$6:J$28,MATCH($C23,'Portfolio Summary'!$C$6:$C$28,0))</f>
        <v>PE - VC / Growth</v>
      </c>
      <c r="BN23" s="107"/>
      <c r="BO23" s="255">
        <f>+INDEX('Portfolio Listing'!$P$7:$P$25,MATCH(C23,'Portfolio Listing'!$C$7:$C$25,0))</f>
        <v>2186280</v>
      </c>
      <c r="BP23" s="255">
        <f t="shared" si="16"/>
        <v>0</v>
      </c>
      <c r="CH23" s="2" t="str">
        <f t="shared" si="17"/>
        <v>Genedant Ventures I</v>
      </c>
      <c r="CI23" s="199">
        <f t="shared" si="18"/>
        <v>2186280</v>
      </c>
      <c r="CJ23" s="199">
        <f>'Portfolio Summary'!AH59</f>
        <v>-2954733</v>
      </c>
      <c r="CK23" s="610">
        <f t="shared" si="19"/>
        <v>-768453</v>
      </c>
    </row>
    <row r="24" spans="2:89">
      <c r="B24" s="2">
        <f t="shared" si="20"/>
        <v>19</v>
      </c>
      <c r="C24" s="470" t="s">
        <v>22</v>
      </c>
      <c r="E24" s="91"/>
      <c r="F24" s="91"/>
      <c r="G24" s="255">
        <f t="shared" si="6"/>
        <v>0</v>
      </c>
      <c r="H24" s="450" t="e">
        <f>+INDEX(#REF!,MATCH(C24,#REF!,0))</f>
        <v>#REF!</v>
      </c>
      <c r="I24" s="91" t="e">
        <f t="shared" si="7"/>
        <v>#REF!</v>
      </c>
      <c r="J24" s="91"/>
      <c r="K24" s="91"/>
      <c r="L24" s="255">
        <f t="shared" si="8"/>
        <v>0</v>
      </c>
      <c r="M24" s="469">
        <v>0</v>
      </c>
      <c r="N24" s="91">
        <f t="shared" si="9"/>
        <v>0</v>
      </c>
      <c r="O24" s="91"/>
      <c r="P24" s="91"/>
      <c r="Q24" s="255">
        <f t="shared" si="10"/>
        <v>0</v>
      </c>
      <c r="R24" s="91">
        <v>0</v>
      </c>
      <c r="S24" s="255">
        <f t="shared" si="11"/>
        <v>0</v>
      </c>
      <c r="T24" s="91"/>
      <c r="U24" s="91"/>
      <c r="V24" s="255">
        <f t="shared" si="12"/>
        <v>0</v>
      </c>
      <c r="W24" s="469">
        <v>0</v>
      </c>
      <c r="X24" s="91">
        <f t="shared" si="13"/>
        <v>0</v>
      </c>
      <c r="Y24" s="90">
        <f>+T24</f>
        <v>0</v>
      </c>
      <c r="Z24" s="91">
        <f>+Calcs!E114</f>
        <v>0</v>
      </c>
      <c r="AA24" s="91"/>
      <c r="AB24" s="91"/>
      <c r="AC24" s="90">
        <f t="shared" si="15"/>
        <v>0</v>
      </c>
      <c r="AD24" s="451">
        <f>+INDEX('Portfolio Listing'!$P$7:$P$28,MATCH(C24,'Portfolio Listing'!$C$7:$C$28,0))</f>
        <v>2093389</v>
      </c>
      <c r="AE24" s="91">
        <f>+AC24+AD24</f>
        <v>2093389</v>
      </c>
      <c r="AF24" s="90">
        <f>+AC24</f>
        <v>0</v>
      </c>
      <c r="AG24" s="91">
        <f>+Calcs!F114</f>
        <v>0</v>
      </c>
      <c r="AH24" s="90">
        <f>+AG24+AF24</f>
        <v>0</v>
      </c>
      <c r="AI24" s="451">
        <f>+Calcs!F115</f>
        <v>3130621.1621193429</v>
      </c>
      <c r="AJ24" s="91">
        <f>+AH24+AI24</f>
        <v>3130621.1621193429</v>
      </c>
      <c r="AK24" s="90">
        <f t="shared" si="24"/>
        <v>0</v>
      </c>
      <c r="AL24" s="91">
        <f>+Calcs!G114</f>
        <v>0</v>
      </c>
      <c r="AM24" s="90">
        <f>+AL24+AK24</f>
        <v>0</v>
      </c>
      <c r="AN24" s="451">
        <f>+Calcs!G115</f>
        <v>7974445.8207103526</v>
      </c>
      <c r="AO24" s="91">
        <f t="shared" si="25"/>
        <v>7974445.8207103526</v>
      </c>
      <c r="AP24" s="90">
        <f t="shared" si="26"/>
        <v>0</v>
      </c>
      <c r="AQ24" s="91">
        <f>+Calcs!H114</f>
        <v>0</v>
      </c>
      <c r="AR24" s="90">
        <f>+AQ24+AP24</f>
        <v>0</v>
      </c>
      <c r="AS24" s="451">
        <f>+Calcs!H115</f>
        <v>14798031.264834831</v>
      </c>
      <c r="AT24" s="91">
        <f t="shared" si="27"/>
        <v>14798031.264834831</v>
      </c>
      <c r="AU24" s="90">
        <f t="shared" si="28"/>
        <v>0</v>
      </c>
      <c r="AV24" s="91">
        <f>+Calcs!I114</f>
        <v>0</v>
      </c>
      <c r="AW24" s="90">
        <f>+AV24+AU24</f>
        <v>0</v>
      </c>
      <c r="AX24" s="451">
        <f>+Calcs!I115</f>
        <v>24251239.527844973</v>
      </c>
      <c r="AY24" s="91">
        <f t="shared" si="29"/>
        <v>24251239.527844973</v>
      </c>
      <c r="AZ24" s="90">
        <f t="shared" si="30"/>
        <v>0</v>
      </c>
      <c r="BA24" s="91">
        <f>+Calcs!J114</f>
        <v>8470000</v>
      </c>
      <c r="BB24" s="90">
        <f>+BA24+AZ24</f>
        <v>8470000</v>
      </c>
      <c r="BC24" s="451">
        <f>+Calcs!J115</f>
        <v>21116512.223970868</v>
      </c>
      <c r="BD24" s="91">
        <f t="shared" si="31"/>
        <v>29586512.223970868</v>
      </c>
      <c r="BE24" s="90">
        <f t="shared" si="32"/>
        <v>8470000</v>
      </c>
      <c r="BF24" s="91">
        <f>+Calcs!K114</f>
        <v>8470000</v>
      </c>
      <c r="BG24" s="90">
        <f>+BF24+BE24</f>
        <v>16940000</v>
      </c>
      <c r="BH24" s="451">
        <f>+Calcs!K115</f>
        <v>17292144.913244456</v>
      </c>
      <c r="BI24" s="91">
        <f t="shared" si="33"/>
        <v>34232144.913244456</v>
      </c>
      <c r="BJ24" s="496"/>
      <c r="BK24" s="2" t="str">
        <f>+INDEX('Portfolio Summary'!H$6:H$28,MATCH($C24,'Portfolio Summary'!$C$6:$C$28,0))</f>
        <v>US</v>
      </c>
      <c r="BL24" s="2" t="str">
        <f>+INDEX('Portfolio Summary'!I$6:I$28,MATCH($C24,'Portfolio Summary'!$C$6:$C$28,0))</f>
        <v>Diversified</v>
      </c>
      <c r="BM24" s="2" t="str">
        <f>+INDEX('Portfolio Summary'!J$6:J$28,MATCH($C24,'Portfolio Summary'!$C$6:$C$28,0))</f>
        <v>PE - Buyout</v>
      </c>
      <c r="BN24" s="107"/>
      <c r="BO24" s="255">
        <f>+INDEX('Portfolio Listing'!$P$7:$P$25,MATCH(C24,'Portfolio Listing'!$C$7:$C$25,0))</f>
        <v>2093389</v>
      </c>
      <c r="BP24" s="255">
        <f t="shared" si="16"/>
        <v>0</v>
      </c>
      <c r="CH24" s="2" t="str">
        <f t="shared" si="17"/>
        <v>GTCR XIV Access Offshore LP</v>
      </c>
      <c r="CI24" s="199">
        <f t="shared" si="18"/>
        <v>2093389</v>
      </c>
      <c r="CJ24" s="199">
        <f>'Portfolio Summary'!AH60</f>
        <v>-1756064.05</v>
      </c>
      <c r="CK24" s="610">
        <f t="shared" si="19"/>
        <v>337324.94999999995</v>
      </c>
    </row>
    <row r="25" spans="2:89" s="75" customFormat="1">
      <c r="C25" s="75" t="s">
        <v>16</v>
      </c>
      <c r="E25" s="257">
        <f>+SUM(E6:E24)</f>
        <v>112683439.24000001</v>
      </c>
      <c r="F25" s="257">
        <f t="shared" ref="F25:I25" si="35">+SUM(F6:F24)</f>
        <v>0</v>
      </c>
      <c r="G25" s="257">
        <f t="shared" si="35"/>
        <v>112683439.24000001</v>
      </c>
      <c r="H25" s="257" t="e">
        <f t="shared" si="35"/>
        <v>#REF!</v>
      </c>
      <c r="I25" s="257" t="e">
        <f t="shared" si="35"/>
        <v>#REF!</v>
      </c>
      <c r="J25" s="257">
        <f>+SUM(J6:J24)</f>
        <v>142595589.71000001</v>
      </c>
      <c r="K25" s="257">
        <f t="shared" ref="K25:BI25" si="36">+SUM(K6:K24)</f>
        <v>0</v>
      </c>
      <c r="L25" s="257">
        <f t="shared" si="36"/>
        <v>142595589.71000001</v>
      </c>
      <c r="M25" s="257">
        <f t="shared" si="36"/>
        <v>226026041.47999999</v>
      </c>
      <c r="N25" s="257">
        <f t="shared" si="36"/>
        <v>368621631.19</v>
      </c>
      <c r="O25" s="257">
        <f t="shared" si="36"/>
        <v>184126869.67000002</v>
      </c>
      <c r="P25" s="257">
        <f t="shared" si="36"/>
        <v>0</v>
      </c>
      <c r="Q25" s="257">
        <f t="shared" si="36"/>
        <v>184126869.67000002</v>
      </c>
      <c r="R25" s="257">
        <f t="shared" si="36"/>
        <v>205801809.26999998</v>
      </c>
      <c r="S25" s="257">
        <f t="shared" si="36"/>
        <v>389928678.93999994</v>
      </c>
      <c r="T25" s="257">
        <f t="shared" si="36"/>
        <v>212217039.58000001</v>
      </c>
      <c r="U25" s="257">
        <f t="shared" si="36"/>
        <v>0</v>
      </c>
      <c r="V25" s="257">
        <f>+SUM(V6:V24)</f>
        <v>212217039.58000001</v>
      </c>
      <c r="W25" s="257">
        <f t="shared" si="36"/>
        <v>219992832.74999997</v>
      </c>
      <c r="X25" s="257">
        <f t="shared" si="36"/>
        <v>432209872.33000004</v>
      </c>
      <c r="Y25" s="257">
        <f t="shared" si="36"/>
        <v>212217039.58000001</v>
      </c>
      <c r="Z25" s="107">
        <f t="shared" si="36"/>
        <v>12790088.11826</v>
      </c>
      <c r="AA25" s="107"/>
      <c r="AB25" s="107"/>
      <c r="AC25" s="257">
        <f t="shared" si="36"/>
        <v>225007127.69826001</v>
      </c>
      <c r="AD25" s="257">
        <f t="shared" si="36"/>
        <v>236667977.35999998</v>
      </c>
      <c r="AE25" s="257">
        <f t="shared" si="36"/>
        <v>461675105.05826002</v>
      </c>
      <c r="AF25" s="257">
        <f t="shared" si="36"/>
        <v>225007127.69826001</v>
      </c>
      <c r="AG25" s="257">
        <f t="shared" si="36"/>
        <v>39395939.210000001</v>
      </c>
      <c r="AH25" s="257">
        <f t="shared" si="36"/>
        <v>264403066.90825999</v>
      </c>
      <c r="AI25" s="257">
        <f t="shared" si="36"/>
        <v>255584478.3067345</v>
      </c>
      <c r="AJ25" s="257">
        <f t="shared" si="36"/>
        <v>519987545.21499443</v>
      </c>
      <c r="AK25" s="257">
        <f t="shared" si="36"/>
        <v>264403066.90825999</v>
      </c>
      <c r="AL25" s="257">
        <f t="shared" si="36"/>
        <v>115745438.39264284</v>
      </c>
      <c r="AM25" s="257">
        <f t="shared" si="36"/>
        <v>380148505.3009029</v>
      </c>
      <c r="AN25" s="257">
        <f t="shared" si="36"/>
        <v>254428868.65728378</v>
      </c>
      <c r="AO25" s="257">
        <f t="shared" si="36"/>
        <v>634577373.95818663</v>
      </c>
      <c r="AP25" s="257">
        <f t="shared" si="36"/>
        <v>380148505.3009029</v>
      </c>
      <c r="AQ25" s="257">
        <f t="shared" si="36"/>
        <v>123319529.59367046</v>
      </c>
      <c r="AR25" s="257">
        <f t="shared" si="36"/>
        <v>503468034.89457339</v>
      </c>
      <c r="AS25" s="257">
        <f t="shared" si="36"/>
        <v>223910011.75180647</v>
      </c>
      <c r="AT25" s="257">
        <f t="shared" si="36"/>
        <v>727378046.64637995</v>
      </c>
      <c r="AU25" s="257">
        <f t="shared" si="36"/>
        <v>503468034.89457339</v>
      </c>
      <c r="AV25" s="257">
        <f t="shared" si="36"/>
        <v>112448635.93367046</v>
      </c>
      <c r="AW25" s="257">
        <f t="shared" si="36"/>
        <v>615916670.82824373</v>
      </c>
      <c r="AX25" s="257">
        <f>+SUM(AX6:AX24)</f>
        <v>171825588.13522175</v>
      </c>
      <c r="AY25" s="257">
        <f t="shared" si="36"/>
        <v>787742258.96346557</v>
      </c>
      <c r="AZ25" s="257">
        <f t="shared" si="36"/>
        <v>615916670.82824373</v>
      </c>
      <c r="BA25" s="257">
        <f t="shared" si="36"/>
        <v>99313036.822642863</v>
      </c>
      <c r="BB25" s="257">
        <f t="shared" si="36"/>
        <v>715229707.65088665</v>
      </c>
      <c r="BC25" s="257">
        <f t="shared" si="36"/>
        <v>115053692.02654052</v>
      </c>
      <c r="BD25" s="257">
        <f t="shared" si="36"/>
        <v>830283399.67742717</v>
      </c>
      <c r="BE25" s="257">
        <f t="shared" si="36"/>
        <v>715229707.65088665</v>
      </c>
      <c r="BF25" s="257">
        <f t="shared" si="36"/>
        <v>85346381.025142863</v>
      </c>
      <c r="BG25" s="257">
        <f t="shared" si="36"/>
        <v>800576088.67602944</v>
      </c>
      <c r="BH25" s="257">
        <f t="shared" si="36"/>
        <v>58663868.359051995</v>
      </c>
      <c r="BI25" s="257">
        <f t="shared" si="36"/>
        <v>859239957.03508139</v>
      </c>
      <c r="BJ25" s="496"/>
      <c r="BN25" s="257"/>
      <c r="BO25" s="257">
        <f>SUM(BO6:BO24)</f>
        <v>236667977.35999998</v>
      </c>
      <c r="BP25" s="257">
        <f>+BO25-AD25</f>
        <v>0</v>
      </c>
      <c r="CK25" s="2"/>
    </row>
    <row r="26" spans="2:89">
      <c r="AC26" s="189"/>
      <c r="AD26" s="189">
        <f>+AD25-W25</f>
        <v>16675144.610000014</v>
      </c>
      <c r="AE26" s="356">
        <f>+AE25/X25-1</f>
        <v>6.8173437523339819E-2</v>
      </c>
    </row>
    <row r="27" spans="2:89" ht="13.5">
      <c r="C27" s="75" t="s">
        <v>1462</v>
      </c>
      <c r="E27" s="233"/>
      <c r="F27" s="233"/>
      <c r="G27" s="233"/>
      <c r="H27" s="233"/>
      <c r="I27" s="447"/>
      <c r="J27" s="233"/>
      <c r="K27" s="233"/>
      <c r="L27" s="233"/>
      <c r="M27" s="233"/>
      <c r="N27" s="447"/>
      <c r="O27" s="233"/>
      <c r="P27" s="233"/>
      <c r="Q27" s="233"/>
      <c r="R27" s="233"/>
      <c r="S27" s="447"/>
      <c r="T27" s="233"/>
      <c r="U27" s="233"/>
      <c r="V27" s="233"/>
      <c r="W27" s="233"/>
      <c r="X27" s="447"/>
      <c r="Y27" s="233"/>
      <c r="Z27" s="589"/>
      <c r="AA27" s="589"/>
      <c r="AB27" s="589"/>
      <c r="AC27" s="233"/>
      <c r="AD27" s="233"/>
      <c r="AE27" s="447"/>
      <c r="AF27" s="233"/>
      <c r="AG27" s="233"/>
      <c r="AH27" s="233"/>
      <c r="AI27" s="233"/>
      <c r="AJ27" s="447"/>
      <c r="AK27" s="233"/>
      <c r="AL27" s="233"/>
      <c r="AM27" s="233"/>
      <c r="AN27" s="233"/>
      <c r="AO27" s="447"/>
      <c r="AP27" s="233"/>
      <c r="AQ27" s="233"/>
      <c r="AR27" s="233"/>
      <c r="AS27" s="233"/>
      <c r="AT27" s="447"/>
      <c r="AU27" s="233"/>
      <c r="AV27" s="233"/>
      <c r="AW27" s="233"/>
      <c r="AX27" s="233"/>
      <c r="AY27" s="447"/>
      <c r="AZ27" s="233"/>
      <c r="BA27" s="233"/>
      <c r="BB27" s="233"/>
      <c r="BC27" s="233"/>
      <c r="BD27" s="447"/>
      <c r="BE27" s="233"/>
      <c r="BF27" s="233"/>
      <c r="BG27" s="233"/>
      <c r="BH27" s="233"/>
      <c r="BI27" s="447"/>
      <c r="BJ27" s="495"/>
      <c r="BN27" s="447"/>
      <c r="BO27" s="447"/>
      <c r="BP27" s="447"/>
    </row>
    <row r="28" spans="2:89">
      <c r="B28" s="2">
        <f>+B6</f>
        <v>1</v>
      </c>
      <c r="C28" s="449"/>
      <c r="E28" s="448"/>
      <c r="F28" s="255"/>
      <c r="G28" s="255"/>
      <c r="H28" s="450"/>
      <c r="I28" s="255"/>
      <c r="J28" s="448"/>
      <c r="K28" s="255"/>
      <c r="L28" s="255"/>
      <c r="M28" s="450"/>
      <c r="N28" s="255"/>
      <c r="O28" s="448"/>
      <c r="P28" s="255"/>
      <c r="Q28" s="255"/>
      <c r="R28" s="450"/>
      <c r="S28" s="255"/>
      <c r="T28" s="448"/>
      <c r="U28" s="255"/>
      <c r="V28" s="255"/>
      <c r="W28" s="450"/>
      <c r="X28" s="255"/>
      <c r="Y28" s="90"/>
      <c r="Z28" s="451"/>
      <c r="AA28" s="451"/>
      <c r="AB28" s="451"/>
      <c r="AC28" s="90"/>
      <c r="AD28" s="451"/>
      <c r="AE28" s="91"/>
      <c r="AF28" s="90"/>
      <c r="AG28" s="451"/>
      <c r="AH28" s="90"/>
      <c r="AI28" s="451"/>
      <c r="AJ28" s="91"/>
      <c r="AK28" s="90"/>
      <c r="AL28" s="451"/>
      <c r="AM28" s="90"/>
      <c r="AN28" s="451"/>
      <c r="AO28" s="91"/>
      <c r="AP28" s="90"/>
      <c r="AQ28" s="451"/>
      <c r="AR28" s="90"/>
      <c r="AS28" s="451"/>
      <c r="AT28" s="91"/>
      <c r="AU28" s="90"/>
      <c r="AV28" s="451"/>
      <c r="AW28" s="90"/>
      <c r="AX28" s="451"/>
      <c r="AY28" s="91"/>
      <c r="AZ28" s="90"/>
      <c r="BA28" s="451"/>
      <c r="BB28" s="90"/>
      <c r="BC28" s="451"/>
      <c r="BD28" s="91"/>
      <c r="BE28" s="90"/>
      <c r="BF28" s="451"/>
      <c r="BG28" s="90"/>
      <c r="BH28" s="451"/>
      <c r="BI28" s="91"/>
      <c r="BJ28" s="496"/>
      <c r="BK28" s="2" t="e">
        <f>+INDEX('Portfolio Summary'!H$6:H$28,MATCH($C28,'Portfolio Summary'!$C$6:$C$28,0))</f>
        <v>#N/A</v>
      </c>
      <c r="BL28" s="2" t="e">
        <f>+INDEX('Portfolio Summary'!I$6:I$28,MATCH($C28,'Portfolio Summary'!$C$6:$C$28,0))</f>
        <v>#N/A</v>
      </c>
      <c r="BM28" s="2" t="e">
        <f>+INDEX('Portfolio Summary'!J$6:J$28,MATCH($C28,'Portfolio Summary'!$C$6:$C$28,0))</f>
        <v>#N/A</v>
      </c>
      <c r="BN28" s="107"/>
      <c r="BO28" s="91" t="e">
        <f>+INDEX('Portfolio Listing'!#REF!,MATCH(C28,'Portfolio Listing'!#REF!,0))</f>
        <v>#REF!</v>
      </c>
      <c r="BP28" s="255" t="e">
        <f t="shared" ref="BP28:BP49" si="37">+BO28-AD28</f>
        <v>#REF!</v>
      </c>
    </row>
    <row r="29" spans="2:89">
      <c r="B29" s="2">
        <f>+B28+1</f>
        <v>2</v>
      </c>
      <c r="C29" s="449"/>
      <c r="E29" s="91"/>
      <c r="F29" s="91"/>
      <c r="G29" s="91"/>
      <c r="H29" s="469"/>
      <c r="I29" s="91"/>
      <c r="J29" s="91"/>
      <c r="K29" s="91"/>
      <c r="L29" s="91"/>
      <c r="M29" s="469"/>
      <c r="N29" s="91"/>
      <c r="O29" s="91"/>
      <c r="P29" s="91"/>
      <c r="Q29" s="91"/>
      <c r="R29" s="469"/>
      <c r="S29" s="91"/>
      <c r="T29" s="91"/>
      <c r="U29" s="91"/>
      <c r="V29" s="91"/>
      <c r="W29" s="469"/>
      <c r="X29" s="91"/>
      <c r="Y29" s="90"/>
      <c r="Z29" s="451"/>
      <c r="AA29" s="451"/>
      <c r="AB29" s="451"/>
      <c r="AC29" s="90"/>
      <c r="AD29" s="451"/>
      <c r="AE29" s="91"/>
      <c r="AF29" s="90"/>
      <c r="AG29" s="451"/>
      <c r="AH29" s="90"/>
      <c r="AI29" s="451"/>
      <c r="AJ29" s="91"/>
      <c r="AK29" s="90"/>
      <c r="AL29" s="451"/>
      <c r="AM29" s="90"/>
      <c r="AN29" s="451"/>
      <c r="AO29" s="91"/>
      <c r="AP29" s="90"/>
      <c r="AQ29" s="451"/>
      <c r="AR29" s="90"/>
      <c r="AS29" s="451"/>
      <c r="AT29" s="91"/>
      <c r="AU29" s="90"/>
      <c r="AV29" s="451"/>
      <c r="AW29" s="90"/>
      <c r="AX29" s="451"/>
      <c r="AY29" s="91"/>
      <c r="AZ29" s="90"/>
      <c r="BA29" s="451"/>
      <c r="BB29" s="90"/>
      <c r="BC29" s="451"/>
      <c r="BD29" s="91"/>
      <c r="BE29" s="90"/>
      <c r="BF29" s="451"/>
      <c r="BG29" s="90"/>
      <c r="BH29" s="451"/>
      <c r="BI29" s="91"/>
      <c r="BJ29" s="496"/>
      <c r="BK29" s="2" t="e">
        <f>+INDEX('Portfolio Summary'!H$6:H$28,MATCH($C29,'Portfolio Summary'!$C$6:$C$28,0))</f>
        <v>#N/A</v>
      </c>
      <c r="BL29" s="2" t="e">
        <f>+INDEX('Portfolio Summary'!I$6:I$28,MATCH($C29,'Portfolio Summary'!$C$6:$C$28,0))</f>
        <v>#N/A</v>
      </c>
      <c r="BM29" s="2" t="e">
        <f>+INDEX('Portfolio Summary'!J$6:J$28,MATCH($C29,'Portfolio Summary'!$C$6:$C$28,0))</f>
        <v>#N/A</v>
      </c>
      <c r="BN29" s="107"/>
      <c r="BO29" s="91" t="e">
        <f>+'Portfolio Listing'!#REF!</f>
        <v>#REF!</v>
      </c>
      <c r="BP29" s="91" t="e">
        <f t="shared" si="37"/>
        <v>#REF!</v>
      </c>
      <c r="BR29" s="324" t="s">
        <v>1463</v>
      </c>
    </row>
    <row r="30" spans="2:89">
      <c r="B30" s="2">
        <f t="shared" ref="B30:B36" si="38">+B29+1</f>
        <v>3</v>
      </c>
      <c r="C30" s="449"/>
      <c r="E30" s="91"/>
      <c r="F30" s="91"/>
      <c r="G30" s="91"/>
      <c r="H30" s="469"/>
      <c r="I30" s="91"/>
      <c r="J30" s="91"/>
      <c r="K30" s="91"/>
      <c r="L30" s="91"/>
      <c r="M30" s="469"/>
      <c r="N30" s="91"/>
      <c r="O30" s="189"/>
      <c r="P30" s="91"/>
      <c r="Q30" s="91"/>
      <c r="R30" s="469"/>
      <c r="S30" s="91"/>
      <c r="T30" s="189"/>
      <c r="U30" s="91"/>
      <c r="V30" s="91"/>
      <c r="W30" s="469"/>
      <c r="X30" s="91"/>
      <c r="Y30" s="90"/>
      <c r="Z30" s="451"/>
      <c r="AA30" s="451"/>
      <c r="AB30" s="451"/>
      <c r="AC30" s="90"/>
      <c r="AD30" s="451"/>
      <c r="AE30" s="91"/>
      <c r="AF30" s="90"/>
      <c r="AG30" s="451"/>
      <c r="AH30" s="90"/>
      <c r="AI30" s="451"/>
      <c r="AJ30" s="91"/>
      <c r="AK30" s="90"/>
      <c r="AL30" s="451"/>
      <c r="AM30" s="90"/>
      <c r="AN30" s="451"/>
      <c r="AO30" s="91"/>
      <c r="AP30" s="90"/>
      <c r="AQ30" s="451"/>
      <c r="AR30" s="90"/>
      <c r="AS30" s="451"/>
      <c r="AT30" s="91"/>
      <c r="AU30" s="90"/>
      <c r="AV30" s="451"/>
      <c r="AW30" s="90"/>
      <c r="AX30" s="451"/>
      <c r="AY30" s="91"/>
      <c r="AZ30" s="90"/>
      <c r="BA30" s="451"/>
      <c r="BB30" s="90"/>
      <c r="BC30" s="451"/>
      <c r="BD30" s="91"/>
      <c r="BE30" s="90"/>
      <c r="BF30" s="451"/>
      <c r="BG30" s="90"/>
      <c r="BH30" s="451"/>
      <c r="BI30" s="91"/>
      <c r="BJ30" s="496"/>
      <c r="BK30" s="2" t="e">
        <f>+INDEX('Portfolio Summary'!H$6:H$28,MATCH($C30,'Portfolio Summary'!$C$6:$C$28,0))</f>
        <v>#N/A</v>
      </c>
      <c r="BL30" s="2" t="e">
        <f>+INDEX('Portfolio Summary'!I$6:I$28,MATCH($C30,'Portfolio Summary'!$C$6:$C$28,0))</f>
        <v>#N/A</v>
      </c>
      <c r="BM30" s="2" t="e">
        <f>+INDEX('Portfolio Summary'!J$6:J$28,MATCH($C30,'Portfolio Summary'!$C$6:$C$28,0))</f>
        <v>#N/A</v>
      </c>
      <c r="BN30" s="107"/>
      <c r="BO30" s="91" t="e">
        <f>+'Portfolio Listing'!#REF!</f>
        <v>#REF!</v>
      </c>
      <c r="BP30" s="91" t="e">
        <f t="shared" si="37"/>
        <v>#REF!</v>
      </c>
    </row>
    <row r="31" spans="2:89">
      <c r="B31" s="2">
        <f t="shared" si="38"/>
        <v>4</v>
      </c>
      <c r="C31" s="449"/>
      <c r="E31" s="91"/>
      <c r="F31" s="91"/>
      <c r="G31" s="91"/>
      <c r="H31" s="469"/>
      <c r="I31" s="91"/>
      <c r="J31" s="91"/>
      <c r="K31" s="91"/>
      <c r="L31" s="91"/>
      <c r="M31" s="469"/>
      <c r="N31" s="91"/>
      <c r="O31" s="469"/>
      <c r="P31" s="91"/>
      <c r="Q31" s="91"/>
      <c r="R31" s="469"/>
      <c r="S31" s="91"/>
      <c r="T31" s="469"/>
      <c r="U31" s="91"/>
      <c r="V31" s="91"/>
      <c r="W31" s="469"/>
      <c r="X31" s="91"/>
      <c r="Y31" s="90"/>
      <c r="Z31" s="451"/>
      <c r="AA31" s="451"/>
      <c r="AB31" s="451"/>
      <c r="AC31" s="90"/>
      <c r="AD31" s="451"/>
      <c r="AE31" s="91"/>
      <c r="AF31" s="90"/>
      <c r="AG31" s="451"/>
      <c r="AH31" s="90"/>
      <c r="AI31" s="451"/>
      <c r="AJ31" s="91"/>
      <c r="AK31" s="90"/>
      <c r="AL31" s="451"/>
      <c r="AM31" s="90"/>
      <c r="AN31" s="451"/>
      <c r="AO31" s="91"/>
      <c r="AP31" s="90"/>
      <c r="AQ31" s="451"/>
      <c r="AR31" s="90"/>
      <c r="AS31" s="451"/>
      <c r="AT31" s="91"/>
      <c r="AU31" s="90"/>
      <c r="AV31" s="451"/>
      <c r="AW31" s="90"/>
      <c r="AX31" s="451"/>
      <c r="AY31" s="91"/>
      <c r="AZ31" s="90"/>
      <c r="BA31" s="451"/>
      <c r="BB31" s="90"/>
      <c r="BC31" s="451"/>
      <c r="BD31" s="91"/>
      <c r="BE31" s="90"/>
      <c r="BF31" s="451"/>
      <c r="BG31" s="90"/>
      <c r="BH31" s="451"/>
      <c r="BI31" s="91"/>
      <c r="BJ31" s="496"/>
      <c r="BK31" s="2" t="e">
        <f>+INDEX('Portfolio Summary'!H$6:H$28,MATCH($C31,'Portfolio Summary'!$C$6:$C$28,0))</f>
        <v>#N/A</v>
      </c>
      <c r="BL31" s="2" t="e">
        <f>+INDEX('Portfolio Summary'!I$6:I$28,MATCH($C31,'Portfolio Summary'!$C$6:$C$28,0))</f>
        <v>#N/A</v>
      </c>
      <c r="BM31" s="2" t="e">
        <f>+INDEX('Portfolio Summary'!J$6:J$28,MATCH($C31,'Portfolio Summary'!$C$6:$C$28,0))</f>
        <v>#N/A</v>
      </c>
      <c r="BN31" s="107"/>
      <c r="BO31" s="91" t="e">
        <f>+'Portfolio Listing'!#REF!</f>
        <v>#REF!</v>
      </c>
      <c r="BP31" s="91" t="e">
        <f t="shared" si="37"/>
        <v>#REF!</v>
      </c>
    </row>
    <row r="32" spans="2:89">
      <c r="B32" s="2">
        <f t="shared" si="38"/>
        <v>5</v>
      </c>
      <c r="C32" s="449"/>
      <c r="E32" s="91"/>
      <c r="F32" s="91"/>
      <c r="G32" s="91"/>
      <c r="H32" s="469"/>
      <c r="I32" s="91"/>
      <c r="J32" s="91"/>
      <c r="K32" s="91"/>
      <c r="L32" s="91"/>
      <c r="M32" s="469"/>
      <c r="N32" s="91"/>
      <c r="O32" s="189"/>
      <c r="P32" s="91"/>
      <c r="Q32" s="91"/>
      <c r="R32" s="469"/>
      <c r="S32" s="91"/>
      <c r="T32" s="189"/>
      <c r="U32" s="91"/>
      <c r="V32" s="91"/>
      <c r="W32" s="469"/>
      <c r="X32" s="91"/>
      <c r="Y32" s="90"/>
      <c r="Z32" s="451"/>
      <c r="AA32" s="451"/>
      <c r="AB32" s="451"/>
      <c r="AC32" s="90"/>
      <c r="AD32" s="451"/>
      <c r="AE32" s="91"/>
      <c r="AF32" s="90"/>
      <c r="AG32" s="451"/>
      <c r="AH32" s="90"/>
      <c r="AI32" s="451"/>
      <c r="AJ32" s="91"/>
      <c r="AK32" s="90"/>
      <c r="AL32" s="451"/>
      <c r="AM32" s="90"/>
      <c r="AN32" s="451"/>
      <c r="AO32" s="91"/>
      <c r="AP32" s="90"/>
      <c r="AQ32" s="451"/>
      <c r="AR32" s="90"/>
      <c r="AS32" s="451"/>
      <c r="AT32" s="91"/>
      <c r="AU32" s="90"/>
      <c r="AV32" s="451"/>
      <c r="AW32" s="90"/>
      <c r="AX32" s="451"/>
      <c r="AY32" s="91"/>
      <c r="AZ32" s="90"/>
      <c r="BA32" s="451"/>
      <c r="BB32" s="90"/>
      <c r="BC32" s="451"/>
      <c r="BD32" s="91"/>
      <c r="BE32" s="90"/>
      <c r="BF32" s="451"/>
      <c r="BG32" s="90"/>
      <c r="BH32" s="451"/>
      <c r="BI32" s="91"/>
      <c r="BJ32" s="496"/>
      <c r="BK32" s="2" t="e">
        <f>+INDEX('Portfolio Summary'!H$6:H$28,MATCH($C32,'Portfolio Summary'!$C$6:$C$28,0))</f>
        <v>#N/A</v>
      </c>
      <c r="BL32" s="2" t="e">
        <f>+INDEX('Portfolio Summary'!I$6:I$28,MATCH($C32,'Portfolio Summary'!$C$6:$C$28,0))</f>
        <v>#N/A</v>
      </c>
      <c r="BM32" s="2" t="e">
        <f>+INDEX('Portfolio Summary'!J$6:J$28,MATCH($C32,'Portfolio Summary'!$C$6:$C$28,0))</f>
        <v>#N/A</v>
      </c>
      <c r="BN32" s="107"/>
      <c r="BO32" s="91" t="e">
        <f>+'Portfolio Listing'!#REF!</f>
        <v>#REF!</v>
      </c>
      <c r="BP32" s="91" t="e">
        <f t="shared" si="37"/>
        <v>#REF!</v>
      </c>
    </row>
    <row r="33" spans="2:68">
      <c r="B33" s="2">
        <f t="shared" si="38"/>
        <v>6</v>
      </c>
      <c r="C33" s="449"/>
      <c r="E33" s="451"/>
      <c r="F33" s="91"/>
      <c r="G33" s="255"/>
      <c r="H33" s="450"/>
      <c r="I33" s="255"/>
      <c r="J33" s="451"/>
      <c r="K33" s="91"/>
      <c r="L33" s="255"/>
      <c r="M33" s="469"/>
      <c r="N33" s="255"/>
      <c r="O33" s="451"/>
      <c r="P33" s="91"/>
      <c r="Q33" s="255"/>
      <c r="R33" s="469"/>
      <c r="S33" s="255"/>
      <c r="T33" s="451"/>
      <c r="U33" s="91"/>
      <c r="V33" s="255"/>
      <c r="W33" s="469"/>
      <c r="X33" s="91"/>
      <c r="Y33" s="90"/>
      <c r="Z33" s="451"/>
      <c r="AA33" s="451"/>
      <c r="AB33" s="451"/>
      <c r="AC33" s="90"/>
      <c r="AD33" s="451"/>
      <c r="AE33" s="91"/>
      <c r="AF33" s="90"/>
      <c r="AG33" s="451"/>
      <c r="AH33" s="90"/>
      <c r="AI33" s="451"/>
      <c r="AJ33" s="91"/>
      <c r="AK33" s="90"/>
      <c r="AL33" s="451"/>
      <c r="AM33" s="90"/>
      <c r="AN33" s="451"/>
      <c r="AO33" s="91"/>
      <c r="AP33" s="90"/>
      <c r="AQ33" s="451"/>
      <c r="AR33" s="90"/>
      <c r="AS33" s="451"/>
      <c r="AT33" s="91"/>
      <c r="AU33" s="90"/>
      <c r="AV33" s="451"/>
      <c r="AW33" s="90"/>
      <c r="AX33" s="451"/>
      <c r="AY33" s="91"/>
      <c r="AZ33" s="90"/>
      <c r="BA33" s="451"/>
      <c r="BB33" s="90"/>
      <c r="BC33" s="451"/>
      <c r="BD33" s="91"/>
      <c r="BE33" s="90"/>
      <c r="BF33" s="451"/>
      <c r="BG33" s="90"/>
      <c r="BH33" s="451"/>
      <c r="BI33" s="91"/>
      <c r="BJ33" s="496"/>
      <c r="BK33" s="2" t="e">
        <f>+INDEX('Portfolio Summary'!H$6:H$28,MATCH($C33,'Portfolio Summary'!$C$6:$C$28,0))</f>
        <v>#N/A</v>
      </c>
      <c r="BL33" s="2" t="e">
        <f>+INDEX('Portfolio Summary'!I$6:I$28,MATCH($C33,'Portfolio Summary'!$C$6:$C$28,0))</f>
        <v>#N/A</v>
      </c>
      <c r="BM33" s="2" t="e">
        <f>+INDEX('Portfolio Summary'!J$6:J$28,MATCH($C33,'Portfolio Summary'!$C$6:$C$28,0))</f>
        <v>#N/A</v>
      </c>
      <c r="BN33" s="107"/>
      <c r="BO33" s="91" t="e">
        <f>+INDEX('Portfolio Listing'!#REF!,MATCH(C33,'Portfolio Listing'!#REF!,0))</f>
        <v>#REF!</v>
      </c>
      <c r="BP33" s="255" t="e">
        <f t="shared" si="37"/>
        <v>#REF!</v>
      </c>
    </row>
    <row r="34" spans="2:68">
      <c r="B34" s="2">
        <f t="shared" si="38"/>
        <v>7</v>
      </c>
      <c r="C34" s="449"/>
      <c r="E34" s="91"/>
      <c r="F34" s="91"/>
      <c r="G34" s="255"/>
      <c r="H34" s="450"/>
      <c r="I34" s="255"/>
      <c r="J34" s="91"/>
      <c r="K34" s="91"/>
      <c r="L34" s="255"/>
      <c r="M34" s="469"/>
      <c r="N34" s="255"/>
      <c r="O34" s="91"/>
      <c r="P34" s="91"/>
      <c r="Q34" s="255"/>
      <c r="R34" s="469"/>
      <c r="S34" s="255"/>
      <c r="T34" s="91"/>
      <c r="U34" s="91"/>
      <c r="V34" s="255"/>
      <c r="W34" s="450"/>
      <c r="X34" s="255"/>
      <c r="Y34" s="90"/>
      <c r="Z34" s="451"/>
      <c r="AA34" s="451"/>
      <c r="AB34" s="451"/>
      <c r="AC34" s="90"/>
      <c r="AD34" s="451"/>
      <c r="AE34" s="255"/>
      <c r="AF34" s="462"/>
      <c r="AG34" s="448"/>
      <c r="AH34" s="462"/>
      <c r="AI34" s="448"/>
      <c r="AJ34" s="255"/>
      <c r="AK34" s="462"/>
      <c r="AL34" s="448"/>
      <c r="AM34" s="462"/>
      <c r="AN34" s="448"/>
      <c r="AO34" s="255"/>
      <c r="AP34" s="462"/>
      <c r="AQ34" s="448"/>
      <c r="AR34" s="462"/>
      <c r="AS34" s="448"/>
      <c r="AT34" s="255"/>
      <c r="AU34" s="462"/>
      <c r="AV34" s="448"/>
      <c r="AW34" s="462"/>
      <c r="AX34" s="448"/>
      <c r="AY34" s="255"/>
      <c r="AZ34" s="462"/>
      <c r="BA34" s="448"/>
      <c r="BB34" s="462"/>
      <c r="BC34" s="448"/>
      <c r="BD34" s="255"/>
      <c r="BE34" s="462"/>
      <c r="BF34" s="448"/>
      <c r="BG34" s="462"/>
      <c r="BH34" s="448"/>
      <c r="BI34" s="255"/>
      <c r="BJ34" s="496"/>
      <c r="BK34" s="2" t="e">
        <f>+INDEX('Portfolio Summary'!H$6:H$28,MATCH($C34,'Portfolio Summary'!$C$6:$C$28,0))</f>
        <v>#N/A</v>
      </c>
      <c r="BL34" s="2" t="e">
        <f>+INDEX('Portfolio Summary'!I$6:I$28,MATCH($C34,'Portfolio Summary'!$C$6:$C$28,0))</f>
        <v>#N/A</v>
      </c>
      <c r="BM34" s="2" t="e">
        <f>+INDEX('Portfolio Summary'!J$6:J$28,MATCH($C34,'Portfolio Summary'!$C$6:$C$28,0))</f>
        <v>#N/A</v>
      </c>
      <c r="BN34" s="257"/>
      <c r="BO34" s="91" t="e">
        <f>+'Portfolio Listing'!#REF!</f>
        <v>#REF!</v>
      </c>
      <c r="BP34" s="255" t="e">
        <f t="shared" si="37"/>
        <v>#REF!</v>
      </c>
    </row>
    <row r="35" spans="2:68">
      <c r="B35" s="2">
        <f t="shared" si="38"/>
        <v>8</v>
      </c>
      <c r="C35" s="449"/>
      <c r="E35" s="451"/>
      <c r="F35" s="91"/>
      <c r="G35" s="91"/>
      <c r="H35" s="469"/>
      <c r="I35" s="91"/>
      <c r="J35" s="451"/>
      <c r="K35" s="91"/>
      <c r="L35" s="91"/>
      <c r="M35" s="469"/>
      <c r="N35" s="91"/>
      <c r="O35" s="451"/>
      <c r="P35" s="91"/>
      <c r="Q35" s="91"/>
      <c r="R35" s="469"/>
      <c r="S35" s="91"/>
      <c r="T35" s="451"/>
      <c r="U35" s="91"/>
      <c r="V35" s="91"/>
      <c r="W35" s="469"/>
      <c r="X35" s="91"/>
      <c r="Y35" s="90"/>
      <c r="Z35" s="451"/>
      <c r="AA35" s="451"/>
      <c r="AB35" s="451"/>
      <c r="AC35" s="90"/>
      <c r="AD35" s="451"/>
      <c r="AE35" s="91"/>
      <c r="AF35" s="90"/>
      <c r="AG35" s="451"/>
      <c r="AH35" s="90"/>
      <c r="AI35" s="451"/>
      <c r="AJ35" s="91"/>
      <c r="AK35" s="90"/>
      <c r="AL35" s="451"/>
      <c r="AM35" s="90"/>
      <c r="AN35" s="451"/>
      <c r="AO35" s="91"/>
      <c r="AP35" s="90"/>
      <c r="AQ35" s="451"/>
      <c r="AR35" s="90"/>
      <c r="AS35" s="451"/>
      <c r="AT35" s="91"/>
      <c r="AU35" s="90"/>
      <c r="AV35" s="451"/>
      <c r="AW35" s="90"/>
      <c r="AX35" s="451"/>
      <c r="AY35" s="91"/>
      <c r="AZ35" s="90"/>
      <c r="BA35" s="451"/>
      <c r="BB35" s="90"/>
      <c r="BC35" s="451"/>
      <c r="BD35" s="91"/>
      <c r="BE35" s="90"/>
      <c r="BF35" s="451"/>
      <c r="BG35" s="90"/>
      <c r="BH35" s="451"/>
      <c r="BI35" s="91"/>
      <c r="BJ35" s="496"/>
      <c r="BK35" s="2" t="e">
        <f>+INDEX('Portfolio Summary'!H$6:H$28,MATCH($C35,'Portfolio Summary'!$C$6:$C$28,0))</f>
        <v>#N/A</v>
      </c>
      <c r="BL35" s="2" t="e">
        <f>+INDEX('Portfolio Summary'!I$6:I$28,MATCH($C35,'Portfolio Summary'!$C$6:$C$28,0))</f>
        <v>#N/A</v>
      </c>
      <c r="BM35" s="2" t="e">
        <f>+INDEX('Portfolio Summary'!J$6:J$28,MATCH($C35,'Portfolio Summary'!$C$6:$C$28,0))</f>
        <v>#N/A</v>
      </c>
      <c r="BN35" s="107"/>
      <c r="BO35" s="91" t="e">
        <f>+'Portfolio Listing'!#REF!</f>
        <v>#REF!</v>
      </c>
      <c r="BP35" s="91" t="e">
        <f t="shared" si="37"/>
        <v>#REF!</v>
      </c>
    </row>
    <row r="36" spans="2:68">
      <c r="B36" s="2">
        <f t="shared" si="38"/>
        <v>9</v>
      </c>
      <c r="C36" s="449"/>
      <c r="E36" s="451"/>
      <c r="F36" s="91"/>
      <c r="G36" s="91"/>
      <c r="H36" s="469"/>
      <c r="I36" s="91"/>
      <c r="J36" s="451"/>
      <c r="K36" s="91"/>
      <c r="L36" s="91"/>
      <c r="M36" s="469"/>
      <c r="N36" s="91"/>
      <c r="O36" s="451"/>
      <c r="P36" s="91"/>
      <c r="Q36" s="91"/>
      <c r="R36" s="469"/>
      <c r="S36" s="91"/>
      <c r="T36" s="451"/>
      <c r="U36" s="91"/>
      <c r="V36" s="91"/>
      <c r="W36" s="469"/>
      <c r="X36" s="91"/>
      <c r="Y36" s="90"/>
      <c r="Z36" s="451"/>
      <c r="AA36" s="451"/>
      <c r="AB36" s="451"/>
      <c r="AC36" s="90"/>
      <c r="AD36" s="451"/>
      <c r="AE36" s="91"/>
      <c r="AF36" s="90"/>
      <c r="AG36" s="451"/>
      <c r="AH36" s="90"/>
      <c r="AI36" s="451"/>
      <c r="AJ36" s="91"/>
      <c r="AK36" s="90"/>
      <c r="AL36" s="451"/>
      <c r="AM36" s="90"/>
      <c r="AN36" s="451"/>
      <c r="AO36" s="91"/>
      <c r="AP36" s="90"/>
      <c r="AQ36" s="451"/>
      <c r="AR36" s="90"/>
      <c r="AS36" s="451"/>
      <c r="AT36" s="91"/>
      <c r="AU36" s="90"/>
      <c r="AV36" s="451"/>
      <c r="AW36" s="90"/>
      <c r="AX36" s="451"/>
      <c r="AY36" s="91"/>
      <c r="AZ36" s="90"/>
      <c r="BA36" s="451"/>
      <c r="BB36" s="90"/>
      <c r="BC36" s="451"/>
      <c r="BD36" s="91"/>
      <c r="BE36" s="90"/>
      <c r="BF36" s="451"/>
      <c r="BG36" s="90"/>
      <c r="BH36" s="451"/>
      <c r="BI36" s="91"/>
      <c r="BJ36" s="496"/>
      <c r="BK36" s="2" t="e">
        <f>+INDEX('Portfolio Summary'!H$6:H$28,MATCH($C36,'Portfolio Summary'!$C$6:$C$28,0))</f>
        <v>#N/A</v>
      </c>
      <c r="BL36" s="2" t="e">
        <f>+INDEX('Portfolio Summary'!I$6:I$28,MATCH($C36,'Portfolio Summary'!$C$6:$C$28,0))</f>
        <v>#N/A</v>
      </c>
      <c r="BM36" s="2" t="e">
        <f>+INDEX('Portfolio Summary'!J$6:J$28,MATCH($C36,'Portfolio Summary'!$C$6:$C$28,0))</f>
        <v>#N/A</v>
      </c>
      <c r="BN36" s="107"/>
      <c r="BO36" s="91" t="e">
        <f>+'Portfolio Listing'!#REF!</f>
        <v>#REF!</v>
      </c>
      <c r="BP36" s="91" t="e">
        <f t="shared" si="37"/>
        <v>#REF!</v>
      </c>
    </row>
    <row r="37" spans="2:68">
      <c r="B37" s="2">
        <f>+B36+1</f>
        <v>10</v>
      </c>
      <c r="C37" s="449"/>
      <c r="E37" s="451"/>
      <c r="F37" s="91"/>
      <c r="G37" s="91"/>
      <c r="H37" s="469"/>
      <c r="I37" s="91"/>
      <c r="J37" s="451"/>
      <c r="K37" s="91"/>
      <c r="L37" s="91"/>
      <c r="M37" s="469"/>
      <c r="N37" s="91"/>
      <c r="O37" s="451"/>
      <c r="P37" s="91"/>
      <c r="Q37" s="91"/>
      <c r="R37" s="469"/>
      <c r="S37" s="91"/>
      <c r="T37" s="451"/>
      <c r="U37" s="91"/>
      <c r="V37" s="91"/>
      <c r="W37" s="469"/>
      <c r="X37" s="91"/>
      <c r="Y37" s="90"/>
      <c r="Z37" s="451"/>
      <c r="AA37" s="451"/>
      <c r="AB37" s="451"/>
      <c r="AC37" s="90"/>
      <c r="AD37" s="451"/>
      <c r="AE37" s="91"/>
      <c r="AF37" s="90"/>
      <c r="AG37" s="451"/>
      <c r="AH37" s="90"/>
      <c r="AI37" s="451"/>
      <c r="AJ37" s="91"/>
      <c r="AK37" s="90"/>
      <c r="AL37" s="451"/>
      <c r="AM37" s="90"/>
      <c r="AN37" s="451"/>
      <c r="AO37" s="91"/>
      <c r="AP37" s="90"/>
      <c r="AQ37" s="451"/>
      <c r="AR37" s="90"/>
      <c r="AS37" s="451"/>
      <c r="AT37" s="91"/>
      <c r="AU37" s="90"/>
      <c r="AV37" s="451"/>
      <c r="AW37" s="90"/>
      <c r="AX37" s="451"/>
      <c r="AY37" s="91"/>
      <c r="AZ37" s="90"/>
      <c r="BA37" s="451"/>
      <c r="BB37" s="90"/>
      <c r="BC37" s="451"/>
      <c r="BD37" s="91"/>
      <c r="BE37" s="90"/>
      <c r="BF37" s="451"/>
      <c r="BG37" s="90"/>
      <c r="BH37" s="451"/>
      <c r="BI37" s="91"/>
      <c r="BJ37" s="496"/>
      <c r="BK37" s="2" t="e">
        <f>+INDEX('Portfolio Summary'!H$6:H$28,MATCH($C37,'Portfolio Summary'!$C$6:$C$28,0))</f>
        <v>#N/A</v>
      </c>
      <c r="BL37" s="2" t="e">
        <f>+INDEX('Portfolio Summary'!I$6:I$28,MATCH($C37,'Portfolio Summary'!$C$6:$C$28,0))</f>
        <v>#N/A</v>
      </c>
      <c r="BM37" s="2" t="e">
        <f>+INDEX('Portfolio Summary'!J$6:J$28,MATCH($C37,'Portfolio Summary'!$C$6:$C$28,0))</f>
        <v>#N/A</v>
      </c>
      <c r="BN37" s="107"/>
      <c r="BO37" s="91" t="e">
        <f>+INDEX('Portfolio Listing'!#REF!,MATCH(C37,'Portfolio Listing'!#REF!,0))</f>
        <v>#REF!</v>
      </c>
      <c r="BP37" s="91" t="e">
        <f t="shared" ref="BP37" si="39">+BO37-AD37</f>
        <v>#REF!</v>
      </c>
    </row>
    <row r="38" spans="2:68">
      <c r="B38" s="2">
        <f t="shared" ref="B38:B49" si="40">+B37+1</f>
        <v>11</v>
      </c>
      <c r="C38" s="449"/>
      <c r="E38" s="451"/>
      <c r="F38" s="91"/>
      <c r="G38" s="91"/>
      <c r="H38" s="469"/>
      <c r="I38" s="91"/>
      <c r="J38" s="451"/>
      <c r="K38" s="91"/>
      <c r="L38" s="91"/>
      <c r="M38" s="469"/>
      <c r="N38" s="91"/>
      <c r="O38" s="451"/>
      <c r="P38" s="91"/>
      <c r="Q38" s="91"/>
      <c r="R38" s="469"/>
      <c r="S38" s="91"/>
      <c r="T38" s="451"/>
      <c r="U38" s="91"/>
      <c r="V38" s="91"/>
      <c r="W38" s="469"/>
      <c r="X38" s="91"/>
      <c r="Y38" s="90"/>
      <c r="Z38" s="451"/>
      <c r="AA38" s="451"/>
      <c r="AB38" s="451"/>
      <c r="AC38" s="90"/>
      <c r="AD38" s="451"/>
      <c r="AE38" s="91"/>
      <c r="AF38" s="90"/>
      <c r="AG38" s="451"/>
      <c r="AH38" s="90"/>
      <c r="AI38" s="451"/>
      <c r="AJ38" s="91"/>
      <c r="AK38" s="90"/>
      <c r="AL38" s="451"/>
      <c r="AM38" s="90"/>
      <c r="AN38" s="451"/>
      <c r="AO38" s="91"/>
      <c r="AP38" s="90"/>
      <c r="AQ38" s="451"/>
      <c r="AR38" s="90"/>
      <c r="AS38" s="451"/>
      <c r="AT38" s="91"/>
      <c r="AU38" s="90"/>
      <c r="AV38" s="451"/>
      <c r="AW38" s="90"/>
      <c r="AX38" s="451"/>
      <c r="AY38" s="91"/>
      <c r="AZ38" s="90"/>
      <c r="BA38" s="451"/>
      <c r="BB38" s="90"/>
      <c r="BC38" s="451"/>
      <c r="BD38" s="91"/>
      <c r="BE38" s="90"/>
      <c r="BF38" s="451"/>
      <c r="BG38" s="90"/>
      <c r="BH38" s="451"/>
      <c r="BI38" s="91"/>
      <c r="BJ38" s="496"/>
      <c r="BK38" s="2" t="e">
        <f>+INDEX('Portfolio Summary'!H$6:H$28,MATCH($C38,'Portfolio Summary'!$C$6:$C$28,0))</f>
        <v>#N/A</v>
      </c>
      <c r="BL38" s="2" t="e">
        <f>+INDEX('Portfolio Summary'!I$6:I$28,MATCH($C38,'Portfolio Summary'!$C$6:$C$28,0))</f>
        <v>#N/A</v>
      </c>
      <c r="BM38" s="2" t="e">
        <f>+INDEX('Portfolio Summary'!J$6:J$28,MATCH($C38,'Portfolio Summary'!$C$6:$C$28,0))</f>
        <v>#N/A</v>
      </c>
      <c r="BN38" s="107"/>
      <c r="BO38" s="91" t="e">
        <f>+INDEX('Portfolio Listing'!#REF!,MATCH(C38,'Portfolio Listing'!#REF!,0))</f>
        <v>#REF!</v>
      </c>
      <c r="BP38" s="91" t="e">
        <f t="shared" si="37"/>
        <v>#REF!</v>
      </c>
    </row>
    <row r="39" spans="2:68">
      <c r="B39" s="2">
        <f t="shared" si="40"/>
        <v>12</v>
      </c>
      <c r="C39" s="449"/>
      <c r="E39" s="451"/>
      <c r="F39" s="91"/>
      <c r="G39" s="91"/>
      <c r="H39" s="469"/>
      <c r="I39" s="91"/>
      <c r="J39" s="451"/>
      <c r="K39" s="91"/>
      <c r="L39" s="91"/>
      <c r="M39" s="469"/>
      <c r="N39" s="91"/>
      <c r="O39" s="451"/>
      <c r="P39" s="91"/>
      <c r="Q39" s="91"/>
      <c r="R39" s="469"/>
      <c r="S39" s="91"/>
      <c r="T39" s="451"/>
      <c r="U39" s="91"/>
      <c r="V39" s="91"/>
      <c r="W39" s="469"/>
      <c r="X39" s="91"/>
      <c r="Y39" s="90"/>
      <c r="Z39" s="451"/>
      <c r="AA39" s="451"/>
      <c r="AB39" s="451"/>
      <c r="AC39" s="90"/>
      <c r="AD39" s="451"/>
      <c r="AE39" s="91"/>
      <c r="AF39" s="90"/>
      <c r="AG39" s="451"/>
      <c r="AH39" s="90"/>
      <c r="AI39" s="451"/>
      <c r="AJ39" s="91"/>
      <c r="AK39" s="90"/>
      <c r="AL39" s="451"/>
      <c r="AM39" s="90"/>
      <c r="AN39" s="451"/>
      <c r="AO39" s="91"/>
      <c r="AP39" s="90"/>
      <c r="AQ39" s="451"/>
      <c r="AR39" s="90"/>
      <c r="AS39" s="451"/>
      <c r="AT39" s="91"/>
      <c r="AU39" s="90"/>
      <c r="AV39" s="451"/>
      <c r="AW39" s="90"/>
      <c r="AX39" s="451"/>
      <c r="AY39" s="91"/>
      <c r="AZ39" s="90"/>
      <c r="BA39" s="451"/>
      <c r="BB39" s="90"/>
      <c r="BC39" s="451"/>
      <c r="BD39" s="91"/>
      <c r="BE39" s="90"/>
      <c r="BF39" s="451"/>
      <c r="BG39" s="90"/>
      <c r="BH39" s="451"/>
      <c r="BI39" s="91"/>
      <c r="BJ39" s="496"/>
      <c r="BK39" s="2" t="e">
        <f>+INDEX('Portfolio Summary'!H$6:H$28,MATCH($C39,'Portfolio Summary'!$C$6:$C$28,0))</f>
        <v>#N/A</v>
      </c>
      <c r="BL39" s="2" t="e">
        <f>+INDEX('Portfolio Summary'!I$6:I$28,MATCH($C39,'Portfolio Summary'!$C$6:$C$28,0))</f>
        <v>#N/A</v>
      </c>
      <c r="BM39" s="2" t="e">
        <f>+INDEX('Portfolio Summary'!J$6:J$28,MATCH($C39,'Portfolio Summary'!$C$6:$C$28,0))</f>
        <v>#N/A</v>
      </c>
      <c r="BN39" s="107"/>
      <c r="BO39" s="91" t="e">
        <f>+INDEX('Portfolio Listing'!#REF!,MATCH(C39,'Portfolio Listing'!#REF!,0))</f>
        <v>#REF!</v>
      </c>
      <c r="BP39" s="91" t="e">
        <f t="shared" si="37"/>
        <v>#REF!</v>
      </c>
    </row>
    <row r="40" spans="2:68">
      <c r="B40" s="2">
        <f t="shared" si="40"/>
        <v>13</v>
      </c>
      <c r="C40" s="449"/>
      <c r="E40" s="451"/>
      <c r="F40" s="91"/>
      <c r="G40" s="91"/>
      <c r="H40" s="469"/>
      <c r="I40" s="91"/>
      <c r="J40" s="451"/>
      <c r="K40" s="91"/>
      <c r="L40" s="91"/>
      <c r="M40" s="469"/>
      <c r="N40" s="91"/>
      <c r="O40" s="451"/>
      <c r="P40" s="91"/>
      <c r="Q40" s="91"/>
      <c r="R40" s="469"/>
      <c r="S40" s="91"/>
      <c r="T40" s="451"/>
      <c r="U40" s="91"/>
      <c r="V40" s="91"/>
      <c r="W40" s="469"/>
      <c r="X40" s="91"/>
      <c r="Y40" s="90"/>
      <c r="Z40" s="451"/>
      <c r="AA40" s="451"/>
      <c r="AB40" s="451"/>
      <c r="AC40" s="90"/>
      <c r="AD40" s="451"/>
      <c r="AE40" s="91"/>
      <c r="AF40" s="90"/>
      <c r="AG40" s="451"/>
      <c r="AH40" s="90"/>
      <c r="AI40" s="451"/>
      <c r="AJ40" s="91"/>
      <c r="AK40" s="90"/>
      <c r="AL40" s="451"/>
      <c r="AM40" s="90"/>
      <c r="AN40" s="451"/>
      <c r="AO40" s="91"/>
      <c r="AP40" s="90"/>
      <c r="AQ40" s="451"/>
      <c r="AR40" s="90"/>
      <c r="AS40" s="451"/>
      <c r="AT40" s="91"/>
      <c r="AU40" s="90"/>
      <c r="AV40" s="451"/>
      <c r="AW40" s="90"/>
      <c r="AX40" s="451"/>
      <c r="AY40" s="91"/>
      <c r="AZ40" s="90"/>
      <c r="BA40" s="451"/>
      <c r="BB40" s="90"/>
      <c r="BC40" s="451"/>
      <c r="BD40" s="91"/>
      <c r="BE40" s="90"/>
      <c r="BF40" s="451"/>
      <c r="BG40" s="90"/>
      <c r="BH40" s="451"/>
      <c r="BI40" s="91"/>
      <c r="BJ40" s="496"/>
      <c r="BK40" s="2" t="e">
        <f>+INDEX('Portfolio Summary'!H$6:H$28,MATCH($C40,'Portfolio Summary'!$C$6:$C$28,0))</f>
        <v>#N/A</v>
      </c>
      <c r="BL40" s="2" t="e">
        <f>+INDEX('Portfolio Summary'!I$6:I$28,MATCH($C40,'Portfolio Summary'!$C$6:$C$28,0))</f>
        <v>#N/A</v>
      </c>
      <c r="BM40" s="2" t="e">
        <f>+INDEX('Portfolio Summary'!J$6:J$28,MATCH($C40,'Portfolio Summary'!$C$6:$C$28,0))</f>
        <v>#N/A</v>
      </c>
      <c r="BN40" s="107"/>
      <c r="BO40" s="91" t="e">
        <f>+INDEX('Portfolio Listing'!#REF!,MATCH(C40,'Portfolio Listing'!#REF!,0))</f>
        <v>#REF!</v>
      </c>
      <c r="BP40" s="91" t="e">
        <f t="shared" si="37"/>
        <v>#REF!</v>
      </c>
    </row>
    <row r="41" spans="2:68">
      <c r="B41" s="2">
        <f t="shared" si="40"/>
        <v>14</v>
      </c>
      <c r="C41" s="449"/>
      <c r="E41" s="451"/>
      <c r="F41" s="91"/>
      <c r="G41" s="91"/>
      <c r="H41" s="469"/>
      <c r="I41" s="91"/>
      <c r="J41" s="451"/>
      <c r="K41" s="91"/>
      <c r="L41" s="91"/>
      <c r="M41" s="469"/>
      <c r="N41" s="91"/>
      <c r="O41" s="451"/>
      <c r="P41" s="91"/>
      <c r="Q41" s="91"/>
      <c r="R41" s="469"/>
      <c r="S41" s="91"/>
      <c r="T41" s="451"/>
      <c r="U41" s="91"/>
      <c r="V41" s="91"/>
      <c r="W41" s="469"/>
      <c r="X41" s="91"/>
      <c r="Y41" s="90"/>
      <c r="Z41" s="451"/>
      <c r="AA41" s="451"/>
      <c r="AB41" s="451"/>
      <c r="AC41" s="90"/>
      <c r="AD41" s="451"/>
      <c r="AE41" s="91"/>
      <c r="AF41" s="90"/>
      <c r="AG41" s="451"/>
      <c r="AH41" s="90"/>
      <c r="AI41" s="451"/>
      <c r="AJ41" s="91"/>
      <c r="AK41" s="90"/>
      <c r="AL41" s="451"/>
      <c r="AM41" s="90"/>
      <c r="AN41" s="451"/>
      <c r="AO41" s="91"/>
      <c r="AP41" s="90"/>
      <c r="AQ41" s="451"/>
      <c r="AR41" s="90"/>
      <c r="AS41" s="451"/>
      <c r="AT41" s="91"/>
      <c r="AU41" s="90"/>
      <c r="AV41" s="451"/>
      <c r="AW41" s="90"/>
      <c r="AX41" s="451"/>
      <c r="AY41" s="91"/>
      <c r="AZ41" s="90"/>
      <c r="BA41" s="451"/>
      <c r="BB41" s="90"/>
      <c r="BC41" s="451"/>
      <c r="BD41" s="91"/>
      <c r="BE41" s="90"/>
      <c r="BF41" s="451"/>
      <c r="BG41" s="90"/>
      <c r="BH41" s="451"/>
      <c r="BI41" s="91"/>
      <c r="BJ41" s="496"/>
      <c r="BK41" s="2" t="e">
        <f>+INDEX('Portfolio Summary'!H$6:H$28,MATCH($C41,'Portfolio Summary'!$C$6:$C$28,0))</f>
        <v>#N/A</v>
      </c>
      <c r="BL41" s="2" t="e">
        <f>+INDEX('Portfolio Summary'!I$6:I$28,MATCH($C41,'Portfolio Summary'!$C$6:$C$28,0))</f>
        <v>#N/A</v>
      </c>
      <c r="BM41" s="2" t="e">
        <f>+INDEX('Portfolio Summary'!J$6:J$28,MATCH($C41,'Portfolio Summary'!$C$6:$C$28,0))</f>
        <v>#N/A</v>
      </c>
      <c r="BN41" s="107"/>
      <c r="BO41" s="91" t="e">
        <f>+INDEX('Portfolio Listing'!#REF!,MATCH(C41,'Portfolio Listing'!#REF!,0))</f>
        <v>#REF!</v>
      </c>
      <c r="BP41" s="91" t="e">
        <f t="shared" si="37"/>
        <v>#REF!</v>
      </c>
    </row>
    <row r="42" spans="2:68">
      <c r="B42" s="2">
        <f t="shared" si="40"/>
        <v>15</v>
      </c>
      <c r="C42" s="449"/>
      <c r="E42" s="451"/>
      <c r="F42" s="91"/>
      <c r="G42" s="91"/>
      <c r="H42" s="469"/>
      <c r="I42" s="91"/>
      <c r="J42" s="451"/>
      <c r="K42" s="91"/>
      <c r="L42" s="91"/>
      <c r="M42" s="469"/>
      <c r="N42" s="91"/>
      <c r="O42" s="451"/>
      <c r="P42" s="91"/>
      <c r="Q42" s="91"/>
      <c r="R42" s="469"/>
      <c r="S42" s="91"/>
      <c r="T42" s="451"/>
      <c r="U42" s="91"/>
      <c r="V42" s="91"/>
      <c r="W42" s="469"/>
      <c r="X42" s="91"/>
      <c r="Y42" s="90"/>
      <c r="Z42" s="451"/>
      <c r="AA42" s="451"/>
      <c r="AB42" s="451"/>
      <c r="AC42" s="90"/>
      <c r="AD42" s="451"/>
      <c r="AE42" s="91"/>
      <c r="AF42" s="90"/>
      <c r="AG42" s="451"/>
      <c r="AH42" s="90"/>
      <c r="AI42" s="451"/>
      <c r="AJ42" s="91"/>
      <c r="AK42" s="90"/>
      <c r="AL42" s="451"/>
      <c r="AM42" s="90"/>
      <c r="AN42" s="451"/>
      <c r="AO42" s="91"/>
      <c r="AP42" s="90"/>
      <c r="AQ42" s="451"/>
      <c r="AR42" s="90"/>
      <c r="AS42" s="451"/>
      <c r="AT42" s="91"/>
      <c r="AU42" s="90"/>
      <c r="AV42" s="451"/>
      <c r="AW42" s="90"/>
      <c r="AX42" s="451"/>
      <c r="AY42" s="91"/>
      <c r="AZ42" s="90"/>
      <c r="BA42" s="451"/>
      <c r="BB42" s="90"/>
      <c r="BC42" s="451"/>
      <c r="BD42" s="91"/>
      <c r="BE42" s="90"/>
      <c r="BF42" s="451"/>
      <c r="BG42" s="90"/>
      <c r="BH42" s="451"/>
      <c r="BI42" s="91"/>
      <c r="BJ42" s="496"/>
      <c r="BK42" s="2" t="e">
        <f>+INDEX('Portfolio Summary'!H$6:H$28,MATCH($C42,'Portfolio Summary'!$C$6:$C$28,0))</f>
        <v>#N/A</v>
      </c>
      <c r="BL42" s="2" t="e">
        <f>+INDEX('Portfolio Summary'!I$6:I$28,MATCH($C42,'Portfolio Summary'!$C$6:$C$28,0))</f>
        <v>#N/A</v>
      </c>
      <c r="BM42" s="2" t="e">
        <f>+INDEX('Portfolio Summary'!J$6:J$28,MATCH($C42,'Portfolio Summary'!$C$6:$C$28,0))</f>
        <v>#N/A</v>
      </c>
      <c r="BN42" s="107"/>
      <c r="BO42" s="91" t="e">
        <f>+INDEX('Portfolio Listing'!#REF!,MATCH(C42,'Portfolio Listing'!#REF!,0))</f>
        <v>#REF!</v>
      </c>
      <c r="BP42" s="91" t="e">
        <f t="shared" si="37"/>
        <v>#REF!</v>
      </c>
    </row>
    <row r="43" spans="2:68">
      <c r="B43" s="2">
        <f t="shared" si="40"/>
        <v>16</v>
      </c>
      <c r="C43" s="449"/>
      <c r="E43" s="448"/>
      <c r="F43" s="255"/>
      <c r="G43" s="255"/>
      <c r="H43" s="450"/>
      <c r="I43" s="255"/>
      <c r="J43" s="448"/>
      <c r="K43" s="255"/>
      <c r="L43" s="255"/>
      <c r="M43" s="450"/>
      <c r="N43" s="255"/>
      <c r="O43" s="448"/>
      <c r="P43" s="255"/>
      <c r="Q43" s="255"/>
      <c r="R43" s="450"/>
      <c r="S43" s="255"/>
      <c r="T43" s="448"/>
      <c r="U43" s="255"/>
      <c r="V43" s="255"/>
      <c r="W43" s="450"/>
      <c r="X43" s="255"/>
      <c r="Y43" s="90"/>
      <c r="Z43" s="451"/>
      <c r="AA43" s="451"/>
      <c r="AB43" s="451"/>
      <c r="AC43" s="90"/>
      <c r="AD43" s="451"/>
      <c r="AE43" s="91"/>
      <c r="AF43" s="90"/>
      <c r="AG43" s="451"/>
      <c r="AH43" s="90"/>
      <c r="AI43" s="451"/>
      <c r="AJ43" s="91"/>
      <c r="AK43" s="90"/>
      <c r="AL43" s="451"/>
      <c r="AM43" s="90"/>
      <c r="AN43" s="451"/>
      <c r="AO43" s="91"/>
      <c r="AP43" s="90"/>
      <c r="AQ43" s="451"/>
      <c r="AR43" s="90"/>
      <c r="AS43" s="451"/>
      <c r="AT43" s="91"/>
      <c r="AU43" s="90"/>
      <c r="AV43" s="451"/>
      <c r="AW43" s="90"/>
      <c r="AX43" s="451"/>
      <c r="AY43" s="91"/>
      <c r="AZ43" s="90"/>
      <c r="BA43" s="451"/>
      <c r="BB43" s="90"/>
      <c r="BC43" s="451"/>
      <c r="BD43" s="91"/>
      <c r="BE43" s="90"/>
      <c r="BF43" s="451"/>
      <c r="BG43" s="90"/>
      <c r="BH43" s="451"/>
      <c r="BI43" s="91"/>
      <c r="BJ43" s="496"/>
      <c r="BK43" s="2" t="e">
        <f>+INDEX('Portfolio Summary'!H$6:H$28,MATCH($C43,'Portfolio Summary'!$C$6:$C$28,0))</f>
        <v>#N/A</v>
      </c>
      <c r="BL43" s="2" t="e">
        <f>+INDEX('Portfolio Summary'!I$6:I$28,MATCH($C43,'Portfolio Summary'!$C$6:$C$28,0))</f>
        <v>#N/A</v>
      </c>
      <c r="BM43" s="2" t="e">
        <f>+INDEX('Portfolio Summary'!J$6:J$28,MATCH($C43,'Portfolio Summary'!$C$6:$C$28,0))</f>
        <v>#N/A</v>
      </c>
      <c r="BN43" s="107"/>
      <c r="BO43" s="91" t="e">
        <f>+INDEX('Portfolio Listing'!#REF!,MATCH(C43,'Portfolio Listing'!#REF!,0))</f>
        <v>#REF!</v>
      </c>
      <c r="BP43" s="255" t="e">
        <f t="shared" si="37"/>
        <v>#REF!</v>
      </c>
    </row>
    <row r="44" spans="2:68">
      <c r="B44" s="2">
        <f t="shared" si="40"/>
        <v>17</v>
      </c>
      <c r="C44" s="449"/>
      <c r="E44" s="448"/>
      <c r="F44" s="255"/>
      <c r="G44" s="255"/>
      <c r="H44" s="450"/>
      <c r="I44" s="255"/>
      <c r="J44" s="448"/>
      <c r="K44" s="255"/>
      <c r="L44" s="255"/>
      <c r="M44" s="450"/>
      <c r="N44" s="255"/>
      <c r="O44" s="448"/>
      <c r="P44" s="255"/>
      <c r="Q44" s="255"/>
      <c r="R44" s="450"/>
      <c r="S44" s="255"/>
      <c r="T44" s="448"/>
      <c r="U44" s="255"/>
      <c r="V44" s="255"/>
      <c r="W44" s="450"/>
      <c r="X44" s="255"/>
      <c r="Y44" s="90"/>
      <c r="Z44" s="451"/>
      <c r="AA44" s="451"/>
      <c r="AB44" s="451"/>
      <c r="AC44" s="90"/>
      <c r="AD44" s="451"/>
      <c r="AE44" s="91"/>
      <c r="AF44" s="90"/>
      <c r="AG44" s="451"/>
      <c r="AH44" s="90"/>
      <c r="AI44" s="451"/>
      <c r="AJ44" s="91"/>
      <c r="AK44" s="90"/>
      <c r="AL44" s="451"/>
      <c r="AM44" s="90"/>
      <c r="AN44" s="451"/>
      <c r="AO44" s="91"/>
      <c r="AP44" s="90"/>
      <c r="AQ44" s="451"/>
      <c r="AR44" s="90"/>
      <c r="AS44" s="451"/>
      <c r="AT44" s="91"/>
      <c r="AU44" s="90"/>
      <c r="AV44" s="451"/>
      <c r="AW44" s="90"/>
      <c r="AX44" s="451"/>
      <c r="AY44" s="91"/>
      <c r="AZ44" s="90"/>
      <c r="BA44" s="451"/>
      <c r="BB44" s="90"/>
      <c r="BC44" s="451"/>
      <c r="BD44" s="91"/>
      <c r="BE44" s="90"/>
      <c r="BF44" s="451"/>
      <c r="BG44" s="90"/>
      <c r="BH44" s="451"/>
      <c r="BI44" s="91"/>
      <c r="BJ44" s="496"/>
      <c r="BK44" s="2" t="e">
        <f>+INDEX('Portfolio Summary'!H$6:H$28,MATCH($C44,'Portfolio Summary'!$C$6:$C$28,0))</f>
        <v>#N/A</v>
      </c>
      <c r="BL44" s="2" t="e">
        <f>+INDEX('Portfolio Summary'!I$6:I$28,MATCH($C44,'Portfolio Summary'!$C$6:$C$28,0))</f>
        <v>#N/A</v>
      </c>
      <c r="BM44" s="2" t="e">
        <f>+INDEX('Portfolio Summary'!J$6:J$28,MATCH($C44,'Portfolio Summary'!$C$6:$C$28,0))</f>
        <v>#N/A</v>
      </c>
      <c r="BN44" s="107"/>
      <c r="BO44" s="91" t="e">
        <f>+INDEX('Portfolio Listing'!#REF!,MATCH(C44,'Portfolio Listing'!#REF!,0))</f>
        <v>#REF!</v>
      </c>
      <c r="BP44" s="255" t="e">
        <f t="shared" si="37"/>
        <v>#REF!</v>
      </c>
    </row>
    <row r="45" spans="2:68">
      <c r="B45" s="2">
        <f t="shared" si="40"/>
        <v>18</v>
      </c>
      <c r="C45" s="449"/>
      <c r="E45" s="448"/>
      <c r="F45" s="255"/>
      <c r="G45" s="255"/>
      <c r="H45" s="450"/>
      <c r="I45" s="255"/>
      <c r="J45" s="448"/>
      <c r="K45" s="255"/>
      <c r="L45" s="255"/>
      <c r="M45" s="450"/>
      <c r="N45" s="255"/>
      <c r="O45" s="448"/>
      <c r="P45" s="255"/>
      <c r="Q45" s="255"/>
      <c r="R45" s="450"/>
      <c r="S45" s="255"/>
      <c r="T45" s="448"/>
      <c r="U45" s="255"/>
      <c r="V45" s="255"/>
      <c r="W45" s="450"/>
      <c r="X45" s="255"/>
      <c r="Y45" s="90"/>
      <c r="Z45" s="451"/>
      <c r="AA45" s="451"/>
      <c r="AB45" s="451"/>
      <c r="AC45" s="90"/>
      <c r="AD45" s="451"/>
      <c r="AE45" s="91"/>
      <c r="AF45" s="90"/>
      <c r="AG45" s="451"/>
      <c r="AH45" s="90"/>
      <c r="AI45" s="451"/>
      <c r="AJ45" s="91"/>
      <c r="AK45" s="90"/>
      <c r="AL45" s="451"/>
      <c r="AM45" s="90"/>
      <c r="AN45" s="451"/>
      <c r="AO45" s="91"/>
      <c r="AP45" s="90"/>
      <c r="AQ45" s="451"/>
      <c r="AR45" s="90"/>
      <c r="AS45" s="451"/>
      <c r="AT45" s="91"/>
      <c r="AU45" s="90"/>
      <c r="AV45" s="451"/>
      <c r="AW45" s="90"/>
      <c r="AX45" s="451"/>
      <c r="AY45" s="91"/>
      <c r="AZ45" s="90"/>
      <c r="BA45" s="451"/>
      <c r="BB45" s="90"/>
      <c r="BC45" s="451"/>
      <c r="BD45" s="91"/>
      <c r="BE45" s="90"/>
      <c r="BF45" s="451"/>
      <c r="BG45" s="90"/>
      <c r="BH45" s="451"/>
      <c r="BI45" s="91"/>
      <c r="BJ45" s="496"/>
      <c r="BK45" s="2" t="e">
        <f>+INDEX('Portfolio Summary'!H$6:H$28,MATCH($C45,'Portfolio Summary'!$C$6:$C$28,0))</f>
        <v>#N/A</v>
      </c>
      <c r="BL45" s="2" t="e">
        <f>+INDEX('Portfolio Summary'!I$6:I$28,MATCH($C45,'Portfolio Summary'!$C$6:$C$28,0))</f>
        <v>#N/A</v>
      </c>
      <c r="BM45" s="2" t="e">
        <f>+INDEX('Portfolio Summary'!J$6:J$28,MATCH($C45,'Portfolio Summary'!$C$6:$C$28,0))</f>
        <v>#N/A</v>
      </c>
      <c r="BN45" s="107"/>
      <c r="BO45" s="91" t="e">
        <f>+INDEX('Portfolio Listing'!#REF!,MATCH(C45,'Portfolio Listing'!#REF!,0))</f>
        <v>#REF!</v>
      </c>
      <c r="BP45" s="255" t="e">
        <f t="shared" si="37"/>
        <v>#REF!</v>
      </c>
    </row>
    <row r="46" spans="2:68">
      <c r="B46" s="2">
        <f t="shared" si="40"/>
        <v>19</v>
      </c>
      <c r="C46" s="449"/>
      <c r="E46" s="448"/>
      <c r="F46" s="255"/>
      <c r="G46" s="255"/>
      <c r="H46" s="450"/>
      <c r="I46" s="255"/>
      <c r="J46" s="448"/>
      <c r="K46" s="255"/>
      <c r="L46" s="255"/>
      <c r="M46" s="450"/>
      <c r="N46" s="255"/>
      <c r="O46" s="448"/>
      <c r="P46" s="255"/>
      <c r="Q46" s="255"/>
      <c r="R46" s="450"/>
      <c r="S46" s="255"/>
      <c r="T46" s="448"/>
      <c r="U46" s="255"/>
      <c r="V46" s="255"/>
      <c r="W46" s="450"/>
      <c r="X46" s="255"/>
      <c r="Y46" s="90"/>
      <c r="Z46" s="451"/>
      <c r="AA46" s="451"/>
      <c r="AB46" s="451"/>
      <c r="AC46" s="90"/>
      <c r="AD46" s="451"/>
      <c r="AE46" s="91"/>
      <c r="AF46" s="90"/>
      <c r="AG46" s="451"/>
      <c r="AH46" s="90"/>
      <c r="AI46" s="451"/>
      <c r="AJ46" s="91"/>
      <c r="AK46" s="90"/>
      <c r="AL46" s="451"/>
      <c r="AM46" s="90"/>
      <c r="AN46" s="451"/>
      <c r="AO46" s="91"/>
      <c r="AP46" s="90"/>
      <c r="AQ46" s="451"/>
      <c r="AR46" s="90"/>
      <c r="AS46" s="451"/>
      <c r="AT46" s="91"/>
      <c r="AU46" s="90"/>
      <c r="AV46" s="451"/>
      <c r="AW46" s="90"/>
      <c r="AX46" s="451"/>
      <c r="AY46" s="91"/>
      <c r="AZ46" s="90"/>
      <c r="BA46" s="451"/>
      <c r="BB46" s="90"/>
      <c r="BC46" s="451"/>
      <c r="BD46" s="91"/>
      <c r="BE46" s="90"/>
      <c r="BF46" s="451"/>
      <c r="BG46" s="90"/>
      <c r="BH46" s="451"/>
      <c r="BI46" s="91"/>
      <c r="BJ46" s="496"/>
      <c r="BK46" s="2" t="e">
        <f>+INDEX('Portfolio Summary'!H$6:H$28,MATCH($C46,'Portfolio Summary'!$C$6:$C$28,0))</f>
        <v>#N/A</v>
      </c>
      <c r="BL46" s="2" t="e">
        <f>+INDEX('Portfolio Summary'!I$6:I$28,MATCH($C46,'Portfolio Summary'!$C$6:$C$28,0))</f>
        <v>#N/A</v>
      </c>
      <c r="BM46" s="2" t="e">
        <f>+INDEX('Portfolio Summary'!J$6:J$28,MATCH($C46,'Portfolio Summary'!$C$6:$C$28,0))</f>
        <v>#N/A</v>
      </c>
      <c r="BN46" s="107"/>
      <c r="BO46" s="91" t="e">
        <f>+INDEX('Portfolio Listing'!#REF!,MATCH(C46,'Portfolio Listing'!#REF!,0))</f>
        <v>#REF!</v>
      </c>
      <c r="BP46" s="255" t="e">
        <f t="shared" si="37"/>
        <v>#REF!</v>
      </c>
    </row>
    <row r="47" spans="2:68">
      <c r="B47" s="2">
        <f t="shared" si="40"/>
        <v>20</v>
      </c>
      <c r="C47" s="449"/>
      <c r="E47" s="448"/>
      <c r="F47" s="255"/>
      <c r="G47" s="255"/>
      <c r="H47" s="450"/>
      <c r="I47" s="255"/>
      <c r="J47" s="448"/>
      <c r="K47" s="255"/>
      <c r="L47" s="255"/>
      <c r="M47" s="450"/>
      <c r="N47" s="255"/>
      <c r="O47" s="448"/>
      <c r="P47" s="255"/>
      <c r="Q47" s="255"/>
      <c r="R47" s="450"/>
      <c r="S47" s="255"/>
      <c r="T47" s="448"/>
      <c r="U47" s="255"/>
      <c r="V47" s="255"/>
      <c r="W47" s="450"/>
      <c r="X47" s="255"/>
      <c r="Y47" s="90"/>
      <c r="Z47" s="451"/>
      <c r="AA47" s="451"/>
      <c r="AB47" s="451"/>
      <c r="AC47" s="90"/>
      <c r="AD47" s="451"/>
      <c r="AE47" s="91"/>
      <c r="AF47" s="90"/>
      <c r="AG47" s="451"/>
      <c r="AH47" s="90"/>
      <c r="AI47" s="451"/>
      <c r="AJ47" s="91"/>
      <c r="AK47" s="90"/>
      <c r="AL47" s="451"/>
      <c r="AM47" s="90"/>
      <c r="AN47" s="451"/>
      <c r="AO47" s="91"/>
      <c r="AP47" s="90"/>
      <c r="AQ47" s="451"/>
      <c r="AR47" s="90"/>
      <c r="AS47" s="451"/>
      <c r="AT47" s="91"/>
      <c r="AU47" s="90"/>
      <c r="AV47" s="451"/>
      <c r="AW47" s="90"/>
      <c r="AX47" s="451"/>
      <c r="AY47" s="91"/>
      <c r="AZ47" s="90"/>
      <c r="BA47" s="451"/>
      <c r="BB47" s="90"/>
      <c r="BC47" s="451"/>
      <c r="BD47" s="91"/>
      <c r="BE47" s="90"/>
      <c r="BF47" s="451"/>
      <c r="BG47" s="90"/>
      <c r="BH47" s="451"/>
      <c r="BI47" s="91"/>
      <c r="BJ47" s="496"/>
      <c r="BK47" s="2" t="e">
        <f>+INDEX('Portfolio Summary'!H$6:H$28,MATCH($C47,'Portfolio Summary'!$C$6:$C$28,0))</f>
        <v>#N/A</v>
      </c>
      <c r="BL47" s="2" t="e">
        <f>+INDEX('Portfolio Summary'!I$6:I$28,MATCH($C47,'Portfolio Summary'!$C$6:$C$28,0))</f>
        <v>#N/A</v>
      </c>
      <c r="BM47" s="2" t="e">
        <f>+INDEX('Portfolio Summary'!J$6:J$28,MATCH($C47,'Portfolio Summary'!$C$6:$C$28,0))</f>
        <v>#N/A</v>
      </c>
      <c r="BN47" s="107"/>
      <c r="BO47" s="91" t="e">
        <f>+INDEX('Portfolio Listing'!#REF!,MATCH(C47,'Portfolio Listing'!#REF!,0))</f>
        <v>#REF!</v>
      </c>
      <c r="BP47" s="255" t="e">
        <f t="shared" si="37"/>
        <v>#REF!</v>
      </c>
    </row>
    <row r="48" spans="2:68">
      <c r="B48" s="2">
        <f t="shared" si="40"/>
        <v>21</v>
      </c>
      <c r="C48" s="449"/>
      <c r="E48" s="448"/>
      <c r="F48" s="255"/>
      <c r="G48" s="255"/>
      <c r="H48" s="450"/>
      <c r="I48" s="255"/>
      <c r="J48" s="448"/>
      <c r="K48" s="255"/>
      <c r="L48" s="255"/>
      <c r="M48" s="450"/>
      <c r="N48" s="255"/>
      <c r="O48" s="448"/>
      <c r="P48" s="255"/>
      <c r="Q48" s="255"/>
      <c r="R48" s="450"/>
      <c r="S48" s="255"/>
      <c r="T48" s="448"/>
      <c r="U48" s="255"/>
      <c r="V48" s="255"/>
      <c r="W48" s="450"/>
      <c r="X48" s="255"/>
      <c r="Y48" s="90"/>
      <c r="Z48" s="451"/>
      <c r="AA48" s="451"/>
      <c r="AB48" s="451"/>
      <c r="AC48" s="90"/>
      <c r="AD48" s="451"/>
      <c r="AE48" s="91"/>
      <c r="AF48" s="90"/>
      <c r="AG48" s="451"/>
      <c r="AH48" s="90"/>
      <c r="AI48" s="451"/>
      <c r="AJ48" s="91"/>
      <c r="AK48" s="90"/>
      <c r="AL48" s="451"/>
      <c r="AM48" s="90"/>
      <c r="AN48" s="451"/>
      <c r="AO48" s="91"/>
      <c r="AP48" s="90"/>
      <c r="AQ48" s="451"/>
      <c r="AR48" s="90"/>
      <c r="AS48" s="451"/>
      <c r="AT48" s="91"/>
      <c r="AU48" s="90"/>
      <c r="AV48" s="451"/>
      <c r="AW48" s="90"/>
      <c r="AX48" s="451"/>
      <c r="AY48" s="91"/>
      <c r="AZ48" s="90"/>
      <c r="BA48" s="451"/>
      <c r="BB48" s="90"/>
      <c r="BC48" s="451"/>
      <c r="BD48" s="91"/>
      <c r="BE48" s="90"/>
      <c r="BF48" s="451"/>
      <c r="BG48" s="90"/>
      <c r="BH48" s="451"/>
      <c r="BI48" s="91"/>
      <c r="BJ48" s="496"/>
      <c r="BN48" s="107"/>
      <c r="BO48" s="91"/>
      <c r="BP48" s="255">
        <f t="shared" si="37"/>
        <v>0</v>
      </c>
    </row>
    <row r="49" spans="2:70">
      <c r="B49" s="2">
        <f t="shared" si="40"/>
        <v>22</v>
      </c>
      <c r="C49" s="449"/>
      <c r="E49" s="448"/>
      <c r="F49" s="255"/>
      <c r="G49" s="255"/>
      <c r="H49" s="450"/>
      <c r="I49" s="255"/>
      <c r="J49" s="448"/>
      <c r="K49" s="255"/>
      <c r="L49" s="255"/>
      <c r="M49" s="450"/>
      <c r="N49" s="255"/>
      <c r="O49" s="448"/>
      <c r="P49" s="255"/>
      <c r="Q49" s="255"/>
      <c r="R49" s="450"/>
      <c r="S49" s="255"/>
      <c r="T49" s="448"/>
      <c r="U49" s="255"/>
      <c r="V49" s="255"/>
      <c r="W49" s="450"/>
      <c r="X49" s="255"/>
      <c r="Y49" s="90"/>
      <c r="Z49" s="451"/>
      <c r="AA49" s="451"/>
      <c r="AB49" s="451"/>
      <c r="AC49" s="90"/>
      <c r="AD49" s="451"/>
      <c r="AE49" s="91"/>
      <c r="AF49" s="90"/>
      <c r="AG49" s="451"/>
      <c r="AH49" s="90"/>
      <c r="AI49" s="451"/>
      <c r="AJ49" s="91"/>
      <c r="AK49" s="90"/>
      <c r="AL49" s="451"/>
      <c r="AM49" s="90"/>
      <c r="AN49" s="451"/>
      <c r="AO49" s="91"/>
      <c r="AP49" s="90"/>
      <c r="AQ49" s="451"/>
      <c r="AR49" s="90"/>
      <c r="AS49" s="451"/>
      <c r="AT49" s="91"/>
      <c r="AU49" s="90"/>
      <c r="AV49" s="451"/>
      <c r="AW49" s="90"/>
      <c r="AX49" s="451"/>
      <c r="AY49" s="91"/>
      <c r="AZ49" s="90"/>
      <c r="BA49" s="451"/>
      <c r="BB49" s="90"/>
      <c r="BC49" s="451"/>
      <c r="BD49" s="91"/>
      <c r="BE49" s="90"/>
      <c r="BF49" s="451"/>
      <c r="BG49" s="90"/>
      <c r="BH49" s="451"/>
      <c r="BI49" s="91"/>
      <c r="BJ49" s="496"/>
      <c r="BK49" s="2" t="e">
        <f>+INDEX('Portfolio Summary'!H$6:H$28,MATCH($C49,'Portfolio Summary'!$C$6:$C$28,0))</f>
        <v>#N/A</v>
      </c>
      <c r="BL49" s="2" t="e">
        <f>+INDEX('Portfolio Summary'!I$6:I$28,MATCH($C49,'Portfolio Summary'!$C$6:$C$28,0))</f>
        <v>#N/A</v>
      </c>
      <c r="BM49" s="2" t="e">
        <f>+INDEX('Portfolio Summary'!J$6:J$28,MATCH($C49,'Portfolio Summary'!$C$6:$C$28,0))</f>
        <v>#N/A</v>
      </c>
      <c r="BN49" s="107"/>
      <c r="BO49" s="91" t="e">
        <f>+INDEX('Portfolio Listing'!#REF!,MATCH(C49,'Portfolio Listing'!#REF!,0))</f>
        <v>#REF!</v>
      </c>
      <c r="BP49" s="255" t="e">
        <f t="shared" si="37"/>
        <v>#REF!</v>
      </c>
    </row>
    <row r="50" spans="2:70" s="75" customFormat="1">
      <c r="E50" s="257"/>
      <c r="F50" s="257"/>
      <c r="G50" s="257"/>
      <c r="H50" s="257"/>
      <c r="I50" s="257"/>
      <c r="J50" s="257"/>
      <c r="K50" s="257"/>
      <c r="L50" s="257"/>
      <c r="M50" s="257"/>
      <c r="N50" s="257"/>
      <c r="O50" s="257"/>
      <c r="P50" s="257"/>
      <c r="Q50" s="257"/>
      <c r="R50" s="257"/>
      <c r="S50" s="257"/>
      <c r="T50" s="257"/>
      <c r="U50" s="257"/>
      <c r="V50" s="257"/>
      <c r="W50" s="257"/>
      <c r="X50" s="257"/>
      <c r="Y50" s="257"/>
      <c r="Z50" s="257"/>
      <c r="AA50" s="257"/>
      <c r="AB50" s="257"/>
      <c r="AC50" s="257"/>
      <c r="AD50" s="257"/>
      <c r="AE50" s="257"/>
      <c r="AF50" s="257"/>
      <c r="AG50" s="257"/>
      <c r="AH50" s="257"/>
      <c r="AI50" s="257"/>
      <c r="AJ50" s="257"/>
      <c r="AK50" s="257"/>
      <c r="AL50" s="257"/>
      <c r="AM50" s="257"/>
      <c r="AN50" s="257"/>
      <c r="AO50" s="257"/>
      <c r="AP50" s="257"/>
      <c r="AQ50" s="257"/>
      <c r="AR50" s="257"/>
      <c r="AS50" s="257"/>
      <c r="AT50" s="257"/>
      <c r="AU50" s="257"/>
      <c r="AV50" s="257"/>
      <c r="AW50" s="257"/>
      <c r="AX50" s="257"/>
      <c r="AY50" s="257"/>
      <c r="AZ50" s="257"/>
      <c r="BA50" s="257"/>
      <c r="BB50" s="257"/>
      <c r="BC50" s="257"/>
      <c r="BD50" s="257"/>
      <c r="BE50" s="257"/>
      <c r="BF50" s="257"/>
      <c r="BG50" s="257"/>
      <c r="BH50" s="257"/>
      <c r="BI50" s="257"/>
      <c r="BJ50" s="496"/>
      <c r="BN50" s="257"/>
      <c r="BO50" s="257" t="e">
        <f>+SUM(BO28:BO49)</f>
        <v>#REF!</v>
      </c>
      <c r="BP50" s="257" t="e">
        <f>+BO50-AD50</f>
        <v>#REF!</v>
      </c>
    </row>
    <row r="51" spans="2:70">
      <c r="AE51" s="356"/>
    </row>
    <row r="52" spans="2:70" s="75" customFormat="1">
      <c r="C52" s="75" t="s">
        <v>25</v>
      </c>
      <c r="E52" s="73">
        <f>+SUM(E38:E49,E28:E36,E6:E23)</f>
        <v>112683439.24000001</v>
      </c>
      <c r="F52" s="73">
        <f>+SUM(F38:F49,F28:F36,F6:F23)</f>
        <v>0</v>
      </c>
      <c r="G52" s="73">
        <f>+SUM(G38:G49,G28:G36,G6:G23)</f>
        <v>112683439.24000001</v>
      </c>
      <c r="H52" s="73" t="e">
        <f>+SUM(H38:H49,H28:H36,H6:H23)</f>
        <v>#REF!</v>
      </c>
      <c r="I52" s="73" t="e">
        <f>+I50+I25</f>
        <v>#REF!</v>
      </c>
      <c r="J52" s="73">
        <f>+SUM(J38:J49,J28:J36,J6:J23)</f>
        <v>142595589.71000001</v>
      </c>
      <c r="K52" s="73">
        <f>+SUM(K38:K49,K28:K36,K6:K23)</f>
        <v>0</v>
      </c>
      <c r="L52" s="73">
        <f>+SUM(L38:L49,L28:L36,L6:L23)</f>
        <v>142595589.71000001</v>
      </c>
      <c r="M52" s="73">
        <f>+SUM(M38:M49,M28:M36,M6:M23)</f>
        <v>226026041.47999999</v>
      </c>
      <c r="N52" s="73">
        <f t="shared" ref="N52:Z52" si="41">+N50+N25</f>
        <v>368621631.19</v>
      </c>
      <c r="O52" s="73">
        <f t="shared" si="41"/>
        <v>184126869.67000002</v>
      </c>
      <c r="P52" s="73">
        <f t="shared" si="41"/>
        <v>0</v>
      </c>
      <c r="Q52" s="73">
        <f t="shared" si="41"/>
        <v>184126869.67000002</v>
      </c>
      <c r="R52" s="73">
        <f t="shared" si="41"/>
        <v>205801809.26999998</v>
      </c>
      <c r="S52" s="73">
        <f t="shared" si="41"/>
        <v>389928678.93999994</v>
      </c>
      <c r="T52" s="73">
        <f t="shared" si="41"/>
        <v>212217039.58000001</v>
      </c>
      <c r="U52" s="73">
        <f t="shared" si="41"/>
        <v>0</v>
      </c>
      <c r="V52" s="73">
        <f t="shared" si="41"/>
        <v>212217039.58000001</v>
      </c>
      <c r="W52" s="73">
        <f t="shared" si="41"/>
        <v>219992832.74999997</v>
      </c>
      <c r="X52" s="73">
        <f t="shared" si="41"/>
        <v>432209872.33000004</v>
      </c>
      <c r="Y52" s="73">
        <f t="shared" si="41"/>
        <v>212217039.58000001</v>
      </c>
      <c r="Z52" s="73">
        <f t="shared" si="41"/>
        <v>12790088.11826</v>
      </c>
      <c r="AA52" s="73"/>
      <c r="AB52" s="73"/>
      <c r="AC52" s="73">
        <f t="shared" ref="AC52:BI52" si="42">+AC50+AC25</f>
        <v>225007127.69826001</v>
      </c>
      <c r="AD52" s="73">
        <f t="shared" si="42"/>
        <v>236667977.35999998</v>
      </c>
      <c r="AE52" s="73">
        <f t="shared" si="42"/>
        <v>461675105.05826002</v>
      </c>
      <c r="AF52" s="73">
        <f t="shared" si="42"/>
        <v>225007127.69826001</v>
      </c>
      <c r="AG52" s="73">
        <f t="shared" si="42"/>
        <v>39395939.210000001</v>
      </c>
      <c r="AH52" s="73">
        <f t="shared" si="42"/>
        <v>264403066.90825999</v>
      </c>
      <c r="AI52" s="73">
        <f t="shared" si="42"/>
        <v>255584478.3067345</v>
      </c>
      <c r="AJ52" s="73">
        <f t="shared" si="42"/>
        <v>519987545.21499443</v>
      </c>
      <c r="AK52" s="73">
        <f t="shared" si="42"/>
        <v>264403066.90825999</v>
      </c>
      <c r="AL52" s="73">
        <f t="shared" si="42"/>
        <v>115745438.39264284</v>
      </c>
      <c r="AM52" s="73">
        <f t="shared" si="42"/>
        <v>380148505.3009029</v>
      </c>
      <c r="AN52" s="73">
        <f t="shared" si="42"/>
        <v>254428868.65728378</v>
      </c>
      <c r="AO52" s="73">
        <f t="shared" si="42"/>
        <v>634577373.95818663</v>
      </c>
      <c r="AP52" s="73">
        <f t="shared" si="42"/>
        <v>380148505.3009029</v>
      </c>
      <c r="AQ52" s="73">
        <f t="shared" si="42"/>
        <v>123319529.59367046</v>
      </c>
      <c r="AR52" s="73">
        <f t="shared" si="42"/>
        <v>503468034.89457339</v>
      </c>
      <c r="AS52" s="73">
        <f t="shared" si="42"/>
        <v>223910011.75180647</v>
      </c>
      <c r="AT52" s="73">
        <f t="shared" si="42"/>
        <v>727378046.64637995</v>
      </c>
      <c r="AU52" s="73">
        <f t="shared" si="42"/>
        <v>503468034.89457339</v>
      </c>
      <c r="AV52" s="73">
        <f t="shared" si="42"/>
        <v>112448635.93367046</v>
      </c>
      <c r="AW52" s="73">
        <f t="shared" si="42"/>
        <v>615916670.82824373</v>
      </c>
      <c r="AX52" s="73">
        <f t="shared" si="42"/>
        <v>171825588.13522175</v>
      </c>
      <c r="AY52" s="73">
        <f t="shared" si="42"/>
        <v>787742258.96346557</v>
      </c>
      <c r="AZ52" s="73">
        <f t="shared" si="42"/>
        <v>615916670.82824373</v>
      </c>
      <c r="BA52" s="73">
        <f t="shared" si="42"/>
        <v>99313036.822642863</v>
      </c>
      <c r="BB52" s="73">
        <f t="shared" si="42"/>
        <v>715229707.65088665</v>
      </c>
      <c r="BC52" s="73">
        <f t="shared" si="42"/>
        <v>115053692.02654052</v>
      </c>
      <c r="BD52" s="73">
        <f t="shared" si="42"/>
        <v>830283399.67742717</v>
      </c>
      <c r="BE52" s="73">
        <f t="shared" si="42"/>
        <v>715229707.65088665</v>
      </c>
      <c r="BF52" s="73">
        <f t="shared" si="42"/>
        <v>85346381.025142863</v>
      </c>
      <c r="BG52" s="73">
        <f t="shared" si="42"/>
        <v>800576088.67602944</v>
      </c>
      <c r="BH52" s="73">
        <f t="shared" si="42"/>
        <v>58663868.359051995</v>
      </c>
      <c r="BI52" s="73">
        <f t="shared" si="42"/>
        <v>859239957.03508139</v>
      </c>
      <c r="BJ52" s="497"/>
      <c r="BN52" s="73"/>
      <c r="BO52" s="73" t="e">
        <f>+BO50+BO25</f>
        <v>#REF!</v>
      </c>
      <c r="BP52" s="73" t="e">
        <f>+BP50+BP25</f>
        <v>#REF!</v>
      </c>
    </row>
    <row r="53" spans="2:70">
      <c r="AC53" s="189"/>
    </row>
    <row r="56" spans="2:70">
      <c r="AI56" s="189"/>
      <c r="AN56" s="189"/>
    </row>
    <row r="63" spans="2:70">
      <c r="BR63" s="324" t="s">
        <v>1464</v>
      </c>
    </row>
    <row r="64" spans="2:70">
      <c r="C64" s="449"/>
    </row>
    <row r="65" spans="2:61" s="2" customFormat="1">
      <c r="C65" s="449"/>
      <c r="I65" s="75"/>
      <c r="N65" s="75"/>
      <c r="S65" s="75"/>
      <c r="X65" s="75"/>
      <c r="AE65" s="75"/>
      <c r="AJ65" s="75"/>
      <c r="AO65" s="75"/>
      <c r="AT65" s="75"/>
      <c r="AY65" s="75"/>
      <c r="BD65" s="75"/>
      <c r="BI65" s="75"/>
    </row>
    <row r="66" spans="2:61" s="2" customFormat="1">
      <c r="C66" s="449"/>
      <c r="I66" s="75"/>
      <c r="N66" s="75"/>
      <c r="S66" s="75"/>
      <c r="X66" s="75"/>
      <c r="AE66" s="75"/>
      <c r="AJ66" s="75"/>
      <c r="AO66" s="75"/>
      <c r="AT66" s="75"/>
      <c r="AY66" s="75"/>
      <c r="BD66" s="75"/>
      <c r="BI66" s="75"/>
    </row>
    <row r="67" spans="2:61" s="2" customFormat="1">
      <c r="C67" s="449"/>
      <c r="I67" s="75"/>
      <c r="N67" s="75"/>
      <c r="S67" s="75"/>
      <c r="X67" s="75"/>
      <c r="AE67" s="75"/>
      <c r="AJ67" s="75"/>
      <c r="AO67" s="75"/>
      <c r="AT67" s="75"/>
      <c r="AY67" s="75"/>
      <c r="BD67" s="75"/>
      <c r="BI67" s="75"/>
    </row>
    <row r="68" spans="2:61" s="2" customFormat="1">
      <c r="C68" s="449"/>
      <c r="I68" s="75"/>
      <c r="N68" s="75"/>
      <c r="S68" s="75"/>
      <c r="X68" s="75"/>
      <c r="AE68" s="75"/>
      <c r="AJ68" s="75"/>
      <c r="AO68" s="75"/>
      <c r="AT68" s="75"/>
      <c r="AY68" s="75"/>
      <c r="BD68" s="75"/>
      <c r="BI68" s="75"/>
    </row>
    <row r="78" spans="2:61" s="2" customFormat="1" ht="13.5">
      <c r="B78" s="71" t="s">
        <v>1465</v>
      </c>
      <c r="C78" s="71"/>
      <c r="D78" s="489"/>
      <c r="E78" s="446"/>
      <c r="F78" s="446"/>
      <c r="G78" s="446"/>
      <c r="H78" s="446"/>
      <c r="I78" s="487" t="s">
        <v>1438</v>
      </c>
      <c r="J78" s="446"/>
      <c r="K78" s="446"/>
      <c r="L78" s="446"/>
      <c r="M78" s="446"/>
      <c r="N78" s="487" t="s">
        <v>1438</v>
      </c>
      <c r="O78" s="487"/>
      <c r="P78" s="487"/>
      <c r="Q78" s="487"/>
      <c r="R78" s="487"/>
      <c r="S78" s="487" t="s">
        <v>1439</v>
      </c>
      <c r="T78" s="487"/>
      <c r="U78" s="487"/>
      <c r="V78" s="487"/>
      <c r="W78" s="487"/>
      <c r="X78" s="487" t="s">
        <v>1440</v>
      </c>
      <c r="Y78" s="487"/>
      <c r="Z78" s="487"/>
      <c r="AA78" s="487"/>
      <c r="AB78" s="487"/>
      <c r="AC78" s="487"/>
      <c r="AD78" s="487"/>
      <c r="AE78" s="487" t="s">
        <v>1441</v>
      </c>
      <c r="AF78" s="488"/>
      <c r="AG78" s="488"/>
      <c r="AH78" s="488"/>
      <c r="AI78" s="488"/>
      <c r="AJ78" s="487" t="s">
        <v>1442</v>
      </c>
      <c r="AK78" s="488"/>
      <c r="AL78" s="488"/>
      <c r="AM78" s="488"/>
      <c r="AN78" s="488"/>
      <c r="AO78" s="487" t="s">
        <v>1443</v>
      </c>
      <c r="AP78" s="488"/>
      <c r="AQ78" s="488"/>
      <c r="AR78" s="488"/>
      <c r="AS78" s="488"/>
      <c r="AT78" s="487" t="s">
        <v>1444</v>
      </c>
      <c r="AU78" s="488"/>
      <c r="AV78" s="488"/>
      <c r="AW78" s="488"/>
      <c r="AX78" s="488"/>
      <c r="AY78" s="487" t="s">
        <v>1445</v>
      </c>
      <c r="AZ78" s="488"/>
      <c r="BA78" s="488"/>
      <c r="BB78" s="488"/>
      <c r="BC78" s="488"/>
      <c r="BD78" s="487" t="s">
        <v>1446</v>
      </c>
      <c r="BE78" s="488"/>
      <c r="BF78" s="488"/>
      <c r="BG78" s="488"/>
      <c r="BH78" s="488"/>
      <c r="BI78" s="487" t="s">
        <v>1447</v>
      </c>
    </row>
    <row r="79" spans="2:61" s="2" customFormat="1">
      <c r="C79" s="2" t="s">
        <v>1436</v>
      </c>
      <c r="I79" s="490" t="e">
        <f>I25/1000000</f>
        <v>#REF!</v>
      </c>
      <c r="N79" s="490">
        <f>N25/1000000</f>
        <v>368.62163119000002</v>
      </c>
      <c r="S79" s="490">
        <f t="shared" ref="S79:Z79" si="43">S25/1000000</f>
        <v>389.92867893999994</v>
      </c>
      <c r="T79" s="490">
        <f t="shared" si="43"/>
        <v>212.21703958000001</v>
      </c>
      <c r="U79" s="490">
        <f t="shared" si="43"/>
        <v>0</v>
      </c>
      <c r="V79" s="490">
        <f t="shared" si="43"/>
        <v>212.21703958000001</v>
      </c>
      <c r="W79" s="490">
        <f t="shared" si="43"/>
        <v>219.99283274999996</v>
      </c>
      <c r="X79" s="490">
        <f t="shared" si="43"/>
        <v>432.20987233000005</v>
      </c>
      <c r="Y79" s="490">
        <f t="shared" si="43"/>
        <v>212.21703958000001</v>
      </c>
      <c r="Z79" s="490">
        <f t="shared" si="43"/>
        <v>12.79008811826</v>
      </c>
      <c r="AA79" s="490"/>
      <c r="AB79" s="490"/>
      <c r="AC79" s="490">
        <f t="shared" ref="AC79:BI79" si="44">AC25/1000000</f>
        <v>225.00712769826001</v>
      </c>
      <c r="AD79" s="490">
        <f t="shared" si="44"/>
        <v>236.66797735999998</v>
      </c>
      <c r="AE79" s="490">
        <f t="shared" si="44"/>
        <v>461.67510505826004</v>
      </c>
      <c r="AF79" s="490">
        <f t="shared" si="44"/>
        <v>225.00712769826001</v>
      </c>
      <c r="AG79" s="490">
        <f t="shared" si="44"/>
        <v>39.395939210000002</v>
      </c>
      <c r="AH79" s="490">
        <f t="shared" si="44"/>
        <v>264.40306690825997</v>
      </c>
      <c r="AI79" s="490">
        <f t="shared" si="44"/>
        <v>255.5844783067345</v>
      </c>
      <c r="AJ79" s="490">
        <f t="shared" si="44"/>
        <v>519.98754521499438</v>
      </c>
      <c r="AK79" s="490">
        <f t="shared" si="44"/>
        <v>264.40306690825997</v>
      </c>
      <c r="AL79" s="490">
        <f t="shared" si="44"/>
        <v>115.74543839264284</v>
      </c>
      <c r="AM79" s="490">
        <f t="shared" si="44"/>
        <v>380.14850530090291</v>
      </c>
      <c r="AN79" s="490">
        <f t="shared" si="44"/>
        <v>254.42886865728377</v>
      </c>
      <c r="AO79" s="490">
        <f t="shared" si="44"/>
        <v>634.57737395818663</v>
      </c>
      <c r="AP79" s="490">
        <f t="shared" si="44"/>
        <v>380.14850530090291</v>
      </c>
      <c r="AQ79" s="490">
        <f t="shared" si="44"/>
        <v>123.31952959367045</v>
      </c>
      <c r="AR79" s="490">
        <f t="shared" si="44"/>
        <v>503.46803489457341</v>
      </c>
      <c r="AS79" s="490">
        <f t="shared" si="44"/>
        <v>223.91001175180648</v>
      </c>
      <c r="AT79" s="490">
        <f t="shared" si="44"/>
        <v>727.37804664637997</v>
      </c>
      <c r="AU79" s="490">
        <f t="shared" si="44"/>
        <v>503.46803489457341</v>
      </c>
      <c r="AV79" s="490">
        <f t="shared" si="44"/>
        <v>112.44863593367046</v>
      </c>
      <c r="AW79" s="490">
        <f t="shared" si="44"/>
        <v>615.9166708282437</v>
      </c>
      <c r="AX79" s="490">
        <f t="shared" si="44"/>
        <v>171.82558813522175</v>
      </c>
      <c r="AY79" s="490">
        <f t="shared" si="44"/>
        <v>787.74225896346559</v>
      </c>
      <c r="AZ79" s="490">
        <f t="shared" si="44"/>
        <v>615.9166708282437</v>
      </c>
      <c r="BA79" s="490">
        <f t="shared" si="44"/>
        <v>99.313036822642857</v>
      </c>
      <c r="BB79" s="490">
        <f t="shared" si="44"/>
        <v>715.22970765088667</v>
      </c>
      <c r="BC79" s="490">
        <f t="shared" si="44"/>
        <v>115.05369202654052</v>
      </c>
      <c r="BD79" s="490">
        <f t="shared" si="44"/>
        <v>830.28339967742716</v>
      </c>
      <c r="BE79" s="490">
        <f t="shared" si="44"/>
        <v>715.22970765088667</v>
      </c>
      <c r="BF79" s="490">
        <f t="shared" si="44"/>
        <v>85.346381025142861</v>
      </c>
      <c r="BG79" s="490">
        <f t="shared" si="44"/>
        <v>800.57608867602949</v>
      </c>
      <c r="BH79" s="490">
        <f t="shared" si="44"/>
        <v>58.663868359051996</v>
      </c>
      <c r="BI79" s="490">
        <f t="shared" si="44"/>
        <v>859.23995703508137</v>
      </c>
    </row>
    <row r="80" spans="2:61" s="2" customFormat="1">
      <c r="C80" s="2" t="s">
        <v>1437</v>
      </c>
      <c r="I80" s="490">
        <f>I50/1000000</f>
        <v>0</v>
      </c>
      <c r="N80" s="490">
        <f>N50/1000000</f>
        <v>0</v>
      </c>
      <c r="S80" s="490">
        <f t="shared" ref="S80:BI80" si="45">S50/1000000</f>
        <v>0</v>
      </c>
      <c r="T80" s="490">
        <f t="shared" si="45"/>
        <v>0</v>
      </c>
      <c r="U80" s="490">
        <f t="shared" si="45"/>
        <v>0</v>
      </c>
      <c r="V80" s="490">
        <f t="shared" si="45"/>
        <v>0</v>
      </c>
      <c r="W80" s="490">
        <f t="shared" si="45"/>
        <v>0</v>
      </c>
      <c r="X80" s="490">
        <f t="shared" si="45"/>
        <v>0</v>
      </c>
      <c r="Y80" s="490">
        <f t="shared" si="45"/>
        <v>0</v>
      </c>
      <c r="Z80" s="490">
        <f t="shared" si="45"/>
        <v>0</v>
      </c>
      <c r="AA80" s="490"/>
      <c r="AB80" s="490"/>
      <c r="AC80" s="490">
        <f t="shared" si="45"/>
        <v>0</v>
      </c>
      <c r="AD80" s="490">
        <f t="shared" si="45"/>
        <v>0</v>
      </c>
      <c r="AE80" s="490">
        <f t="shared" si="45"/>
        <v>0</v>
      </c>
      <c r="AF80" s="490">
        <f t="shared" si="45"/>
        <v>0</v>
      </c>
      <c r="AG80" s="490">
        <f t="shared" si="45"/>
        <v>0</v>
      </c>
      <c r="AH80" s="490">
        <f t="shared" si="45"/>
        <v>0</v>
      </c>
      <c r="AI80" s="490">
        <f t="shared" si="45"/>
        <v>0</v>
      </c>
      <c r="AJ80" s="490">
        <f t="shared" si="45"/>
        <v>0</v>
      </c>
      <c r="AK80" s="490">
        <f t="shared" si="45"/>
        <v>0</v>
      </c>
      <c r="AL80" s="490">
        <f t="shared" si="45"/>
        <v>0</v>
      </c>
      <c r="AM80" s="490">
        <f t="shared" si="45"/>
        <v>0</v>
      </c>
      <c r="AN80" s="490">
        <f t="shared" si="45"/>
        <v>0</v>
      </c>
      <c r="AO80" s="490">
        <f t="shared" si="45"/>
        <v>0</v>
      </c>
      <c r="AP80" s="490">
        <f t="shared" si="45"/>
        <v>0</v>
      </c>
      <c r="AQ80" s="490">
        <f t="shared" si="45"/>
        <v>0</v>
      </c>
      <c r="AR80" s="490">
        <f t="shared" si="45"/>
        <v>0</v>
      </c>
      <c r="AS80" s="490">
        <f t="shared" si="45"/>
        <v>0</v>
      </c>
      <c r="AT80" s="490">
        <f t="shared" si="45"/>
        <v>0</v>
      </c>
      <c r="AU80" s="490">
        <f t="shared" si="45"/>
        <v>0</v>
      </c>
      <c r="AV80" s="490">
        <f t="shared" si="45"/>
        <v>0</v>
      </c>
      <c r="AW80" s="490">
        <f t="shared" si="45"/>
        <v>0</v>
      </c>
      <c r="AX80" s="490">
        <f t="shared" si="45"/>
        <v>0</v>
      </c>
      <c r="AY80" s="490">
        <f t="shared" si="45"/>
        <v>0</v>
      </c>
      <c r="AZ80" s="490">
        <f t="shared" si="45"/>
        <v>0</v>
      </c>
      <c r="BA80" s="490">
        <f t="shared" si="45"/>
        <v>0</v>
      </c>
      <c r="BB80" s="490">
        <f t="shared" si="45"/>
        <v>0</v>
      </c>
      <c r="BC80" s="490">
        <f t="shared" si="45"/>
        <v>0</v>
      </c>
      <c r="BD80" s="490">
        <f t="shared" si="45"/>
        <v>0</v>
      </c>
      <c r="BE80" s="490">
        <f t="shared" si="45"/>
        <v>0</v>
      </c>
      <c r="BF80" s="490">
        <f t="shared" si="45"/>
        <v>0</v>
      </c>
      <c r="BG80" s="490">
        <f t="shared" si="45"/>
        <v>0</v>
      </c>
      <c r="BH80" s="490">
        <f t="shared" si="45"/>
        <v>0</v>
      </c>
      <c r="BI80" s="490">
        <f t="shared" si="45"/>
        <v>0</v>
      </c>
    </row>
    <row r="81" spans="3:61" s="2" customFormat="1">
      <c r="C81" s="2" t="s">
        <v>127</v>
      </c>
      <c r="I81" s="255">
        <f>'Portfolio Summary'!Z27/1000000</f>
        <v>-3.3621201699999981</v>
      </c>
      <c r="N81" s="255">
        <f>'Portfolio Summary'!AE27/1000000</f>
        <v>-74.500148949999982</v>
      </c>
      <c r="S81" s="255">
        <f>'Portfolio Summary'!AJ27/1000000</f>
        <v>-37.249416562967092</v>
      </c>
      <c r="T81" s="255">
        <f>'Portfolio Summary'!AK27/1000000</f>
        <v>57.354160114573361</v>
      </c>
      <c r="U81" s="255">
        <f>'Portfolio Summary'!AL27/1000000</f>
        <v>165.48048561824382</v>
      </c>
      <c r="V81" s="255">
        <f>'Portfolio Summary'!AM27/1000000</f>
        <v>264.7935224408867</v>
      </c>
      <c r="W81" s="255">
        <f>'Portfolio Summary'!AN27/1000000</f>
        <v>350.13990346602952</v>
      </c>
      <c r="X81" s="255">
        <f>'Portfolio Summary'!AO27/1000000</f>
        <v>391.55937943317241</v>
      </c>
      <c r="Y81" s="255">
        <f>'Portfolio Summary'!AP27/1000000</f>
        <v>426.7288554003153</v>
      </c>
      <c r="Z81" s="255">
        <f>'Portfolio Summary'!AQ27/1000000</f>
        <v>436.92244965031529</v>
      </c>
      <c r="AA81" s="255"/>
      <c r="AB81" s="255"/>
      <c r="AC81" s="255">
        <f>'Portfolio Summary'!AR27/1000000</f>
        <v>438.64604390031531</v>
      </c>
      <c r="AD81" s="255">
        <f>'Portfolio Summary'!AS27/1000000</f>
        <v>0</v>
      </c>
      <c r="AE81" s="255">
        <f>'Portfolio Summary'!AT27/1000000</f>
        <v>0</v>
      </c>
      <c r="AF81" s="255">
        <f>'Portfolio Summary'!AU27/1000000</f>
        <v>0</v>
      </c>
      <c r="AG81" s="255">
        <f>'Portfolio Summary'!AV27/1000000</f>
        <v>0</v>
      </c>
      <c r="AH81" s="255">
        <f>'Portfolio Summary'!AW27/1000000</f>
        <v>0</v>
      </c>
      <c r="AI81" s="255">
        <f>'Portfolio Summary'!AX27/1000000</f>
        <v>0</v>
      </c>
      <c r="AJ81" s="255">
        <f>'Portfolio Summary'!AY27/1000000</f>
        <v>0</v>
      </c>
      <c r="AK81" s="255">
        <f>'Portfolio Summary'!AZ27/1000000</f>
        <v>0</v>
      </c>
      <c r="AL81" s="255">
        <f>'Portfolio Summary'!BA27/1000000</f>
        <v>0</v>
      </c>
      <c r="AM81" s="255">
        <f>'Portfolio Summary'!BB27/1000000</f>
        <v>0</v>
      </c>
      <c r="AN81" s="255">
        <f>'Portfolio Summary'!BC27/1000000</f>
        <v>0</v>
      </c>
      <c r="AO81" s="255">
        <f>'Portfolio Summary'!BD27/1000000</f>
        <v>0</v>
      </c>
      <c r="AP81" s="255">
        <f>'Portfolio Summary'!BE27/1000000</f>
        <v>0</v>
      </c>
      <c r="AQ81" s="255">
        <f>'Portfolio Summary'!BF27/1000000</f>
        <v>0</v>
      </c>
      <c r="AR81" s="255">
        <f>'Portfolio Summary'!BG27/1000000</f>
        <v>0</v>
      </c>
      <c r="AS81" s="255">
        <f>'Portfolio Summary'!BH27/1000000</f>
        <v>0</v>
      </c>
      <c r="AT81" s="255">
        <f>'Portfolio Summary'!BI27/1000000</f>
        <v>0</v>
      </c>
      <c r="AU81" s="255">
        <f>'Portfolio Summary'!BJ27/1000000</f>
        <v>0</v>
      </c>
      <c r="AV81" s="255">
        <f>'Portfolio Summary'!BK27/1000000</f>
        <v>0</v>
      </c>
      <c r="AW81" s="255">
        <f>'Portfolio Summary'!BL27/1000000</f>
        <v>0</v>
      </c>
      <c r="AX81" s="255">
        <f>'Portfolio Summary'!BM27/1000000</f>
        <v>0</v>
      </c>
      <c r="AY81" s="255">
        <f>'Portfolio Summary'!BN27/1000000</f>
        <v>0</v>
      </c>
      <c r="AZ81" s="255">
        <f>'Portfolio Summary'!BO27/1000000</f>
        <v>0</v>
      </c>
      <c r="BA81" s="255">
        <f>'Portfolio Summary'!BP27/1000000</f>
        <v>0</v>
      </c>
      <c r="BB81" s="255">
        <f>'Portfolio Summary'!BQ27/1000000</f>
        <v>0</v>
      </c>
      <c r="BC81" s="255">
        <f>'Portfolio Summary'!BR27/1000000</f>
        <v>0</v>
      </c>
      <c r="BD81" s="255">
        <f>'Portfolio Summary'!BS27/1000000</f>
        <v>0</v>
      </c>
      <c r="BE81" s="255">
        <f>'Portfolio Summary'!BT27/1000000</f>
        <v>0</v>
      </c>
      <c r="BF81" s="255">
        <f>'Portfolio Summary'!BU27/1000000</f>
        <v>0</v>
      </c>
      <c r="BG81" s="255">
        <f>'Portfolio Summary'!BV27/1000000</f>
        <v>0</v>
      </c>
      <c r="BH81" s="255">
        <f>'Portfolio Summary'!BW27/1000000</f>
        <v>0</v>
      </c>
      <c r="BI81" s="255">
        <f>'Portfolio Summary'!BX27/1000000</f>
        <v>0</v>
      </c>
    </row>
    <row r="83" spans="3:61" s="2" customFormat="1">
      <c r="I83" s="73" t="e">
        <f>SUM(I79:I80)</f>
        <v>#REF!</v>
      </c>
      <c r="N83" s="73">
        <f>SUM(N79:N80)</f>
        <v>368.62163119000002</v>
      </c>
      <c r="S83" s="73">
        <f t="shared" ref="S83:BI83" si="46">SUM(S79:S80)</f>
        <v>389.92867893999994</v>
      </c>
      <c r="T83" s="73">
        <f t="shared" si="46"/>
        <v>212.21703958000001</v>
      </c>
      <c r="U83" s="73">
        <f t="shared" si="46"/>
        <v>0</v>
      </c>
      <c r="V83" s="73">
        <f t="shared" si="46"/>
        <v>212.21703958000001</v>
      </c>
      <c r="W83" s="73">
        <f t="shared" si="46"/>
        <v>219.99283274999996</v>
      </c>
      <c r="X83" s="73">
        <f t="shared" si="46"/>
        <v>432.20987233000005</v>
      </c>
      <c r="Y83" s="73">
        <f t="shared" si="46"/>
        <v>212.21703958000001</v>
      </c>
      <c r="Z83" s="73">
        <f t="shared" si="46"/>
        <v>12.79008811826</v>
      </c>
      <c r="AA83" s="73"/>
      <c r="AB83" s="73"/>
      <c r="AC83" s="73">
        <f t="shared" si="46"/>
        <v>225.00712769826001</v>
      </c>
      <c r="AD83" s="73">
        <f t="shared" si="46"/>
        <v>236.66797735999998</v>
      </c>
      <c r="AE83" s="73">
        <f t="shared" si="46"/>
        <v>461.67510505826004</v>
      </c>
      <c r="AF83" s="73">
        <f t="shared" si="46"/>
        <v>225.00712769826001</v>
      </c>
      <c r="AG83" s="73">
        <f t="shared" si="46"/>
        <v>39.395939210000002</v>
      </c>
      <c r="AH83" s="73">
        <f t="shared" si="46"/>
        <v>264.40306690825997</v>
      </c>
      <c r="AI83" s="73">
        <f t="shared" si="46"/>
        <v>255.5844783067345</v>
      </c>
      <c r="AJ83" s="73">
        <f t="shared" si="46"/>
        <v>519.98754521499438</v>
      </c>
      <c r="AK83" s="73">
        <f t="shared" si="46"/>
        <v>264.40306690825997</v>
      </c>
      <c r="AL83" s="73">
        <f t="shared" si="46"/>
        <v>115.74543839264284</v>
      </c>
      <c r="AM83" s="73">
        <f t="shared" si="46"/>
        <v>380.14850530090291</v>
      </c>
      <c r="AN83" s="73">
        <f t="shared" si="46"/>
        <v>254.42886865728377</v>
      </c>
      <c r="AO83" s="73">
        <f t="shared" si="46"/>
        <v>634.57737395818663</v>
      </c>
      <c r="AP83" s="73">
        <f t="shared" si="46"/>
        <v>380.14850530090291</v>
      </c>
      <c r="AQ83" s="73">
        <f t="shared" si="46"/>
        <v>123.31952959367045</v>
      </c>
      <c r="AR83" s="73">
        <f t="shared" si="46"/>
        <v>503.46803489457341</v>
      </c>
      <c r="AS83" s="73">
        <f t="shared" si="46"/>
        <v>223.91001175180648</v>
      </c>
      <c r="AT83" s="73">
        <f t="shared" si="46"/>
        <v>727.37804664637997</v>
      </c>
      <c r="AU83" s="73">
        <f t="shared" si="46"/>
        <v>503.46803489457341</v>
      </c>
      <c r="AV83" s="73">
        <f t="shared" si="46"/>
        <v>112.44863593367046</v>
      </c>
      <c r="AW83" s="73">
        <f t="shared" si="46"/>
        <v>615.9166708282437</v>
      </c>
      <c r="AX83" s="73">
        <f t="shared" si="46"/>
        <v>171.82558813522175</v>
      </c>
      <c r="AY83" s="73">
        <f t="shared" si="46"/>
        <v>787.74225896346559</v>
      </c>
      <c r="AZ83" s="73">
        <f t="shared" si="46"/>
        <v>615.9166708282437</v>
      </c>
      <c r="BA83" s="73">
        <f t="shared" si="46"/>
        <v>99.313036822642857</v>
      </c>
      <c r="BB83" s="73">
        <f t="shared" si="46"/>
        <v>715.22970765088667</v>
      </c>
      <c r="BC83" s="73">
        <f t="shared" si="46"/>
        <v>115.05369202654052</v>
      </c>
      <c r="BD83" s="73">
        <f t="shared" si="46"/>
        <v>830.28339967742716</v>
      </c>
      <c r="BE83" s="73">
        <f t="shared" si="46"/>
        <v>715.22970765088667</v>
      </c>
      <c r="BF83" s="73">
        <f t="shared" si="46"/>
        <v>85.346381025142861</v>
      </c>
      <c r="BG83" s="73">
        <f t="shared" si="46"/>
        <v>800.57608867602949</v>
      </c>
      <c r="BH83" s="73">
        <f t="shared" si="46"/>
        <v>58.663868359051996</v>
      </c>
      <c r="BI83" s="73">
        <f t="shared" si="46"/>
        <v>859.23995703508137</v>
      </c>
    </row>
  </sheetData>
  <pageMargins left="0.7" right="0.7" top="0.75" bottom="0.75" header="0.3" footer="0.3"/>
  <drawing r:id="rId1"/>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6FDBA-BC29-4DD1-8A99-150A46E3DB2B}">
  <sheetPr>
    <tabColor theme="5"/>
  </sheetPr>
  <dimension ref="A2:P227"/>
  <sheetViews>
    <sheetView zoomScale="70" zoomScaleNormal="70" workbookViewId="0">
      <selection activeCell="AE16" sqref="AE16"/>
    </sheetView>
  </sheetViews>
  <sheetFormatPr defaultRowHeight="15" outlineLevelCol="1"/>
  <cols>
    <col min="1" max="1" width="25.140625" bestFit="1" customWidth="1"/>
    <col min="2" max="2" width="84.85546875" bestFit="1" customWidth="1"/>
    <col min="3" max="3" width="5.7109375" customWidth="1"/>
    <col min="4" max="4" width="10.85546875" customWidth="1" outlineLevel="1"/>
    <col min="5" max="6" width="12.7109375" customWidth="1"/>
    <col min="7" max="7" width="14.7109375" customWidth="1"/>
    <col min="8" max="8" width="15.140625" customWidth="1"/>
    <col min="9" max="9" width="14.7109375" customWidth="1"/>
    <col min="10" max="10" width="14.42578125" customWidth="1"/>
    <col min="11" max="11" width="15.7109375" customWidth="1"/>
    <col min="12" max="15" width="12.7109375" customWidth="1"/>
  </cols>
  <sheetData>
    <row r="2" spans="1:16">
      <c r="D2" s="453">
        <v>45565</v>
      </c>
      <c r="E2" s="454">
        <v>45657</v>
      </c>
      <c r="F2" s="454">
        <f>+EOMONTH(E2,12)</f>
        <v>46022</v>
      </c>
      <c r="G2" s="454">
        <f t="shared" ref="G2:O2" si="0">+EOMONTH(F2,12)</f>
        <v>46387</v>
      </c>
      <c r="H2" s="454">
        <f t="shared" si="0"/>
        <v>46752</v>
      </c>
      <c r="I2" s="454">
        <f t="shared" si="0"/>
        <v>47118</v>
      </c>
      <c r="J2" s="454">
        <f t="shared" si="0"/>
        <v>47483</v>
      </c>
      <c r="K2" s="454">
        <f t="shared" si="0"/>
        <v>47848</v>
      </c>
      <c r="L2" s="454">
        <f t="shared" si="0"/>
        <v>48213</v>
      </c>
      <c r="M2" s="454">
        <f t="shared" si="0"/>
        <v>48579</v>
      </c>
      <c r="N2" s="454">
        <f t="shared" si="0"/>
        <v>48944</v>
      </c>
      <c r="O2" s="454">
        <f t="shared" si="0"/>
        <v>49309</v>
      </c>
      <c r="P2" s="452"/>
    </row>
    <row r="3" spans="1:16">
      <c r="B3" s="463" t="s">
        <v>1466</v>
      </c>
      <c r="C3" s="464"/>
      <c r="D3" s="464"/>
      <c r="E3" s="499">
        <f>MIN((-SUM('Portfolio Summary'!$U41:AG41)-'Portfolio Summary'!AH41)/'Portfolio Summary'!$M$41,100%)</f>
        <v>0.99140087733333337</v>
      </c>
      <c r="F3" s="499">
        <f>MIN((-SUM('Portfolio Summary'!$U41:AH41)-'Portfolio Summary'!AI41)/'Portfolio Summary'!$M$41,100%)</f>
        <v>0.99140087733333337</v>
      </c>
      <c r="G3" s="499">
        <f>MIN((-SUM('Portfolio Summary'!$U41:AI41)-'Portfolio Summary'!AJ41)/'Portfolio Summary'!$M$41,100%)</f>
        <v>0.99140087733333337</v>
      </c>
      <c r="H3" s="499">
        <f>MIN((-SUM('Portfolio Summary'!$U41:AJ41)-'Portfolio Summary'!AK41)/'Portfolio Summary'!$M$41,100%)</f>
        <v>0.99140087733333337</v>
      </c>
      <c r="I3" s="499">
        <f>MIN((-SUM('Portfolio Summary'!$U41:AK41)-'Portfolio Summary'!AL41)/'Portfolio Summary'!$M$41,100%)</f>
        <v>0.99140087733333337</v>
      </c>
      <c r="J3" s="499">
        <f>MIN((-SUM('Portfolio Summary'!$U41:AL41)-'Portfolio Summary'!AM41)/'Portfolio Summary'!$M$41,100%)</f>
        <v>0.99140087733333337</v>
      </c>
      <c r="K3" s="499">
        <f>MIN((-SUM('Portfolio Summary'!$U41:AM41)-'Portfolio Summary'!AN41)/'Portfolio Summary'!$M$41,100%)</f>
        <v>0.99140087733333337</v>
      </c>
      <c r="L3" s="499">
        <f>MIN((-SUM('Portfolio Summary'!$U41:AN41)-'Portfolio Summary'!AO41)/'Portfolio Summary'!$M$41,100%)</f>
        <v>0.99140087733333337</v>
      </c>
      <c r="M3" s="499">
        <f>MIN((-SUM('Portfolio Summary'!$U41:AO41)-'Portfolio Summary'!AP41)/'Portfolio Summary'!$M$41,100%)</f>
        <v>0.99140087733333337</v>
      </c>
      <c r="N3" s="499">
        <f>MIN((-SUM('Portfolio Summary'!$U41:AP41)-'Portfolio Summary'!AQ41)/'Portfolio Summary'!$M$41,100%)</f>
        <v>0.99140087733333337</v>
      </c>
      <c r="O3" s="499">
        <f>MIN((-SUM('Portfolio Summary'!$U41:AQ41)-'Portfolio Summary'!AR41)/'Portfolio Summary'!$M$41,100%)</f>
        <v>0.99140087733333337</v>
      </c>
      <c r="P3" s="452"/>
    </row>
    <row r="4" spans="1:16">
      <c r="A4" t="s">
        <v>1467</v>
      </c>
      <c r="B4" s="457" t="s">
        <v>1468</v>
      </c>
      <c r="C4" s="456">
        <v>0.25</v>
      </c>
      <c r="D4" s="453"/>
      <c r="E4" s="454"/>
      <c r="F4" s="454"/>
      <c r="G4" s="454"/>
      <c r="H4" s="454"/>
      <c r="I4" s="454"/>
      <c r="J4" s="454"/>
      <c r="K4" s="454"/>
      <c r="L4" s="454"/>
      <c r="M4" s="454"/>
      <c r="N4" s="454"/>
      <c r="O4" s="454"/>
      <c r="P4" s="452"/>
    </row>
    <row r="5" spans="1:16">
      <c r="B5" s="457" t="s">
        <v>1469</v>
      </c>
      <c r="E5" s="455">
        <f>+'Portfolio Summary'!AH6</f>
        <v>0</v>
      </c>
      <c r="F5" s="455">
        <f>+'Portfolio Summary'!AI6</f>
        <v>0</v>
      </c>
      <c r="G5" s="455">
        <f>+'Portfolio Summary'!AJ6</f>
        <v>0</v>
      </c>
      <c r="H5" s="455">
        <f>+'Portfolio Summary'!AK6</f>
        <v>0</v>
      </c>
      <c r="I5" s="455">
        <f>+'Portfolio Summary'!AL6</f>
        <v>0</v>
      </c>
      <c r="J5" s="455">
        <f>+'Portfolio Summary'!AM6</f>
        <v>0</v>
      </c>
      <c r="K5" s="455">
        <f>+'Portfolio Summary'!AN6</f>
        <v>0</v>
      </c>
      <c r="L5" s="455">
        <f>+'Portfolio Summary'!AO6</f>
        <v>0</v>
      </c>
      <c r="M5" s="455">
        <f>+'Portfolio Summary'!AP6</f>
        <v>0</v>
      </c>
      <c r="N5" s="455">
        <f>+'Portfolio Summary'!AQ6</f>
        <v>0</v>
      </c>
      <c r="O5" s="455">
        <f>+'Portfolio Summary'!AR6</f>
        <v>0</v>
      </c>
    </row>
    <row r="6" spans="1:16">
      <c r="B6" s="457" t="s">
        <v>1470</v>
      </c>
      <c r="E6" s="455">
        <v>0</v>
      </c>
      <c r="F6" s="455">
        <f>+'Portfolio Summary'!AI65</f>
        <v>0</v>
      </c>
      <c r="G6" s="455">
        <f>+'Portfolio Summary'!AJ65</f>
        <v>0</v>
      </c>
      <c r="H6" s="455">
        <f>+'Portfolio Summary'!AK65</f>
        <v>0</v>
      </c>
      <c r="I6" s="455">
        <f>+'Portfolio Summary'!AL65</f>
        <v>0</v>
      </c>
      <c r="J6" s="455">
        <f>+'Portfolio Summary'!AM65</f>
        <v>0</v>
      </c>
      <c r="K6" s="455">
        <f>+'Portfolio Summary'!AN65</f>
        <v>0</v>
      </c>
      <c r="L6" s="455">
        <f>+'Portfolio Summary'!AO65</f>
        <v>0</v>
      </c>
      <c r="M6" s="455">
        <f>+'Portfolio Summary'!AP65</f>
        <v>0</v>
      </c>
      <c r="N6" s="455">
        <f>+'Portfolio Summary'!AQ65</f>
        <v>0</v>
      </c>
      <c r="O6" s="455">
        <f>+'Portfolio Summary'!AR65</f>
        <v>0</v>
      </c>
    </row>
    <row r="7" spans="1:16">
      <c r="B7" s="457" t="s">
        <v>1471</v>
      </c>
      <c r="E7" s="455">
        <f>+XNPV($C4,E$6:$M$6,E$2:$M$2)*E3</f>
        <v>0</v>
      </c>
      <c r="F7" s="455">
        <f>+XNPV($C4,F$6:$M$6,F$2:$M$2)*F3</f>
        <v>0</v>
      </c>
      <c r="G7" s="455">
        <f>+XNPV($C4,G$6:$M$6,G$2:$M$2)*G3</f>
        <v>0</v>
      </c>
      <c r="H7" s="455">
        <f>+XNPV($C4,H$6:$M$6,H$2:$M$2)*H3</f>
        <v>0</v>
      </c>
      <c r="I7" s="455">
        <f>+XNPV($C4,I$6:$M$6,I$2:$M$2)*I3</f>
        <v>0</v>
      </c>
      <c r="J7" s="455">
        <f>+XNPV($C4,J$6:$M$6,J$2:$M$2)*J3</f>
        <v>0</v>
      </c>
      <c r="K7" s="455">
        <f>+XNPV($C4,K$6:$M$6,K$2:$M$2)*K3</f>
        <v>0</v>
      </c>
      <c r="L7" s="455">
        <f>+XNPV($C4,L$6:$M$6,L$2:$M$2)*L3</f>
        <v>0</v>
      </c>
      <c r="M7" s="455">
        <f>+XNPV($C4,M$6:$M$6,M$2:$M$2)*M3</f>
        <v>0</v>
      </c>
      <c r="N7" s="455">
        <f>+XNPV($C4,$M$6:N$6,$M$2:N$2)*N3</f>
        <v>0</v>
      </c>
      <c r="O7" s="455">
        <f>+XNPV($C4,$M$6:O$6,$M$2:O$2)*O3</f>
        <v>0</v>
      </c>
    </row>
    <row r="8" spans="1:16">
      <c r="B8" s="458" t="s">
        <v>2</v>
      </c>
      <c r="C8" s="458"/>
      <c r="D8" s="458">
        <f>+D7</f>
        <v>0</v>
      </c>
      <c r="E8" s="459">
        <f t="shared" ref="E8:M8" si="1">+E7</f>
        <v>0</v>
      </c>
      <c r="F8" s="459">
        <f t="shared" si="1"/>
        <v>0</v>
      </c>
      <c r="G8" s="459">
        <f t="shared" si="1"/>
        <v>0</v>
      </c>
      <c r="H8" s="459">
        <f t="shared" si="1"/>
        <v>0</v>
      </c>
      <c r="I8" s="459">
        <f t="shared" si="1"/>
        <v>0</v>
      </c>
      <c r="J8" s="459">
        <f t="shared" si="1"/>
        <v>0</v>
      </c>
      <c r="K8" s="459">
        <f t="shared" si="1"/>
        <v>0</v>
      </c>
      <c r="L8" s="459">
        <f t="shared" si="1"/>
        <v>0</v>
      </c>
      <c r="M8" s="459">
        <f t="shared" si="1"/>
        <v>0</v>
      </c>
      <c r="N8" s="459">
        <f>+N7</f>
        <v>0</v>
      </c>
      <c r="O8" s="459">
        <f>+O7</f>
        <v>0</v>
      </c>
    </row>
    <row r="9" spans="1:16">
      <c r="B9" s="457" t="s">
        <v>1472</v>
      </c>
      <c r="E9" s="3">
        <f>MIN((-SUM('Portfolio Summary'!$U42:AG42)-'Portfolio Summary'!AH42)/'Portfolio Summary'!$M$42,100%)</f>
        <v>0.91556634199999976</v>
      </c>
      <c r="F9" s="3">
        <f>MIN((-SUM('Portfolio Summary'!$U42:AH42)-'Portfolio Summary'!AI42)/'Portfolio Summary'!$M$42,100%)</f>
        <v>0.91556634199999976</v>
      </c>
      <c r="G9" s="3">
        <f>MIN((-SUM('Portfolio Summary'!$U42:AI42)-'Portfolio Summary'!AJ42)/'Portfolio Summary'!$M$42,100%)</f>
        <v>0.91556634199999976</v>
      </c>
      <c r="H9" s="3">
        <f>MIN((-SUM('Portfolio Summary'!$U42:AJ42)-'Portfolio Summary'!AK42)/'Portfolio Summary'!$M$42,100%)</f>
        <v>0.91556634199999976</v>
      </c>
      <c r="I9" s="3">
        <f>MIN((-SUM('Portfolio Summary'!$U42:AK42)-'Portfolio Summary'!AL42)/'Portfolio Summary'!$M$42,100%)</f>
        <v>0.91556634199999976</v>
      </c>
      <c r="J9" s="3">
        <f>MIN((-SUM('Portfolio Summary'!$U42:AL42)-'Portfolio Summary'!AM42)/'Portfolio Summary'!$M$42,100%)</f>
        <v>0.91556634199999976</v>
      </c>
      <c r="K9" s="3">
        <f>MIN((-SUM('Portfolio Summary'!$U42:AM42)-'Portfolio Summary'!AN42)/'Portfolio Summary'!$M$42,100%)</f>
        <v>0.91556634199999976</v>
      </c>
      <c r="L9" s="3">
        <f>MIN((-SUM('Portfolio Summary'!$U42:AN42)-'Portfolio Summary'!AO42)/'Portfolio Summary'!$M$42,100%)</f>
        <v>0.91556634199999976</v>
      </c>
      <c r="M9" s="3">
        <f>MIN((-SUM('Portfolio Summary'!$U42:AO42)-'Portfolio Summary'!AP42)/'Portfolio Summary'!$M$42,100%)</f>
        <v>0.91556634199999976</v>
      </c>
      <c r="N9" s="3">
        <f>MIN((-SUM('Portfolio Summary'!$U42:AP42)-'Portfolio Summary'!AQ42)/'Portfolio Summary'!$M$42,100%)</f>
        <v>0.91556634199999976</v>
      </c>
      <c r="O9" s="3">
        <f>MIN((-SUM('Portfolio Summary'!$U42:AQ42)-'Portfolio Summary'!AR42)/'Portfolio Summary'!$M$42,100%)</f>
        <v>0.91556634199999976</v>
      </c>
    </row>
    <row r="10" spans="1:16">
      <c r="A10" t="s">
        <v>1467</v>
      </c>
      <c r="B10" s="457" t="s">
        <v>1468</v>
      </c>
      <c r="C10" s="456">
        <f>C4</f>
        <v>0.25</v>
      </c>
      <c r="D10" s="453"/>
      <c r="E10" s="454"/>
      <c r="F10" s="454"/>
      <c r="G10" s="454"/>
      <c r="H10" s="454"/>
      <c r="I10" s="454"/>
      <c r="J10" s="454"/>
      <c r="K10" s="454"/>
      <c r="L10" s="454"/>
      <c r="M10" s="454"/>
      <c r="N10" s="454"/>
      <c r="O10" s="454"/>
      <c r="P10" s="452"/>
    </row>
    <row r="11" spans="1:16">
      <c r="B11" s="457" t="s">
        <v>1469</v>
      </c>
      <c r="E11" s="455">
        <f>+'Portfolio Summary'!AH42</f>
        <v>0</v>
      </c>
      <c r="F11" s="455">
        <f>+'Portfolio Summary'!AI42</f>
        <v>0</v>
      </c>
      <c r="G11" s="455">
        <f>+'Portfolio Summary'!AJ42</f>
        <v>0</v>
      </c>
      <c r="H11" s="455">
        <f>+'Portfolio Summary'!AK42</f>
        <v>0</v>
      </c>
      <c r="I11" s="455">
        <f>+'Portfolio Summary'!AL42</f>
        <v>0</v>
      </c>
      <c r="J11" s="455">
        <f>+'Portfolio Summary'!AM42</f>
        <v>0</v>
      </c>
      <c r="K11" s="455">
        <f>+'Portfolio Summary'!AN42</f>
        <v>0</v>
      </c>
      <c r="L11" s="455">
        <f>+'Portfolio Summary'!AO42</f>
        <v>0</v>
      </c>
      <c r="M11" s="455">
        <f>+'Portfolio Summary'!AP42</f>
        <v>0</v>
      </c>
      <c r="N11" s="455">
        <f>+'Portfolio Summary'!AQ42</f>
        <v>0</v>
      </c>
      <c r="O11" s="455">
        <f>+'Portfolio Summary'!AR42</f>
        <v>0</v>
      </c>
    </row>
    <row r="12" spans="1:16">
      <c r="B12" s="457" t="s">
        <v>1470</v>
      </c>
      <c r="E12" s="455">
        <f>+'Portfolio Summary'!AH66</f>
        <v>0</v>
      </c>
      <c r="F12" s="455">
        <f>+'Portfolio Summary'!AI66</f>
        <v>600000</v>
      </c>
      <c r="G12" s="455">
        <f>+'Portfolio Summary'!AJ66</f>
        <v>0</v>
      </c>
      <c r="H12" s="455">
        <f>+'Portfolio Summary'!AK66</f>
        <v>0</v>
      </c>
      <c r="I12" s="455">
        <f>+'Portfolio Summary'!AL66</f>
        <v>0</v>
      </c>
      <c r="J12" s="455">
        <f>+'Portfolio Summary'!AM66</f>
        <v>0</v>
      </c>
      <c r="K12" s="455">
        <f>+'Portfolio Summary'!AN66</f>
        <v>0</v>
      </c>
      <c r="L12" s="455">
        <f>+'Portfolio Summary'!AO66</f>
        <v>0</v>
      </c>
      <c r="M12" s="455">
        <f>+'Portfolio Summary'!AP66</f>
        <v>0</v>
      </c>
      <c r="N12" s="455">
        <f>+'Portfolio Summary'!AQ66</f>
        <v>0</v>
      </c>
      <c r="O12" s="455">
        <f>+'Portfolio Summary'!AR66</f>
        <v>0</v>
      </c>
    </row>
    <row r="13" spans="1:16">
      <c r="B13" s="457" t="s">
        <v>1471</v>
      </c>
      <c r="D13" s="455"/>
      <c r="E13" s="455">
        <f>(+XNPV($C10,E$12:$O$12,E$2:$O$2)-E12)*E9</f>
        <v>439471.84415999986</v>
      </c>
      <c r="F13" s="455">
        <f>(+XNPV($C10,F$12:$O$12,F$2:$O$2)-F12)*F9</f>
        <v>0</v>
      </c>
      <c r="G13" s="455">
        <f>(+XNPV($C10,G$12:$O$12,G$2:$O$2)-G12)*G9</f>
        <v>0</v>
      </c>
      <c r="H13" s="455">
        <f>(+XNPV($C10,H$12:$O$12,H$2:$O$2)-H12)*H9</f>
        <v>0</v>
      </c>
      <c r="I13" s="455">
        <f>(+XNPV($C10,I$12:$O$12,I$2:$O$2)-I12)*I9</f>
        <v>0</v>
      </c>
      <c r="J13" s="455">
        <f>(+XNPV($C10,J$12:$O$12,J$2:$O$2)-J12)*J9</f>
        <v>0</v>
      </c>
      <c r="K13" s="455">
        <f>(+XNPV($C10,K$12:$O$12,K$2:$O$2)-K12)*K9</f>
        <v>0</v>
      </c>
      <c r="L13" s="455">
        <f>(+XNPV($C10,L$12:$O$12,L$2:$O$2)-L12)*L9</f>
        <v>0</v>
      </c>
      <c r="M13" s="455">
        <f>(+XNPV($C10,M$12:$O$12,M$2:$O$2)-M12)*M9</f>
        <v>0</v>
      </c>
      <c r="N13" s="455">
        <f>(+XNPV($C10,N$12:$O$12,N$2:$O$2)-N12)*N9</f>
        <v>0</v>
      </c>
      <c r="O13" s="455">
        <f>(+XNPV($C10,O$12:$O$12,O$2:$O$2)-O12)*O9</f>
        <v>0</v>
      </c>
    </row>
    <row r="14" spans="1:16">
      <c r="B14" s="458" t="s">
        <v>3</v>
      </c>
      <c r="C14" s="458"/>
      <c r="D14" s="458">
        <f t="shared" ref="D14:O14" si="2">+D13</f>
        <v>0</v>
      </c>
      <c r="E14" s="459">
        <f t="shared" si="2"/>
        <v>439471.84415999986</v>
      </c>
      <c r="F14" s="459">
        <f t="shared" si="2"/>
        <v>0</v>
      </c>
      <c r="G14" s="459">
        <f t="shared" si="2"/>
        <v>0</v>
      </c>
      <c r="H14" s="459">
        <f t="shared" si="2"/>
        <v>0</v>
      </c>
      <c r="I14" s="459">
        <f t="shared" si="2"/>
        <v>0</v>
      </c>
      <c r="J14" s="459">
        <f t="shared" si="2"/>
        <v>0</v>
      </c>
      <c r="K14" s="459">
        <f t="shared" si="2"/>
        <v>0</v>
      </c>
      <c r="L14" s="459">
        <f t="shared" si="2"/>
        <v>0</v>
      </c>
      <c r="M14" s="459">
        <f t="shared" si="2"/>
        <v>0</v>
      </c>
      <c r="N14" s="459">
        <f t="shared" si="2"/>
        <v>0</v>
      </c>
      <c r="O14" s="459">
        <f t="shared" si="2"/>
        <v>0</v>
      </c>
    </row>
    <row r="15" spans="1:16">
      <c r="B15" s="457" t="s">
        <v>1472</v>
      </c>
      <c r="E15" s="3">
        <f>MIN((-SUM('Portfolio Summary'!$U43:AG43)-'Portfolio Summary'!AH43)/'Portfolio Summary'!$M$43,100%)</f>
        <v>1</v>
      </c>
      <c r="F15" s="3">
        <f>MIN((-SUM('Portfolio Summary'!$U43:AH43)-'Portfolio Summary'!AI43)/'Portfolio Summary'!$M$43,100%)</f>
        <v>1</v>
      </c>
      <c r="G15" s="3">
        <f>MIN((-SUM('Portfolio Summary'!$U43:AI43)-'Portfolio Summary'!AJ43)/'Portfolio Summary'!$M$43,100%)</f>
        <v>1</v>
      </c>
      <c r="H15" s="3">
        <f>MIN((-SUM('Portfolio Summary'!$U43:AJ43)-'Portfolio Summary'!AK43)/'Portfolio Summary'!$M$43,100%)</f>
        <v>1</v>
      </c>
      <c r="I15" s="3">
        <f>MIN((-SUM('Portfolio Summary'!$U43:AK43)-'Portfolio Summary'!AL43)/'Portfolio Summary'!$M$43,100%)</f>
        <v>1</v>
      </c>
      <c r="J15" s="3">
        <f>MIN((-SUM('Portfolio Summary'!$U43:AL43)-'Portfolio Summary'!AM43)/'Portfolio Summary'!$M$43,100%)</f>
        <v>1</v>
      </c>
      <c r="K15" s="3">
        <f>MIN((-SUM('Portfolio Summary'!$U43:AM43)-'Portfolio Summary'!AN43)/'Portfolio Summary'!$M$43,100%)</f>
        <v>1</v>
      </c>
      <c r="L15" s="3">
        <f>MIN((-SUM('Portfolio Summary'!$U43:AN43)-'Portfolio Summary'!AO43)/'Portfolio Summary'!$M$43,100%)</f>
        <v>1</v>
      </c>
      <c r="M15" s="3">
        <f>MIN((-SUM('Portfolio Summary'!$U43:AO43)-'Portfolio Summary'!AP43)/'Portfolio Summary'!$M$43,100%)</f>
        <v>1</v>
      </c>
      <c r="N15" s="3">
        <f>MIN((-SUM('Portfolio Summary'!$U43:AP43)-'Portfolio Summary'!AQ43)/'Portfolio Summary'!$M$43,100%)</f>
        <v>1</v>
      </c>
      <c r="O15" s="3">
        <f>MIN((-SUM('Portfolio Summary'!$U43:AQ43)-'Portfolio Summary'!AR43)/'Portfolio Summary'!$M$43,100%)</f>
        <v>1</v>
      </c>
    </row>
    <row r="16" spans="1:16">
      <c r="A16" t="s">
        <v>1473</v>
      </c>
      <c r="B16" s="457" t="s">
        <v>1468</v>
      </c>
      <c r="C16" s="456">
        <v>0.22</v>
      </c>
      <c r="D16" s="453"/>
      <c r="E16" s="454"/>
      <c r="F16" s="454"/>
      <c r="G16" s="454"/>
      <c r="H16" s="454"/>
      <c r="I16" s="454"/>
      <c r="J16" s="454"/>
      <c r="K16" s="454"/>
      <c r="L16" s="454"/>
      <c r="M16" s="454"/>
      <c r="N16" s="454"/>
      <c r="O16" s="454"/>
      <c r="P16" s="452"/>
    </row>
    <row r="17" spans="1:16">
      <c r="B17" s="457" t="s">
        <v>1469</v>
      </c>
      <c r="E17" s="455">
        <f>+'Portfolio Summary'!AH43</f>
        <v>0</v>
      </c>
      <c r="F17" s="455">
        <f>+'Portfolio Summary'!AI43</f>
        <v>0</v>
      </c>
      <c r="G17" s="455">
        <f>+'Portfolio Summary'!AJ43</f>
        <v>0</v>
      </c>
      <c r="H17" s="455">
        <f>+'Portfolio Summary'!AK43</f>
        <v>0</v>
      </c>
      <c r="I17" s="455">
        <f>+'Portfolio Summary'!AL43</f>
        <v>0</v>
      </c>
      <c r="J17" s="455">
        <f>+'Portfolio Summary'!AM43</f>
        <v>0</v>
      </c>
      <c r="K17" s="455">
        <f>+'Portfolio Summary'!AN43</f>
        <v>0</v>
      </c>
      <c r="L17" s="455">
        <f>+'Portfolio Summary'!AO43</f>
        <v>0</v>
      </c>
      <c r="M17" s="455">
        <f>+'Portfolio Summary'!AP43</f>
        <v>0</v>
      </c>
      <c r="N17" s="455">
        <f>+'Portfolio Summary'!AQ43</f>
        <v>0</v>
      </c>
      <c r="O17" s="455">
        <f>+'Portfolio Summary'!AR43</f>
        <v>0</v>
      </c>
    </row>
    <row r="18" spans="1:16">
      <c r="B18" s="457" t="s">
        <v>1470</v>
      </c>
      <c r="E18" s="455">
        <f>+'Portfolio Summary'!AH67</f>
        <v>1155577.0682600001</v>
      </c>
      <c r="F18" s="455">
        <f>+'Portfolio Summary'!AI67</f>
        <v>310000</v>
      </c>
      <c r="G18" s="455">
        <f>+'Portfolio Summary'!AJ67</f>
        <v>0</v>
      </c>
      <c r="H18" s="455">
        <f>+'Portfolio Summary'!AK67</f>
        <v>0</v>
      </c>
      <c r="I18" s="455">
        <f>+'Portfolio Summary'!AL67</f>
        <v>0</v>
      </c>
      <c r="J18" s="455">
        <f>+'Portfolio Summary'!AM67</f>
        <v>0</v>
      </c>
      <c r="K18" s="455">
        <f>+'Portfolio Summary'!AN67</f>
        <v>0</v>
      </c>
      <c r="L18" s="455">
        <f>+'Portfolio Summary'!AO67</f>
        <v>0</v>
      </c>
      <c r="M18" s="455">
        <f>+'Portfolio Summary'!AP67</f>
        <v>0</v>
      </c>
      <c r="N18" s="455">
        <f>+'Portfolio Summary'!AQ67</f>
        <v>0</v>
      </c>
      <c r="O18" s="455">
        <f>+'Portfolio Summary'!AR67</f>
        <v>0</v>
      </c>
    </row>
    <row r="19" spans="1:16">
      <c r="B19" s="457" t="s">
        <v>1471</v>
      </c>
      <c r="D19" s="455"/>
      <c r="E19" s="455">
        <f>(+XNPV($C16,E$18:$O$18,E$2:$O$2)-E18)*E15</f>
        <v>254098.36065573781</v>
      </c>
      <c r="F19" s="455">
        <f>(+XNPV($C16,F$18:$O$18,F$2:$O$2)-F18)*F15</f>
        <v>0</v>
      </c>
      <c r="G19" s="455">
        <f>(+XNPV($C16,G$18:$O$18,G$2:$O$2)-G18)*G15</f>
        <v>0</v>
      </c>
      <c r="H19" s="455">
        <f>(+XNPV($C16,H$18:$O$18,H$2:$O$2)-H18)*H15</f>
        <v>0</v>
      </c>
      <c r="I19" s="455">
        <f>(+XNPV($C16,I$18:$O$18,I$2:$O$2)-I18)*I15</f>
        <v>0</v>
      </c>
      <c r="J19" s="455">
        <f>(+XNPV($C16,J$18:$O$18,J$2:$O$2)-J18)*J15</f>
        <v>0</v>
      </c>
      <c r="K19" s="455">
        <f>(+XNPV($C16,K$18:$O$18,K$2:$O$2)-K18)*K15</f>
        <v>0</v>
      </c>
      <c r="L19" s="455">
        <f>(+XNPV($C16,L$18:$O$18,L$2:$O$2)-L18)*L15</f>
        <v>0</v>
      </c>
      <c r="M19" s="455">
        <f>(+XNPV($C16,M$18:$O$18,M$2:$O$2)-M18)*M15</f>
        <v>0</v>
      </c>
      <c r="N19" s="455">
        <f>(+XNPV($C16,N$18:$O$18,N$2:$O$2)-N18)*N15</f>
        <v>0</v>
      </c>
      <c r="O19" s="455">
        <f>(+XNPV($C16,O$18:$O$18,O$2:$O$2)-O18)*O15</f>
        <v>0</v>
      </c>
    </row>
    <row r="20" spans="1:16" s="500" customFormat="1">
      <c r="B20" s="590" t="s">
        <v>4</v>
      </c>
      <c r="C20" s="590"/>
      <c r="D20" s="590">
        <f t="shared" ref="D20:O20" si="3">+D19</f>
        <v>0</v>
      </c>
      <c r="E20" s="591">
        <f t="shared" si="3"/>
        <v>254098.36065573781</v>
      </c>
      <c r="F20" s="591">
        <f t="shared" si="3"/>
        <v>0</v>
      </c>
      <c r="G20" s="591">
        <f t="shared" si="3"/>
        <v>0</v>
      </c>
      <c r="H20" s="591">
        <f t="shared" si="3"/>
        <v>0</v>
      </c>
      <c r="I20" s="591">
        <f t="shared" si="3"/>
        <v>0</v>
      </c>
      <c r="J20" s="591">
        <f t="shared" si="3"/>
        <v>0</v>
      </c>
      <c r="K20" s="591">
        <f t="shared" si="3"/>
        <v>0</v>
      </c>
      <c r="L20" s="591">
        <f t="shared" si="3"/>
        <v>0</v>
      </c>
      <c r="M20" s="591">
        <f t="shared" si="3"/>
        <v>0</v>
      </c>
      <c r="N20" s="591">
        <f t="shared" si="3"/>
        <v>0</v>
      </c>
      <c r="O20" s="591">
        <f t="shared" si="3"/>
        <v>0</v>
      </c>
    </row>
    <row r="21" spans="1:16">
      <c r="B21" s="457" t="s">
        <v>1472</v>
      </c>
      <c r="E21" s="3">
        <f>MIN((-SUM('Portfolio Summary'!$U45:AG45)-'Portfolio Summary'!AH45)/'Portfolio Summary'!$M$45,100%)</f>
        <v>1</v>
      </c>
      <c r="F21" s="3">
        <f>MIN((-SUM('Portfolio Summary'!$U45:AH45)-'Portfolio Summary'!AI45)/'Portfolio Summary'!$M$45,100%)</f>
        <v>1</v>
      </c>
      <c r="G21" s="3">
        <f>MIN((-SUM('Portfolio Summary'!$U45:AI45)-'Portfolio Summary'!AJ45)/'Portfolio Summary'!$M$45,100%)</f>
        <v>1</v>
      </c>
      <c r="H21" s="3">
        <f>MIN((-SUM('Portfolio Summary'!$U45:AJ45)-'Portfolio Summary'!AK45)/'Portfolio Summary'!$M$45,100%)</f>
        <v>1</v>
      </c>
      <c r="I21" s="3">
        <f>MIN((-SUM('Portfolio Summary'!$U45:AK45)-'Portfolio Summary'!AL45)/'Portfolio Summary'!$M$45,100%)</f>
        <v>1</v>
      </c>
      <c r="J21" s="3">
        <f>MIN((-SUM('Portfolio Summary'!$U45:AL45)-'Portfolio Summary'!AM45)/'Portfolio Summary'!$M$45,100%)</f>
        <v>1</v>
      </c>
      <c r="K21" s="3">
        <f>MIN((-SUM('Portfolio Summary'!$U45:AM45)-'Portfolio Summary'!AN45)/'Portfolio Summary'!$M$45,100%)</f>
        <v>1</v>
      </c>
      <c r="L21" s="3">
        <f>MIN((-SUM('Portfolio Summary'!$U45:AN45)-'Portfolio Summary'!AO45)/'Portfolio Summary'!$M$45,100%)</f>
        <v>1</v>
      </c>
      <c r="M21" s="3">
        <f>MIN((-SUM('Portfolio Summary'!$U45:AO45)-'Portfolio Summary'!AP45)/'Portfolio Summary'!$M$45,100%)</f>
        <v>1</v>
      </c>
      <c r="N21" s="3">
        <f>MIN((-SUM('Portfolio Summary'!$U45:AP45)-'Portfolio Summary'!AQ45)/'Portfolio Summary'!$M$45,100%)</f>
        <v>1</v>
      </c>
      <c r="O21" s="3">
        <f>MIN((-SUM('Portfolio Summary'!$U45:AQ45)-'Portfolio Summary'!AR45)/'Portfolio Summary'!$M$45,100%)</f>
        <v>1</v>
      </c>
    </row>
    <row r="22" spans="1:16">
      <c r="A22" t="s">
        <v>1474</v>
      </c>
      <c r="B22" s="457" t="s">
        <v>1468</v>
      </c>
      <c r="C22" s="456">
        <v>0.3</v>
      </c>
      <c r="D22" s="453"/>
      <c r="E22" s="454"/>
      <c r="F22" s="454"/>
      <c r="G22" s="454"/>
      <c r="H22" s="454"/>
      <c r="I22" s="454"/>
      <c r="J22" s="454"/>
      <c r="K22" s="454"/>
      <c r="L22" s="454"/>
      <c r="M22" s="454"/>
      <c r="N22" s="454"/>
      <c r="O22" s="454"/>
      <c r="P22" s="452"/>
    </row>
    <row r="23" spans="1:16">
      <c r="B23" s="457" t="s">
        <v>1469</v>
      </c>
      <c r="E23" s="455">
        <f>+'Portfolio Summary'!AH45</f>
        <v>0</v>
      </c>
      <c r="F23" s="455">
        <f>+'Portfolio Summary'!AI45</f>
        <v>0</v>
      </c>
      <c r="G23" s="455">
        <f>+'Portfolio Summary'!AJ45</f>
        <v>0</v>
      </c>
      <c r="H23" s="455">
        <f>+'Portfolio Summary'!AK45</f>
        <v>0</v>
      </c>
      <c r="I23" s="455">
        <f>+'Portfolio Summary'!AL45</f>
        <v>0</v>
      </c>
      <c r="J23" s="455">
        <f>+'Portfolio Summary'!AM45</f>
        <v>0</v>
      </c>
      <c r="K23" s="455">
        <f>+'Portfolio Summary'!AN45</f>
        <v>0</v>
      </c>
      <c r="L23" s="455">
        <f>+'Portfolio Summary'!AO45</f>
        <v>0</v>
      </c>
      <c r="M23" s="455">
        <f>+'Portfolio Summary'!AP45</f>
        <v>0</v>
      </c>
      <c r="N23" s="455">
        <f>+'Portfolio Summary'!AQ45</f>
        <v>0</v>
      </c>
      <c r="O23" s="455">
        <f>+'Portfolio Summary'!AR45</f>
        <v>0</v>
      </c>
    </row>
    <row r="24" spans="1:16">
      <c r="B24" s="457" t="s">
        <v>1470</v>
      </c>
      <c r="E24" s="455">
        <f>+'Portfolio Summary'!AH69</f>
        <v>0</v>
      </c>
      <c r="F24" s="455">
        <f>+'Portfolio Summary'!AI69</f>
        <v>700000</v>
      </c>
      <c r="G24" s="455">
        <f>+'Portfolio Summary'!AJ69</f>
        <v>0</v>
      </c>
      <c r="H24" s="455">
        <f>+'Portfolio Summary'!AK69</f>
        <v>0</v>
      </c>
      <c r="I24" s="455">
        <f>+'Portfolio Summary'!AL69</f>
        <v>0</v>
      </c>
      <c r="J24" s="455">
        <f>+'Portfolio Summary'!AM69</f>
        <v>0</v>
      </c>
      <c r="K24" s="455">
        <f>+'Portfolio Summary'!AN69</f>
        <v>0</v>
      </c>
      <c r="L24" s="455">
        <f>+'Portfolio Summary'!AO69</f>
        <v>0</v>
      </c>
      <c r="M24" s="455">
        <f>+'Portfolio Summary'!AP69</f>
        <v>0</v>
      </c>
      <c r="N24" s="455">
        <f>+'Portfolio Summary'!AQ69</f>
        <v>0</v>
      </c>
      <c r="O24" s="455">
        <f>+'Portfolio Summary'!AR69</f>
        <v>0</v>
      </c>
    </row>
    <row r="25" spans="1:16">
      <c r="B25" s="457" t="s">
        <v>1471</v>
      </c>
      <c r="D25" s="455"/>
      <c r="E25" s="455">
        <f>(+XNPV($C22,E$24:$O$24,E$2:$O$2)-E24)*E21</f>
        <v>538461.5384615385</v>
      </c>
      <c r="F25" s="455">
        <f>(+XNPV($C22,F$24:$O$24,F$2:$O$2)-F24)*F21</f>
        <v>0</v>
      </c>
      <c r="G25" s="455">
        <f>(+XNPV($C22,G$24:$O$24,G$2:$O$2)-G24)*G21</f>
        <v>0</v>
      </c>
      <c r="H25" s="455">
        <f>(+XNPV($C22,H$24:$O$24,H$2:$O$2)-H24)*H21</f>
        <v>0</v>
      </c>
      <c r="I25" s="455">
        <f>(+XNPV($C22,I$24:$O$24,I$2:$O$2)-I24)*I21</f>
        <v>0</v>
      </c>
      <c r="J25" s="455">
        <f>(+XNPV($C22,J$24:$O$24,J$2:$O$2)-J24)*J21</f>
        <v>0</v>
      </c>
      <c r="K25" s="455">
        <f>(+XNPV($C22,K$24:$O$24,K$2:$O$2)-K24)*K21</f>
        <v>0</v>
      </c>
      <c r="L25" s="455">
        <f>(+XNPV($C22,L$24:$O$24,L$2:$O$2)-L24)*L21</f>
        <v>0</v>
      </c>
      <c r="M25" s="455">
        <f>(+XNPV($C22,M$24:$O$24,M$2:$O$2)-M24)*M21</f>
        <v>0</v>
      </c>
      <c r="N25" s="455">
        <f>(+XNPV($C22,N$24:$O$24,N$2:$O$2)-N24)*N21</f>
        <v>0</v>
      </c>
      <c r="O25" s="455">
        <f>(+XNPV($C22,O$24:$O$24,O$2:$O$2)-O24)*O21</f>
        <v>0</v>
      </c>
    </row>
    <row r="26" spans="1:16">
      <c r="B26" s="458" t="s">
        <v>17</v>
      </c>
      <c r="C26" s="458"/>
      <c r="D26" s="458">
        <f t="shared" ref="D26:O26" si="4">+D25</f>
        <v>0</v>
      </c>
      <c r="E26" s="459">
        <f t="shared" si="4"/>
        <v>538461.5384615385</v>
      </c>
      <c r="F26" s="459">
        <f t="shared" si="4"/>
        <v>0</v>
      </c>
      <c r="G26" s="459">
        <f t="shared" si="4"/>
        <v>0</v>
      </c>
      <c r="H26" s="459">
        <f t="shared" si="4"/>
        <v>0</v>
      </c>
      <c r="I26" s="459">
        <f t="shared" si="4"/>
        <v>0</v>
      </c>
      <c r="J26" s="459">
        <f t="shared" si="4"/>
        <v>0</v>
      </c>
      <c r="K26" s="459">
        <f t="shared" si="4"/>
        <v>0</v>
      </c>
      <c r="L26" s="459">
        <f t="shared" si="4"/>
        <v>0</v>
      </c>
      <c r="M26" s="459">
        <f t="shared" si="4"/>
        <v>0</v>
      </c>
      <c r="N26" s="459">
        <f t="shared" si="4"/>
        <v>0</v>
      </c>
      <c r="O26" s="459">
        <f t="shared" si="4"/>
        <v>0</v>
      </c>
    </row>
    <row r="27" spans="1:16">
      <c r="B27" s="457" t="s">
        <v>1472</v>
      </c>
      <c r="E27" s="3">
        <f>MIN((-SUM('Portfolio Summary'!$U46:AG46)-'Portfolio Summary'!AH46)/'Portfolio Summary'!$M$46,100%)</f>
        <v>0.83984192000000002</v>
      </c>
      <c r="F27" s="3">
        <f>MIN((-SUM('Portfolio Summary'!$U46:AH46)-'Portfolio Summary'!AI46)/'Portfolio Summary'!$M$46,100%)</f>
        <v>0.83984192000000002</v>
      </c>
      <c r="G27" s="3">
        <f>MIN((-SUM('Portfolio Summary'!$U46:AI46)-'Portfolio Summary'!AJ46)/'Portfolio Summary'!$M$46,100%)</f>
        <v>1</v>
      </c>
      <c r="H27" s="3">
        <f>MIN((-SUM('Portfolio Summary'!$U46:AJ46)-'Portfolio Summary'!AK46)/'Portfolio Summary'!$M$46,100%)</f>
        <v>1</v>
      </c>
      <c r="I27" s="3">
        <f>MIN((-SUM('Portfolio Summary'!$U46:AK46)-'Portfolio Summary'!AL46)/'Portfolio Summary'!$M$46,100%)</f>
        <v>1</v>
      </c>
      <c r="J27" s="3">
        <f>MIN((-SUM('Portfolio Summary'!$U46:AL46)-'Portfolio Summary'!AM46)/'Portfolio Summary'!$M$46,100%)</f>
        <v>1</v>
      </c>
      <c r="K27" s="3">
        <f>MIN((-SUM('Portfolio Summary'!$U46:AM46)-'Portfolio Summary'!AN46)/'Portfolio Summary'!$M$46,100%)</f>
        <v>1</v>
      </c>
      <c r="L27" s="3">
        <f>MIN((-SUM('Portfolio Summary'!$U46:AN46)-'Portfolio Summary'!AO46)/'Portfolio Summary'!$M$46,100%)</f>
        <v>1</v>
      </c>
      <c r="M27" s="3">
        <f>MIN((-SUM('Portfolio Summary'!$U46:AO46)-'Portfolio Summary'!AP46)/'Portfolio Summary'!$M$46,100%)</f>
        <v>1</v>
      </c>
      <c r="N27" s="3">
        <f>MIN((-SUM('Portfolio Summary'!$U46:AP46)-'Portfolio Summary'!AQ46)/'Portfolio Summary'!$M$46,100%)</f>
        <v>1</v>
      </c>
      <c r="O27" s="3">
        <f>MIN((-SUM('Portfolio Summary'!$U46:AQ46)-'Portfolio Summary'!AR46)/'Portfolio Summary'!$M$46,100%)</f>
        <v>1</v>
      </c>
    </row>
    <row r="28" spans="1:16">
      <c r="A28" t="s">
        <v>1475</v>
      </c>
      <c r="B28" s="457" t="s">
        <v>1468</v>
      </c>
      <c r="C28" s="456">
        <v>0.22</v>
      </c>
      <c r="D28" s="453"/>
      <c r="E28" s="454"/>
      <c r="F28" s="454"/>
      <c r="G28" s="454"/>
      <c r="H28" s="454"/>
      <c r="I28" s="454"/>
      <c r="J28" s="454"/>
      <c r="K28" s="454"/>
      <c r="L28" s="454"/>
      <c r="M28" s="454"/>
      <c r="N28" s="454"/>
      <c r="O28" s="454"/>
      <c r="P28" s="452"/>
    </row>
    <row r="29" spans="1:16">
      <c r="B29" s="457" t="s">
        <v>1469</v>
      </c>
      <c r="E29" s="455">
        <f>+'Portfolio Summary'!AH46</f>
        <v>-650000</v>
      </c>
      <c r="F29" s="455">
        <f>+'Portfolio Summary'!AI46</f>
        <v>0</v>
      </c>
      <c r="G29" s="455">
        <f>+'Portfolio Summary'!AJ46</f>
        <v>-4003952</v>
      </c>
      <c r="H29" s="455">
        <f>+'Portfolio Summary'!AK46</f>
        <v>0</v>
      </c>
      <c r="I29" s="455">
        <f>+'Portfolio Summary'!AL46</f>
        <v>0</v>
      </c>
      <c r="J29" s="455">
        <f>+'Portfolio Summary'!AM46</f>
        <v>0</v>
      </c>
      <c r="K29" s="455">
        <f>+'Portfolio Summary'!AN46</f>
        <v>0</v>
      </c>
      <c r="L29" s="455">
        <f>+'Portfolio Summary'!AO46</f>
        <v>0</v>
      </c>
      <c r="M29" s="455">
        <f>+'Portfolio Summary'!AP46</f>
        <v>0</v>
      </c>
      <c r="N29" s="455">
        <f>+'Portfolio Summary'!AQ46</f>
        <v>0</v>
      </c>
      <c r="O29" s="455">
        <f>+'Portfolio Summary'!AR46</f>
        <v>0</v>
      </c>
    </row>
    <row r="30" spans="1:16">
      <c r="B30" s="457" t="s">
        <v>1470</v>
      </c>
      <c r="E30" s="455">
        <f>+'Portfolio Summary'!AH70</f>
        <v>792997</v>
      </c>
      <c r="F30" s="455">
        <f>+'Portfolio Summary'!AI70</f>
        <v>2267217</v>
      </c>
      <c r="G30" s="455">
        <f>+'Portfolio Summary'!AJ70</f>
        <v>10981072.666666666</v>
      </c>
      <c r="H30" s="455">
        <f>+'Portfolio Summary'!AK70</f>
        <v>10981072.666666666</v>
      </c>
      <c r="I30" s="455">
        <f>+'Portfolio Summary'!AL70</f>
        <v>10981072.666666666</v>
      </c>
      <c r="J30" s="455">
        <f>+'Portfolio Summary'!AM70</f>
        <v>0</v>
      </c>
      <c r="K30" s="455">
        <f>+'Portfolio Summary'!AN70</f>
        <v>0</v>
      </c>
      <c r="L30" s="455">
        <f>+'Portfolio Summary'!AO70</f>
        <v>0</v>
      </c>
      <c r="M30" s="455">
        <f>+'Portfolio Summary'!AP70</f>
        <v>0</v>
      </c>
      <c r="N30" s="455">
        <f>+'Portfolio Summary'!AQ70</f>
        <v>0</v>
      </c>
      <c r="O30" s="455">
        <f>+'Portfolio Summary'!AR70</f>
        <v>0</v>
      </c>
    </row>
    <row r="31" spans="1:16">
      <c r="B31" s="457" t="s">
        <v>1471</v>
      </c>
      <c r="D31" s="455"/>
      <c r="E31" s="455">
        <f>(+XNPV($C28,E$30:$O$30,E$2:$O$2)-E30)*E27</f>
        <v>16996421.164366558</v>
      </c>
      <c r="F31" s="455">
        <f>(+XNPV($C28,F$30:$O$30,F$2:$O$2)-F30)*F27</f>
        <v>18831529.942190565</v>
      </c>
      <c r="G31" s="455">
        <f>(+XNPV($C28,G$30:$O$30,G$2:$O$2)-G30)*G27</f>
        <v>16374630.808425983</v>
      </c>
      <c r="H31" s="455">
        <f>(+XNPV($C28,H$30:$O$30,H$2:$O$2)-H30)*H27</f>
        <v>8995976.9196130354</v>
      </c>
      <c r="I31" s="455">
        <f>(+XNPV($C28,I$30:$O$30,I$2:$O$2)-I30)*I27</f>
        <v>0</v>
      </c>
      <c r="J31" s="455">
        <f>(+XNPV($C28,J$30:$O$30,J$2:$O$2)-J30)*J27</f>
        <v>0</v>
      </c>
      <c r="K31" s="455">
        <f>(+XNPV($C28,K$30:$O$30,K$2:$O$2)-K30)*K27</f>
        <v>0</v>
      </c>
      <c r="L31" s="455">
        <f>(+XNPV($C28,L$30:$O$30,L$2:$O$2)-L30)*L27</f>
        <v>0</v>
      </c>
      <c r="M31" s="455">
        <f>(+XNPV($C28,M$30:$O$30,M$2:$O$2)-M30)*M27</f>
        <v>0</v>
      </c>
      <c r="N31" s="455">
        <f>(+XNPV($C28,N$30:$O$30,N$2:$O$2)-N30)*N27</f>
        <v>0</v>
      </c>
      <c r="O31" s="455">
        <f>(+XNPV($C28,O$30:$O$30,O$2:$O$2)-O30)*O27</f>
        <v>0</v>
      </c>
    </row>
    <row r="32" spans="1:16">
      <c r="B32" s="458" t="s">
        <v>20</v>
      </c>
      <c r="C32" s="458"/>
      <c r="D32" s="458">
        <f t="shared" ref="D32:O32" si="5">+D31</f>
        <v>0</v>
      </c>
      <c r="E32" s="459">
        <f t="shared" si="5"/>
        <v>16996421.164366558</v>
      </c>
      <c r="F32" s="459">
        <f t="shared" si="5"/>
        <v>18831529.942190565</v>
      </c>
      <c r="G32" s="459">
        <f t="shared" si="5"/>
        <v>16374630.808425983</v>
      </c>
      <c r="H32" s="459">
        <f t="shared" si="5"/>
        <v>8995976.9196130354</v>
      </c>
      <c r="I32" s="459">
        <f t="shared" si="5"/>
        <v>0</v>
      </c>
      <c r="J32" s="459">
        <f t="shared" si="5"/>
        <v>0</v>
      </c>
      <c r="K32" s="459">
        <f t="shared" si="5"/>
        <v>0</v>
      </c>
      <c r="L32" s="459">
        <f t="shared" si="5"/>
        <v>0</v>
      </c>
      <c r="M32" s="459">
        <f t="shared" si="5"/>
        <v>0</v>
      </c>
      <c r="N32" s="459">
        <f t="shared" si="5"/>
        <v>0</v>
      </c>
      <c r="O32" s="459">
        <f t="shared" si="5"/>
        <v>0</v>
      </c>
    </row>
    <row r="33" spans="1:16">
      <c r="B33" s="457" t="s">
        <v>1472</v>
      </c>
      <c r="E33" s="3">
        <f>MIN((-SUM('Portfolio Summary'!$U47:AG47)-'Portfolio Summary'!AH47)/'Portfolio Summary'!$M$47,100%)</f>
        <v>1</v>
      </c>
      <c r="F33" s="3">
        <f>MIN((-SUM('Portfolio Summary'!$U47:AH47)-'Portfolio Summary'!AI47)/'Portfolio Summary'!$M$47,100%)</f>
        <v>1</v>
      </c>
      <c r="G33" s="3">
        <f>MIN((-SUM('Portfolio Summary'!$U47:AI47)-'Portfolio Summary'!AJ47)/'Portfolio Summary'!$M$47,100%)</f>
        <v>1</v>
      </c>
      <c r="H33" s="3">
        <f>MIN((-SUM('Portfolio Summary'!$U47:AJ47)-'Portfolio Summary'!AK47)/'Portfolio Summary'!$M$47,100%)</f>
        <v>1</v>
      </c>
      <c r="I33" s="3">
        <f>MIN((-SUM('Portfolio Summary'!$U47:AK47)-'Portfolio Summary'!AL47)/'Portfolio Summary'!$M$47,100%)</f>
        <v>1</v>
      </c>
      <c r="J33" s="3">
        <f>MIN((-SUM('Portfolio Summary'!$U47:AL47)-'Portfolio Summary'!AM47)/'Portfolio Summary'!$M$47,100%)</f>
        <v>1</v>
      </c>
      <c r="K33" s="3">
        <f>MIN((-SUM('Portfolio Summary'!$U47:AM47)-'Portfolio Summary'!AN47)/'Portfolio Summary'!$M$47,100%)</f>
        <v>1</v>
      </c>
      <c r="L33" s="3">
        <f>MIN((-SUM('Portfolio Summary'!$U47:AN47)-'Portfolio Summary'!AO47)/'Portfolio Summary'!$M$47,100%)</f>
        <v>1</v>
      </c>
      <c r="M33" s="3">
        <f>MIN((-SUM('Portfolio Summary'!$U47:AO47)-'Portfolio Summary'!AP47)/'Portfolio Summary'!$M$47,100%)</f>
        <v>1</v>
      </c>
      <c r="N33" s="3">
        <f>MIN((-SUM('Portfolio Summary'!$U47:AP47)-'Portfolio Summary'!AQ47)/'Portfolio Summary'!$M$47,100%)</f>
        <v>1</v>
      </c>
      <c r="O33" s="3">
        <f>MIN((-SUM('Portfolio Summary'!$U47:AQ47)-'Portfolio Summary'!AR47)/'Portfolio Summary'!$M$47,100%)</f>
        <v>1</v>
      </c>
    </row>
    <row r="34" spans="1:16">
      <c r="A34" t="s">
        <v>1474</v>
      </c>
      <c r="B34" s="457" t="s">
        <v>1468</v>
      </c>
      <c r="C34" s="456">
        <f>+C22</f>
        <v>0.3</v>
      </c>
      <c r="D34" s="453"/>
      <c r="E34" s="454"/>
      <c r="F34" s="454"/>
      <c r="G34" s="454"/>
      <c r="H34" s="454"/>
      <c r="I34" s="454"/>
      <c r="J34" s="454"/>
      <c r="K34" s="454"/>
      <c r="L34" s="454"/>
      <c r="M34" s="454"/>
      <c r="N34" s="454"/>
      <c r="O34" s="454"/>
      <c r="P34" s="452"/>
    </row>
    <row r="35" spans="1:16">
      <c r="B35" s="457" t="s">
        <v>1469</v>
      </c>
      <c r="E35" s="455">
        <f>+'Portfolio Summary'!AH47</f>
        <v>-580784.89</v>
      </c>
      <c r="F35" s="455">
        <f>+'Portfolio Summary'!AI47</f>
        <v>-70600</v>
      </c>
      <c r="G35" s="455">
        <f>+'Portfolio Summary'!AJ47</f>
        <v>0</v>
      </c>
      <c r="H35" s="455">
        <f>+'Portfolio Summary'!AK47</f>
        <v>0</v>
      </c>
      <c r="I35" s="455">
        <f>+'Portfolio Summary'!AL47</f>
        <v>0</v>
      </c>
      <c r="J35" s="455">
        <f>+'Portfolio Summary'!AM47</f>
        <v>0</v>
      </c>
      <c r="K35" s="455">
        <f>+'Portfolio Summary'!AN47</f>
        <v>0</v>
      </c>
      <c r="L35" s="455">
        <f>+'Portfolio Summary'!AO47</f>
        <v>0</v>
      </c>
      <c r="M35" s="455">
        <f>+'Portfolio Summary'!AP47</f>
        <v>0</v>
      </c>
      <c r="N35" s="455">
        <f>+'Portfolio Summary'!AQ47</f>
        <v>0</v>
      </c>
      <c r="O35" s="455">
        <f>+'Portfolio Summary'!AR47</f>
        <v>0</v>
      </c>
    </row>
    <row r="36" spans="1:16">
      <c r="B36" s="457" t="s">
        <v>1470</v>
      </c>
      <c r="E36" s="455">
        <f>+'Portfolio Summary'!AH71</f>
        <v>0</v>
      </c>
      <c r="F36" s="455">
        <f>+'Portfolio Summary'!AI71</f>
        <v>2000000</v>
      </c>
      <c r="G36" s="455">
        <f>+'Portfolio Summary'!AJ71</f>
        <v>10870893.66</v>
      </c>
      <c r="H36" s="455">
        <f>+'Portfolio Summary'!AK71</f>
        <v>10870893.66</v>
      </c>
      <c r="I36" s="455">
        <f>+'Portfolio Summary'!AL71</f>
        <v>0</v>
      </c>
      <c r="J36" s="455">
        <f>+'Portfolio Summary'!AM71</f>
        <v>0</v>
      </c>
      <c r="K36" s="455">
        <f>+'Portfolio Summary'!AN71</f>
        <v>0</v>
      </c>
      <c r="L36" s="455">
        <f>+'Portfolio Summary'!AO71</f>
        <v>0</v>
      </c>
      <c r="M36" s="455">
        <f>+'Portfolio Summary'!AP71</f>
        <v>0</v>
      </c>
      <c r="N36" s="455">
        <f>+'Portfolio Summary'!AQ71</f>
        <v>0</v>
      </c>
      <c r="O36" s="455">
        <f>+'Portfolio Summary'!AR71</f>
        <v>0</v>
      </c>
    </row>
    <row r="37" spans="1:16">
      <c r="B37" s="457" t="s">
        <v>1471</v>
      </c>
      <c r="D37" s="455"/>
      <c r="E37" s="455">
        <f>(+XNPV($C34,E$36:$O$36,E$2:$O$2)-E36)*E33</f>
        <v>12919005.652253071</v>
      </c>
      <c r="F37" s="455">
        <f>(+XNPV($C34,F$36:$O$36,F$2:$O$2)-F36)*F33</f>
        <v>14794707.347928993</v>
      </c>
      <c r="G37" s="455">
        <f>(+XNPV($C34,G$36:$O$36,G$2:$O$2)-G36)*G33</f>
        <v>8362225.8923076913</v>
      </c>
      <c r="H37" s="455">
        <f>(+XNPV($C34,H$36:$O$36,H$2:$O$2)-H36)*H33</f>
        <v>0</v>
      </c>
      <c r="I37" s="455">
        <f>(+XNPV($C34,I$36:$O$36,I$2:$O$2)-I36)*I33</f>
        <v>0</v>
      </c>
      <c r="J37" s="455">
        <f>(+XNPV($C34,J$36:$O$36,J$2:$O$2)-J36)*J33</f>
        <v>0</v>
      </c>
      <c r="K37" s="455">
        <f>(+XNPV($C34,K$36:$O$36,K$2:$O$2)-K36)*K33</f>
        <v>0</v>
      </c>
      <c r="L37" s="455">
        <f>(+XNPV($C34,L$36:$O$36,L$2:$O$2)-L36)*L33</f>
        <v>0</v>
      </c>
      <c r="M37" s="455">
        <f>(+XNPV($C34,M$36:$O$36,M$2:$O$2)-M36)*M33</f>
        <v>0</v>
      </c>
      <c r="N37" s="455">
        <f>(+XNPV($C34,N$36:$O$36,N$2:$O$2)-N36)*N33</f>
        <v>0</v>
      </c>
      <c r="O37" s="455">
        <f>(+XNPV($C34,O$36:$O$36,O$2:$O$2)-O36)*O33</f>
        <v>0</v>
      </c>
    </row>
    <row r="38" spans="1:16">
      <c r="B38" s="458" t="s">
        <v>5</v>
      </c>
      <c r="C38" s="458"/>
      <c r="D38" s="458">
        <f t="shared" ref="D38:O38" si="6">+D37</f>
        <v>0</v>
      </c>
      <c r="E38" s="459">
        <f t="shared" si="6"/>
        <v>12919005.652253071</v>
      </c>
      <c r="F38" s="459">
        <f t="shared" si="6"/>
        <v>14794707.347928993</v>
      </c>
      <c r="G38" s="459">
        <f t="shared" si="6"/>
        <v>8362225.8923076913</v>
      </c>
      <c r="H38" s="459">
        <f t="shared" si="6"/>
        <v>0</v>
      </c>
      <c r="I38" s="459">
        <f t="shared" si="6"/>
        <v>0</v>
      </c>
      <c r="J38" s="459">
        <f t="shared" si="6"/>
        <v>0</v>
      </c>
      <c r="K38" s="459">
        <f t="shared" si="6"/>
        <v>0</v>
      </c>
      <c r="L38" s="459">
        <f t="shared" si="6"/>
        <v>0</v>
      </c>
      <c r="M38" s="459">
        <f t="shared" si="6"/>
        <v>0</v>
      </c>
      <c r="N38" s="459">
        <f t="shared" si="6"/>
        <v>0</v>
      </c>
      <c r="O38" s="459">
        <f t="shared" si="6"/>
        <v>0</v>
      </c>
    </row>
    <row r="39" spans="1:16">
      <c r="B39" s="457" t="s">
        <v>1472</v>
      </c>
      <c r="E39" s="3">
        <f>MIN((-SUM('Portfolio Summary'!$U48:AG48)-'Portfolio Summary'!AH48)/'Portfolio Summary'!$M$48,100%)</f>
        <v>1</v>
      </c>
      <c r="F39" s="3">
        <f>MIN((-SUM('Portfolio Summary'!$U48:AH48)-'Portfolio Summary'!AI48)/'Portfolio Summary'!$M$48,100%)</f>
        <v>1</v>
      </c>
      <c r="G39" s="3">
        <f>MIN((-SUM('Portfolio Summary'!$U48:AI48)-'Portfolio Summary'!AJ48)/'Portfolio Summary'!$M$48,100%)</f>
        <v>1</v>
      </c>
      <c r="H39" s="3">
        <f>MIN((-SUM('Portfolio Summary'!$U48:AJ48)-'Portfolio Summary'!AK48)/'Portfolio Summary'!$M$48,100%)</f>
        <v>1</v>
      </c>
      <c r="I39" s="3">
        <f>MIN((-SUM('Portfolio Summary'!$U48:AK48)-'Portfolio Summary'!AL48)/'Portfolio Summary'!$M$48,100%)</f>
        <v>1</v>
      </c>
      <c r="J39" s="3">
        <f>MIN((-SUM('Portfolio Summary'!$U48:AL48)-'Portfolio Summary'!AM48)/'Portfolio Summary'!$M$48,100%)</f>
        <v>1</v>
      </c>
      <c r="K39" s="3">
        <f>MIN((-SUM('Portfolio Summary'!$U48:AM48)-'Portfolio Summary'!AN48)/'Portfolio Summary'!$M$48,100%)</f>
        <v>1</v>
      </c>
      <c r="L39" s="3">
        <f>MIN((-SUM('Portfolio Summary'!$U48:AN48)-'Portfolio Summary'!AO48)/'Portfolio Summary'!$M$48,100%)</f>
        <v>1</v>
      </c>
      <c r="M39" s="3">
        <f>MIN((-SUM('Portfolio Summary'!$U48:AO48)-'Portfolio Summary'!AP48)/'Portfolio Summary'!$M$48,100%)</f>
        <v>1</v>
      </c>
      <c r="N39" s="3">
        <f>MIN((-SUM('Portfolio Summary'!$U48:AP48)-'Portfolio Summary'!AQ48)/'Portfolio Summary'!$M$48,100%)</f>
        <v>1</v>
      </c>
      <c r="O39" s="3">
        <f>MIN((-SUM('Portfolio Summary'!$U48:AQ48)-'Portfolio Summary'!AR48)/'Portfolio Summary'!$M$48,100%)</f>
        <v>1</v>
      </c>
    </row>
    <row r="40" spans="1:16">
      <c r="A40" t="s">
        <v>1467</v>
      </c>
      <c r="B40" s="457" t="s">
        <v>1468</v>
      </c>
      <c r="C40" s="456">
        <f>+C10</f>
        <v>0.25</v>
      </c>
      <c r="D40" s="453"/>
      <c r="E40" s="454"/>
      <c r="F40" s="454"/>
      <c r="G40" s="454"/>
      <c r="H40" s="454"/>
      <c r="I40" s="454"/>
      <c r="J40" s="454"/>
      <c r="K40" s="454"/>
      <c r="L40" s="454"/>
      <c r="M40" s="454"/>
      <c r="N40" s="454"/>
      <c r="O40" s="454"/>
      <c r="P40" s="452"/>
    </row>
    <row r="41" spans="1:16">
      <c r="B41" s="457" t="s">
        <v>1469</v>
      </c>
      <c r="E41" s="455">
        <f>+'Portfolio Summary'!AH48</f>
        <v>-3051999.81</v>
      </c>
      <c r="F41" s="455">
        <f>+'Portfolio Summary'!AI48</f>
        <v>-4000000</v>
      </c>
      <c r="G41" s="455">
        <f>+'Portfolio Summary'!AJ48</f>
        <v>0</v>
      </c>
      <c r="H41" s="455">
        <f>+'Portfolio Summary'!AK48</f>
        <v>0</v>
      </c>
      <c r="I41" s="455">
        <f>+'Portfolio Summary'!AL48</f>
        <v>0</v>
      </c>
      <c r="J41" s="455">
        <f>+'Portfolio Summary'!AM48</f>
        <v>0</v>
      </c>
      <c r="K41" s="455">
        <f>+'Portfolio Summary'!AN48</f>
        <v>0</v>
      </c>
      <c r="L41" s="455">
        <f>+'Portfolio Summary'!AO48</f>
        <v>0</v>
      </c>
      <c r="M41" s="455">
        <f>+'Portfolio Summary'!AP48</f>
        <v>0</v>
      </c>
      <c r="N41" s="455">
        <f>+'Portfolio Summary'!AQ48</f>
        <v>0</v>
      </c>
      <c r="O41" s="455">
        <f>+'Portfolio Summary'!AR48</f>
        <v>0</v>
      </c>
    </row>
    <row r="42" spans="1:16">
      <c r="B42" s="457" t="s">
        <v>1470</v>
      </c>
      <c r="E42" s="455">
        <f>+'Portfolio Summary'!AH72</f>
        <v>5320663.1900000004</v>
      </c>
      <c r="F42" s="455">
        <f>+'Portfolio Summary'!AI72</f>
        <v>5654979.9500000011</v>
      </c>
      <c r="G42" s="455">
        <f>+'Portfolio Summary'!AJ72</f>
        <v>13966655.797499999</v>
      </c>
      <c r="H42" s="455">
        <f>+'Portfolio Summary'!AK72</f>
        <v>13966655.797499999</v>
      </c>
      <c r="I42" s="455">
        <f>+'Portfolio Summary'!AL72</f>
        <v>13966655.797499999</v>
      </c>
      <c r="J42" s="455">
        <f>+'Portfolio Summary'!AM72</f>
        <v>13966655.797499999</v>
      </c>
      <c r="K42" s="455">
        <f>+'Portfolio Summary'!AN72</f>
        <v>0</v>
      </c>
      <c r="L42" s="455">
        <f>+'Portfolio Summary'!AO72</f>
        <v>0</v>
      </c>
      <c r="M42" s="455">
        <f>+'Portfolio Summary'!AP72</f>
        <v>0</v>
      </c>
      <c r="N42" s="455">
        <f>+'Portfolio Summary'!AQ72</f>
        <v>0</v>
      </c>
      <c r="O42" s="455">
        <f>+'Portfolio Summary'!AR72</f>
        <v>0</v>
      </c>
    </row>
    <row r="43" spans="1:16">
      <c r="B43" s="457" t="s">
        <v>1471</v>
      </c>
      <c r="D43" s="455"/>
      <c r="E43" s="455">
        <f>(+XNPV($C40,E$42:$O$42,E$2:$O$2)-E42)*E39</f>
        <v>30904614.050069284</v>
      </c>
      <c r="F43" s="455">
        <f>(+XNPV($C40,F$42:$O$42,F$2:$O$2)-F42)*F39</f>
        <v>32975787.612586595</v>
      </c>
      <c r="G43" s="455">
        <f>(+XNPV($C40,G$42:$O$42,G$2:$O$2)-G42)*G39</f>
        <v>27253078.718233243</v>
      </c>
      <c r="H43" s="455">
        <f>(+XNPV($C40,H$42:$O$42,H$2:$O$2)-H42)*H39</f>
        <v>20099692.600291565</v>
      </c>
      <c r="I43" s="455">
        <f>(+XNPV($C40,I$42:$O$42,I$2:$O$2)-I42)*I39</f>
        <v>11173324.638</v>
      </c>
      <c r="J43" s="455">
        <f>(+XNPV($C40,J$42:$O$42,J$2:$O$2)-J42)*J39</f>
        <v>0</v>
      </c>
      <c r="K43" s="455">
        <f>(+XNPV($C40,K$42:$O$42,K$2:$O$2)-K42)*K39</f>
        <v>0</v>
      </c>
      <c r="L43" s="455">
        <f>(+XNPV($C40,L$42:$O$42,L$2:$O$2)-L42)*L39</f>
        <v>0</v>
      </c>
      <c r="M43" s="455">
        <f>(+XNPV($C40,M$42:$O$42,M$2:$O$2)-M42)*M39</f>
        <v>0</v>
      </c>
      <c r="N43" s="455">
        <f>(+XNPV($C40,N$42:$O$42,N$2:$O$2)-N42)*N39</f>
        <v>0</v>
      </c>
      <c r="O43" s="455">
        <f>(+XNPV($C40,O$42:$O$42,O$2:$O$2)-O42)*O39</f>
        <v>0</v>
      </c>
    </row>
    <row r="44" spans="1:16">
      <c r="B44" s="458" t="s">
        <v>6</v>
      </c>
      <c r="C44" s="458"/>
      <c r="D44" s="458">
        <f t="shared" ref="D44:O44" si="7">+D43</f>
        <v>0</v>
      </c>
      <c r="E44" s="459">
        <f t="shared" si="7"/>
        <v>30904614.050069284</v>
      </c>
      <c r="F44" s="459">
        <f>+F43</f>
        <v>32975787.612586595</v>
      </c>
      <c r="G44" s="459">
        <f t="shared" si="7"/>
        <v>27253078.718233243</v>
      </c>
      <c r="H44" s="459">
        <f t="shared" si="7"/>
        <v>20099692.600291565</v>
      </c>
      <c r="I44" s="459">
        <f t="shared" si="7"/>
        <v>11173324.638</v>
      </c>
      <c r="J44" s="459">
        <f t="shared" si="7"/>
        <v>0</v>
      </c>
      <c r="K44" s="459">
        <f t="shared" si="7"/>
        <v>0</v>
      </c>
      <c r="L44" s="459">
        <f t="shared" si="7"/>
        <v>0</v>
      </c>
      <c r="M44" s="459">
        <f t="shared" si="7"/>
        <v>0</v>
      </c>
      <c r="N44" s="459">
        <f t="shared" si="7"/>
        <v>0</v>
      </c>
      <c r="O44" s="459">
        <f t="shared" si="7"/>
        <v>0</v>
      </c>
    </row>
    <row r="45" spans="1:16">
      <c r="B45" s="457" t="s">
        <v>1472</v>
      </c>
      <c r="E45" s="3">
        <f>MIN((-SUM('Portfolio Summary'!$U49:AG49)-'Portfolio Summary'!AH49)/'Portfolio Summary'!$M$49,100%)</f>
        <v>0.75</v>
      </c>
      <c r="F45" s="3">
        <f>MIN((-SUM('Portfolio Summary'!$U49:AH49)-'Portfolio Summary'!AI49)/'Portfolio Summary'!$M$49,100%)</f>
        <v>0.75</v>
      </c>
      <c r="G45" s="3">
        <f>MIN((-SUM('Portfolio Summary'!$U49:AI49)-'Portfolio Summary'!AJ49)/'Portfolio Summary'!$M$49,100%)</f>
        <v>0.75</v>
      </c>
      <c r="H45" s="3">
        <f>MIN((-SUM('Portfolio Summary'!$U49:AJ49)-'Portfolio Summary'!AK49)/'Portfolio Summary'!$M$49,100%)</f>
        <v>0.75</v>
      </c>
      <c r="I45" s="3">
        <f>MIN((-SUM('Portfolio Summary'!$U49:AK49)-'Portfolio Summary'!AL49)/'Portfolio Summary'!$M$49,100%)</f>
        <v>0.75</v>
      </c>
      <c r="J45" s="3">
        <f>MIN((-SUM('Portfolio Summary'!$U49:AL49)-'Portfolio Summary'!AM49)/'Portfolio Summary'!$M$49,100%)</f>
        <v>0.75</v>
      </c>
      <c r="K45" s="3">
        <f>MIN((-SUM('Portfolio Summary'!$U49:AM49)-'Portfolio Summary'!AN49)/'Portfolio Summary'!$M$49,100%)</f>
        <v>0.75</v>
      </c>
      <c r="L45" s="3">
        <f>MIN((-SUM('Portfolio Summary'!$U49:AN49)-'Portfolio Summary'!AO49)/'Portfolio Summary'!$M$49,100%)</f>
        <v>0.75</v>
      </c>
      <c r="M45" s="3">
        <f>MIN((-SUM('Portfolio Summary'!$U49:AO49)-'Portfolio Summary'!AP49)/'Portfolio Summary'!$M$49,100%)</f>
        <v>0.75</v>
      </c>
      <c r="N45" s="3">
        <f>MIN((-SUM('Portfolio Summary'!$U49:AP49)-'Portfolio Summary'!AQ49)/'Portfolio Summary'!$M$49,100%)</f>
        <v>0.75</v>
      </c>
      <c r="O45" s="3">
        <f>MIN((-SUM('Portfolio Summary'!$U49:AQ49)-'Portfolio Summary'!AR49)/'Portfolio Summary'!$M$49,100%)</f>
        <v>0.75</v>
      </c>
    </row>
    <row r="46" spans="1:16">
      <c r="A46" t="s">
        <v>1474</v>
      </c>
      <c r="B46" s="457" t="s">
        <v>1468</v>
      </c>
      <c r="C46" s="456">
        <f>C34</f>
        <v>0.3</v>
      </c>
      <c r="D46" s="453"/>
      <c r="E46" s="454"/>
      <c r="F46" s="454"/>
      <c r="G46" s="454"/>
      <c r="H46" s="454"/>
      <c r="I46" s="454"/>
      <c r="J46" s="454"/>
      <c r="K46" s="454"/>
      <c r="L46" s="454"/>
      <c r="M46" s="454"/>
      <c r="N46" s="454"/>
      <c r="O46" s="454"/>
      <c r="P46" s="452"/>
    </row>
    <row r="47" spans="1:16">
      <c r="B47" s="457" t="s">
        <v>1469</v>
      </c>
      <c r="E47" s="455">
        <f>+'Portfolio Summary'!AH49</f>
        <v>0</v>
      </c>
      <c r="F47" s="455">
        <f>+'Portfolio Summary'!AI49</f>
        <v>0</v>
      </c>
      <c r="G47" s="455">
        <f>+'Portfolio Summary'!AJ49</f>
        <v>0</v>
      </c>
      <c r="H47" s="455">
        <f>+'Portfolio Summary'!AK49</f>
        <v>0</v>
      </c>
      <c r="I47" s="455">
        <f>+'Portfolio Summary'!AL49</f>
        <v>0</v>
      </c>
      <c r="J47" s="455">
        <f>+'Portfolio Summary'!AM49</f>
        <v>0</v>
      </c>
      <c r="K47" s="455">
        <f>+'Portfolio Summary'!AN49</f>
        <v>0</v>
      </c>
      <c r="L47" s="455">
        <f>+'Portfolio Summary'!AO49</f>
        <v>0</v>
      </c>
      <c r="M47" s="455">
        <f>+'Portfolio Summary'!AP49</f>
        <v>0</v>
      </c>
      <c r="N47" s="455">
        <f>+'Portfolio Summary'!AQ49</f>
        <v>0</v>
      </c>
      <c r="O47" s="455">
        <f>+'Portfolio Summary'!AR49</f>
        <v>0</v>
      </c>
    </row>
    <row r="48" spans="1:16">
      <c r="B48" s="457" t="s">
        <v>1470</v>
      </c>
      <c r="E48" s="455">
        <f>+'Portfolio Summary'!AH73</f>
        <v>0</v>
      </c>
      <c r="F48" s="455">
        <f>+'Portfolio Summary'!AI73</f>
        <v>0</v>
      </c>
      <c r="G48" s="455">
        <f>+'Portfolio Summary'!AJ73</f>
        <v>0</v>
      </c>
      <c r="H48" s="455">
        <f>+'Portfolio Summary'!AK73</f>
        <v>0</v>
      </c>
      <c r="I48" s="455">
        <f>+'Portfolio Summary'!AL73</f>
        <v>0</v>
      </c>
      <c r="J48" s="455">
        <f>+'Portfolio Summary'!AM73</f>
        <v>0</v>
      </c>
      <c r="K48" s="455">
        <f>+'Portfolio Summary'!AN73</f>
        <v>0</v>
      </c>
      <c r="L48" s="455">
        <f>+'Portfolio Summary'!AO73</f>
        <v>0</v>
      </c>
      <c r="M48" s="455">
        <f>+'Portfolio Summary'!AP73</f>
        <v>0</v>
      </c>
      <c r="N48" s="455">
        <f>+'Portfolio Summary'!AQ73</f>
        <v>0</v>
      </c>
      <c r="O48" s="455">
        <f>+'Portfolio Summary'!AR73</f>
        <v>0</v>
      </c>
    </row>
    <row r="49" spans="1:16">
      <c r="B49" s="457" t="s">
        <v>1471</v>
      </c>
      <c r="D49" s="455"/>
      <c r="E49" s="455">
        <f>+XNPV($C46,E$48:$M$48,E$2:$M$2)-E48</f>
        <v>0</v>
      </c>
      <c r="F49" s="455">
        <f>+XNPV($C46,F$48:$M$48,F$2:$M$2)-F48</f>
        <v>0</v>
      </c>
      <c r="G49" s="455">
        <f>+XNPV($C46,G$48:$M$48,G$2:$M$2)-G48</f>
        <v>0</v>
      </c>
      <c r="H49" s="455">
        <f>+XNPV($C46,H$48:$M$48,H$2:$M$2)-H48</f>
        <v>0</v>
      </c>
      <c r="I49" s="455">
        <f>+XNPV($C46,I$48:$M$48,I$2:$M$2)-I48</f>
        <v>0</v>
      </c>
      <c r="J49" s="455">
        <f>+XNPV($C46,J$48:$M$48,J$2:$M$2)-J48</f>
        <v>0</v>
      </c>
      <c r="K49" s="455">
        <f>+XNPV($C46,K$48:$M$48,K$2:$M$2)-K48</f>
        <v>0</v>
      </c>
      <c r="L49" s="455">
        <f>+XNPV($C46,L$48:$M$48,L$2:$M$2)-L48</f>
        <v>0</v>
      </c>
      <c r="M49" s="455">
        <f>+XNPV($C46,M$48:$M$48,M$2:$M$2)-M48</f>
        <v>0</v>
      </c>
      <c r="N49" s="455">
        <f>+XNPV($C46,$M$48:N$48,$M$2:N$2)-N48</f>
        <v>0</v>
      </c>
      <c r="O49" s="455">
        <f>+XNPV($C46,$M$48:O$48,$M$2:O$2)-O48</f>
        <v>0</v>
      </c>
    </row>
    <row r="50" spans="1:16">
      <c r="B50" s="458" t="s">
        <v>18</v>
      </c>
      <c r="C50" s="458"/>
      <c r="D50" s="458">
        <f t="shared" ref="D50:O50" si="8">+D49</f>
        <v>0</v>
      </c>
      <c r="E50" s="459">
        <f t="shared" si="8"/>
        <v>0</v>
      </c>
      <c r="F50" s="459">
        <f t="shared" si="8"/>
        <v>0</v>
      </c>
      <c r="G50" s="459">
        <f t="shared" si="8"/>
        <v>0</v>
      </c>
      <c r="H50" s="459">
        <f t="shared" si="8"/>
        <v>0</v>
      </c>
      <c r="I50" s="459">
        <f t="shared" si="8"/>
        <v>0</v>
      </c>
      <c r="J50" s="459">
        <f t="shared" si="8"/>
        <v>0</v>
      </c>
      <c r="K50" s="459">
        <f t="shared" si="8"/>
        <v>0</v>
      </c>
      <c r="L50" s="459">
        <f t="shared" si="8"/>
        <v>0</v>
      </c>
      <c r="M50" s="459">
        <f t="shared" si="8"/>
        <v>0</v>
      </c>
      <c r="N50" s="459">
        <f t="shared" si="8"/>
        <v>0</v>
      </c>
      <c r="O50" s="459">
        <f t="shared" si="8"/>
        <v>0</v>
      </c>
    </row>
    <row r="51" spans="1:16">
      <c r="B51" s="457" t="s">
        <v>1472</v>
      </c>
      <c r="E51" s="3">
        <f>MIN((-SUM('Portfolio Summary'!$U50:AG50)-'Portfolio Summary'!AH50)/'Portfolio Summary'!$M$50,100%)</f>
        <v>1</v>
      </c>
      <c r="F51" s="3">
        <f>MIN((-SUM('Portfolio Summary'!$U50:AH50)-'Portfolio Summary'!AI50)/'Portfolio Summary'!$M$50,100%)</f>
        <v>1</v>
      </c>
      <c r="G51" s="3">
        <f>MIN((-SUM('Portfolio Summary'!$U50:AI50)-'Portfolio Summary'!AJ50)/'Portfolio Summary'!$M$50,100%)</f>
        <v>1</v>
      </c>
      <c r="H51" s="3">
        <f>MIN((-SUM('Portfolio Summary'!$U50:AJ50)-'Portfolio Summary'!AK50)/'Portfolio Summary'!$M$50,100%)</f>
        <v>1</v>
      </c>
      <c r="I51" s="3">
        <f>MIN((-SUM('Portfolio Summary'!$U50:AK50)-'Portfolio Summary'!AL50)/'Portfolio Summary'!$M$50,100%)</f>
        <v>1</v>
      </c>
      <c r="J51" s="3">
        <f>MIN((-SUM('Portfolio Summary'!$U50:AL50)-'Portfolio Summary'!AM50)/'Portfolio Summary'!$M$50,100%)</f>
        <v>1</v>
      </c>
      <c r="K51" s="3">
        <f>MIN((-SUM('Portfolio Summary'!$U50:AM50)-'Portfolio Summary'!AN50)/'Portfolio Summary'!$M$50,100%)</f>
        <v>1</v>
      </c>
      <c r="L51" s="3">
        <f>MIN((-SUM('Portfolio Summary'!$U50:AN50)-'Portfolio Summary'!AO50)/'Portfolio Summary'!$M$50,100%)</f>
        <v>1</v>
      </c>
      <c r="M51" s="3">
        <f>MIN((-SUM('Portfolio Summary'!$U50:AO50)-'Portfolio Summary'!AP50)/'Portfolio Summary'!$M$50,100%)</f>
        <v>1</v>
      </c>
      <c r="N51" s="3">
        <f>MIN((-SUM('Portfolio Summary'!$U50:AP50)-'Portfolio Summary'!AQ50)/'Portfolio Summary'!$M$50,100%)</f>
        <v>1</v>
      </c>
      <c r="O51" s="3">
        <f>MIN((-SUM('Portfolio Summary'!$U50:AQ50)-'Portfolio Summary'!AR50)/'Portfolio Summary'!$M$50,100%)</f>
        <v>1</v>
      </c>
    </row>
    <row r="52" spans="1:16">
      <c r="A52" t="s">
        <v>1467</v>
      </c>
      <c r="B52" s="457" t="s">
        <v>1468</v>
      </c>
      <c r="C52" s="456">
        <f>C40</f>
        <v>0.25</v>
      </c>
      <c r="D52" s="453"/>
      <c r="E52" s="454"/>
      <c r="F52" s="454"/>
      <c r="G52" s="454"/>
      <c r="H52" s="454"/>
      <c r="I52" s="454"/>
      <c r="J52" s="454"/>
      <c r="K52" s="454"/>
      <c r="L52" s="454"/>
      <c r="M52" s="454"/>
      <c r="N52" s="454"/>
      <c r="O52" s="454"/>
      <c r="P52" s="452"/>
    </row>
    <row r="53" spans="1:16">
      <c r="B53" s="457" t="s">
        <v>1469</v>
      </c>
      <c r="E53" s="455">
        <f>+'Portfolio Summary'!AH50</f>
        <v>0</v>
      </c>
      <c r="F53" s="455">
        <f>+'Portfolio Summary'!AI50</f>
        <v>0</v>
      </c>
      <c r="G53" s="455">
        <f>+'Portfolio Summary'!AJ50</f>
        <v>0</v>
      </c>
      <c r="H53" s="455">
        <f>+'Portfolio Summary'!AK50</f>
        <v>0</v>
      </c>
      <c r="I53" s="455">
        <f>+'Portfolio Summary'!AL50</f>
        <v>0</v>
      </c>
      <c r="J53" s="455">
        <f>+'Portfolio Summary'!AM50</f>
        <v>0</v>
      </c>
      <c r="K53" s="455">
        <f>+'Portfolio Summary'!AN50</f>
        <v>0</v>
      </c>
      <c r="L53" s="455">
        <f>+'Portfolio Summary'!AO50</f>
        <v>0</v>
      </c>
      <c r="M53" s="455">
        <f>+'Portfolio Summary'!AP50</f>
        <v>0</v>
      </c>
      <c r="N53" s="455">
        <f>+'Portfolio Summary'!AQ50</f>
        <v>0</v>
      </c>
      <c r="O53" s="455">
        <f>+'Portfolio Summary'!AR50</f>
        <v>0</v>
      </c>
    </row>
    <row r="54" spans="1:16">
      <c r="B54" s="457" t="s">
        <v>1470</v>
      </c>
      <c r="E54" s="455">
        <f>+'Portfolio Summary'!AH74</f>
        <v>1555253.67</v>
      </c>
      <c r="F54" s="455">
        <f>+'Portfolio Summary'!AI74</f>
        <v>15600000</v>
      </c>
      <c r="G54" s="455">
        <f>+'Portfolio Summary'!AJ74</f>
        <v>11024029.493333334</v>
      </c>
      <c r="H54" s="455">
        <f>+'Portfolio Summary'!AK74</f>
        <v>11024029.493333334</v>
      </c>
      <c r="I54" s="455">
        <f>+'Portfolio Summary'!AL74</f>
        <v>11024029.493333334</v>
      </c>
      <c r="J54" s="455">
        <f>+'Portfolio Summary'!AM74</f>
        <v>0</v>
      </c>
      <c r="K54" s="455">
        <f>+'Portfolio Summary'!AN74</f>
        <v>0</v>
      </c>
      <c r="L54" s="455">
        <f>+'Portfolio Summary'!AO74</f>
        <v>0</v>
      </c>
      <c r="M54" s="455">
        <f>+'Portfolio Summary'!AP74</f>
        <v>0</v>
      </c>
      <c r="N54" s="455">
        <f>+'Portfolio Summary'!AQ74</f>
        <v>0</v>
      </c>
      <c r="O54" s="455">
        <f>+'Portfolio Summary'!AR74</f>
        <v>0</v>
      </c>
    </row>
    <row r="55" spans="1:16">
      <c r="B55" s="457" t="s">
        <v>1471</v>
      </c>
      <c r="D55" s="455"/>
      <c r="E55" s="455">
        <f>(+XNPV($C52,E$54:$O$54,E$2:$O$2)-E54)*E51</f>
        <v>29692364.774770565</v>
      </c>
      <c r="F55" s="455">
        <f>(+XNPV($C52,F$54:$O$54,F$2:$O$2)-F54)*F51</f>
        <v>21515455.968463205</v>
      </c>
      <c r="G55" s="455">
        <f>(+XNPV($C52,G$54:$O$54,G$2:$O$2)-G54)*G51</f>
        <v>15870290.46724567</v>
      </c>
      <c r="H55" s="455">
        <f>(+XNPV($C52,H$54:$O$54,H$2:$O$2)-H54)*H51</f>
        <v>8813833.5907237586</v>
      </c>
      <c r="I55" s="455">
        <f>(+XNPV($C52,I$54:$O$54,I$2:$O$2)-I54)*I51</f>
        <v>0</v>
      </c>
      <c r="J55" s="455">
        <f>(+XNPV($C52,J$54:$O$54,J$2:$O$2)-J54)*J51</f>
        <v>0</v>
      </c>
      <c r="K55" s="455">
        <f>(+XNPV($C52,K$54:$O$54,K$2:$O$2)-K54)*K51</f>
        <v>0</v>
      </c>
      <c r="L55" s="455">
        <f>(+XNPV($C52,L$54:$O$54,L$2:$O$2)-L54)*L51</f>
        <v>0</v>
      </c>
      <c r="M55" s="455">
        <f>(+XNPV($C52,M$54:$O$54,M$2:$O$2)-M54)*M51</f>
        <v>0</v>
      </c>
      <c r="N55" s="455">
        <f>(+XNPV($C52,N$54:$O$54,N$2:$O$2)-N54)*N51</f>
        <v>0</v>
      </c>
      <c r="O55" s="455">
        <f>(+XNPV($C52,O$54:$O$54,O$2:$O$2)-O54)*O51</f>
        <v>0</v>
      </c>
    </row>
    <row r="56" spans="1:16">
      <c r="B56" s="458" t="s">
        <v>7</v>
      </c>
      <c r="C56" s="458"/>
      <c r="D56" s="458"/>
      <c r="E56" s="459">
        <f>+E55</f>
        <v>29692364.774770565</v>
      </c>
      <c r="F56" s="459">
        <f>+F55</f>
        <v>21515455.968463205</v>
      </c>
      <c r="G56" s="459">
        <f>+G55</f>
        <v>15870290.46724567</v>
      </c>
      <c r="H56" s="459">
        <f>+H55</f>
        <v>8813833.5907237586</v>
      </c>
      <c r="I56" s="459">
        <f>+I55</f>
        <v>0</v>
      </c>
      <c r="J56" s="459"/>
      <c r="K56" s="459"/>
      <c r="L56" s="459"/>
      <c r="M56" s="459"/>
      <c r="N56" s="459"/>
      <c r="O56" s="459"/>
    </row>
    <row r="57" spans="1:16">
      <c r="B57" s="457" t="s">
        <v>1472</v>
      </c>
      <c r="E57" s="3">
        <f>MIN((-SUM('Portfolio Summary'!$U51:AG51)-'Portfolio Summary'!AH51)/'Portfolio Summary'!$M$51,100%)</f>
        <v>1</v>
      </c>
      <c r="F57" s="3">
        <f>MIN((-SUM('Portfolio Summary'!$U51:AH51)-'Portfolio Summary'!AI51)/'Portfolio Summary'!$M$51,100%)</f>
        <v>1</v>
      </c>
      <c r="G57" s="3">
        <f>MIN((-SUM('Portfolio Summary'!$U51:AI51)-'Portfolio Summary'!AJ51)/'Portfolio Summary'!$M$51,100%)</f>
        <v>1</v>
      </c>
      <c r="H57" s="3">
        <f>MIN((-SUM('Portfolio Summary'!$U51:AJ51)-'Portfolio Summary'!AK51)/'Portfolio Summary'!$M$51,100%)</f>
        <v>1</v>
      </c>
      <c r="I57" s="3">
        <f>MIN((-SUM('Portfolio Summary'!$U51:AK51)-'Portfolio Summary'!AL51)/'Portfolio Summary'!$M$51,100%)</f>
        <v>1</v>
      </c>
      <c r="J57" s="3">
        <f>MIN((-SUM('Portfolio Summary'!$U51:AL51)-'Portfolio Summary'!AM51)/'Portfolio Summary'!$M$51,100%)</f>
        <v>1</v>
      </c>
      <c r="K57" s="3">
        <f>MIN((-SUM('Portfolio Summary'!$U51:AM51)-'Portfolio Summary'!AN51)/'Portfolio Summary'!$M$51,100%)</f>
        <v>1</v>
      </c>
      <c r="L57" s="3">
        <f>MIN((-SUM('Portfolio Summary'!$U51:AN51)-'Portfolio Summary'!AO51)/'Portfolio Summary'!$M$51,100%)</f>
        <v>1</v>
      </c>
      <c r="M57" s="3">
        <f>MIN((-SUM('Portfolio Summary'!$U51:AO51)-'Portfolio Summary'!AP51)/'Portfolio Summary'!$M$51,100%)</f>
        <v>1</v>
      </c>
      <c r="N57" s="3">
        <f>MIN((-SUM('Portfolio Summary'!$U51:AP51)-'Portfolio Summary'!AQ51)/'Portfolio Summary'!$M$51,100%)</f>
        <v>1</v>
      </c>
      <c r="O57" s="3">
        <f>MIN((-SUM('Portfolio Summary'!$U51:AQ51)-'Portfolio Summary'!AR51)/'Portfolio Summary'!$M$51,100%)</f>
        <v>1</v>
      </c>
    </row>
    <row r="58" spans="1:16">
      <c r="A58" t="s">
        <v>1474</v>
      </c>
      <c r="B58" s="457" t="s">
        <v>1468</v>
      </c>
      <c r="C58" s="456">
        <f>C46</f>
        <v>0.3</v>
      </c>
      <c r="D58" s="453"/>
      <c r="E58" s="454"/>
      <c r="F58" s="454"/>
      <c r="G58" s="454"/>
      <c r="H58" s="454"/>
      <c r="I58" s="454"/>
      <c r="J58" s="454"/>
      <c r="K58" s="454"/>
      <c r="L58" s="454"/>
      <c r="M58" s="454"/>
      <c r="N58" s="454"/>
      <c r="O58" s="454"/>
      <c r="P58" s="452"/>
    </row>
    <row r="59" spans="1:16">
      <c r="B59" s="457" t="s">
        <v>1469</v>
      </c>
      <c r="E59" s="455">
        <f>+'Portfolio Summary'!AH51</f>
        <v>0</v>
      </c>
      <c r="F59" s="455">
        <f>+'Portfolio Summary'!AI51</f>
        <v>0</v>
      </c>
      <c r="G59" s="455">
        <f>+'Portfolio Summary'!AJ51</f>
        <v>0</v>
      </c>
      <c r="H59" s="455">
        <f>+'Portfolio Summary'!AK51</f>
        <v>0</v>
      </c>
      <c r="I59" s="455">
        <f>+'Portfolio Summary'!AL51</f>
        <v>0</v>
      </c>
      <c r="J59" s="455">
        <f>+'Portfolio Summary'!AM51</f>
        <v>0</v>
      </c>
      <c r="K59" s="455">
        <f>+'Portfolio Summary'!AN51</f>
        <v>0</v>
      </c>
      <c r="L59" s="455">
        <f>+'Portfolio Summary'!AO51</f>
        <v>0</v>
      </c>
      <c r="M59" s="455">
        <f>+'Portfolio Summary'!AP51</f>
        <v>0</v>
      </c>
      <c r="N59" s="455">
        <f>+'Portfolio Summary'!AQ51</f>
        <v>0</v>
      </c>
      <c r="O59" s="455">
        <f>+'Portfolio Summary'!AR51</f>
        <v>0</v>
      </c>
    </row>
    <row r="60" spans="1:16">
      <c r="B60" s="457" t="s">
        <v>1470</v>
      </c>
      <c r="E60" s="455">
        <f>+'Portfolio Summary'!AH75</f>
        <v>0</v>
      </c>
      <c r="F60" s="455">
        <f>+'Portfolio Summary'!AI75</f>
        <v>2250000</v>
      </c>
      <c r="G60" s="455">
        <f>+'Portfolio Summary'!AJ75</f>
        <v>2070000</v>
      </c>
      <c r="H60" s="455">
        <f>+'Portfolio Summary'!AK75</f>
        <v>2070000</v>
      </c>
      <c r="I60" s="455">
        <f>+'Portfolio Summary'!AL75</f>
        <v>2070000</v>
      </c>
      <c r="J60" s="455">
        <f>+'Portfolio Summary'!AM75</f>
        <v>2070000</v>
      </c>
      <c r="K60" s="455">
        <f>+'Portfolio Summary'!AN75</f>
        <v>2070000</v>
      </c>
      <c r="L60" s="455">
        <f>+'Portfolio Summary'!AO75</f>
        <v>0</v>
      </c>
      <c r="M60" s="455">
        <f>+'Portfolio Summary'!AP75</f>
        <v>0</v>
      </c>
      <c r="N60" s="455">
        <f>+'Portfolio Summary'!AQ75</f>
        <v>0</v>
      </c>
      <c r="O60" s="455">
        <f>+'Portfolio Summary'!AR75</f>
        <v>0</v>
      </c>
    </row>
    <row r="61" spans="1:16">
      <c r="B61" s="457" t="s">
        <v>1471</v>
      </c>
      <c r="D61" s="455"/>
      <c r="E61" s="455">
        <f>(+XNPV($C58,E$60:$O$60,E$2:$O$2)-E60)*E57</f>
        <v>5607716.153078624</v>
      </c>
      <c r="F61" s="455">
        <f>(+XNPV($C58,F$60:$O$60,F$2:$O$2)-F60)*F57</f>
        <v>5040030.9990022127</v>
      </c>
      <c r="G61" s="455">
        <f>(+XNPV($C58,G$60:$O$60,G$2:$O$2)-G60)*G57</f>
        <v>4482040.2987028761</v>
      </c>
      <c r="H61" s="455">
        <f>(+XNPV($C58,H$60:$O$60,H$2:$O$2)-H60)*H57</f>
        <v>3756652.3883137396</v>
      </c>
      <c r="I61" s="455">
        <f>(+XNPV($C58,I$60:$O$60,I$2:$O$2)-I60)*I57</f>
        <v>2817159.7633136092</v>
      </c>
      <c r="J61" s="455">
        <f>(+XNPV($C58,J$60:$O$60,J$2:$O$2)-J60)*J57</f>
        <v>1592307.692307692</v>
      </c>
      <c r="K61" s="455">
        <f>(+XNPV($C58,K$60:$O$60,K$2:$O$2)-K60)*K57</f>
        <v>0</v>
      </c>
      <c r="L61" s="455">
        <f>(+XNPV($C58,L$60:$O$60,L$2:$O$2)-L60)*L57</f>
        <v>0</v>
      </c>
      <c r="M61" s="455">
        <f>(+XNPV($C58,M$60:$O$60,M$2:$O$2)-M60)*M57</f>
        <v>0</v>
      </c>
      <c r="N61" s="455">
        <f>(+XNPV($C58,N$60:$O$60,N$2:$O$2)-N60)*N57</f>
        <v>0</v>
      </c>
      <c r="O61" s="455">
        <f>(+XNPV($C58,O$60:$O$60,O$2:$O$2)-O60)*O57</f>
        <v>0</v>
      </c>
    </row>
    <row r="62" spans="1:16">
      <c r="B62" s="458" t="s">
        <v>8</v>
      </c>
      <c r="C62" s="458"/>
      <c r="D62" s="458"/>
      <c r="E62" s="459">
        <f>+E61</f>
        <v>5607716.153078624</v>
      </c>
      <c r="F62" s="459">
        <f t="shared" ref="F62:K62" si="9">+F61</f>
        <v>5040030.9990022127</v>
      </c>
      <c r="G62" s="459">
        <f t="shared" si="9"/>
        <v>4482040.2987028761</v>
      </c>
      <c r="H62" s="459">
        <f t="shared" si="9"/>
        <v>3756652.3883137396</v>
      </c>
      <c r="I62" s="459">
        <f t="shared" si="9"/>
        <v>2817159.7633136092</v>
      </c>
      <c r="J62" s="459">
        <f t="shared" si="9"/>
        <v>1592307.692307692</v>
      </c>
      <c r="K62" s="459">
        <f t="shared" si="9"/>
        <v>0</v>
      </c>
      <c r="L62" s="459"/>
      <c r="M62" s="459"/>
      <c r="N62" s="459"/>
      <c r="O62" s="459"/>
    </row>
    <row r="63" spans="1:16">
      <c r="B63" s="457" t="s">
        <v>1472</v>
      </c>
      <c r="E63" s="3">
        <f>MIN((-SUM('Portfolio Summary'!$U52:AG52)-'Portfolio Summary'!AH52)/'Portfolio Summary'!$M$52,100%)</f>
        <v>1</v>
      </c>
      <c r="F63" s="3">
        <f>MIN((-SUM('Portfolio Summary'!$U52:AH52)-'Portfolio Summary'!AI52)/'Portfolio Summary'!$M$52,100%)</f>
        <v>1</v>
      </c>
      <c r="G63" s="3">
        <f>MIN((-SUM('Portfolio Summary'!$U52:AI52)-'Portfolio Summary'!AJ52)/'Portfolio Summary'!$M$52,100%)</f>
        <v>1</v>
      </c>
      <c r="H63" s="3">
        <f>MIN((-SUM('Portfolio Summary'!$U52:AJ52)-'Portfolio Summary'!AK52)/'Portfolio Summary'!$M$52,100%)</f>
        <v>1</v>
      </c>
      <c r="I63" s="3">
        <f>MIN((-SUM('Portfolio Summary'!$U52:AK52)-'Portfolio Summary'!AL52)/'Portfolio Summary'!$M$52,100%)</f>
        <v>1</v>
      </c>
      <c r="J63" s="3">
        <f>MIN((-SUM('Portfolio Summary'!$U52:AL52)-'Portfolio Summary'!AM52)/'Portfolio Summary'!$M$52,100%)</f>
        <v>1</v>
      </c>
      <c r="K63" s="3">
        <f>MIN((-SUM('Portfolio Summary'!$U52:AM52)-'Portfolio Summary'!AN52)/'Portfolio Summary'!$M$52,100%)</f>
        <v>1</v>
      </c>
      <c r="L63" s="3">
        <f>MIN((-SUM('Portfolio Summary'!$U52:AN52)-'Portfolio Summary'!AO52)/'Portfolio Summary'!$M$52,100%)</f>
        <v>1</v>
      </c>
      <c r="M63" s="3">
        <f>MIN((-SUM('Portfolio Summary'!$U52:AO52)-'Portfolio Summary'!AP52)/'Portfolio Summary'!$M$52,100%)</f>
        <v>1</v>
      </c>
      <c r="N63" s="3">
        <f>MIN((-SUM('Portfolio Summary'!$U52:AP52)-'Portfolio Summary'!AQ52)/'Portfolio Summary'!$M$52,100%)</f>
        <v>1</v>
      </c>
      <c r="O63" s="3">
        <f>MIN((-SUM('Portfolio Summary'!$U52:AQ52)-'Portfolio Summary'!AR52)/'Portfolio Summary'!$M$52,100%)</f>
        <v>1</v>
      </c>
    </row>
    <row r="64" spans="1:16">
      <c r="A64" t="s">
        <v>1467</v>
      </c>
      <c r="B64" s="457" t="s">
        <v>1468</v>
      </c>
      <c r="C64" s="456">
        <f>C52</f>
        <v>0.25</v>
      </c>
      <c r="D64" s="453"/>
      <c r="E64" s="454"/>
      <c r="F64" s="454"/>
      <c r="G64" s="454"/>
      <c r="H64" s="454"/>
      <c r="I64" s="454"/>
      <c r="J64" s="454"/>
      <c r="K64" s="454"/>
      <c r="L64" s="454"/>
      <c r="M64" s="454"/>
      <c r="N64" s="454"/>
      <c r="O64" s="454"/>
      <c r="P64" s="452"/>
    </row>
    <row r="65" spans="1:16">
      <c r="B65" s="457" t="s">
        <v>1469</v>
      </c>
      <c r="E65" s="455">
        <f>+'Portfolio Summary'!AH52</f>
        <v>0</v>
      </c>
      <c r="F65" s="455">
        <f>+'Portfolio Summary'!AI52</f>
        <v>0</v>
      </c>
      <c r="G65" s="455">
        <f>+'Portfolio Summary'!AJ52</f>
        <v>0</v>
      </c>
      <c r="H65" s="455">
        <f>+'Portfolio Summary'!AK52</f>
        <v>0</v>
      </c>
      <c r="I65" s="455">
        <f>+'Portfolio Summary'!AL52</f>
        <v>0</v>
      </c>
      <c r="J65" s="455">
        <f>+'Portfolio Summary'!AM52</f>
        <v>0</v>
      </c>
      <c r="K65" s="455">
        <f>+'Portfolio Summary'!AN52</f>
        <v>0</v>
      </c>
      <c r="L65" s="455">
        <f>+'Portfolio Summary'!AO52</f>
        <v>0</v>
      </c>
      <c r="M65" s="455">
        <f>+'Portfolio Summary'!AP52</f>
        <v>0</v>
      </c>
      <c r="N65" s="455">
        <f>+'Portfolio Summary'!AQ52</f>
        <v>0</v>
      </c>
      <c r="O65" s="455">
        <f>+'Portfolio Summary'!AR52</f>
        <v>0</v>
      </c>
    </row>
    <row r="66" spans="1:16">
      <c r="B66" s="457" t="s">
        <v>1470</v>
      </c>
      <c r="E66" s="455">
        <f>+'Portfolio Summary'!AH76</f>
        <v>0</v>
      </c>
      <c r="F66" s="455">
        <f>+'Portfolio Summary'!AI76</f>
        <v>5755000</v>
      </c>
      <c r="G66" s="455">
        <f>+'Portfolio Summary'!AJ76</f>
        <v>5124641.8</v>
      </c>
      <c r="H66" s="455">
        <f>+'Portfolio Summary'!AK76</f>
        <v>5124641.8</v>
      </c>
      <c r="I66" s="455">
        <f>+'Portfolio Summary'!AL76</f>
        <v>5124641.8</v>
      </c>
      <c r="J66" s="455">
        <f>+'Portfolio Summary'!AM76</f>
        <v>5124641.8</v>
      </c>
      <c r="K66" s="455">
        <f>+'Portfolio Summary'!AN76</f>
        <v>5124641.8</v>
      </c>
      <c r="L66" s="455">
        <f>+'Portfolio Summary'!AO76</f>
        <v>0</v>
      </c>
      <c r="M66" s="455">
        <f>+'Portfolio Summary'!AP76</f>
        <v>0</v>
      </c>
      <c r="N66" s="455">
        <f>+'Portfolio Summary'!AQ76</f>
        <v>0</v>
      </c>
      <c r="O66" s="455">
        <f>+'Portfolio Summary'!AR76</f>
        <v>0</v>
      </c>
    </row>
    <row r="67" spans="1:16">
      <c r="B67" s="457" t="s">
        <v>1471</v>
      </c>
      <c r="D67" s="455"/>
      <c r="E67" s="455">
        <f>(+XNPV($C64,E$66:$O$66,E$2:$O$2)-E66)*E63</f>
        <v>15626147.160418434</v>
      </c>
      <c r="F67" s="455">
        <f>(+XNPV($C64,F$66:$O$66,F$2:$O$2)-F66)*F63</f>
        <v>13777683.950523041</v>
      </c>
      <c r="G67" s="455">
        <f>(+XNPV($C64,G$66:$O$66,G$2:$O$2)-G66)*G63</f>
        <v>12097463.138153803</v>
      </c>
      <c r="H67" s="455">
        <f>(+XNPV($C64,H$66:$O$66,H$2:$O$2)-H66)*H63</f>
        <v>9997187.1226922534</v>
      </c>
      <c r="I67" s="455">
        <f>(+XNPV($C64,I$66:$O$66,I$2:$O$2)-I66)*I63</f>
        <v>7379484.1920000007</v>
      </c>
      <c r="J67" s="455">
        <f>(+XNPV($C64,J$66:$O$66,J$2:$O$2)-J66)*J63</f>
        <v>4099713.4400000004</v>
      </c>
      <c r="K67" s="455">
        <f>(+XNPV($C64,K$66:$O$66,K$2:$O$2)-K66)*K63</f>
        <v>0</v>
      </c>
      <c r="L67" s="455">
        <f>(+XNPV($C64,L$66:$O$66,L$2:$O$2)-L66)*L63</f>
        <v>0</v>
      </c>
      <c r="M67" s="455">
        <f>(+XNPV($C64,M$66:$O$66,M$2:$O$2)-M66)*M63</f>
        <v>0</v>
      </c>
      <c r="N67" s="455">
        <f>(+XNPV($C64,N$66:$O$66,N$2:$O$2)-N66)*N63</f>
        <v>0</v>
      </c>
      <c r="O67" s="455">
        <f>(+XNPV($C64,O$66:$O$66,O$2:$O$2)-O66)*O63</f>
        <v>0</v>
      </c>
    </row>
    <row r="68" spans="1:16">
      <c r="B68" s="458" t="s">
        <v>9</v>
      </c>
      <c r="C68" s="458"/>
      <c r="D68" s="458"/>
      <c r="E68" s="459">
        <f t="shared" ref="E68:K68" si="10">+E67</f>
        <v>15626147.160418434</v>
      </c>
      <c r="F68" s="459">
        <f t="shared" si="10"/>
        <v>13777683.950523041</v>
      </c>
      <c r="G68" s="459">
        <f t="shared" si="10"/>
        <v>12097463.138153803</v>
      </c>
      <c r="H68" s="459">
        <f t="shared" si="10"/>
        <v>9997187.1226922534</v>
      </c>
      <c r="I68" s="459">
        <f t="shared" si="10"/>
        <v>7379484.1920000007</v>
      </c>
      <c r="J68" s="459">
        <f t="shared" si="10"/>
        <v>4099713.4400000004</v>
      </c>
      <c r="K68" s="459">
        <f t="shared" si="10"/>
        <v>0</v>
      </c>
      <c r="L68" s="459"/>
      <c r="M68" s="459"/>
      <c r="N68" s="459"/>
      <c r="O68" s="459"/>
    </row>
    <row r="69" spans="1:16">
      <c r="B69" s="457" t="s">
        <v>1472</v>
      </c>
      <c r="E69" s="3">
        <f>MIN((-SUM('Portfolio Summary'!$U53:AG53)-'Portfolio Summary'!AH53)/'Portfolio Summary'!$M$53,100%)</f>
        <v>0.66200000000000003</v>
      </c>
      <c r="F69" s="3">
        <f>MIN((-SUM('Portfolio Summary'!$U53:AH53)-'Portfolio Summary'!AI53)/'Portfolio Summary'!$M$53,100%)</f>
        <v>0.71717313999999999</v>
      </c>
      <c r="G69" s="3">
        <f>MIN((-SUM('Portfolio Summary'!$U53:AI53)-'Portfolio Summary'!AJ53)/'Portfolio Summary'!$M$53,100%)</f>
        <v>0.85858657000000005</v>
      </c>
      <c r="H69" s="3">
        <f>MIN((-SUM('Portfolio Summary'!$U53:AJ53)-'Portfolio Summary'!AK53)/'Portfolio Summary'!$M$53,100%)</f>
        <v>1</v>
      </c>
      <c r="I69" s="3">
        <f>MIN((-SUM('Portfolio Summary'!$U53:AK53)-'Portfolio Summary'!AL53)/'Portfolio Summary'!$M$53,100%)</f>
        <v>1</v>
      </c>
      <c r="J69" s="3">
        <f>MIN((-SUM('Portfolio Summary'!$U53:AL53)-'Portfolio Summary'!AM53)/'Portfolio Summary'!$M$53,100%)</f>
        <v>1</v>
      </c>
      <c r="K69" s="3">
        <f>MIN((-SUM('Portfolio Summary'!$U53:AM53)-'Portfolio Summary'!AN53)/'Portfolio Summary'!$M$53,100%)</f>
        <v>1</v>
      </c>
      <c r="L69" s="3">
        <f>MIN((-SUM('Portfolio Summary'!$U53:AN53)-'Portfolio Summary'!AO53)/'Portfolio Summary'!$M$53,100%)</f>
        <v>1</v>
      </c>
      <c r="M69" s="3">
        <f>MIN((-SUM('Portfolio Summary'!$U53:AO53)-'Portfolio Summary'!AP53)/'Portfolio Summary'!$M$53,100%)</f>
        <v>1</v>
      </c>
      <c r="N69" s="3">
        <f>MIN((-SUM('Portfolio Summary'!$U53:AP53)-'Portfolio Summary'!AQ53)/'Portfolio Summary'!$M$53,100%)</f>
        <v>1</v>
      </c>
      <c r="O69" s="3">
        <f>MIN((-SUM('Portfolio Summary'!$U53:AQ53)-'Portfolio Summary'!AR53)/'Portfolio Summary'!$M$53,100%)</f>
        <v>1</v>
      </c>
    </row>
    <row r="70" spans="1:16">
      <c r="A70" t="s">
        <v>1475</v>
      </c>
      <c r="B70" s="457" t="s">
        <v>1468</v>
      </c>
      <c r="C70" s="456">
        <f>C28</f>
        <v>0.22</v>
      </c>
      <c r="D70" s="453"/>
      <c r="P70" s="452"/>
    </row>
    <row r="71" spans="1:16">
      <c r="B71" s="457" t="s">
        <v>1469</v>
      </c>
      <c r="E71" s="455">
        <f>+'Portfolio Summary'!AH53</f>
        <v>-4950000</v>
      </c>
      <c r="F71" s="455">
        <f>+'Portfolio Summary'!AI53</f>
        <v>-2758657</v>
      </c>
      <c r="G71" s="455">
        <f>+'Portfolio Summary'!AJ53</f>
        <v>-7070671.5</v>
      </c>
      <c r="H71" s="455">
        <f>+'Portfolio Summary'!AK53</f>
        <v>-7070671.5</v>
      </c>
      <c r="I71" s="455">
        <f>+'Portfolio Summary'!AL53</f>
        <v>0</v>
      </c>
      <c r="J71" s="455">
        <f>+'Portfolio Summary'!AM53</f>
        <v>0</v>
      </c>
      <c r="K71" s="455">
        <f>+'Portfolio Summary'!AN53</f>
        <v>0</v>
      </c>
      <c r="L71" s="455">
        <f>+'Portfolio Summary'!AO53</f>
        <v>0</v>
      </c>
      <c r="M71" s="455">
        <f>+'Portfolio Summary'!AP53</f>
        <v>0</v>
      </c>
      <c r="N71" s="455">
        <f>+'Portfolio Summary'!AQ53</f>
        <v>0</v>
      </c>
      <c r="O71" s="455">
        <f>+'Portfolio Summary'!AR53</f>
        <v>0</v>
      </c>
    </row>
    <row r="72" spans="1:16">
      <c r="B72" s="457" t="s">
        <v>1470</v>
      </c>
      <c r="E72" s="455">
        <f>+'Portfolio Summary'!AH77</f>
        <v>0</v>
      </c>
      <c r="F72" s="455">
        <f>+'Portfolio Summary'!AI77</f>
        <v>0</v>
      </c>
      <c r="G72" s="455">
        <f>+'Portfolio Summary'!AJ77</f>
        <v>19870000</v>
      </c>
      <c r="H72" s="455">
        <f>+'Portfolio Summary'!AK77</f>
        <v>19870000</v>
      </c>
      <c r="I72" s="455">
        <f>+'Portfolio Summary'!AL77</f>
        <v>19870000</v>
      </c>
      <c r="J72" s="455">
        <f>+'Portfolio Summary'!AM77</f>
        <v>19870000</v>
      </c>
      <c r="K72" s="455">
        <f>+'Portfolio Summary'!AN77</f>
        <v>19870000</v>
      </c>
      <c r="L72" s="455">
        <f>+'Portfolio Summary'!AO77</f>
        <v>0</v>
      </c>
      <c r="M72" s="455">
        <f>+'Portfolio Summary'!AP77</f>
        <v>0</v>
      </c>
      <c r="N72" s="455">
        <f>+'Portfolio Summary'!AQ77</f>
        <v>0</v>
      </c>
      <c r="O72" s="455">
        <f>+'Portfolio Summary'!AR77</f>
        <v>0</v>
      </c>
    </row>
    <row r="73" spans="1:16">
      <c r="B73" s="457" t="s">
        <v>1471</v>
      </c>
      <c r="D73" s="455"/>
      <c r="E73" s="455">
        <f>(+XNPV($C70,E$72:$O$72,E$2:$O$2)-E72)*E69</f>
        <v>30867471.694805231</v>
      </c>
      <c r="F73" s="455">
        <f>(+XNPV($C70,F$72:$O$72,F$2:$O$2)-F72)*F69</f>
        <v>40796876.663223565</v>
      </c>
      <c r="G73" s="455">
        <f>(+XNPV($C70,G$72:$O$72,G$2:$O$2)-G72)*G69</f>
        <v>42526240.094911166</v>
      </c>
      <c r="H73" s="455">
        <f>(+XNPV($C70,H$72:$O$72,H$2:$O$2)-H72)*H69</f>
        <v>40557235.562037282</v>
      </c>
      <c r="I73" s="455">
        <f>(+XNPV($C70,I$72:$O$72,I$2:$O$2)-I72)*I69</f>
        <v>29636791.185165286</v>
      </c>
      <c r="J73" s="455">
        <f>(+XNPV($C70,J$72:$O$72,J$2:$O$2)-J72)*J69</f>
        <v>16286885.245901644</v>
      </c>
      <c r="K73" s="455">
        <f>(+XNPV($C70,K$72:$O$72,K$2:$O$2)-K72)*K69</f>
        <v>0</v>
      </c>
      <c r="L73" s="455">
        <f>(+XNPV($C70,L$72:$O$72,L$2:$O$2)-L72)*L69</f>
        <v>0</v>
      </c>
      <c r="M73" s="455">
        <f>(+XNPV($C70,M$72:$O$72,M$2:$O$2)-M72)*M69</f>
        <v>0</v>
      </c>
      <c r="N73" s="455">
        <f>(+XNPV($C70,N$72:$O$72,N$2:$O$2)-N72)*N69</f>
        <v>0</v>
      </c>
      <c r="O73" s="455">
        <f>(+XNPV($C70,O$72:$O$72,O$2:$O$2)-O72)*O69</f>
        <v>0</v>
      </c>
    </row>
    <row r="74" spans="1:16">
      <c r="B74" s="458" t="s">
        <v>21</v>
      </c>
      <c r="C74" s="458"/>
      <c r="D74" s="458"/>
      <c r="E74" s="459">
        <f t="shared" ref="E74:K74" si="11">+E73</f>
        <v>30867471.694805231</v>
      </c>
      <c r="F74" s="459">
        <f t="shared" si="11"/>
        <v>40796876.663223565</v>
      </c>
      <c r="G74" s="459">
        <f t="shared" si="11"/>
        <v>42526240.094911166</v>
      </c>
      <c r="H74" s="459">
        <f t="shared" si="11"/>
        <v>40557235.562037282</v>
      </c>
      <c r="I74" s="459">
        <f t="shared" si="11"/>
        <v>29636791.185165286</v>
      </c>
      <c r="J74" s="459">
        <f t="shared" si="11"/>
        <v>16286885.245901644</v>
      </c>
      <c r="K74" s="459">
        <f t="shared" si="11"/>
        <v>0</v>
      </c>
      <c r="L74" s="459"/>
      <c r="M74" s="459"/>
      <c r="N74" s="459"/>
      <c r="O74" s="459"/>
    </row>
    <row r="75" spans="1:16">
      <c r="B75" s="457" t="s">
        <v>1472</v>
      </c>
      <c r="E75" s="3">
        <f>MIN((-SUM('Portfolio Summary'!$U54:AG54)-'Portfolio Summary'!AH54)/'Portfolio Summary'!$M$54,100%)</f>
        <v>0.37931031859999997</v>
      </c>
      <c r="F75" s="3">
        <f>MIN((-SUM('Portfolio Summary'!$U54:AH54)-'Portfolio Summary'!AI54)/'Portfolio Summary'!$M$54,100%)</f>
        <v>0.68362567460000012</v>
      </c>
      <c r="G75" s="3">
        <f>MIN((-SUM('Portfolio Summary'!$U54:AI54)-'Portfolio Summary'!AJ54)/'Portfolio Summary'!$M$54,100%)</f>
        <v>0.84181283730000001</v>
      </c>
      <c r="H75" s="3">
        <f>MIN((-SUM('Portfolio Summary'!$U54:AJ54)-'Portfolio Summary'!AK54)/'Portfolio Summary'!$M$54,100%)</f>
        <v>1</v>
      </c>
      <c r="I75" s="3">
        <f>MIN((-SUM('Portfolio Summary'!$U54:AK54)-'Portfolio Summary'!AL54)/'Portfolio Summary'!$M$54,100%)</f>
        <v>1</v>
      </c>
      <c r="J75" s="3">
        <f>MIN((-SUM('Portfolio Summary'!$U54:AL54)-'Portfolio Summary'!AM54)/'Portfolio Summary'!$M$54,100%)</f>
        <v>1</v>
      </c>
      <c r="K75" s="3">
        <f>MIN((-SUM('Portfolio Summary'!$U54:AM54)-'Portfolio Summary'!AN54)/'Portfolio Summary'!$M$54,100%)</f>
        <v>1</v>
      </c>
      <c r="L75" s="3">
        <f>MIN((-SUM('Portfolio Summary'!$U54:AN54)-'Portfolio Summary'!AO54)/'Portfolio Summary'!$M$54,100%)</f>
        <v>1</v>
      </c>
      <c r="M75" s="3">
        <f>MIN((-SUM('Portfolio Summary'!$U54:AO54)-'Portfolio Summary'!AP54)/'Portfolio Summary'!$M$54,100%)</f>
        <v>1</v>
      </c>
      <c r="N75" s="3">
        <f>MIN((-SUM('Portfolio Summary'!$U54:AP54)-'Portfolio Summary'!AQ54)/'Portfolio Summary'!$M$54,100%)</f>
        <v>1</v>
      </c>
      <c r="O75" s="3">
        <f>MIN((-SUM('Portfolio Summary'!$U54:AQ54)-'Portfolio Summary'!AR54)/'Portfolio Summary'!$M$54,100%)</f>
        <v>1</v>
      </c>
    </row>
    <row r="76" spans="1:16">
      <c r="A76" t="s">
        <v>1467</v>
      </c>
      <c r="B76" s="457" t="s">
        <v>1468</v>
      </c>
      <c r="C76" s="456">
        <f>+C64</f>
        <v>0.25</v>
      </c>
      <c r="D76" s="453"/>
      <c r="E76" s="454"/>
      <c r="F76" s="454"/>
      <c r="G76" s="454"/>
      <c r="H76" s="454"/>
      <c r="I76" s="454"/>
      <c r="J76" s="454"/>
      <c r="K76" s="454"/>
      <c r="L76" s="454"/>
      <c r="M76" s="454"/>
      <c r="N76" s="454"/>
      <c r="O76" s="454"/>
      <c r="P76" s="452"/>
    </row>
    <row r="77" spans="1:16">
      <c r="B77" s="457" t="s">
        <v>1469</v>
      </c>
      <c r="E77" s="455">
        <f>+'Portfolio Summary'!AH54</f>
        <v>-14030034.969999999</v>
      </c>
      <c r="F77" s="455">
        <f>+'Portfolio Summary'!AI54</f>
        <v>-30431535.600000001</v>
      </c>
      <c r="G77" s="455">
        <f>+'Portfolio Summary'!AJ54</f>
        <v>-15818716.269999996</v>
      </c>
      <c r="H77" s="455">
        <f>+'Portfolio Summary'!AK54</f>
        <v>-15818716.269999996</v>
      </c>
      <c r="I77" s="455">
        <f>+'Portfolio Summary'!AL54</f>
        <v>0</v>
      </c>
      <c r="J77" s="455">
        <f>+'Portfolio Summary'!AM54</f>
        <v>0</v>
      </c>
      <c r="K77" s="455">
        <f>+'Portfolio Summary'!AN54</f>
        <v>0</v>
      </c>
      <c r="L77" s="455">
        <f>+'Portfolio Summary'!AO54</f>
        <v>0</v>
      </c>
      <c r="M77" s="455">
        <f>+'Portfolio Summary'!AP54</f>
        <v>0</v>
      </c>
      <c r="N77" s="455">
        <f>+'Portfolio Summary'!AQ54</f>
        <v>0</v>
      </c>
      <c r="O77" s="455">
        <f>+'Portfolio Summary'!AR54</f>
        <v>0</v>
      </c>
    </row>
    <row r="78" spans="1:16">
      <c r="B78" s="457" t="s">
        <v>1470</v>
      </c>
      <c r="E78" s="455">
        <f>+'Portfolio Summary'!AH78</f>
        <v>2586900.38</v>
      </c>
      <c r="F78" s="455">
        <f>+'Portfolio Summary'!AI78</f>
        <v>2000000</v>
      </c>
      <c r="G78" s="455">
        <f>+'Portfolio Summary'!AJ78</f>
        <v>24975881.717142858</v>
      </c>
      <c r="H78" s="455">
        <f>+'Portfolio Summary'!AK78</f>
        <v>24975881.717142858</v>
      </c>
      <c r="I78" s="455">
        <f>+'Portfolio Summary'!AL78</f>
        <v>24975881.717142858</v>
      </c>
      <c r="J78" s="455">
        <f>+'Portfolio Summary'!AM78</f>
        <v>24975881.717142858</v>
      </c>
      <c r="K78" s="455">
        <f>+'Portfolio Summary'!AN78</f>
        <v>24975881.717142858</v>
      </c>
      <c r="L78" s="455">
        <f>+'Portfolio Summary'!AO78</f>
        <v>24975881.717142858</v>
      </c>
      <c r="M78" s="455">
        <f>+'Portfolio Summary'!AP78</f>
        <v>24975881.717142858</v>
      </c>
      <c r="N78" s="455">
        <f>+'Portfolio Summary'!AQ78</f>
        <v>0</v>
      </c>
      <c r="O78" s="455">
        <f>+'Portfolio Summary'!AR78</f>
        <v>0</v>
      </c>
    </row>
    <row r="79" spans="1:16">
      <c r="B79" s="457" t="s">
        <v>1471</v>
      </c>
      <c r="D79" s="455"/>
      <c r="E79" s="455">
        <f>(+XNPV($C76,E$78:$O$78,E$2:$O$2)-E78)*E75</f>
        <v>24555872.543148793</v>
      </c>
      <c r="F79" s="455">
        <f>(+XNPV($C76,F$78:$O$78,F$2:$O$2)-F78)*F75</f>
        <v>53953630.095118135</v>
      </c>
      <c r="G79" s="455">
        <f>(+XNPV($C76,G$78:$O$78,G$2:$O$2)-G78)*G75</f>
        <v>62022730.572923928</v>
      </c>
      <c r="H79" s="455">
        <f>(+XNPV($C76,H$78:$O$78,H$2:$O$2)-H78)*H75</f>
        <v>67121090.176059365</v>
      </c>
      <c r="I79" s="455">
        <f>(+XNPV($C76,I$78:$O$78,I$2:$O$2)-I78)*I75</f>
        <v>58976789.96755176</v>
      </c>
      <c r="J79" s="455">
        <f>(+XNPV($C76,J$78:$O$78,J$2:$O$2)-J78)*J75</f>
        <v>48745105.742296837</v>
      </c>
      <c r="K79" s="455">
        <f>(+XNPV($C76,K$78:$O$78,K$2:$O$2)-K78)*K75</f>
        <v>35955500.460728191</v>
      </c>
      <c r="L79" s="455">
        <f>(+XNPV($C76,L$78:$O$78,L$2:$O$2)-L78)*L75</f>
        <v>19968493.858767368</v>
      </c>
      <c r="M79" s="455">
        <f>(+XNPV($C76,M$78:$O$78,M$2:$O$2)-M78)*M75</f>
        <v>0</v>
      </c>
      <c r="N79" s="455">
        <f>(+XNPV($C76,N$78:$O$78,N$2:$O$2)-N78)*N75</f>
        <v>0</v>
      </c>
      <c r="O79" s="455">
        <f>(+XNPV($C76,O$78:$O$78,O$2:$O$2)-O78)*O75</f>
        <v>0</v>
      </c>
    </row>
    <row r="80" spans="1:16">
      <c r="B80" s="458" t="s">
        <v>10</v>
      </c>
      <c r="C80" s="458"/>
      <c r="D80" s="458"/>
      <c r="E80" s="459">
        <f t="shared" ref="E80:K80" si="12">+E79</f>
        <v>24555872.543148793</v>
      </c>
      <c r="F80" s="459">
        <f t="shared" si="12"/>
        <v>53953630.095118135</v>
      </c>
      <c r="G80" s="459">
        <f t="shared" si="12"/>
        <v>62022730.572923928</v>
      </c>
      <c r="H80" s="459">
        <f t="shared" si="12"/>
        <v>67121090.176059365</v>
      </c>
      <c r="I80" s="459">
        <f t="shared" si="12"/>
        <v>58976789.96755176</v>
      </c>
      <c r="J80" s="459">
        <f t="shared" si="12"/>
        <v>48745105.742296837</v>
      </c>
      <c r="K80" s="459">
        <f t="shared" si="12"/>
        <v>35955500.460728191</v>
      </c>
      <c r="L80" s="459"/>
      <c r="M80" s="459"/>
      <c r="N80" s="459"/>
      <c r="O80" s="459"/>
    </row>
    <row r="81" spans="1:16">
      <c r="B81" s="457" t="s">
        <v>1472</v>
      </c>
      <c r="E81" s="3">
        <f>MIN((-SUM('Portfolio Summary'!$U55:AG55)-'Portfolio Summary'!AH55)/'Portfolio Summary'!$M$55,100%)</f>
        <v>1</v>
      </c>
      <c r="F81" s="3">
        <f>MIN((-SUM('Portfolio Summary'!$U55:AH55)-'Portfolio Summary'!AI55)/'Portfolio Summary'!$M$55,100%)</f>
        <v>1</v>
      </c>
      <c r="G81" s="3">
        <f>MIN((-SUM('Portfolio Summary'!$U55:AI55)-'Portfolio Summary'!AJ55)/'Portfolio Summary'!$M$55,100%)</f>
        <v>1</v>
      </c>
      <c r="H81" s="3">
        <f>MIN((-SUM('Portfolio Summary'!$U55:AJ55)-'Portfolio Summary'!AK55)/'Portfolio Summary'!$M$55,100%)</f>
        <v>1</v>
      </c>
      <c r="I81" s="3">
        <f>MIN((-SUM('Portfolio Summary'!$U55:AK55)-'Portfolio Summary'!AL55)/'Portfolio Summary'!$M$55,100%)</f>
        <v>1</v>
      </c>
      <c r="J81" s="3">
        <f>MIN((-SUM('Portfolio Summary'!$U55:AL55)-'Portfolio Summary'!AM55)/'Portfolio Summary'!$M$55,100%)</f>
        <v>1</v>
      </c>
      <c r="K81" s="3">
        <f>MIN((-SUM('Portfolio Summary'!$U55:AM55)-'Portfolio Summary'!AN55)/'Portfolio Summary'!$M$55,100%)</f>
        <v>1</v>
      </c>
      <c r="L81" s="3">
        <f>MIN((-SUM('Portfolio Summary'!$U55:AN55)-'Portfolio Summary'!AO55)/'Portfolio Summary'!$M$55,100%)</f>
        <v>1</v>
      </c>
      <c r="M81" s="3">
        <f>MIN((-SUM('Portfolio Summary'!$U55:AO55)-'Portfolio Summary'!AP55)/'Portfolio Summary'!$M$55,100%)</f>
        <v>1</v>
      </c>
      <c r="N81" s="3">
        <f>MIN((-SUM('Portfolio Summary'!$U55:AP55)-'Portfolio Summary'!AQ55)/'Portfolio Summary'!$M$55,100%)</f>
        <v>1</v>
      </c>
      <c r="O81" s="3">
        <f>MIN((-SUM('Portfolio Summary'!$U55:AQ55)-'Portfolio Summary'!AR55)/'Portfolio Summary'!$M$55,100%)</f>
        <v>1</v>
      </c>
    </row>
    <row r="82" spans="1:16">
      <c r="A82" t="s">
        <v>1476</v>
      </c>
      <c r="B82" s="457" t="s">
        <v>1468</v>
      </c>
      <c r="C82" s="456">
        <v>0.22</v>
      </c>
      <c r="D82" s="453"/>
      <c r="E82" s="454"/>
      <c r="F82" s="454"/>
      <c r="G82" s="454"/>
      <c r="H82" s="454"/>
      <c r="I82" s="454"/>
      <c r="J82" s="454"/>
      <c r="K82" s="454"/>
      <c r="L82" s="454"/>
      <c r="M82" s="454"/>
      <c r="N82" s="454"/>
      <c r="O82" s="454"/>
      <c r="P82" s="452"/>
    </row>
    <row r="83" spans="1:16">
      <c r="B83" s="457" t="s">
        <v>1469</v>
      </c>
      <c r="E83" s="455">
        <f>+'Portfolio Summary'!AH55</f>
        <v>0</v>
      </c>
      <c r="F83" s="455">
        <f>+'Portfolio Summary'!AI55</f>
        <v>0</v>
      </c>
      <c r="G83" s="455">
        <f>+'Portfolio Summary'!AJ55</f>
        <v>0</v>
      </c>
      <c r="H83" s="455">
        <f>+'Portfolio Summary'!AK55</f>
        <v>0</v>
      </c>
      <c r="I83" s="455">
        <f>+'Portfolio Summary'!AL55</f>
        <v>0</v>
      </c>
      <c r="J83" s="455">
        <f>+'Portfolio Summary'!AM55</f>
        <v>0</v>
      </c>
      <c r="K83" s="455">
        <f>+'Portfolio Summary'!AN55</f>
        <v>0</v>
      </c>
      <c r="L83" s="455">
        <f>+'Portfolio Summary'!AO55</f>
        <v>0</v>
      </c>
      <c r="M83" s="455">
        <f>+'Portfolio Summary'!AP55</f>
        <v>0</v>
      </c>
      <c r="N83" s="455">
        <f>+'Portfolio Summary'!AQ55</f>
        <v>0</v>
      </c>
      <c r="O83" s="455">
        <f>+'Portfolio Summary'!AR55</f>
        <v>0</v>
      </c>
    </row>
    <row r="84" spans="1:16">
      <c r="B84" s="457" t="s">
        <v>1470</v>
      </c>
      <c r="E84" s="455">
        <f>+'Portfolio Summary'!AH79</f>
        <v>1377295.1800000002</v>
      </c>
      <c r="F84" s="455">
        <f>+'Portfolio Summary'!AI79</f>
        <v>2133742.2599999998</v>
      </c>
      <c r="G84" s="455">
        <f>+'Portfolio Summary'!AJ79</f>
        <v>3633730.1240000003</v>
      </c>
      <c r="H84" s="455">
        <f>+'Portfolio Summary'!AK79</f>
        <v>3633730.1240000003</v>
      </c>
      <c r="I84" s="455">
        <f>+'Portfolio Summary'!AL79</f>
        <v>3633730.1240000003</v>
      </c>
      <c r="J84" s="455">
        <f>+'Portfolio Summary'!AM79</f>
        <v>3633730.1240000003</v>
      </c>
      <c r="K84" s="455">
        <f>+'Portfolio Summary'!AN79</f>
        <v>3633730.1240000003</v>
      </c>
      <c r="L84" s="455">
        <f>+'Portfolio Summary'!AO79</f>
        <v>0</v>
      </c>
      <c r="M84" s="455">
        <f>+'Portfolio Summary'!AP79</f>
        <v>0</v>
      </c>
      <c r="N84" s="455">
        <f>+'Portfolio Summary'!AQ79</f>
        <v>0</v>
      </c>
      <c r="O84" s="455">
        <f>+'Portfolio Summary'!AR79</f>
        <v>0</v>
      </c>
    </row>
    <row r="85" spans="1:16">
      <c r="B85" s="457" t="s">
        <v>1471</v>
      </c>
      <c r="D85" s="455"/>
      <c r="E85" s="455">
        <f>(+XNPV($C82,E$84:$O$84,E$2:$O$2)-E84)*E81</f>
        <v>10276000.643118681</v>
      </c>
      <c r="F85" s="455">
        <f>(+XNPV($C82,F$84:$O$84,F$2:$O$2)-F84)*F81</f>
        <v>10402978.52460479</v>
      </c>
      <c r="G85" s="455">
        <f>(+XNPV($C82,G$84:$O$84,G$2:$O$2)-G84)*G81</f>
        <v>9057903.676017845</v>
      </c>
      <c r="H85" s="455">
        <f>(+XNPV($C82,H$84:$O$84,H$2:$O$2)-H84)*H81</f>
        <v>7416912.3607417699</v>
      </c>
      <c r="I85" s="455">
        <f>(+XNPV($C82,I$84:$O$84,I$2:$O$2)-I84)*I81</f>
        <v>5419833.9661918841</v>
      </c>
      <c r="J85" s="455">
        <f>(+XNPV($C82,J$84:$O$84,J$2:$O$2)-J84)*J81</f>
        <v>2978467.3147540982</v>
      </c>
      <c r="K85" s="455">
        <f>(+XNPV($C82,K$84:$O$84,K$2:$O$2)-K84)*K81</f>
        <v>0</v>
      </c>
      <c r="L85" s="455">
        <f>(+XNPV($C82,L$84:$O$84,L$2:$O$2)-L84)*L81</f>
        <v>0</v>
      </c>
      <c r="M85" s="455">
        <f>(+XNPV($C82,M$84:$O$84,M$2:$O$2)-M84)*M81</f>
        <v>0</v>
      </c>
      <c r="N85" s="455">
        <f>(+XNPV($C82,N$84:$O$84,N$2:$O$2)-N84)*N81</f>
        <v>0</v>
      </c>
      <c r="O85" s="455">
        <f>(+XNPV($C82,O$84:$O$84,O$2:$O$2)-O84)*O81</f>
        <v>0</v>
      </c>
    </row>
    <row r="86" spans="1:16">
      <c r="B86" s="458" t="s">
        <v>11</v>
      </c>
      <c r="C86" s="458"/>
      <c r="D86" s="458"/>
      <c r="E86" s="459">
        <f t="shared" ref="E86:K86" si="13">+E85</f>
        <v>10276000.643118681</v>
      </c>
      <c r="F86" s="459">
        <f t="shared" si="13"/>
        <v>10402978.52460479</v>
      </c>
      <c r="G86" s="459">
        <f t="shared" si="13"/>
        <v>9057903.676017845</v>
      </c>
      <c r="H86" s="459">
        <f t="shared" si="13"/>
        <v>7416912.3607417699</v>
      </c>
      <c r="I86" s="459">
        <f t="shared" si="13"/>
        <v>5419833.9661918841</v>
      </c>
      <c r="J86" s="459">
        <f t="shared" si="13"/>
        <v>2978467.3147540982</v>
      </c>
      <c r="K86" s="459">
        <f t="shared" si="13"/>
        <v>0</v>
      </c>
      <c r="L86" s="459"/>
      <c r="M86" s="459"/>
      <c r="N86" s="459"/>
      <c r="O86" s="459"/>
    </row>
    <row r="87" spans="1:16">
      <c r="B87" s="457" t="s">
        <v>1472</v>
      </c>
      <c r="E87" s="3">
        <f>MIN((-SUM('Portfolio Summary'!$U56:AG56)-'Portfolio Summary'!AH56)/'Portfolio Summary'!$M$56,100%)</f>
        <v>0.70753472933333328</v>
      </c>
      <c r="F87" s="3">
        <f>MIN((-SUM('Portfolio Summary'!$U56:AH56)-'Portfolio Summary'!AI56)/'Portfolio Summary'!$M$56,100%)</f>
        <v>0.78947791399999989</v>
      </c>
      <c r="G87" s="3">
        <f>MIN((-SUM('Portfolio Summary'!$U56:AI56)-'Portfolio Summary'!AJ56)/'Portfolio Summary'!$M$56,100%)</f>
        <v>1</v>
      </c>
      <c r="H87" s="3">
        <f>MIN((-SUM('Portfolio Summary'!$U56:AJ56)-'Portfolio Summary'!AK56)/'Portfolio Summary'!$M$56,100%)</f>
        <v>1</v>
      </c>
      <c r="I87" s="3">
        <f>MIN((-SUM('Portfolio Summary'!$U56:AK56)-'Portfolio Summary'!AL56)/'Portfolio Summary'!$M$56,100%)</f>
        <v>1</v>
      </c>
      <c r="J87" s="3">
        <f>MIN((-SUM('Portfolio Summary'!$U56:AL56)-'Portfolio Summary'!AM56)/'Portfolio Summary'!$M$56,100%)</f>
        <v>1</v>
      </c>
      <c r="K87" s="3">
        <f>MIN((-SUM('Portfolio Summary'!$U56:AM56)-'Portfolio Summary'!AN56)/'Portfolio Summary'!$M$56,100%)</f>
        <v>1</v>
      </c>
      <c r="L87" s="3">
        <f>MIN((-SUM('Portfolio Summary'!$U56:AN56)-'Portfolio Summary'!AO56)/'Portfolio Summary'!$M$56,100%)</f>
        <v>1</v>
      </c>
      <c r="M87" s="3">
        <f>MIN((-SUM('Portfolio Summary'!$U56:AO56)-'Portfolio Summary'!AP56)/'Portfolio Summary'!$M$56,100%)</f>
        <v>1</v>
      </c>
      <c r="N87" s="3">
        <f>MIN((-SUM('Portfolio Summary'!$U56:AP56)-'Portfolio Summary'!AQ56)/'Portfolio Summary'!$M$56,100%)</f>
        <v>1</v>
      </c>
      <c r="O87" s="3">
        <f>MIN((-SUM('Portfolio Summary'!$U56:AQ56)-'Portfolio Summary'!AR56)/'Portfolio Summary'!$M$56,100%)</f>
        <v>1</v>
      </c>
    </row>
    <row r="88" spans="1:16">
      <c r="A88" t="s">
        <v>1477</v>
      </c>
      <c r="B88" s="457" t="s">
        <v>1468</v>
      </c>
      <c r="C88" s="456">
        <v>0.25</v>
      </c>
      <c r="D88" s="453"/>
      <c r="E88" s="454"/>
      <c r="F88" s="454"/>
      <c r="G88" s="454"/>
      <c r="H88" s="454"/>
      <c r="I88" s="454"/>
      <c r="J88" s="454"/>
      <c r="K88" s="454"/>
      <c r="L88" s="454"/>
      <c r="M88" s="454"/>
      <c r="N88" s="454"/>
      <c r="O88" s="454"/>
      <c r="P88" s="452"/>
    </row>
    <row r="89" spans="1:16">
      <c r="B89" s="457" t="s">
        <v>1469</v>
      </c>
      <c r="E89" s="455">
        <f>+'Portfolio Summary'!AH56</f>
        <v>-4559102.5</v>
      </c>
      <c r="F89" s="455">
        <f>+'Portfolio Summary'!AI56</f>
        <v>-2458295.54</v>
      </c>
      <c r="G89" s="455">
        <f>+'Portfolio Summary'!AJ56</f>
        <v>-6315662.5800000019</v>
      </c>
      <c r="H89" s="455">
        <f>+'Portfolio Summary'!AK56</f>
        <v>0</v>
      </c>
      <c r="I89" s="455">
        <f>+'Portfolio Summary'!AL56</f>
        <v>0</v>
      </c>
      <c r="J89" s="455">
        <f>+'Portfolio Summary'!AM56</f>
        <v>0</v>
      </c>
      <c r="K89" s="455">
        <f>+'Portfolio Summary'!AN56</f>
        <v>0</v>
      </c>
      <c r="L89" s="455">
        <f>+'Portfolio Summary'!AO56</f>
        <v>0</v>
      </c>
      <c r="M89" s="455">
        <f>+'Portfolio Summary'!AP56</f>
        <v>0</v>
      </c>
      <c r="N89" s="455">
        <f>+'Portfolio Summary'!AQ56</f>
        <v>0</v>
      </c>
      <c r="O89" s="455">
        <f>+'Portfolio Summary'!AR56</f>
        <v>0</v>
      </c>
    </row>
    <row r="90" spans="1:16">
      <c r="B90" s="457" t="s">
        <v>1470</v>
      </c>
      <c r="E90" s="455">
        <f>+'Portfolio Summary'!AH80</f>
        <v>0</v>
      </c>
      <c r="F90" s="455">
        <f>+'Portfolio Summary'!AI80</f>
        <v>0</v>
      </c>
      <c r="G90" s="455">
        <f>+'Portfolio Summary'!AJ80</f>
        <v>13228533.134</v>
      </c>
      <c r="H90" s="455">
        <f>+'Portfolio Summary'!AK80</f>
        <v>13228533.134</v>
      </c>
      <c r="I90" s="455">
        <f>+'Portfolio Summary'!AL80</f>
        <v>13228533.134</v>
      </c>
      <c r="J90" s="455">
        <f>+'Portfolio Summary'!AM80</f>
        <v>13228533.134</v>
      </c>
      <c r="K90" s="455">
        <f>+'Portfolio Summary'!AN80</f>
        <v>13228533.134</v>
      </c>
      <c r="L90" s="455">
        <f>+'Portfolio Summary'!AO80</f>
        <v>0</v>
      </c>
      <c r="M90" s="455">
        <f>+'Portfolio Summary'!AP80</f>
        <v>0</v>
      </c>
      <c r="N90" s="455">
        <f>+'Portfolio Summary'!AQ80</f>
        <v>0</v>
      </c>
      <c r="O90" s="455">
        <f>+'Portfolio Summary'!AR80</f>
        <v>0</v>
      </c>
    </row>
    <row r="91" spans="1:16">
      <c r="B91" s="457" t="s">
        <v>1471</v>
      </c>
      <c r="D91" s="455"/>
      <c r="E91" s="455">
        <f>(+XNPV($C88,E$90:$O$90,E$2:$O$2)-E90)*E87</f>
        <v>20130851.352342371</v>
      </c>
      <c r="F91" s="455">
        <f>(+XNPV($C88,F$90:$O$90,F$2:$O$2)-F90)*F87</f>
        <v>28077884.155005012</v>
      </c>
      <c r="G91" s="455">
        <f>(+XNPV($C88,G$90:$O$90,G$2:$O$2)-G90)*G87</f>
        <v>31227878.592492301</v>
      </c>
      <c r="H91" s="455">
        <f>(+XNPV($C88,H$90:$O$90,H$2:$O$2)-H90)*H87</f>
        <v>25806315.106615368</v>
      </c>
      <c r="I91" s="455">
        <f>(+XNPV($C88,I$90:$O$90,I$2:$O$2)-I90)*I87</f>
        <v>19049087.712960001</v>
      </c>
      <c r="J91" s="455">
        <f>(+XNPV($C88,J$90:$O$90,J$2:$O$2)-J90)*J87</f>
        <v>10582826.507199999</v>
      </c>
      <c r="K91" s="455">
        <f>(+XNPV($C88,K$90:$O$90,K$2:$O$2)-K90)*K87</f>
        <v>0</v>
      </c>
      <c r="L91" s="455">
        <f>(+XNPV($C88,L$90:$O$90,L$2:$O$2)-L90)*L87</f>
        <v>0</v>
      </c>
      <c r="M91" s="455">
        <f>(+XNPV($C88,M$90:$O$90,M$2:$O$2)-M90)*M87</f>
        <v>0</v>
      </c>
      <c r="N91" s="455">
        <f>(+XNPV($C88,N$90:$O$90,N$2:$O$2)-N90)*N87</f>
        <v>0</v>
      </c>
      <c r="O91" s="455">
        <f>(+XNPV($C88,O$90:$O$90,O$2:$O$2)-O90)*O87</f>
        <v>0</v>
      </c>
    </row>
    <row r="92" spans="1:16">
      <c r="B92" s="458" t="s">
        <v>12</v>
      </c>
      <c r="C92" s="458"/>
      <c r="D92" s="458"/>
      <c r="E92" s="459">
        <f>+E91</f>
        <v>20130851.352342371</v>
      </c>
      <c r="F92" s="459">
        <f t="shared" ref="F92:M92" si="14">+F91</f>
        <v>28077884.155005012</v>
      </c>
      <c r="G92" s="459">
        <f t="shared" si="14"/>
        <v>31227878.592492301</v>
      </c>
      <c r="H92" s="459">
        <f t="shared" si="14"/>
        <v>25806315.106615368</v>
      </c>
      <c r="I92" s="459">
        <f t="shared" si="14"/>
        <v>19049087.712960001</v>
      </c>
      <c r="J92" s="459">
        <f t="shared" si="14"/>
        <v>10582826.507199999</v>
      </c>
      <c r="K92" s="459">
        <f t="shared" si="14"/>
        <v>0</v>
      </c>
      <c r="L92" s="459">
        <f t="shared" si="14"/>
        <v>0</v>
      </c>
      <c r="M92" s="459">
        <f t="shared" si="14"/>
        <v>0</v>
      </c>
      <c r="N92" s="459">
        <f>+N91</f>
        <v>0</v>
      </c>
      <c r="O92" s="459">
        <f>+O91</f>
        <v>0</v>
      </c>
    </row>
    <row r="93" spans="1:16">
      <c r="B93" s="457" t="s">
        <v>1472</v>
      </c>
      <c r="E93" s="3">
        <f>MIN((-SUM('Portfolio Summary'!$U57:AG57)-'Portfolio Summary'!AH57)/'Portfolio Summary'!$M$57,100%)</f>
        <v>0.65958762599999998</v>
      </c>
      <c r="F93" s="3">
        <f>MIN((-SUM('Portfolio Summary'!$U57:AH57)-'Portfolio Summary'!AI57)/'Portfolio Summary'!$M$57,100%)</f>
        <v>0.68307582599999994</v>
      </c>
      <c r="G93" s="3">
        <f>MIN((-SUM('Portfolio Summary'!$U57:AI57)-'Portfolio Summary'!AJ57)/'Portfolio Summary'!$M$57,100%)</f>
        <v>0.68307582599999994</v>
      </c>
      <c r="H93" s="3">
        <f>MIN((-SUM('Portfolio Summary'!$U57:AJ57)-'Portfolio Summary'!AK57)/'Portfolio Summary'!$M$57,100%)</f>
        <v>0.68307582599999994</v>
      </c>
      <c r="I93" s="3">
        <f>MIN((-SUM('Portfolio Summary'!$U57:AK57)-'Portfolio Summary'!AL57)/'Portfolio Summary'!$M$57,100%)</f>
        <v>0.68307582599999994</v>
      </c>
      <c r="J93" s="3">
        <f>MIN((-SUM('Portfolio Summary'!$U57:AL57)-'Portfolio Summary'!AM57)/'Portfolio Summary'!$M$57,100%)</f>
        <v>0.68307582599999994</v>
      </c>
      <c r="K93" s="3">
        <f>MIN((-SUM('Portfolio Summary'!$U57:AM57)-'Portfolio Summary'!AN57)/'Portfolio Summary'!$M$57,100%)</f>
        <v>0.68307582599999994</v>
      </c>
      <c r="L93" s="3">
        <f>MIN((-SUM('Portfolio Summary'!$U57:AN57)-'Portfolio Summary'!AO57)/'Portfolio Summary'!$M$57,100%)</f>
        <v>0.68307582599999994</v>
      </c>
      <c r="M93" s="3">
        <f>MIN((-SUM('Portfolio Summary'!$U57:AO57)-'Portfolio Summary'!AP57)/'Portfolio Summary'!$M$57,100%)</f>
        <v>0.68307582599999994</v>
      </c>
      <c r="N93" s="3">
        <f>MIN((-SUM('Portfolio Summary'!$U57:AP57)-'Portfolio Summary'!AQ57)/'Portfolio Summary'!$M$57,100%)</f>
        <v>0.68307582599999994</v>
      </c>
      <c r="O93" s="3">
        <f>MIN((-SUM('Portfolio Summary'!$U57:AQ57)-'Portfolio Summary'!AR57)/'Portfolio Summary'!$M$57,100%)</f>
        <v>0.68307582599999994</v>
      </c>
    </row>
    <row r="94" spans="1:16">
      <c r="A94" t="s">
        <v>1474</v>
      </c>
      <c r="B94" s="457" t="s">
        <v>1468</v>
      </c>
      <c r="C94" s="456">
        <f>C46</f>
        <v>0.3</v>
      </c>
      <c r="D94" s="453"/>
      <c r="E94" s="454"/>
      <c r="F94" s="454"/>
      <c r="G94" s="454"/>
      <c r="H94" s="454"/>
      <c r="I94" s="454"/>
      <c r="J94" s="454"/>
      <c r="K94" s="454"/>
      <c r="L94" s="454"/>
      <c r="M94" s="454"/>
      <c r="N94" s="454"/>
      <c r="O94" s="454"/>
      <c r="P94" s="452"/>
    </row>
    <row r="95" spans="1:16">
      <c r="B95" s="457" t="s">
        <v>1469</v>
      </c>
      <c r="E95" s="455">
        <f>+'Portfolio Summary'!AH57</f>
        <v>-126227</v>
      </c>
      <c r="F95" s="455">
        <f>+'Portfolio Summary'!AI57</f>
        <v>-234881.99999999997</v>
      </c>
      <c r="G95" s="455">
        <f>+'Portfolio Summary'!AJ57</f>
        <v>0</v>
      </c>
      <c r="H95" s="455">
        <f>+'Portfolio Summary'!AK57</f>
        <v>0</v>
      </c>
      <c r="I95" s="455">
        <f>+'Portfolio Summary'!AL57</f>
        <v>0</v>
      </c>
      <c r="J95" s="455">
        <f>+'Portfolio Summary'!AM57</f>
        <v>0</v>
      </c>
      <c r="K95" s="455">
        <f>+'Portfolio Summary'!AN57</f>
        <v>0</v>
      </c>
      <c r="L95" s="455">
        <f>+'Portfolio Summary'!AO57</f>
        <v>0</v>
      </c>
      <c r="M95" s="455">
        <f>+'Portfolio Summary'!AP57</f>
        <v>0</v>
      </c>
      <c r="N95" s="455">
        <f>+'Portfolio Summary'!AQ57</f>
        <v>0</v>
      </c>
      <c r="O95" s="455">
        <f>+'Portfolio Summary'!AR57</f>
        <v>0</v>
      </c>
    </row>
    <row r="96" spans="1:16">
      <c r="B96" s="457" t="s">
        <v>1470</v>
      </c>
      <c r="E96" s="455">
        <f>+'Portfolio Summary'!AH81</f>
        <v>0</v>
      </c>
      <c r="F96" s="455">
        <f>+'Portfolio Summary'!AI81</f>
        <v>0</v>
      </c>
      <c r="G96" s="455">
        <f>+'Portfolio Summary'!AJ81</f>
        <v>0</v>
      </c>
      <c r="H96" s="455">
        <f>+'Portfolio Summary'!AK81</f>
        <v>1324091.2010276173</v>
      </c>
      <c r="I96" s="455">
        <f>+'Portfolio Summary'!AL81</f>
        <v>1324091.2010276173</v>
      </c>
      <c r="J96" s="455">
        <f>+'Portfolio Summary'!AM81</f>
        <v>0</v>
      </c>
      <c r="K96" s="455">
        <f>+'Portfolio Summary'!AN81</f>
        <v>0</v>
      </c>
      <c r="L96" s="455">
        <f>+'Portfolio Summary'!AO81</f>
        <v>0</v>
      </c>
      <c r="M96" s="455">
        <f>+'Portfolio Summary'!AP81</f>
        <v>0</v>
      </c>
      <c r="N96" s="455">
        <f>+'Portfolio Summary'!AQ81</f>
        <v>0</v>
      </c>
      <c r="O96" s="455">
        <f>+'Portfolio Summary'!AR81</f>
        <v>0</v>
      </c>
    </row>
    <row r="97" spans="1:16">
      <c r="B97" s="457" t="s">
        <v>1471</v>
      </c>
      <c r="D97" s="455"/>
      <c r="E97" s="455">
        <f>(+XNPV($C94,E$96:$O$96,E$2:$O$2)-E96)*E93</f>
        <v>703087.09377361112</v>
      </c>
      <c r="F97" s="455">
        <f>(+XNPV($C94,F$96:$O$96,F$2:$O$2)-F96)*F93</f>
        <v>946561.62717060058</v>
      </c>
      <c r="G97" s="455">
        <f>(+XNPV($C94,G$96:$O$96,G$2:$O$2)-G96)*G93</f>
        <v>1230530.1153217806</v>
      </c>
      <c r="H97" s="455">
        <f>(+XNPV($C94,H$96:$O$96,H$2:$O$2)-H96)*H93</f>
        <v>695234.45907704334</v>
      </c>
      <c r="I97" s="455">
        <f>(+XNPV($C94,I$96:$O$96,I$2:$O$2)-I96)*I93</f>
        <v>0</v>
      </c>
      <c r="J97" s="455">
        <f>(+XNPV($C94,J$96:$O$96,J$2:$O$2)-J96)*J93</f>
        <v>0</v>
      </c>
      <c r="K97" s="455">
        <f>(+XNPV($C94,K$96:$O$96,K$2:$O$2)-K96)*K93</f>
        <v>0</v>
      </c>
      <c r="L97" s="455">
        <f>(+XNPV($C94,L$96:$O$96,L$2:$O$2)-L96)*L93</f>
        <v>0</v>
      </c>
      <c r="M97" s="455">
        <f>(+XNPV($C94,M$96:$O$96,M$2:$O$2)-M96)*M93</f>
        <v>0</v>
      </c>
      <c r="N97" s="455">
        <f>(+XNPV($C94,N$96:$O$96,N$2:$O$2)-N96)*N93</f>
        <v>0</v>
      </c>
      <c r="O97" s="455">
        <f>(+XNPV($C94,O$96:$O$96,O$2:$O$2)-O96)*O93</f>
        <v>0</v>
      </c>
    </row>
    <row r="98" spans="1:16">
      <c r="B98" s="458" t="s">
        <v>19</v>
      </c>
      <c r="C98" s="458"/>
      <c r="D98" s="458"/>
      <c r="E98" s="459">
        <f>+E97</f>
        <v>703087.09377361112</v>
      </c>
      <c r="F98" s="459">
        <f t="shared" ref="F98:M98" si="15">+F97</f>
        <v>946561.62717060058</v>
      </c>
      <c r="G98" s="459">
        <f t="shared" si="15"/>
        <v>1230530.1153217806</v>
      </c>
      <c r="H98" s="459">
        <f t="shared" si="15"/>
        <v>695234.45907704334</v>
      </c>
      <c r="I98" s="459">
        <f t="shared" si="15"/>
        <v>0</v>
      </c>
      <c r="J98" s="459">
        <f t="shared" si="15"/>
        <v>0</v>
      </c>
      <c r="K98" s="459">
        <f t="shared" si="15"/>
        <v>0</v>
      </c>
      <c r="L98" s="459">
        <f t="shared" si="15"/>
        <v>0</v>
      </c>
      <c r="M98" s="459">
        <f t="shared" si="15"/>
        <v>0</v>
      </c>
      <c r="N98" s="459">
        <f>+N97</f>
        <v>0</v>
      </c>
      <c r="O98" s="459">
        <f>+O97</f>
        <v>0</v>
      </c>
    </row>
    <row r="99" spans="1:16">
      <c r="B99" s="457" t="s">
        <v>1472</v>
      </c>
      <c r="E99" s="3">
        <f>MIN((-SUM('Portfolio Summary'!$U58:AG58)-'Portfolio Summary'!AH58)/'Portfolio Summary'!$M$58,100%)</f>
        <v>0.25205179999999999</v>
      </c>
      <c r="F99" s="3">
        <f>MIN((-SUM('Portfolio Summary'!$U58:AH58)-'Portfolio Summary'!AI58)/'Portfolio Summary'!$M$58,100%)</f>
        <v>0.75931924541919438</v>
      </c>
      <c r="G99" s="3">
        <f>MIN((-SUM('Portfolio Summary'!$U58:AI58)-'Portfolio Summary'!AJ58)/'Portfolio Summary'!$M$58,100%)</f>
        <v>0.87965962270959719</v>
      </c>
      <c r="H99" s="3">
        <f>MIN((-SUM('Portfolio Summary'!$U58:AJ58)-'Portfolio Summary'!AK58)/'Portfolio Summary'!$M$58,100%)</f>
        <v>1</v>
      </c>
      <c r="I99" s="3">
        <f>MIN((-SUM('Portfolio Summary'!$U58:AK58)-'Portfolio Summary'!AL58)/'Portfolio Summary'!$M$58,100%)</f>
        <v>1</v>
      </c>
      <c r="J99" s="3">
        <f>MIN((-SUM('Portfolio Summary'!$U58:AL58)-'Portfolio Summary'!AM58)/'Portfolio Summary'!$M$58,100%)</f>
        <v>1</v>
      </c>
      <c r="K99" s="3">
        <f>MIN((-SUM('Portfolio Summary'!$U58:AM58)-'Portfolio Summary'!AN58)/'Portfolio Summary'!$M$58,100%)</f>
        <v>1</v>
      </c>
      <c r="L99" s="3">
        <f>MIN((-SUM('Portfolio Summary'!$U58:AN58)-'Portfolio Summary'!AO58)/'Portfolio Summary'!$M$58,100%)</f>
        <v>1</v>
      </c>
      <c r="M99" s="3">
        <f>MIN((-SUM('Portfolio Summary'!$U58:AO58)-'Portfolio Summary'!AP58)/'Portfolio Summary'!$M$58,100%)</f>
        <v>1</v>
      </c>
      <c r="N99" s="3">
        <f>MIN((-SUM('Portfolio Summary'!$U58:AP58)-'Portfolio Summary'!AQ58)/'Portfolio Summary'!$M$58,100%)</f>
        <v>1</v>
      </c>
      <c r="O99" s="3">
        <f>MIN((-SUM('Portfolio Summary'!$U58:AQ58)-'Portfolio Summary'!AR58)/'Portfolio Summary'!$M$58,100%)</f>
        <v>1</v>
      </c>
    </row>
    <row r="100" spans="1:16">
      <c r="A100" t="s">
        <v>1478</v>
      </c>
      <c r="B100" s="457" t="s">
        <v>1468</v>
      </c>
      <c r="C100" s="456">
        <v>0.22</v>
      </c>
      <c r="D100" s="453"/>
      <c r="E100" s="454"/>
      <c r="F100" s="454"/>
      <c r="G100" s="454"/>
      <c r="H100" s="454"/>
      <c r="I100" s="454"/>
      <c r="J100" s="454"/>
      <c r="K100" s="454"/>
      <c r="L100" s="454"/>
      <c r="M100" s="454"/>
      <c r="N100" s="454"/>
      <c r="O100" s="454"/>
      <c r="P100" s="452"/>
    </row>
    <row r="101" spans="1:16">
      <c r="B101" s="457" t="s">
        <v>1469</v>
      </c>
      <c r="E101" s="455">
        <f>+'Portfolio Summary'!AH58</f>
        <v>-3150647.5</v>
      </c>
      <c r="F101" s="455">
        <f>+'Portfolio Summary'!AI58</f>
        <v>-6340843.06773993</v>
      </c>
      <c r="G101" s="455">
        <f>+'Portfolio Summary'!AJ58</f>
        <v>-1504254.716130035</v>
      </c>
      <c r="H101" s="455">
        <f>+'Portfolio Summary'!AK58</f>
        <v>-1504254.716130035</v>
      </c>
      <c r="I101" s="455">
        <f>+'Portfolio Summary'!AL58</f>
        <v>0</v>
      </c>
      <c r="J101" s="455">
        <f>+'Portfolio Summary'!AM58</f>
        <v>0</v>
      </c>
      <c r="K101" s="455">
        <f>+'Portfolio Summary'!AN58</f>
        <v>0</v>
      </c>
      <c r="L101" s="455">
        <f>+'Portfolio Summary'!AO58</f>
        <v>0</v>
      </c>
      <c r="M101" s="455">
        <f>+'Portfolio Summary'!AP58</f>
        <v>0</v>
      </c>
      <c r="N101" s="455">
        <f>+'Portfolio Summary'!AQ58</f>
        <v>0</v>
      </c>
      <c r="O101" s="455">
        <f>+'Portfolio Summary'!AR58</f>
        <v>0</v>
      </c>
    </row>
    <row r="102" spans="1:16">
      <c r="B102" s="457" t="s">
        <v>1470</v>
      </c>
      <c r="E102" s="455">
        <f>+'Portfolio Summary'!AH82</f>
        <v>0</v>
      </c>
      <c r="F102" s="455">
        <f>+'Portfolio Summary'!AI82</f>
        <v>125000</v>
      </c>
      <c r="G102" s="455">
        <f>+'Portfolio Summary'!AJ82</f>
        <v>0</v>
      </c>
      <c r="H102" s="455">
        <f>+'Portfolio Summary'!AK82</f>
        <v>6250000</v>
      </c>
      <c r="I102" s="455">
        <f>+'Portfolio Summary'!AL82</f>
        <v>6250000</v>
      </c>
      <c r="J102" s="455">
        <f>+'Portfolio Summary'!AM82</f>
        <v>6250000</v>
      </c>
      <c r="K102" s="455">
        <f>+'Portfolio Summary'!AN82</f>
        <v>6250000</v>
      </c>
      <c r="L102" s="455">
        <f>+'Portfolio Summary'!AO82</f>
        <v>6250000</v>
      </c>
      <c r="M102" s="455">
        <f>+'Portfolio Summary'!AP82</f>
        <v>0</v>
      </c>
      <c r="N102" s="455">
        <f>+'Portfolio Summary'!AQ82</f>
        <v>0</v>
      </c>
      <c r="O102" s="455">
        <f>+'Portfolio Summary'!AR82</f>
        <v>0</v>
      </c>
    </row>
    <row r="103" spans="1:16">
      <c r="B103" s="457" t="s">
        <v>1471</v>
      </c>
      <c r="D103" s="455"/>
      <c r="E103" s="455">
        <f>(+XNPV($C100,E$102:$O$102,E$2:$O$2)-E102)*E99</f>
        <v>3055525.3344226563</v>
      </c>
      <c r="F103" s="455">
        <f>(+XNPV($C100,F$102:$O$102,F$2:$O$2)-F102)*F99</f>
        <v>11135099.771375144</v>
      </c>
      <c r="G103" s="455">
        <f>(+XNPV($C100,G$102:$O$102,G$2:$O$2)-G102)*G99</f>
        <v>15737806.22818684</v>
      </c>
      <c r="H103" s="455">
        <f>(+XNPV($C100,H$102:$O$102,H$2:$O$2)-H102)*H99</f>
        <v>15576764.697061121</v>
      </c>
      <c r="I103" s="455">
        <f>(+XNPV($C100,I$102:$O$102,I$2:$O$2)-I102)*I99</f>
        <v>12764008.881800678</v>
      </c>
      <c r="J103" s="455">
        <f>(+XNPV($C100,J$102:$O$102,J$2:$O$2)-J102)*J99</f>
        <v>9322090.8357968275</v>
      </c>
      <c r="K103" s="455">
        <f>(+XNPV($C100,K$102:$O$102,K$2:$O$2)-K102)*K99</f>
        <v>5122950.81967213</v>
      </c>
      <c r="L103" s="455">
        <f>(+XNPV($C100,L$102:$O$102,L$2:$O$2)-L102)*L99</f>
        <v>0</v>
      </c>
      <c r="M103" s="455">
        <f>(+XNPV($C100,M$102:$O$102,M$2:$O$2)-M102)*M99</f>
        <v>0</v>
      </c>
      <c r="N103" s="455">
        <f>(+XNPV($C100,N$102:$O$102,N$2:$O$2)-N102)*N99</f>
        <v>0</v>
      </c>
      <c r="O103" s="455">
        <f>(+XNPV($C100,O$102:$O$102,O$2:$O$2)-O102)*O99</f>
        <v>0</v>
      </c>
    </row>
    <row r="104" spans="1:16">
      <c r="B104" s="458" t="s">
        <v>13</v>
      </c>
      <c r="C104" s="458"/>
      <c r="D104" s="458"/>
      <c r="E104" s="459">
        <f>+E103</f>
        <v>3055525.3344226563</v>
      </c>
      <c r="F104" s="459">
        <f t="shared" ref="F104:M104" si="16">+F103</f>
        <v>11135099.771375144</v>
      </c>
      <c r="G104" s="459">
        <f t="shared" si="16"/>
        <v>15737806.22818684</v>
      </c>
      <c r="H104" s="459">
        <f t="shared" si="16"/>
        <v>15576764.697061121</v>
      </c>
      <c r="I104" s="459">
        <f t="shared" si="16"/>
        <v>12764008.881800678</v>
      </c>
      <c r="J104" s="459">
        <f t="shared" si="16"/>
        <v>9322090.8357968275</v>
      </c>
      <c r="K104" s="459">
        <f t="shared" si="16"/>
        <v>5122950.81967213</v>
      </c>
      <c r="L104" s="459">
        <f t="shared" si="16"/>
        <v>0</v>
      </c>
      <c r="M104" s="459">
        <f t="shared" si="16"/>
        <v>0</v>
      </c>
      <c r="N104" s="459">
        <f>+N103</f>
        <v>0</v>
      </c>
      <c r="O104" s="459">
        <f>+O103</f>
        <v>0</v>
      </c>
    </row>
    <row r="105" spans="1:16">
      <c r="B105" s="457" t="s">
        <v>1472</v>
      </c>
      <c r="E105" s="3">
        <f>MIN((-SUM('Portfolio Summary'!$U59:AG59)-'Portfolio Summary'!AH59)/'Portfolio Summary'!$M$59,100%)</f>
        <v>7.8583324468085108E-2</v>
      </c>
      <c r="F105" s="3">
        <f>MIN((-SUM('Portfolio Summary'!$U59:AH59)-'Portfolio Summary'!AI59)/'Portfolio Summary'!$M$59,100%)</f>
        <v>7.8583324468085108E-2</v>
      </c>
      <c r="G105" s="3">
        <f>MIN((-SUM('Portfolio Summary'!$U59:AI59)-'Portfolio Summary'!AJ59)/'Portfolio Summary'!$M$59,100%)</f>
        <v>7.8583324468085108E-2</v>
      </c>
      <c r="H105" s="3">
        <f>MIN((-SUM('Portfolio Summary'!$U59:AJ59)-'Portfolio Summary'!AK59)/'Portfolio Summary'!$M$59,100%)</f>
        <v>7.8583324468085108E-2</v>
      </c>
      <c r="I105" s="3">
        <f>MIN((-SUM('Portfolio Summary'!$U59:AK59)-'Portfolio Summary'!AL59)/'Portfolio Summary'!$M$59,100%)</f>
        <v>7.8583324468085108E-2</v>
      </c>
      <c r="J105" s="3">
        <f>MIN((-SUM('Portfolio Summary'!$U59:AL59)-'Portfolio Summary'!AM59)/'Portfolio Summary'!$M$59,100%)</f>
        <v>7.8583324468085108E-2</v>
      </c>
      <c r="K105" s="3">
        <f>MIN((-SUM('Portfolio Summary'!$U59:AM59)-'Portfolio Summary'!AN59)/'Portfolio Summary'!$M$59,100%)</f>
        <v>7.8583324468085108E-2</v>
      </c>
      <c r="L105" s="3">
        <f>MIN((-SUM('Portfolio Summary'!$U59:AN59)-'Portfolio Summary'!AO59)/'Portfolio Summary'!$M$59,100%)</f>
        <v>7.8583324468085108E-2</v>
      </c>
      <c r="M105" s="3">
        <f>MIN((-SUM('Portfolio Summary'!$U59:AO59)-'Portfolio Summary'!AP59)/'Portfolio Summary'!$M$59,100%)</f>
        <v>7.8583324468085108E-2</v>
      </c>
      <c r="N105" s="3">
        <f>MIN((-SUM('Portfolio Summary'!$U59:AP59)-'Portfolio Summary'!AQ59)/'Portfolio Summary'!$M$59,100%)</f>
        <v>7.8583324468085108E-2</v>
      </c>
      <c r="O105" s="3">
        <f>MIN((-SUM('Portfolio Summary'!$U59:AQ59)-'Portfolio Summary'!AR59)/'Portfolio Summary'!$M$59,100%)</f>
        <v>7.8583324468085108E-2</v>
      </c>
    </row>
    <row r="106" spans="1:16">
      <c r="A106" t="s">
        <v>1474</v>
      </c>
      <c r="B106" s="457" t="s">
        <v>1468</v>
      </c>
      <c r="C106" s="456">
        <f>C94</f>
        <v>0.3</v>
      </c>
      <c r="D106" s="453"/>
      <c r="E106" s="454"/>
      <c r="F106" s="454"/>
      <c r="G106" s="454"/>
      <c r="H106" s="454"/>
      <c r="I106" s="454"/>
      <c r="J106" s="454"/>
      <c r="K106" s="454"/>
      <c r="L106" s="454"/>
      <c r="M106" s="454"/>
      <c r="N106" s="454"/>
      <c r="O106" s="454"/>
      <c r="P106" s="452"/>
    </row>
    <row r="107" spans="1:16">
      <c r="B107" s="457" t="s">
        <v>1469</v>
      </c>
      <c r="E107" s="455">
        <f>+'Portfolio Summary'!AH59</f>
        <v>-2954733</v>
      </c>
      <c r="F107" s="455">
        <f>+'Portfolio Summary'!AI59</f>
        <v>0</v>
      </c>
      <c r="G107" s="455">
        <f>+'Portfolio Summary'!AJ59</f>
        <v>0</v>
      </c>
      <c r="H107" s="455">
        <f>+'Portfolio Summary'!AK59</f>
        <v>0</v>
      </c>
      <c r="I107" s="455">
        <f>+'Portfolio Summary'!AL59</f>
        <v>0</v>
      </c>
      <c r="J107" s="455">
        <f>+'Portfolio Summary'!AM59</f>
        <v>0</v>
      </c>
      <c r="K107" s="455">
        <f>+'Portfolio Summary'!AN59</f>
        <v>0</v>
      </c>
      <c r="L107" s="455">
        <f>+'Portfolio Summary'!AO59</f>
        <v>0</v>
      </c>
      <c r="M107" s="455">
        <f>+'Portfolio Summary'!AP59</f>
        <v>0</v>
      </c>
      <c r="N107" s="455">
        <f>+'Portfolio Summary'!AQ59</f>
        <v>0</v>
      </c>
      <c r="O107" s="455">
        <f>+'Portfolio Summary'!AR59</f>
        <v>0</v>
      </c>
    </row>
    <row r="108" spans="1:16">
      <c r="B108" s="457" t="s">
        <v>1470</v>
      </c>
      <c r="E108" s="455">
        <f>+'Portfolio Summary'!AH83</f>
        <v>0</v>
      </c>
      <c r="F108" s="455">
        <f>+'Portfolio Summary'!AI83</f>
        <v>0</v>
      </c>
      <c r="G108" s="455">
        <f>+'Portfolio Summary'!AJ83</f>
        <v>0</v>
      </c>
      <c r="H108" s="455">
        <f>+'Portfolio Summary'!AK83</f>
        <v>0</v>
      </c>
      <c r="I108" s="455">
        <f>+'Portfolio Summary'!AL83</f>
        <v>0</v>
      </c>
      <c r="J108" s="455">
        <f>+'Portfolio Summary'!AM83</f>
        <v>1723594.25</v>
      </c>
      <c r="K108" s="455">
        <f>+'Portfolio Summary'!AN83</f>
        <v>1723594.25</v>
      </c>
      <c r="L108" s="455">
        <f>+'Portfolio Summary'!AO83</f>
        <v>1723594.25</v>
      </c>
      <c r="M108" s="455">
        <f>+'Portfolio Summary'!AP83</f>
        <v>1723594.25</v>
      </c>
      <c r="N108" s="455">
        <f>+'Portfolio Summary'!AQ83</f>
        <v>1723594.25</v>
      </c>
      <c r="O108" s="455">
        <f>+'Portfolio Summary'!AR83</f>
        <v>1723594.25</v>
      </c>
    </row>
    <row r="109" spans="1:16">
      <c r="B109" s="457" t="s">
        <v>1471</v>
      </c>
      <c r="D109" s="455"/>
      <c r="E109" s="455">
        <f>(+XNPV($C106,E$108:$O$108,E$2:$O$2)-E108)*E105</f>
        <v>125209.60571022474</v>
      </c>
      <c r="F109" s="455">
        <f>(+XNPV($C106,F$108:$O$108,F$2:$O$2)-F108)*F105</f>
        <v>162772.48742329216</v>
      </c>
      <c r="G109" s="455">
        <f>(+XNPV($C106,G$108:$O$108,G$2:$O$2)-G108)*G105</f>
        <v>211604.23365027981</v>
      </c>
      <c r="H109" s="455">
        <f>(+XNPV($C106,H$108:$O$108,H$2:$O$2)-H108)*H105</f>
        <v>275085.50374536379</v>
      </c>
      <c r="I109" s="455">
        <f>(+XNPV($C106,I$108:$O$108,I$2:$O$2)-I108)*I105</f>
        <v>357868.30039354693</v>
      </c>
      <c r="J109" s="455">
        <f>(+XNPV($C106,J$108:$O$108,J$2:$O$2)-J108)*J105</f>
        <v>329783.02431253536</v>
      </c>
      <c r="K109" s="455">
        <f>(+XNPV($C106,K$108:$O$108,K$2:$O$2)-K108)*K105</f>
        <v>293272.16540722013</v>
      </c>
      <c r="L109" s="455">
        <f>(+XNPV($C106,L$108:$O$108,L$2:$O$2)-L108)*L105</f>
        <v>245808.04883031035</v>
      </c>
      <c r="M109" s="455">
        <f>(+XNPV($C106,M$108:$O$108,M$2:$O$2)-M108)*M105</f>
        <v>184334.4747088014</v>
      </c>
      <c r="N109" s="455">
        <f>(+XNPV($C106,N$108:$O$108,N$2:$O$2)-N108)*N105</f>
        <v>104189.05092236602</v>
      </c>
      <c r="O109" s="455">
        <f>(+XNPV($C106,O$108:$O$108,O$2:$O$2)-O108)*O105</f>
        <v>0</v>
      </c>
    </row>
    <row r="110" spans="1:16">
      <c r="B110" s="458" t="s">
        <v>14</v>
      </c>
      <c r="C110" s="458"/>
      <c r="D110" s="458"/>
      <c r="E110" s="459">
        <f>+E109</f>
        <v>125209.60571022474</v>
      </c>
      <c r="F110" s="459">
        <f t="shared" ref="F110:K110" si="17">+F109</f>
        <v>162772.48742329216</v>
      </c>
      <c r="G110" s="459">
        <f t="shared" si="17"/>
        <v>211604.23365027981</v>
      </c>
      <c r="H110" s="459">
        <f t="shared" si="17"/>
        <v>275085.50374536379</v>
      </c>
      <c r="I110" s="459">
        <f t="shared" si="17"/>
        <v>357868.30039354693</v>
      </c>
      <c r="J110" s="459">
        <f t="shared" si="17"/>
        <v>329783.02431253536</v>
      </c>
      <c r="K110" s="459">
        <f t="shared" si="17"/>
        <v>293272.16540722013</v>
      </c>
      <c r="L110" s="459"/>
      <c r="M110" s="459"/>
      <c r="N110" s="459"/>
      <c r="O110" s="459"/>
    </row>
    <row r="111" spans="1:16">
      <c r="B111" s="457" t="s">
        <v>1472</v>
      </c>
      <c r="E111" s="3">
        <f>MIN((-SUM('Portfolio Summary'!$U60:AG60)-'Portfolio Summary'!AH60)/'Portfolio Summary'!$M$60,100%)</f>
        <v>0.10366375737898466</v>
      </c>
      <c r="F111" s="3">
        <f>MIN((-SUM('Portfolio Summary'!$U60:AH60)-'Portfolio Summary'!AI60)/'Portfolio Summary'!$M$60,100%)</f>
        <v>0.23453770425029516</v>
      </c>
      <c r="G111" s="3">
        <f>MIN((-SUM('Portfolio Summary'!$U60:AI60)-'Portfolio Summary'!AJ60)/'Portfolio Summary'!$M$60,100%)</f>
        <v>0.48969180283353009</v>
      </c>
      <c r="H111" s="3">
        <f>MIN((-SUM('Portfolio Summary'!$U60:AJ60)-'Portfolio Summary'!AK60)/'Portfolio Summary'!$M$60,100%)</f>
        <v>0.7448459014167651</v>
      </c>
      <c r="I111" s="3">
        <f>MIN((-SUM('Portfolio Summary'!$U60:AK60)-'Portfolio Summary'!AL60)/'Portfolio Summary'!$M$60,100%)</f>
        <v>1</v>
      </c>
      <c r="J111" s="3">
        <f>MIN((-SUM('Portfolio Summary'!$U60:AL60)-'Portfolio Summary'!AM60)/'Portfolio Summary'!$M$60,100%)</f>
        <v>1</v>
      </c>
      <c r="K111" s="3">
        <f>MIN((-SUM('Portfolio Summary'!$U60:AM60)-'Portfolio Summary'!AN60)/'Portfolio Summary'!$M$60,100%)</f>
        <v>1</v>
      </c>
      <c r="L111" s="3">
        <f>MIN((-SUM('Portfolio Summary'!$U60:AN60)-'Portfolio Summary'!AO60)/'Portfolio Summary'!$M$60,100%)</f>
        <v>1</v>
      </c>
      <c r="M111" s="3">
        <f>MIN((-SUM('Portfolio Summary'!$U60:AO60)-'Portfolio Summary'!AP60)/'Portfolio Summary'!$M$60,100%)</f>
        <v>1</v>
      </c>
      <c r="N111" s="3">
        <f>MIN((-SUM('Portfolio Summary'!$U60:AP60)-'Portfolio Summary'!AQ60)/'Portfolio Summary'!$M$60,100%)</f>
        <v>1</v>
      </c>
      <c r="O111" s="3">
        <f>MIN((-SUM('Portfolio Summary'!$U60:AQ60)-'Portfolio Summary'!AR60)/'Portfolio Summary'!$M$60,100%)</f>
        <v>1</v>
      </c>
    </row>
    <row r="112" spans="1:16">
      <c r="A112" t="s">
        <v>1475</v>
      </c>
      <c r="B112" s="457" t="s">
        <v>1468</v>
      </c>
      <c r="C112" s="456">
        <f>C70</f>
        <v>0.22</v>
      </c>
      <c r="D112" s="453"/>
      <c r="E112" s="454"/>
      <c r="F112" s="454"/>
      <c r="G112" s="454"/>
      <c r="H112" s="454"/>
      <c r="I112" s="454"/>
      <c r="J112" s="454"/>
      <c r="K112" s="454"/>
      <c r="L112" s="454"/>
      <c r="M112" s="454"/>
      <c r="N112" s="454"/>
      <c r="O112" s="454"/>
      <c r="P112" s="452"/>
    </row>
    <row r="113" spans="2:16">
      <c r="B113" s="457" t="s">
        <v>1469</v>
      </c>
      <c r="E113" s="455">
        <f>+'Portfolio Summary'!AH60</f>
        <v>-1756064.05</v>
      </c>
      <c r="F113" s="455">
        <f>+'Portfolio Summary'!AI60</f>
        <v>-2217004.66</v>
      </c>
      <c r="G113" s="455">
        <f>+'Portfolio Summary'!AJ60</f>
        <v>-4322310.43</v>
      </c>
      <c r="H113" s="455">
        <f>+'Portfolio Summary'!AK60</f>
        <v>-4322310.43</v>
      </c>
      <c r="I113" s="455">
        <f>+'Portfolio Summary'!AL60</f>
        <v>-4322310.43</v>
      </c>
      <c r="J113" s="455">
        <f>+'Portfolio Summary'!AM60</f>
        <v>0</v>
      </c>
      <c r="K113" s="455">
        <f>+'Portfolio Summary'!AN60</f>
        <v>0</v>
      </c>
      <c r="L113" s="455">
        <f>+'Portfolio Summary'!AO60</f>
        <v>0</v>
      </c>
      <c r="M113" s="455">
        <f>+'Portfolio Summary'!AP60</f>
        <v>0</v>
      </c>
      <c r="N113" s="455">
        <f>+'Portfolio Summary'!AQ60</f>
        <v>0</v>
      </c>
      <c r="O113" s="455">
        <f>+'Portfolio Summary'!AR60</f>
        <v>0</v>
      </c>
    </row>
    <row r="114" spans="2:16">
      <c r="B114" s="457" t="s">
        <v>1470</v>
      </c>
      <c r="E114" s="455">
        <f>+'Portfolio Summary'!AH84</f>
        <v>0</v>
      </c>
      <c r="F114" s="455">
        <f>+'Portfolio Summary'!AI84</f>
        <v>0</v>
      </c>
      <c r="G114" s="455">
        <f>+'Portfolio Summary'!AJ84</f>
        <v>0</v>
      </c>
      <c r="H114" s="455">
        <f>+'Portfolio Summary'!AK84</f>
        <v>0</v>
      </c>
      <c r="I114" s="455">
        <f>+'Portfolio Summary'!AL84</f>
        <v>0</v>
      </c>
      <c r="J114" s="455">
        <f>+'Portfolio Summary'!AM84</f>
        <v>8470000</v>
      </c>
      <c r="K114" s="455">
        <f>+'Portfolio Summary'!AN84</f>
        <v>8470000</v>
      </c>
      <c r="L114" s="455">
        <f>+'Portfolio Summary'!AO84</f>
        <v>8470000</v>
      </c>
      <c r="M114" s="455">
        <f>+'Portfolio Summary'!AP84</f>
        <v>8470000</v>
      </c>
      <c r="N114" s="455">
        <f>+'Portfolio Summary'!AQ84</f>
        <v>8470000</v>
      </c>
      <c r="O114" s="455">
        <f>+'Portfolio Summary'!AR84</f>
        <v>0</v>
      </c>
    </row>
    <row r="115" spans="2:16">
      <c r="B115" s="457" t="s">
        <v>1471</v>
      </c>
      <c r="D115" s="455"/>
      <c r="E115" s="455">
        <f>(+XNPV($C112,E$114:$O$114,E$2:$O$2)-E114)*E111</f>
        <v>1134187.7761603196</v>
      </c>
      <c r="F115" s="455">
        <f>(+XNPV($C112,F$114:$O$114,F$2:$O$2)-F114)*F111</f>
        <v>3130621.1621193429</v>
      </c>
      <c r="G115" s="455">
        <f>(+XNPV($C112,G$114:$O$114,G$2:$O$2)-G114)*G111</f>
        <v>7974445.8207103526</v>
      </c>
      <c r="H115" s="455">
        <f>(+XNPV($C112,H$114:$O$114,H$2:$O$2)-H114)*H111</f>
        <v>14798031.264834831</v>
      </c>
      <c r="I115" s="455">
        <f>(+XNPV($C112,I$114:$O$114,I$2:$O$2)-I114)*I111</f>
        <v>24251239.527844973</v>
      </c>
      <c r="J115" s="455">
        <f>(+XNPV($C112,J$114:$O$114,J$2:$O$2)-J114)*J111</f>
        <v>21116512.223970868</v>
      </c>
      <c r="K115" s="455">
        <f>(+XNPV($C112,K$114:$O$114,K$2:$O$2)-K114)*K111</f>
        <v>17292144.913244456</v>
      </c>
      <c r="L115" s="455">
        <f>(+XNPV($C112,L$114:$O$114,L$2:$O$2)-L114)*L111</f>
        <v>12626416.794158235</v>
      </c>
      <c r="M115" s="455">
        <f>(+XNPV($C112,M$114:$O$114,M$2:$O$2)-M114)*M111</f>
        <v>6942622.9508196712</v>
      </c>
      <c r="N115" s="455">
        <f>(+XNPV($C112,N$114:$O$114,N$2:$O$2)-N114)*N111</f>
        <v>0</v>
      </c>
      <c r="O115" s="455">
        <f>(+XNPV($C112,O$114:$O$114,O$2:$O$2)-O114)*O111</f>
        <v>0</v>
      </c>
    </row>
    <row r="116" spans="2:16">
      <c r="B116" s="458" t="str">
        <f>+'Portfolio Listing'!C25</f>
        <v>GTCR XIV Access Offshore LP</v>
      </c>
      <c r="C116" s="458"/>
      <c r="D116" s="458"/>
      <c r="E116" s="459">
        <f t="shared" ref="E116:K116" si="18">+E115</f>
        <v>1134187.7761603196</v>
      </c>
      <c r="F116" s="459">
        <f t="shared" si="18"/>
        <v>3130621.1621193429</v>
      </c>
      <c r="G116" s="459">
        <f t="shared" si="18"/>
        <v>7974445.8207103526</v>
      </c>
      <c r="H116" s="459">
        <f t="shared" si="18"/>
        <v>14798031.264834831</v>
      </c>
      <c r="I116" s="459">
        <f t="shared" si="18"/>
        <v>24251239.527844973</v>
      </c>
      <c r="J116" s="459">
        <f t="shared" si="18"/>
        <v>21116512.223970868</v>
      </c>
      <c r="K116" s="459">
        <f t="shared" si="18"/>
        <v>17292144.913244456</v>
      </c>
      <c r="L116" s="459"/>
      <c r="M116" s="459"/>
      <c r="N116" s="459"/>
      <c r="O116" s="459"/>
    </row>
    <row r="118" spans="2:16">
      <c r="B118" s="463"/>
      <c r="C118" s="464"/>
      <c r="D118" s="465"/>
      <c r="E118" s="466"/>
      <c r="F118" s="466"/>
      <c r="G118" s="466"/>
      <c r="H118" s="466"/>
      <c r="I118" s="466"/>
      <c r="J118" s="466"/>
      <c r="K118" s="466"/>
      <c r="L118" s="466"/>
      <c r="M118" s="466"/>
      <c r="N118" s="466"/>
      <c r="O118" s="466"/>
      <c r="P118" s="452"/>
    </row>
    <row r="119" spans="2:16">
      <c r="B119" s="457"/>
      <c r="C119" s="456"/>
      <c r="D119" s="453"/>
      <c r="E119" s="454"/>
      <c r="F119" s="454"/>
      <c r="G119" s="454"/>
      <c r="H119" s="454"/>
      <c r="I119" s="454"/>
      <c r="J119" s="454"/>
      <c r="K119" s="454"/>
      <c r="L119" s="454"/>
      <c r="M119" s="454"/>
      <c r="N119" s="454"/>
      <c r="O119" s="454"/>
      <c r="P119" s="452"/>
    </row>
    <row r="120" spans="2:16">
      <c r="B120" s="457"/>
      <c r="E120" s="455"/>
      <c r="F120" s="455"/>
      <c r="G120" s="455"/>
      <c r="H120" s="455"/>
      <c r="I120" s="455"/>
      <c r="J120" s="455"/>
      <c r="K120" s="455"/>
      <c r="L120" s="455"/>
      <c r="M120" s="467"/>
      <c r="N120" s="467"/>
      <c r="O120" s="467"/>
    </row>
    <row r="121" spans="2:16">
      <c r="B121" s="457"/>
      <c r="D121" s="455"/>
      <c r="E121" s="455"/>
      <c r="F121" s="455"/>
      <c r="G121" s="455"/>
      <c r="H121" s="455"/>
      <c r="I121" s="455"/>
      <c r="J121" s="455"/>
      <c r="K121" s="455"/>
      <c r="L121" s="455"/>
      <c r="M121" s="455"/>
      <c r="N121" s="455"/>
      <c r="O121" s="455"/>
    </row>
    <row r="122" spans="2:16">
      <c r="B122" s="458"/>
      <c r="C122" s="458"/>
      <c r="D122" s="458"/>
      <c r="E122" s="459"/>
      <c r="F122" s="459"/>
      <c r="G122" s="459"/>
      <c r="H122" s="459"/>
      <c r="I122" s="459"/>
      <c r="J122" s="459"/>
      <c r="K122" s="459"/>
      <c r="L122" s="459"/>
      <c r="M122" s="459"/>
      <c r="N122" s="459"/>
      <c r="O122" s="459"/>
    </row>
    <row r="124" spans="2:16">
      <c r="B124" s="457"/>
      <c r="C124" s="456"/>
      <c r="D124" s="453"/>
      <c r="E124" s="454"/>
      <c r="F124" s="454"/>
      <c r="G124" s="454"/>
      <c r="H124" s="454"/>
      <c r="I124" s="454"/>
      <c r="J124" s="454"/>
      <c r="K124" s="454"/>
      <c r="L124" s="454"/>
      <c r="M124" s="454"/>
      <c r="N124" s="454"/>
      <c r="O124" s="454"/>
      <c r="P124" s="452"/>
    </row>
    <row r="125" spans="2:16">
      <c r="B125" s="457"/>
      <c r="E125" s="455"/>
      <c r="F125" s="455"/>
      <c r="G125" s="455"/>
      <c r="H125" s="455"/>
      <c r="I125" s="455"/>
      <c r="J125" s="455"/>
      <c r="K125" s="455"/>
      <c r="L125" s="455"/>
      <c r="M125" s="455"/>
      <c r="N125" s="455"/>
      <c r="O125" s="455"/>
    </row>
    <row r="126" spans="2:16">
      <c r="B126" s="457"/>
      <c r="D126" s="455"/>
      <c r="E126" s="455"/>
      <c r="F126" s="455"/>
      <c r="G126" s="455"/>
      <c r="H126" s="455"/>
      <c r="I126" s="455"/>
      <c r="J126" s="455"/>
      <c r="K126" s="455"/>
      <c r="L126" s="455"/>
      <c r="M126" s="455"/>
      <c r="N126" s="455"/>
      <c r="O126" s="455"/>
    </row>
    <row r="127" spans="2:16">
      <c r="B127" s="458"/>
      <c r="C127" s="458"/>
      <c r="D127" s="458"/>
      <c r="E127" s="459"/>
      <c r="F127" s="459"/>
      <c r="G127" s="459"/>
      <c r="H127" s="459"/>
      <c r="I127" s="459"/>
      <c r="J127" s="459"/>
      <c r="K127" s="459"/>
      <c r="L127" s="459"/>
      <c r="M127" s="459"/>
      <c r="N127" s="459"/>
      <c r="O127" s="459"/>
    </row>
    <row r="129" spans="2:16">
      <c r="B129" s="457"/>
      <c r="C129" s="456"/>
      <c r="D129" s="453"/>
      <c r="E129" s="454"/>
      <c r="F129" s="454"/>
      <c r="G129" s="454"/>
      <c r="H129" s="454"/>
      <c r="I129" s="454"/>
      <c r="J129" s="454"/>
      <c r="K129" s="454"/>
      <c r="L129" s="454"/>
      <c r="M129" s="454"/>
      <c r="N129" s="454"/>
      <c r="O129" s="454"/>
      <c r="P129" s="452"/>
    </row>
    <row r="130" spans="2:16">
      <c r="B130" s="457"/>
      <c r="E130" s="455"/>
      <c r="F130" s="455"/>
      <c r="G130" s="455"/>
      <c r="H130" s="455"/>
      <c r="I130" s="455"/>
      <c r="J130" s="455"/>
      <c r="K130" s="455"/>
      <c r="L130" s="455"/>
      <c r="M130" s="455"/>
      <c r="N130" s="455"/>
      <c r="O130" s="455"/>
    </row>
    <row r="131" spans="2:16">
      <c r="B131" s="457"/>
      <c r="D131" s="455"/>
      <c r="E131" s="455"/>
      <c r="F131" s="455"/>
      <c r="G131" s="455"/>
      <c r="H131" s="455"/>
      <c r="I131" s="455"/>
      <c r="J131" s="455"/>
      <c r="K131" s="455"/>
      <c r="L131" s="455"/>
      <c r="M131" s="455"/>
      <c r="N131" s="455"/>
      <c r="O131" s="455"/>
    </row>
    <row r="132" spans="2:16">
      <c r="B132" s="458"/>
      <c r="C132" s="458"/>
      <c r="D132" s="458"/>
      <c r="E132" s="459"/>
      <c r="F132" s="459"/>
      <c r="G132" s="459"/>
      <c r="H132" s="459"/>
      <c r="I132" s="459"/>
      <c r="J132" s="459"/>
      <c r="K132" s="459"/>
      <c r="L132" s="459"/>
      <c r="M132" s="459"/>
      <c r="N132" s="459"/>
      <c r="O132" s="459"/>
    </row>
    <row r="134" spans="2:16">
      <c r="B134" s="457"/>
      <c r="C134" s="456"/>
      <c r="D134" s="453"/>
      <c r="E134" s="454"/>
      <c r="F134" s="454"/>
      <c r="G134" s="454"/>
      <c r="H134" s="454"/>
      <c r="I134" s="454"/>
      <c r="J134" s="454"/>
      <c r="K134" s="454"/>
      <c r="L134" s="454"/>
      <c r="M134" s="454"/>
      <c r="N134" s="454"/>
      <c r="O134" s="454"/>
      <c r="P134" s="452"/>
    </row>
    <row r="135" spans="2:16">
      <c r="B135" s="457"/>
      <c r="E135" s="455"/>
      <c r="F135" s="455"/>
      <c r="G135" s="455"/>
      <c r="H135" s="455"/>
      <c r="I135" s="455"/>
      <c r="J135" s="455"/>
      <c r="K135" s="455"/>
      <c r="L135" s="455"/>
      <c r="M135" s="455"/>
      <c r="N135" s="455"/>
      <c r="O135" s="455"/>
    </row>
    <row r="136" spans="2:16">
      <c r="B136" s="457"/>
      <c r="D136" s="455"/>
      <c r="E136" s="455"/>
      <c r="F136" s="455"/>
      <c r="G136" s="455"/>
      <c r="H136" s="455"/>
      <c r="I136" s="455"/>
      <c r="J136" s="455"/>
      <c r="K136" s="455"/>
      <c r="L136" s="455"/>
      <c r="M136" s="455"/>
      <c r="N136" s="455"/>
      <c r="O136" s="455"/>
    </row>
    <row r="137" spans="2:16">
      <c r="B137" s="458"/>
      <c r="C137" s="458"/>
      <c r="D137" s="458"/>
      <c r="E137" s="459"/>
      <c r="F137" s="459"/>
      <c r="G137" s="459"/>
      <c r="H137" s="459"/>
      <c r="I137" s="459"/>
      <c r="J137" s="459"/>
      <c r="K137" s="459"/>
      <c r="L137" s="459"/>
      <c r="M137" s="459"/>
      <c r="N137" s="459"/>
      <c r="O137" s="459"/>
    </row>
    <row r="139" spans="2:16">
      <c r="B139" s="457"/>
      <c r="C139" s="456"/>
      <c r="D139" s="453"/>
      <c r="E139" s="454"/>
      <c r="F139" s="454"/>
      <c r="G139" s="454"/>
      <c r="H139" s="454"/>
      <c r="I139" s="454"/>
      <c r="J139" s="454"/>
      <c r="K139" s="454"/>
      <c r="L139" s="454"/>
      <c r="M139" s="454"/>
      <c r="N139" s="454"/>
      <c r="O139" s="454"/>
      <c r="P139" s="452"/>
    </row>
    <row r="140" spans="2:16">
      <c r="B140" s="457"/>
      <c r="E140" s="455"/>
      <c r="F140" s="455"/>
      <c r="G140" s="455"/>
      <c r="H140" s="455"/>
      <c r="I140" s="455"/>
      <c r="J140" s="455"/>
      <c r="K140" s="455"/>
      <c r="L140" s="455"/>
      <c r="M140" s="455"/>
      <c r="N140" s="455"/>
      <c r="O140" s="455"/>
    </row>
    <row r="141" spans="2:16">
      <c r="B141" s="457"/>
      <c r="D141" s="455"/>
      <c r="E141" s="455"/>
      <c r="F141" s="455"/>
      <c r="G141" s="455"/>
      <c r="H141" s="455"/>
      <c r="I141" s="455"/>
      <c r="J141" s="455"/>
      <c r="K141" s="455"/>
      <c r="L141" s="455"/>
      <c r="M141" s="455"/>
      <c r="N141" s="455"/>
      <c r="O141" s="455"/>
    </row>
    <row r="142" spans="2:16">
      <c r="B142" s="458"/>
      <c r="C142" s="458"/>
      <c r="D142" s="458"/>
      <c r="E142" s="459"/>
      <c r="F142" s="459"/>
      <c r="G142" s="459"/>
      <c r="H142" s="459"/>
      <c r="I142" s="459"/>
      <c r="J142" s="459"/>
      <c r="K142" s="459"/>
      <c r="L142" s="459"/>
      <c r="M142" s="459"/>
      <c r="N142" s="459"/>
      <c r="O142" s="459"/>
    </row>
    <row r="144" spans="2:16">
      <c r="B144" s="457"/>
      <c r="C144" s="456"/>
      <c r="D144" s="453"/>
      <c r="E144" s="454"/>
      <c r="F144" s="454"/>
      <c r="G144" s="454"/>
      <c r="H144" s="454"/>
      <c r="I144" s="454"/>
      <c r="J144" s="454"/>
      <c r="K144" s="454"/>
      <c r="L144" s="454"/>
      <c r="M144" s="454"/>
      <c r="N144" s="454"/>
      <c r="O144" s="454"/>
      <c r="P144" s="452"/>
    </row>
    <row r="145" spans="2:16">
      <c r="B145" s="457"/>
      <c r="E145" s="455"/>
      <c r="F145" s="455"/>
      <c r="G145" s="455"/>
      <c r="H145" s="455"/>
      <c r="I145" s="455"/>
      <c r="J145" s="455"/>
      <c r="K145" s="455"/>
      <c r="L145" s="455"/>
      <c r="M145" s="455"/>
      <c r="N145" s="455"/>
      <c r="O145" s="455"/>
    </row>
    <row r="146" spans="2:16">
      <c r="B146" s="457"/>
      <c r="D146" s="455"/>
      <c r="E146" s="455"/>
      <c r="F146" s="455"/>
      <c r="G146" s="455"/>
      <c r="H146" s="455"/>
      <c r="I146" s="455"/>
      <c r="J146" s="455"/>
      <c r="K146" s="455"/>
      <c r="L146" s="455"/>
      <c r="M146" s="455"/>
      <c r="N146" s="455"/>
      <c r="O146" s="455"/>
    </row>
    <row r="147" spans="2:16">
      <c r="B147" s="458"/>
      <c r="C147" s="458"/>
      <c r="D147" s="458"/>
      <c r="E147" s="459"/>
      <c r="F147" s="459"/>
      <c r="G147" s="459"/>
      <c r="H147" s="459"/>
      <c r="I147" s="459"/>
      <c r="J147" s="459"/>
      <c r="K147" s="459"/>
      <c r="L147" s="459"/>
      <c r="M147" s="459"/>
      <c r="N147" s="459"/>
      <c r="O147" s="459"/>
    </row>
    <row r="149" spans="2:16">
      <c r="B149" s="457"/>
      <c r="C149" s="456"/>
      <c r="D149" s="453"/>
      <c r="E149" s="454"/>
      <c r="F149" s="454"/>
      <c r="G149" s="454"/>
      <c r="H149" s="454"/>
      <c r="I149" s="454"/>
      <c r="J149" s="454"/>
      <c r="K149" s="454"/>
      <c r="L149" s="454"/>
      <c r="M149" s="454"/>
      <c r="N149" s="454"/>
      <c r="O149" s="454"/>
      <c r="P149" s="452"/>
    </row>
    <row r="150" spans="2:16">
      <c r="B150" s="457"/>
      <c r="E150" s="455"/>
      <c r="F150" s="455"/>
      <c r="G150" s="455"/>
      <c r="H150" s="455"/>
      <c r="I150" s="455"/>
      <c r="J150" s="455"/>
      <c r="K150" s="455"/>
      <c r="L150" s="455"/>
      <c r="M150" s="455"/>
      <c r="N150" s="455"/>
      <c r="O150" s="455"/>
    </row>
    <row r="151" spans="2:16">
      <c r="B151" s="457"/>
      <c r="D151" s="455"/>
      <c r="E151" s="455"/>
      <c r="F151" s="455"/>
      <c r="G151" s="455"/>
      <c r="H151" s="455"/>
      <c r="I151" s="455"/>
      <c r="J151" s="455"/>
      <c r="K151" s="455"/>
      <c r="L151" s="455"/>
      <c r="M151" s="455"/>
      <c r="N151" s="455"/>
      <c r="O151" s="455"/>
    </row>
    <row r="152" spans="2:16">
      <c r="B152" s="458"/>
      <c r="C152" s="458"/>
      <c r="D152" s="458"/>
      <c r="E152" s="459"/>
      <c r="F152" s="459"/>
      <c r="G152" s="459"/>
      <c r="H152" s="459"/>
      <c r="I152" s="459"/>
      <c r="J152" s="459"/>
      <c r="K152" s="459"/>
      <c r="L152" s="459"/>
      <c r="M152" s="459"/>
      <c r="N152" s="459"/>
      <c r="O152" s="459"/>
    </row>
    <row r="154" spans="2:16">
      <c r="B154" s="457"/>
      <c r="C154" s="456"/>
      <c r="D154" s="453"/>
      <c r="E154" s="454"/>
      <c r="F154" s="454"/>
      <c r="G154" s="454"/>
      <c r="H154" s="454"/>
      <c r="I154" s="454"/>
      <c r="J154" s="454"/>
      <c r="K154" s="454"/>
      <c r="L154" s="454"/>
      <c r="M154" s="454"/>
      <c r="N154" s="454"/>
      <c r="O154" s="454"/>
      <c r="P154" s="452"/>
    </row>
    <row r="155" spans="2:16">
      <c r="B155" s="457"/>
      <c r="E155" s="455"/>
      <c r="F155" s="455"/>
      <c r="G155" s="455"/>
      <c r="H155" s="455"/>
      <c r="I155" s="455"/>
      <c r="J155" s="455"/>
      <c r="K155" s="455"/>
      <c r="L155" s="455"/>
      <c r="M155" s="455"/>
      <c r="N155" s="455"/>
      <c r="O155" s="455"/>
    </row>
    <row r="156" spans="2:16">
      <c r="B156" s="457"/>
      <c r="D156" s="455"/>
      <c r="E156" s="455"/>
      <c r="F156" s="455"/>
      <c r="G156" s="455"/>
      <c r="H156" s="455"/>
      <c r="I156" s="455"/>
      <c r="J156" s="455"/>
      <c r="K156" s="455"/>
      <c r="L156" s="455"/>
      <c r="M156" s="455"/>
      <c r="N156" s="455"/>
      <c r="O156" s="455"/>
    </row>
    <row r="159" spans="2:16">
      <c r="B159" s="457"/>
      <c r="C159" s="456"/>
      <c r="D159" s="453"/>
      <c r="E159" s="454"/>
      <c r="F159" s="454"/>
      <c r="G159" s="454"/>
      <c r="H159" s="454"/>
      <c r="I159" s="454"/>
      <c r="J159" s="454"/>
      <c r="K159" s="454"/>
      <c r="L159" s="454"/>
      <c r="M159" s="454"/>
      <c r="N159" s="454"/>
      <c r="O159" s="454"/>
      <c r="P159" s="452"/>
    </row>
    <row r="160" spans="2:16">
      <c r="B160" s="457"/>
      <c r="E160" s="455"/>
      <c r="F160" s="455"/>
      <c r="G160" s="455"/>
      <c r="H160" s="455"/>
      <c r="I160" s="455"/>
      <c r="J160" s="455"/>
      <c r="K160" s="455"/>
      <c r="L160" s="455"/>
      <c r="M160" s="455"/>
      <c r="N160" s="455"/>
      <c r="O160" s="455"/>
    </row>
    <row r="161" spans="2:16">
      <c r="B161" s="457"/>
      <c r="D161" s="455"/>
      <c r="E161" s="455"/>
      <c r="F161" s="455"/>
      <c r="G161" s="455"/>
      <c r="H161" s="455"/>
      <c r="I161" s="455"/>
      <c r="J161" s="455"/>
      <c r="K161" s="455"/>
      <c r="L161" s="455"/>
      <c r="M161" s="455"/>
      <c r="N161" s="455"/>
      <c r="O161" s="455"/>
    </row>
    <row r="162" spans="2:16">
      <c r="B162" s="458"/>
      <c r="C162" s="458"/>
      <c r="D162" s="458"/>
      <c r="E162" s="459"/>
      <c r="F162" s="459"/>
      <c r="G162" s="459"/>
      <c r="H162" s="459"/>
      <c r="I162" s="459"/>
      <c r="J162" s="459"/>
      <c r="K162" s="459"/>
      <c r="L162" s="459"/>
      <c r="M162" s="459"/>
      <c r="N162" s="459"/>
      <c r="O162" s="459"/>
    </row>
    <row r="163" spans="2:16">
      <c r="B163" s="460"/>
      <c r="C163" s="460"/>
      <c r="D163" s="460"/>
      <c r="E163" s="461"/>
      <c r="F163" s="461"/>
      <c r="G163" s="461"/>
      <c r="H163" s="461"/>
      <c r="I163" s="461"/>
      <c r="J163" s="461"/>
      <c r="K163" s="461"/>
      <c r="L163" s="461"/>
      <c r="M163" s="461"/>
      <c r="N163" s="461"/>
      <c r="O163" s="461"/>
    </row>
    <row r="164" spans="2:16">
      <c r="B164" s="457"/>
      <c r="C164" s="456"/>
      <c r="D164" s="453"/>
      <c r="E164" s="454"/>
      <c r="F164" s="454"/>
      <c r="G164" s="454"/>
      <c r="H164" s="454"/>
      <c r="I164" s="454"/>
      <c r="J164" s="454"/>
      <c r="K164" s="454"/>
      <c r="L164" s="454"/>
      <c r="M164" s="454"/>
      <c r="N164" s="454"/>
      <c r="O164" s="454"/>
      <c r="P164" s="452"/>
    </row>
    <row r="165" spans="2:16">
      <c r="B165" s="457"/>
      <c r="E165" s="455"/>
      <c r="F165" s="455"/>
      <c r="G165" s="455"/>
      <c r="H165" s="455"/>
      <c r="I165" s="455"/>
      <c r="J165" s="455"/>
      <c r="K165" s="455"/>
      <c r="L165" s="455"/>
      <c r="M165" s="455"/>
      <c r="N165" s="455"/>
      <c r="O165" s="455"/>
    </row>
    <row r="166" spans="2:16">
      <c r="B166" s="457"/>
      <c r="D166" s="455"/>
      <c r="E166" s="455"/>
      <c r="F166" s="455"/>
      <c r="G166" s="455"/>
      <c r="H166" s="455"/>
      <c r="I166" s="455"/>
      <c r="J166" s="455"/>
      <c r="K166" s="455"/>
      <c r="L166" s="455"/>
      <c r="M166" s="455"/>
      <c r="N166" s="455"/>
      <c r="O166" s="455"/>
    </row>
    <row r="167" spans="2:16">
      <c r="B167" s="458"/>
      <c r="C167" s="458"/>
      <c r="D167" s="458"/>
      <c r="E167" s="459"/>
      <c r="F167" s="459"/>
      <c r="G167" s="459"/>
      <c r="H167" s="459"/>
      <c r="I167" s="459"/>
      <c r="J167" s="459"/>
      <c r="K167" s="459"/>
      <c r="L167" s="459"/>
      <c r="M167" s="459"/>
      <c r="N167" s="459"/>
      <c r="O167" s="459"/>
    </row>
    <row r="168" spans="2:16">
      <c r="B168" s="460"/>
      <c r="C168" s="460"/>
      <c r="D168" s="460"/>
      <c r="E168" s="461"/>
      <c r="F168" s="461"/>
      <c r="G168" s="461"/>
      <c r="H168" s="461"/>
      <c r="I168" s="461"/>
      <c r="J168" s="461"/>
      <c r="K168" s="461"/>
      <c r="L168" s="461"/>
      <c r="M168" s="461"/>
      <c r="N168" s="461"/>
      <c r="O168" s="461"/>
    </row>
    <row r="169" spans="2:16">
      <c r="B169" s="457"/>
      <c r="C169" s="456"/>
      <c r="D169" s="453"/>
      <c r="E169" s="454"/>
      <c r="F169" s="454"/>
      <c r="G169" s="454"/>
      <c r="H169" s="454"/>
      <c r="I169" s="454"/>
      <c r="J169" s="454"/>
      <c r="K169" s="454"/>
      <c r="L169" s="454"/>
      <c r="M169" s="454"/>
      <c r="N169" s="454"/>
      <c r="O169" s="454"/>
      <c r="P169" s="452"/>
    </row>
    <row r="170" spans="2:16">
      <c r="B170" s="457"/>
      <c r="E170" s="455"/>
      <c r="F170" s="455"/>
      <c r="G170" s="455"/>
      <c r="H170" s="455"/>
      <c r="I170" s="455"/>
      <c r="J170" s="455"/>
      <c r="K170" s="455"/>
      <c r="L170" s="455"/>
      <c r="M170" s="455"/>
      <c r="N170" s="455"/>
      <c r="O170" s="455"/>
    </row>
    <row r="171" spans="2:16">
      <c r="B171" s="457"/>
      <c r="D171" s="455"/>
      <c r="E171" s="455"/>
      <c r="F171" s="455"/>
      <c r="G171" s="455"/>
      <c r="H171" s="455"/>
      <c r="I171" s="455"/>
      <c r="J171" s="455"/>
      <c r="K171" s="455"/>
      <c r="L171" s="455"/>
      <c r="M171" s="455"/>
      <c r="N171" s="455"/>
      <c r="O171" s="455"/>
    </row>
    <row r="172" spans="2:16">
      <c r="B172" s="458"/>
      <c r="C172" s="458"/>
      <c r="D172" s="458"/>
      <c r="E172" s="459"/>
      <c r="F172" s="459"/>
      <c r="G172" s="459"/>
      <c r="H172" s="459"/>
      <c r="I172" s="459"/>
      <c r="J172" s="459"/>
      <c r="K172" s="459"/>
      <c r="L172" s="459"/>
      <c r="M172" s="459"/>
      <c r="N172" s="459"/>
      <c r="O172" s="459"/>
    </row>
    <row r="173" spans="2:16">
      <c r="B173" s="460"/>
      <c r="C173" s="460"/>
      <c r="D173" s="460"/>
      <c r="E173" s="461"/>
      <c r="F173" s="461"/>
      <c r="G173" s="461"/>
      <c r="H173" s="461"/>
      <c r="I173" s="461"/>
      <c r="J173" s="461"/>
      <c r="K173" s="461"/>
      <c r="L173" s="461"/>
      <c r="M173" s="461"/>
      <c r="N173" s="461"/>
      <c r="O173" s="461"/>
    </row>
    <row r="174" spans="2:16">
      <c r="B174" s="463"/>
      <c r="C174" s="465"/>
      <c r="D174" s="465"/>
      <c r="E174" s="466"/>
      <c r="F174" s="466"/>
      <c r="G174" s="466"/>
      <c r="H174" s="466"/>
      <c r="I174" s="466"/>
      <c r="J174" s="466"/>
      <c r="K174" s="466"/>
      <c r="L174" s="466"/>
      <c r="M174" s="466"/>
      <c r="N174" s="466"/>
      <c r="O174" s="466"/>
      <c r="P174" s="452"/>
    </row>
    <row r="175" spans="2:16">
      <c r="B175" s="457"/>
      <c r="C175" s="456"/>
      <c r="D175" s="453"/>
      <c r="E175" s="454"/>
      <c r="F175" s="454"/>
      <c r="G175" s="454"/>
      <c r="H175" s="454"/>
      <c r="I175" s="454"/>
      <c r="J175" s="454"/>
      <c r="K175" s="454"/>
      <c r="L175" s="454"/>
      <c r="M175" s="454"/>
      <c r="N175" s="454"/>
      <c r="O175" s="454"/>
      <c r="P175" s="452"/>
    </row>
    <row r="176" spans="2:16">
      <c r="B176" s="457"/>
      <c r="E176" s="455"/>
      <c r="F176" s="455"/>
      <c r="G176" s="455"/>
      <c r="H176" s="455"/>
      <c r="I176" s="455"/>
      <c r="J176" s="455"/>
      <c r="K176" s="455"/>
      <c r="L176" s="455"/>
      <c r="M176" s="455"/>
      <c r="N176" s="455"/>
      <c r="O176" s="455"/>
    </row>
    <row r="177" spans="2:16">
      <c r="B177" s="457"/>
      <c r="D177" s="455"/>
      <c r="E177" s="455"/>
      <c r="F177" s="455"/>
      <c r="G177" s="455"/>
      <c r="H177" s="455"/>
      <c r="I177" s="455"/>
      <c r="J177" s="455"/>
      <c r="K177" s="455"/>
      <c r="L177" s="455"/>
      <c r="M177" s="455"/>
      <c r="N177" s="455"/>
      <c r="O177" s="455"/>
    </row>
    <row r="178" spans="2:16">
      <c r="B178" s="458"/>
      <c r="C178" s="458"/>
      <c r="D178" s="458"/>
      <c r="E178" s="459"/>
      <c r="F178" s="459"/>
      <c r="G178" s="459"/>
      <c r="H178" s="459"/>
      <c r="I178" s="459"/>
      <c r="J178" s="459"/>
      <c r="K178" s="459"/>
      <c r="L178" s="459"/>
      <c r="M178" s="459"/>
      <c r="N178" s="459"/>
      <c r="O178" s="459"/>
    </row>
    <row r="180" spans="2:16">
      <c r="B180" s="457"/>
      <c r="C180" s="456"/>
      <c r="D180" s="453"/>
      <c r="E180" s="454"/>
      <c r="F180" s="454"/>
      <c r="G180" s="454"/>
      <c r="H180" s="454"/>
      <c r="I180" s="454"/>
      <c r="J180" s="454"/>
      <c r="K180" s="454"/>
      <c r="L180" s="454"/>
      <c r="M180" s="454"/>
      <c r="N180" s="454"/>
      <c r="O180" s="454"/>
      <c r="P180" s="452"/>
    </row>
    <row r="181" spans="2:16">
      <c r="B181" s="457"/>
      <c r="E181" s="455"/>
      <c r="F181" s="455"/>
      <c r="G181" s="455"/>
      <c r="H181" s="455"/>
      <c r="I181" s="455"/>
      <c r="J181" s="455"/>
      <c r="K181" s="455"/>
      <c r="L181" s="455"/>
      <c r="M181" s="455"/>
      <c r="N181" s="455"/>
      <c r="O181" s="455"/>
    </row>
    <row r="182" spans="2:16">
      <c r="B182" s="457"/>
      <c r="D182" s="455"/>
      <c r="E182" s="455"/>
      <c r="F182" s="455"/>
      <c r="G182" s="455"/>
      <c r="H182" s="455"/>
      <c r="I182" s="455"/>
      <c r="J182" s="455"/>
      <c r="K182" s="455"/>
      <c r="L182" s="455"/>
      <c r="M182" s="455"/>
      <c r="N182" s="455"/>
      <c r="O182" s="455"/>
    </row>
    <row r="185" spans="2:16">
      <c r="B185" s="457"/>
      <c r="C185" s="456"/>
      <c r="D185" s="453"/>
      <c r="E185" s="454"/>
      <c r="F185" s="454"/>
      <c r="G185" s="454"/>
      <c r="H185" s="454"/>
      <c r="I185" s="454"/>
      <c r="J185" s="454"/>
      <c r="K185" s="454"/>
      <c r="L185" s="454"/>
      <c r="M185" s="454"/>
      <c r="N185" s="454"/>
      <c r="O185" s="454"/>
      <c r="P185" s="452"/>
    </row>
    <row r="186" spans="2:16">
      <c r="B186" s="457"/>
      <c r="E186" s="455"/>
      <c r="F186" s="455"/>
      <c r="G186" s="455"/>
      <c r="H186" s="455"/>
      <c r="I186" s="455"/>
      <c r="J186" s="455"/>
      <c r="K186" s="455"/>
      <c r="L186" s="455"/>
      <c r="M186" s="455"/>
      <c r="N186" s="455"/>
      <c r="O186" s="455"/>
    </row>
    <row r="187" spans="2:16">
      <c r="B187" s="457"/>
      <c r="D187" s="455"/>
      <c r="E187" s="455"/>
      <c r="F187" s="455"/>
      <c r="G187" s="455"/>
      <c r="H187" s="455"/>
      <c r="I187" s="455"/>
      <c r="J187" s="455"/>
      <c r="K187" s="455"/>
      <c r="L187" s="455"/>
      <c r="M187" s="455"/>
      <c r="N187" s="455"/>
      <c r="O187" s="455"/>
    </row>
    <row r="190" spans="2:16">
      <c r="B190" s="457"/>
      <c r="C190" s="456"/>
      <c r="D190" s="453"/>
      <c r="E190" s="454"/>
      <c r="F190" s="454"/>
      <c r="G190" s="454"/>
      <c r="H190" s="454"/>
      <c r="I190" s="454"/>
      <c r="J190" s="454"/>
      <c r="K190" s="454"/>
      <c r="L190" s="454"/>
      <c r="M190" s="454"/>
      <c r="N190" s="454"/>
      <c r="O190" s="454"/>
      <c r="P190" s="452"/>
    </row>
    <row r="191" spans="2:16">
      <c r="B191" s="457"/>
      <c r="E191" s="455"/>
      <c r="F191" s="455"/>
      <c r="G191" s="455"/>
      <c r="H191" s="455"/>
      <c r="I191" s="455"/>
      <c r="J191" s="455"/>
      <c r="K191" s="455"/>
      <c r="L191" s="455"/>
      <c r="M191" s="455"/>
      <c r="N191" s="455"/>
      <c r="O191" s="455"/>
    </row>
    <row r="192" spans="2:16">
      <c r="B192" s="457"/>
      <c r="D192" s="455"/>
      <c r="E192" s="455"/>
      <c r="F192" s="455"/>
      <c r="G192" s="455"/>
      <c r="H192" s="455"/>
      <c r="I192" s="455"/>
      <c r="J192" s="455"/>
      <c r="K192" s="455"/>
      <c r="L192" s="455"/>
      <c r="M192" s="455"/>
      <c r="N192" s="455"/>
      <c r="O192" s="455"/>
    </row>
    <row r="195" spans="2:16">
      <c r="B195" s="457"/>
      <c r="C195" s="456"/>
      <c r="D195" s="453"/>
      <c r="E195" s="454"/>
      <c r="F195" s="454"/>
      <c r="G195" s="454"/>
      <c r="H195" s="454"/>
      <c r="I195" s="454"/>
      <c r="J195" s="454"/>
      <c r="K195" s="454"/>
      <c r="L195" s="454"/>
      <c r="M195" s="454"/>
      <c r="N195" s="454"/>
      <c r="O195" s="454"/>
      <c r="P195" s="452"/>
    </row>
    <row r="196" spans="2:16">
      <c r="B196" s="457"/>
      <c r="E196" s="455"/>
      <c r="F196" s="455"/>
      <c r="G196" s="455"/>
      <c r="H196" s="455"/>
      <c r="I196" s="455"/>
      <c r="J196" s="455"/>
      <c r="K196" s="455"/>
      <c r="L196" s="455"/>
      <c r="M196" s="455"/>
      <c r="N196" s="455"/>
      <c r="O196" s="455"/>
      <c r="P196" t="s">
        <v>1479</v>
      </c>
    </row>
    <row r="197" spans="2:16">
      <c r="B197" s="457"/>
      <c r="D197" s="455"/>
      <c r="E197" s="455"/>
      <c r="F197" s="455"/>
      <c r="G197" s="455"/>
      <c r="H197" s="455"/>
      <c r="I197" s="455"/>
      <c r="J197" s="455"/>
      <c r="K197" s="455"/>
      <c r="L197" s="455"/>
      <c r="M197" s="455"/>
      <c r="N197" s="455"/>
      <c r="O197" s="455"/>
    </row>
    <row r="200" spans="2:16">
      <c r="B200" s="457"/>
      <c r="C200" s="456"/>
      <c r="D200" s="453"/>
      <c r="E200" s="454"/>
      <c r="F200" s="454"/>
      <c r="G200" s="454"/>
      <c r="H200" s="454"/>
      <c r="I200" s="454"/>
      <c r="J200" s="454"/>
      <c r="K200" s="454"/>
      <c r="L200" s="454"/>
      <c r="M200" s="454"/>
      <c r="N200" s="454"/>
      <c r="O200" s="454"/>
      <c r="P200" s="452"/>
    </row>
    <row r="201" spans="2:16">
      <c r="B201" s="457"/>
      <c r="E201" s="455"/>
      <c r="F201" s="455"/>
      <c r="G201" s="455"/>
      <c r="H201" s="455"/>
      <c r="I201" s="455"/>
      <c r="J201" s="455"/>
      <c r="K201" s="455"/>
      <c r="L201" s="455"/>
      <c r="M201" s="455"/>
      <c r="N201" s="455"/>
      <c r="O201" s="455"/>
      <c r="P201" t="s">
        <v>1479</v>
      </c>
    </row>
    <row r="202" spans="2:16">
      <c r="B202" s="457"/>
      <c r="D202" s="455"/>
      <c r="E202" s="455"/>
      <c r="F202" s="455"/>
      <c r="G202" s="455"/>
      <c r="H202" s="455"/>
      <c r="I202" s="455"/>
      <c r="J202" s="455"/>
      <c r="K202" s="455"/>
      <c r="L202" s="455"/>
      <c r="M202" s="455"/>
      <c r="N202" s="455"/>
      <c r="O202" s="455"/>
    </row>
    <row r="205" spans="2:16">
      <c r="B205" s="457"/>
      <c r="C205" s="456"/>
      <c r="D205" s="453"/>
      <c r="E205" s="454"/>
      <c r="F205" s="454"/>
      <c r="G205" s="454"/>
      <c r="H205" s="454"/>
      <c r="I205" s="454"/>
      <c r="J205" s="454"/>
      <c r="K205" s="454"/>
      <c r="L205" s="454"/>
      <c r="M205" s="454"/>
      <c r="N205" s="454"/>
      <c r="O205" s="454"/>
      <c r="P205" s="452"/>
    </row>
    <row r="206" spans="2:16">
      <c r="B206" s="457"/>
      <c r="E206" s="455"/>
      <c r="F206" s="455"/>
      <c r="G206" s="455"/>
      <c r="H206" s="455"/>
      <c r="I206" s="455"/>
      <c r="J206" s="455"/>
      <c r="K206" s="455"/>
      <c r="L206" s="455"/>
      <c r="M206" s="455"/>
      <c r="N206" s="455"/>
      <c r="O206" s="455"/>
      <c r="P206" t="s">
        <v>1479</v>
      </c>
    </row>
    <row r="207" spans="2:16">
      <c r="B207" s="457"/>
      <c r="D207" s="455"/>
      <c r="E207" s="455"/>
      <c r="F207" s="455"/>
      <c r="G207" s="455"/>
      <c r="H207" s="455"/>
      <c r="I207" s="455"/>
      <c r="J207" s="455"/>
      <c r="K207" s="455"/>
      <c r="L207" s="455"/>
      <c r="M207" s="455"/>
      <c r="N207" s="455"/>
      <c r="O207" s="455"/>
    </row>
    <row r="210" spans="2:16">
      <c r="B210" s="457"/>
      <c r="C210" s="456"/>
      <c r="D210" s="453"/>
      <c r="E210" s="454"/>
      <c r="F210" s="454"/>
      <c r="G210" s="454"/>
      <c r="H210" s="454"/>
      <c r="I210" s="454"/>
      <c r="J210" s="454"/>
      <c r="K210" s="454"/>
      <c r="L210" s="454"/>
      <c r="M210" s="454"/>
      <c r="N210" s="454"/>
      <c r="O210" s="454"/>
      <c r="P210" s="452"/>
    </row>
    <row r="211" spans="2:16">
      <c r="B211" s="457"/>
      <c r="E211" s="455"/>
      <c r="F211" s="455"/>
      <c r="G211" s="455"/>
      <c r="H211" s="455"/>
      <c r="I211" s="455"/>
      <c r="J211" s="455"/>
      <c r="K211" s="455"/>
      <c r="L211" s="455"/>
      <c r="M211" s="455"/>
      <c r="N211" s="455"/>
      <c r="O211" s="455"/>
      <c r="P211" t="s">
        <v>1479</v>
      </c>
    </row>
    <row r="212" spans="2:16">
      <c r="B212" s="457"/>
      <c r="D212" s="455"/>
      <c r="E212" s="455"/>
      <c r="F212" s="455"/>
      <c r="G212" s="455"/>
      <c r="H212" s="455"/>
      <c r="I212" s="455"/>
      <c r="J212" s="455"/>
      <c r="K212" s="455"/>
      <c r="L212" s="455"/>
      <c r="M212" s="455"/>
      <c r="N212" s="455"/>
      <c r="O212" s="455"/>
    </row>
    <row r="215" spans="2:16">
      <c r="B215" s="457"/>
      <c r="C215" s="456"/>
      <c r="D215" s="453"/>
      <c r="E215" s="454"/>
      <c r="F215" s="454"/>
      <c r="G215" s="454"/>
      <c r="H215" s="454"/>
      <c r="I215" s="454"/>
      <c r="J215" s="454"/>
      <c r="K215" s="454"/>
      <c r="L215" s="454"/>
      <c r="M215" s="454"/>
      <c r="N215" s="454"/>
      <c r="O215" s="454"/>
      <c r="P215" s="452"/>
    </row>
    <row r="216" spans="2:16">
      <c r="B216" s="457"/>
      <c r="E216" s="455"/>
      <c r="F216" s="455"/>
      <c r="G216" s="455"/>
      <c r="H216" s="455"/>
      <c r="I216" s="455"/>
      <c r="J216" s="455"/>
      <c r="K216" s="455"/>
      <c r="L216" s="455"/>
      <c r="M216" s="455"/>
      <c r="N216" s="455"/>
      <c r="O216" s="455"/>
      <c r="P216" t="s">
        <v>1479</v>
      </c>
    </row>
    <row r="217" spans="2:16">
      <c r="B217" s="457"/>
      <c r="D217" s="455"/>
      <c r="E217" s="455"/>
      <c r="F217" s="455"/>
      <c r="G217" s="455"/>
      <c r="H217" s="455"/>
      <c r="I217" s="455"/>
      <c r="J217" s="455"/>
      <c r="K217" s="455"/>
      <c r="L217" s="455"/>
      <c r="M217" s="455"/>
      <c r="N217" s="455"/>
      <c r="O217" s="455"/>
    </row>
    <row r="220" spans="2:16">
      <c r="B220" s="457"/>
      <c r="C220" s="456"/>
      <c r="D220" s="453"/>
      <c r="E220" s="454"/>
      <c r="F220" s="454"/>
      <c r="G220" s="454"/>
      <c r="H220" s="454"/>
      <c r="I220" s="454"/>
      <c r="J220" s="454"/>
      <c r="K220" s="454"/>
      <c r="L220" s="454"/>
      <c r="M220" s="454"/>
      <c r="N220" s="454"/>
      <c r="O220" s="454"/>
      <c r="P220" s="452"/>
    </row>
    <row r="221" spans="2:16">
      <c r="B221" s="457"/>
      <c r="E221" s="455"/>
      <c r="F221" s="455"/>
      <c r="G221" s="455"/>
      <c r="H221" s="455"/>
      <c r="I221" s="455"/>
      <c r="J221" s="455"/>
      <c r="K221" s="455"/>
      <c r="L221" s="455"/>
      <c r="M221" s="455"/>
      <c r="N221" s="455"/>
      <c r="O221" s="455"/>
      <c r="P221" t="s">
        <v>1479</v>
      </c>
    </row>
    <row r="222" spans="2:16">
      <c r="B222" s="457"/>
      <c r="D222" s="455"/>
      <c r="E222" s="455"/>
      <c r="F222" s="455"/>
      <c r="G222" s="455"/>
      <c r="H222" s="455"/>
      <c r="I222" s="455"/>
      <c r="J222" s="455"/>
      <c r="K222" s="455"/>
      <c r="L222" s="455"/>
      <c r="M222" s="455"/>
      <c r="N222" s="455"/>
      <c r="O222" s="455"/>
    </row>
    <row r="225" spans="2:16">
      <c r="B225" s="457"/>
      <c r="C225" s="456"/>
      <c r="D225" s="453"/>
      <c r="E225" s="454"/>
      <c r="F225" s="454"/>
      <c r="G225" s="454"/>
      <c r="H225" s="454"/>
      <c r="I225" s="454"/>
      <c r="J225" s="454"/>
      <c r="K225" s="454"/>
      <c r="L225" s="454"/>
      <c r="M225" s="454"/>
      <c r="N225" s="454"/>
      <c r="O225" s="454"/>
      <c r="P225" s="452"/>
    </row>
    <row r="226" spans="2:16">
      <c r="B226" s="457"/>
      <c r="E226" s="455"/>
      <c r="F226" s="455"/>
      <c r="G226" s="455"/>
      <c r="H226" s="455"/>
      <c r="I226" s="455"/>
      <c r="J226" s="455"/>
      <c r="K226" s="455"/>
      <c r="L226" s="455"/>
      <c r="M226" s="455"/>
      <c r="N226" s="455"/>
      <c r="O226" s="455"/>
      <c r="P226" t="s">
        <v>1479</v>
      </c>
    </row>
    <row r="227" spans="2:16">
      <c r="B227" s="457"/>
      <c r="D227" s="455"/>
      <c r="E227" s="455"/>
      <c r="F227" s="455"/>
      <c r="G227" s="455"/>
      <c r="H227" s="455"/>
      <c r="I227" s="455"/>
      <c r="J227" s="455"/>
      <c r="K227" s="455"/>
      <c r="L227" s="455"/>
      <c r="M227" s="455"/>
      <c r="N227" s="455"/>
      <c r="O227" s="455"/>
    </row>
  </sheetData>
  <pageMargins left="0.7" right="0.7" top="0.75" bottom="0.75" header="0.3" footer="0.3"/>
  <pageSetup orientation="portrait" horizontalDpi="1200" verticalDpi="12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A0F4C35AAE5F94B8998DE33B685626D" ma:contentTypeVersion="13" ma:contentTypeDescription="Create a new document." ma:contentTypeScope="" ma:versionID="51af26090b8e2fe325d3adf07c806885">
  <xsd:schema xmlns:xsd="http://www.w3.org/2001/XMLSchema" xmlns:xs="http://www.w3.org/2001/XMLSchema" xmlns:p="http://schemas.microsoft.com/office/2006/metadata/properties" xmlns:ns2="bd3f57aa-7d6d-468f-b1fe-54f9cebd47d8" xmlns:ns3="9364170d-9f1b-42ad-b466-7b94a12926ea" targetNamespace="http://schemas.microsoft.com/office/2006/metadata/properties" ma:root="true" ma:fieldsID="1a9e9183d939edbf9ce3db218e32f3c7" ns2:_="" ns3:_="">
    <xsd:import namespace="bd3f57aa-7d6d-468f-b1fe-54f9cebd47d8"/>
    <xsd:import namespace="9364170d-9f1b-42ad-b466-7b94a12926ea"/>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3f57aa-7d6d-468f-b1fe-54f9cebd47d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90c6e0a4-2d2b-4afc-ab97-f20bed4f1707}" ma:internalName="TaxCatchAll" ma:showField="CatchAllData" ma:web="bd3f57aa-7d6d-468f-b1fe-54f9cebd47d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364170d-9f1b-42ad-b466-7b94a12926ea"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393a44e-3a1c-40ac-b027-715c8ba4b1cf"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TaxCatchAll xmlns="bd3f57aa-7d6d-468f-b1fe-54f9cebd47d8" xsi:nil="true"/>
    <lcf76f155ced4ddcb4097134ff3c332f xmlns="9364170d-9f1b-42ad-b466-7b94a12926ea">
      <Terms xmlns="http://schemas.microsoft.com/office/infopath/2007/PartnerControls"/>
    </lcf76f155ced4ddcb4097134ff3c332f>
    <_dlc_DocId xmlns="bd3f57aa-7d6d-468f-b1fe-54f9cebd47d8">ZHUSJJE5AXPZ-2092000609-8083</_dlc_DocId>
    <_dlc_DocIdUrl xmlns="bd3f57aa-7d6d-468f-b1fe-54f9cebd47d8">
      <Url>https://genedant.sharepoint.com/sites/Collaboration/_layouts/15/DocIdRedir.aspx?ID=ZHUSJJE5AXPZ-2092000609-8083</Url>
      <Description>ZHUSJJE5AXPZ-2092000609-8083</Description>
    </_dlc_DocIdUrl>
  </documentManagement>
</p:properties>
</file>

<file path=customXml/itemProps1.xml><?xml version="1.0" encoding="utf-8"?>
<ds:datastoreItem xmlns:ds="http://schemas.openxmlformats.org/officeDocument/2006/customXml" ds:itemID="{45559286-DF84-4D26-9E92-5FFFB5ACDD69}">
  <ds:schemaRefs>
    <ds:schemaRef ds:uri="http://schemas.microsoft.com/sharepoint/v3/contenttype/forms"/>
  </ds:schemaRefs>
</ds:datastoreItem>
</file>

<file path=customXml/itemProps2.xml><?xml version="1.0" encoding="utf-8"?>
<ds:datastoreItem xmlns:ds="http://schemas.openxmlformats.org/officeDocument/2006/customXml" ds:itemID="{A9D9D7D4-2FBC-4A67-BE3A-32C1295518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3f57aa-7d6d-468f-b1fe-54f9cebd47d8"/>
    <ds:schemaRef ds:uri="9364170d-9f1b-42ad-b466-7b94a12926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78D3E7E-1EBF-4C9E-ABCD-B7CADF21B30F}">
  <ds:schemaRefs>
    <ds:schemaRef ds:uri="http://schemas.microsoft.com/sharepoint/events"/>
  </ds:schemaRefs>
</ds:datastoreItem>
</file>

<file path=customXml/itemProps4.xml><?xml version="1.0" encoding="utf-8"?>
<ds:datastoreItem xmlns:ds="http://schemas.openxmlformats.org/officeDocument/2006/customXml" ds:itemID="{1B8F595E-3E15-4DF5-BA11-E37D9D95A45C}">
  <ds:schemaRefs>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9364170d-9f1b-42ad-b466-7b94a12926ea"/>
    <ds:schemaRef ds:uri="http://purl.org/dc/elements/1.1/"/>
    <ds:schemaRef ds:uri="http://schemas.microsoft.com/office/2006/metadata/properties"/>
    <ds:schemaRef ds:uri="bd3f57aa-7d6d-468f-b1fe-54f9cebd47d8"/>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42</vt:i4>
      </vt:variant>
      <vt:variant>
        <vt:lpstr>Named Ranges</vt:lpstr>
      </vt:variant>
      <vt:variant>
        <vt:i4>18</vt:i4>
      </vt:variant>
    </vt:vector>
  </HeadingPairs>
  <TitlesOfParts>
    <vt:vector size="60" baseType="lpstr">
      <vt:lpstr>Portfolio Listing</vt:lpstr>
      <vt:lpstr>Portfolio Summary</vt:lpstr>
      <vt:lpstr>FUNDS &gt;&gt;</vt:lpstr>
      <vt:lpstr>Ascendent CP I</vt:lpstr>
      <vt:lpstr>Ascendant CP I CF</vt:lpstr>
      <vt:lpstr>BOYU Capital Fund I</vt:lpstr>
      <vt:lpstr>BOYU Capital Fund I CF</vt:lpstr>
      <vt:lpstr>BOYU Offshore CF</vt:lpstr>
      <vt:lpstr>Boyu Real Estate</vt:lpstr>
      <vt:lpstr>Boyu Real Estate CF</vt:lpstr>
      <vt:lpstr>C Ventures II</vt:lpstr>
      <vt:lpstr>C Ventures II CF </vt:lpstr>
      <vt:lpstr>Cottonwood</vt:lpstr>
      <vt:lpstr>Cottonwood (CF)</vt:lpstr>
      <vt:lpstr>DCP I</vt:lpstr>
      <vt:lpstr>DCP I (CF)</vt:lpstr>
      <vt:lpstr>DCP II</vt:lpstr>
      <vt:lpstr>DCP II (CF) </vt:lpstr>
      <vt:lpstr>E15 Fund I</vt:lpstr>
      <vt:lpstr>E15 Fund I (CF) </vt:lpstr>
      <vt:lpstr>E15 Fund 1.5 (liquidating)</vt:lpstr>
      <vt:lpstr>E15 Fund 1.5(CF) </vt:lpstr>
      <vt:lpstr>E15 Fund II</vt:lpstr>
      <vt:lpstr>E15 Fund II CF</vt:lpstr>
      <vt:lpstr>Genedant Ventures</vt:lpstr>
      <vt:lpstr>Genedent Ventures (CF)</vt:lpstr>
      <vt:lpstr>GTCR</vt:lpstr>
      <vt:lpstr>GTCR (CF)</vt:lpstr>
      <vt:lpstr>HSG Growth VI</vt:lpstr>
      <vt:lpstr>HSG Growth VI (CF) </vt:lpstr>
      <vt:lpstr>HSG Growth VIII</vt:lpstr>
      <vt:lpstr>HSG Growth VIII (CF)</vt:lpstr>
      <vt:lpstr>Lionet Fund</vt:lpstr>
      <vt:lpstr>Lionet Fund CF</vt:lpstr>
      <vt:lpstr>Skycus China Fund</vt:lpstr>
      <vt:lpstr>Skycus China CF</vt:lpstr>
      <vt:lpstr>West Street VII</vt:lpstr>
      <vt:lpstr>West Street VII (CF)</vt:lpstr>
      <vt:lpstr>West Street VIII</vt:lpstr>
      <vt:lpstr>West Street VIII (CF)</vt:lpstr>
      <vt:lpstr>FMV Projection</vt:lpstr>
      <vt:lpstr>Calcs</vt:lpstr>
      <vt:lpstr>'Ascendent CP I'!Print_Area</vt:lpstr>
      <vt:lpstr>'BOYU Capital Fund I'!Print_Area</vt:lpstr>
      <vt:lpstr>'Boyu Real Estate'!Print_Area</vt:lpstr>
      <vt:lpstr>'C Ventures II'!Print_Area</vt:lpstr>
      <vt:lpstr>Cottonwood!Print_Area</vt:lpstr>
      <vt:lpstr>'DCP I'!Print_Area</vt:lpstr>
      <vt:lpstr>'DCP II'!Print_Area</vt:lpstr>
      <vt:lpstr>'E15 Fund II'!Print_Area</vt:lpstr>
      <vt:lpstr>'Genedant Ventures'!Print_Area</vt:lpstr>
      <vt:lpstr>GTCR!Print_Area</vt:lpstr>
      <vt:lpstr>'HSG Growth VI'!Print_Area</vt:lpstr>
      <vt:lpstr>'HSG Growth VIII'!Print_Area</vt:lpstr>
      <vt:lpstr>'Lionet Fund'!Print_Area</vt:lpstr>
      <vt:lpstr>'Portfolio Listing'!Print_Area</vt:lpstr>
      <vt:lpstr>'Portfolio Summary'!Print_Area</vt:lpstr>
      <vt:lpstr>'Skycus China Fund'!Print_Area</vt:lpstr>
      <vt:lpstr>'West Street VII'!Print_Area</vt:lpstr>
      <vt:lpstr>'West Street VIII'!Print_Area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2020-12-15T19:49:54Z</dcterms:created>
  <dcterms:modified xsi:type="dcterms:W3CDTF">2025-07-15T04:01:45Z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0x0101009A0F4C35AAE5F94B8998DE33B685626D</vt:lpwstr>
  </property>
  <property fmtid="{D5CDD505-2E9C-101B-9397-08002B2CF9AE}" pid="3" name="MediaServiceImageTags">
    <vt:lpwstr/>
  </property>
  <property fmtid="{D5CDD505-2E9C-101B-9397-08002B2CF9AE}" pid="4" name="{A44787D4-0540-4523-9961-78E4036D8C6D}">
    <vt:lpwstr>{72F23211-5BC1-49CE-AFC6-30FCA570F55E}</vt:lpwstr>
  </property>
  <property fmtid="{D5CDD505-2E9C-101B-9397-08002B2CF9AE}" pid="5" name="MSIP_Label_defa4170-0d19-0005-0004-bc88714345d2_Enabled">
    <vt:lpwstr>true</vt:lpwstr>
  </property>
  <property fmtid="{D5CDD505-2E9C-101B-9397-08002B2CF9AE}" pid="6" name="MSIP_Label_defa4170-0d19-0005-0004-bc88714345d2_SetDate">
    <vt:lpwstr>2024-10-21T08:48:38Z</vt:lpwstr>
  </property>
  <property fmtid="{D5CDD505-2E9C-101B-9397-08002B2CF9AE}" pid="7" name="MSIP_Label_defa4170-0d19-0005-0004-bc88714345d2_Method">
    <vt:lpwstr>Standard</vt:lpwstr>
  </property>
  <property fmtid="{D5CDD505-2E9C-101B-9397-08002B2CF9AE}" pid="8" name="MSIP_Label_defa4170-0d19-0005-0004-bc88714345d2_Name">
    <vt:lpwstr>defa4170-0d19-0005-0004-bc88714345d2</vt:lpwstr>
  </property>
  <property fmtid="{D5CDD505-2E9C-101B-9397-08002B2CF9AE}" pid="9" name="MSIP_Label_defa4170-0d19-0005-0004-bc88714345d2_SiteId">
    <vt:lpwstr>74f68131-83f5-4b6c-88a8-964a801711d4</vt:lpwstr>
  </property>
  <property fmtid="{D5CDD505-2E9C-101B-9397-08002B2CF9AE}" pid="10" name="MSIP_Label_defa4170-0d19-0005-0004-bc88714345d2_ActionId">
    <vt:lpwstr>78b829af-3b69-44a0-97fc-411488851536</vt:lpwstr>
  </property>
  <property fmtid="{D5CDD505-2E9C-101B-9397-08002B2CF9AE}" pid="11" name="MSIP_Label_defa4170-0d19-0005-0004-bc88714345d2_ContentBits">
    <vt:lpwstr>0</vt:lpwstr>
  </property>
  <property fmtid="{D5CDD505-2E9C-101B-9397-08002B2CF9AE}" pid="12" name="_dlc_DocIdItemGuid">
    <vt:lpwstr>ae2b0038-d8aa-42eb-ad6e-a17b998aa0b7</vt:lpwstr>
  </property>
</Properties>
</file>